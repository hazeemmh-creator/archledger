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 tabRatio="597" activeTab="1"/>
  </bookViews>
  <sheets>
    <sheet name="MARCH 2025" sheetId="1" r:id="rId1"/>
    <sheet name="MEMO" sheetId="68" r:id="rId2"/>
    <sheet name="2024 Promotion Arrears" sheetId="176" r:id="rId3"/>
    <sheet name=" PAYE regul" sheetId="182" r:id="rId4"/>
    <sheet name="Promotion in Sept" sheetId="172" r:id="rId5"/>
    <sheet name="Tax on Arrears" sheetId="183" r:id="rId6"/>
    <sheet name="Stoppage of Salary" sheetId="184" r:id="rId7"/>
    <sheet name="New PAYE" sheetId="180" r:id="rId8"/>
    <sheet name="New Pensions Promotion" sheetId="181" r:id="rId9"/>
    <sheet name="Conversion in Nov" sheetId="179" r:id="rId10"/>
    <sheet name="Christmas Welfare 2024" sheetId="186" r:id="rId11"/>
    <sheet name="Sum of Welfare" sheetId="185" r:id="rId12"/>
    <sheet name="Staff Bonus" sheetId="188" r:id="rId13"/>
    <sheet name="Sum of Bonus" sheetId="187" r:id="rId14"/>
    <sheet name="Bonus PAYE" sheetId="190" r:id="rId15"/>
    <sheet name="Sheet5" sheetId="189" r:id="rId16"/>
    <sheet name="New Enrolmt" sheetId="170" r:id="rId17"/>
    <sheet name="1ST 28 DAYS" sheetId="163" r:id="rId18"/>
    <sheet name="Conversion in Sept" sheetId="174" r:id="rId19"/>
    <sheet name="Conversion &amp; Enrol Effect" sheetId="164" r:id="rId20"/>
    <sheet name="Converted Staff PAYE" sheetId="169" r:id="rId21"/>
    <sheet name="Movt to Contract" sheetId="167" r:id="rId22"/>
    <sheet name="Sheet10" sheetId="168" r:id="rId23"/>
    <sheet name="Sheet8" sheetId="166" r:id="rId24"/>
    <sheet name="Welfare June" sheetId="161" r:id="rId25"/>
    <sheet name="Welfare Summary" sheetId="162" r:id="rId26"/>
    <sheet name="Arrears of Res. Allow" sheetId="159" r:id="rId27"/>
    <sheet name="Additional Leg Duty Allowance" sheetId="153" r:id="rId28"/>
    <sheet name="March New PAYE " sheetId="154" r:id="rId29"/>
    <sheet name="Upgrade in March" sheetId="155" r:id="rId30"/>
    <sheet name="New NHF Deduction" sheetId="156" r:id="rId31"/>
    <sheet name="Regularisation" sheetId="152" r:id="rId32"/>
    <sheet name="Sallah Welfare, April 2024" sheetId="158" r:id="rId33"/>
    <sheet name="Sheet4" sheetId="157" r:id="rId34"/>
    <sheet name="January Arrears" sheetId="149" r:id="rId35"/>
    <sheet name="Tax Reg Sch. " sheetId="146" r:id="rId36"/>
    <sheet name=" Excess Ded Paid" sheetId="142" r:id="rId37"/>
    <sheet name="Changes in Gross &amp; PAYE " sheetId="143" r:id="rId38"/>
    <sheet name="May New PAYE " sheetId="147" r:id="rId39"/>
    <sheet name="Employee Pensions" sheetId="144" r:id="rId40"/>
    <sheet name="Upgrade in Feb." sheetId="150" r:id="rId41"/>
    <sheet name="Coop. Ded for Feb." sheetId="151" r:id="rId42"/>
    <sheet name="ENHANCED WELFARE 2024" sheetId="140" r:id="rId43"/>
    <sheet name="PROMOTIONS " sheetId="131" r:id="rId44"/>
    <sheet name="CHRISTMAS WELFARE" sheetId="135" r:id="rId45"/>
    <sheet name="CHRISTMAS WELFARE 1" sheetId="134" r:id="rId46"/>
    <sheet name="HALF 2023 (2)" sheetId="137" r:id="rId47"/>
    <sheet name="Sheet3" sheetId="136" r:id="rId48"/>
    <sheet name="NEW ENROLMENT IN NOVEMBER (2)" sheetId="132" r:id="rId49"/>
    <sheet name="Regularisation IN NOVEMBER (3)" sheetId="133" r:id="rId50"/>
    <sheet name="Sheet2" sheetId="130" r:id="rId51"/>
    <sheet name="PROMOTIONS" sheetId="129" r:id="rId52"/>
    <sheet name="SALARY STRUCTURE" sheetId="128" r:id="rId53"/>
    <sheet name="Wage Grant" sheetId="124" r:id="rId54"/>
    <sheet name="Wage Grant (2)" sheetId="126" r:id="rId55"/>
    <sheet name="1st 28 days in Nov" sheetId="123" r:id="rId56"/>
    <sheet name="Sallah Welfare April 2023" sheetId="119" r:id="rId57"/>
    <sheet name="Sallah Welfare June 2023" sheetId="120" r:id="rId58"/>
    <sheet name="Sallah Welfare June 2023 Latest" sheetId="121" r:id="rId59"/>
    <sheet name="Sheet1" sheetId="117" r:id="rId60"/>
    <sheet name="January 2023 PAYE" sheetId="115" r:id="rId61"/>
    <sheet name="January 2023 NHF)" sheetId="116" r:id="rId62"/>
    <sheet name="PAYE Computation" sheetId="114" r:id="rId63"/>
    <sheet name="Tax adj August, 2022" sheetId="87" r:id="rId64"/>
    <sheet name="Annual Increement" sheetId="78" r:id="rId65"/>
    <sheet name="Enhanced Welfare 2023 (2)" sheetId="110" r:id="rId66"/>
    <sheet name="Enhanced Welfare 2023 (3)" sheetId="113" r:id="rId67"/>
    <sheet name="17.9" sheetId="4" r:id="rId68"/>
    <sheet name="16.7" sheetId="5" r:id="rId69"/>
    <sheet name="15.7.1" sheetId="6" r:id="rId70"/>
    <sheet name="13.7" sheetId="7" r:id="rId71"/>
    <sheet name="12.7" sheetId="8" r:id="rId72"/>
    <sheet name="10.7" sheetId="9" r:id="rId73"/>
    <sheet name="9.7" sheetId="10" r:id="rId74"/>
    <sheet name="8.7" sheetId="11" r:id="rId75"/>
    <sheet name="SUMMARY" sheetId="12" r:id="rId76"/>
    <sheet name="14.7" sheetId="13" r:id="rId77"/>
    <sheet name="15.7" sheetId="23" r:id="rId78"/>
    <sheet name="Basic Salary" sheetId="61" r:id="rId79"/>
    <sheet name="JUNE 2023 (2)" sheetId="122" r:id="rId80"/>
  </sheets>
  <externalReferences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</externalReferences>
  <definedNames>
    <definedName name="_xlnm.Print_Area" localSheetId="27">'Additional Leg Duty Allowance'!$A$1:$U$19</definedName>
    <definedName name="_xlnm.Print_Area" localSheetId="64">'Annual Increement'!$A$1:$AB$191</definedName>
    <definedName name="_xlnm.Print_Area" localSheetId="44">'CHRISTMAS WELFARE'!$A$1:$E$196</definedName>
    <definedName name="_xlnm.Print_Area" localSheetId="10">'Christmas Welfare 2024'!$A$1:$E$207</definedName>
    <definedName name="_xlnm.Print_Area" localSheetId="65">'Enhanced Welfare 2023 (2)'!$A$1:$G$193</definedName>
    <definedName name="_xlnm.Print_Area" localSheetId="66">'Enhanced Welfare 2023 (3)'!$A$1:$G$193</definedName>
    <definedName name="_xlnm.Print_Area" localSheetId="42">'ENHANCED WELFARE 2024'!$A$1:$G$196</definedName>
    <definedName name="_xlnm.Print_Area" localSheetId="0">'MARCH 2025'!$A$1:$S$204</definedName>
    <definedName name="_xlnm.Print_Area" localSheetId="46">'HALF 2023 (2)'!$A$1:$F$195</definedName>
    <definedName name="_xlnm.Print_Area" localSheetId="61">'January 2023 NHF)'!$A$1:$H$191</definedName>
    <definedName name="_xlnm.Print_Area" localSheetId="60">'January 2023 PAYE'!$A$1:$H$191</definedName>
    <definedName name="_xlnm.Print_Area" localSheetId="79">'JUNE 2023 (2)'!$A$1:$D$190</definedName>
    <definedName name="_xlnm.Print_Area" localSheetId="1">MEMO!$A$1:$H$62</definedName>
    <definedName name="_xlnm.Print_Area" localSheetId="48">'NEW ENROLMENT IN NOVEMBER (2)'!$A$1:$X$14</definedName>
    <definedName name="_xlnm.Print_Area" localSheetId="4">'Promotion in Sept'!$A$1:$V$9</definedName>
    <definedName name="_xlnm.Print_Area" localSheetId="51">PROMOTIONS!$A$1:$AB$47</definedName>
    <definedName name="_xlnm.Print_Area" localSheetId="43">'PROMOTIONS '!$A$1:$AB$27</definedName>
    <definedName name="_xlnm.Print_Area" localSheetId="49">'Regularisation IN NOVEMBER (3)'!$A$1:$X$16</definedName>
    <definedName name="_xlnm.Print_Area" localSheetId="56">'Sallah Welfare April 2023'!$A$1:$E$190</definedName>
    <definedName name="_xlnm.Print_Area" localSheetId="57">'Sallah Welfare June 2023'!$A$1:$E$192</definedName>
    <definedName name="_xlnm.Print_Area" localSheetId="58">'Sallah Welfare June 2023 Latest'!$A$1:$E$189</definedName>
    <definedName name="_xlnm.Print_Area" localSheetId="32">'Sallah Welfare, April 2024'!$A$1:$E$194</definedName>
    <definedName name="_xlnm.Print_Area" localSheetId="12">'Staff Bonus'!$A$1:$F$207</definedName>
    <definedName name="_xlnm.Print_Area" localSheetId="63">'Tax adj August, 2022'!$A$1:$G$202</definedName>
    <definedName name="_xlnm.Print_Area" localSheetId="29">'Upgrade in March'!$A$1:$S$11</definedName>
    <definedName name="_xlnm.Print_Area" localSheetId="53">'Wage Grant'!$A$1:$I$192</definedName>
    <definedName name="_xlnm.Print_Area" localSheetId="54">'Wage Grant (2)'!$A$1:$H$62</definedName>
    <definedName name="_xlnm.Print_Area" localSheetId="24">'Welfare June'!$A$1:$E$194</definedName>
    <definedName name="_xlnm.Print_Titles" localSheetId="27">'Additional Leg Duty Allowance'!$4:$5</definedName>
    <definedName name="_xlnm.Print_Titles" localSheetId="44">'CHRISTMAS WELFARE'!$4:$5</definedName>
    <definedName name="_xlnm.Print_Titles" localSheetId="10">'Christmas Welfare 2024'!$4:$5</definedName>
    <definedName name="_xlnm.Print_Titles" localSheetId="65">'Enhanced Welfare 2023 (2)'!$4:$5</definedName>
    <definedName name="_xlnm.Print_Titles" localSheetId="66">'Enhanced Welfare 2023 (3)'!$4:$5</definedName>
    <definedName name="_xlnm.Print_Titles" localSheetId="42">'ENHANCED WELFARE 2024'!$4:$5</definedName>
    <definedName name="_xlnm.Print_Titles" localSheetId="0">'MARCH 2025'!$4:$5</definedName>
    <definedName name="_xlnm.Print_Titles" localSheetId="46">'HALF 2023 (2)'!$4:$5</definedName>
    <definedName name="_xlnm.Print_Titles" localSheetId="61">'January 2023 NHF)'!$4:$5</definedName>
    <definedName name="_xlnm.Print_Titles" localSheetId="60">'January 2023 PAYE'!$4:$5</definedName>
    <definedName name="_xlnm.Print_Titles" localSheetId="79">'JUNE 2023 (2)'!$4:$5</definedName>
    <definedName name="_xlnm.Print_Titles" localSheetId="48">'NEW ENROLMENT IN NOVEMBER (2)'!$4:$5</definedName>
    <definedName name="_xlnm.Print_Titles" localSheetId="4">'Promotion in Sept'!$4:$5</definedName>
    <definedName name="_xlnm.Print_Titles" localSheetId="51">PROMOTIONS!$4:$5</definedName>
    <definedName name="_xlnm.Print_Titles" localSheetId="43">'PROMOTIONS '!$4:$5</definedName>
    <definedName name="_xlnm.Print_Titles" localSheetId="49">'Regularisation IN NOVEMBER (3)'!$4:$5</definedName>
    <definedName name="_xlnm.Print_Titles" localSheetId="56">'Sallah Welfare April 2023'!$4:$5</definedName>
    <definedName name="_xlnm.Print_Titles" localSheetId="57">'Sallah Welfare June 2023'!$4:$5</definedName>
    <definedName name="_xlnm.Print_Titles" localSheetId="58">'Sallah Welfare June 2023 Latest'!$4:$5</definedName>
    <definedName name="_xlnm.Print_Titles" localSheetId="32">'Sallah Welfare, April 2024'!$4:$5</definedName>
    <definedName name="_xlnm.Print_Titles" localSheetId="12">'Staff Bonus'!$4:$5</definedName>
    <definedName name="_xlnm.Print_Titles" localSheetId="29">'Upgrade in March'!$4:$5</definedName>
    <definedName name="_xlnm.Print_Titles" localSheetId="53">'Wage Grant'!$5:$5</definedName>
    <definedName name="_xlnm.Print_Titles" localSheetId="54">'Wage Grant (2)'!$5:$5</definedName>
    <definedName name="_xlnm.Print_Titles" localSheetId="24">'Welfare June'!$4:$5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<sst xmlns="http://schemas.openxmlformats.org/spreadsheetml/2006/main" count="14596" uniqueCount="1337">
  <si>
    <t>NATIONAL INSTITUTE FOR LEGISLATIVE AND DEMOCRATIC STUDIES</t>
  </si>
  <si>
    <t>STAFF PAYROLL FOR THE MONTH OF MARCH, 2025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</si>
  <si>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</si>
  <si>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</si>
  <si>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</si>
  <si>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</si>
  <si>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</si>
  <si>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</si>
  <si>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</si>
  <si>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</si>
  <si>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</si>
  <si>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</si>
  <si>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</si>
  <si>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</si>
  <si>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</si>
  <si>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</si>
  <si>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TOTAL DEDUCTION</t>
  </si>
  <si>
    <t>FEBRUARY, 2025</t>
  </si>
  <si>
    <t>MARCH, 2025</t>
  </si>
  <si>
    <t>N</t>
  </si>
  <si>
    <t>S/N</t>
  </si>
  <si>
    <t>DG'S OFFICE</t>
  </si>
  <si>
    <t xml:space="preserve">PROF. ABUBAKAR O. SULAIMAN </t>
  </si>
  <si>
    <t>DIRECTOR GENERAL</t>
  </si>
  <si>
    <t>CONSOL</t>
  </si>
  <si>
    <t>RAHEEM USMAN AYIGORO</t>
  </si>
  <si>
    <t>SA-INFRASTRUCTURE</t>
  </si>
  <si>
    <t>16 (9)</t>
  </si>
  <si>
    <t>MARIAM MOHAMMED BELLO</t>
  </si>
  <si>
    <t>SA- SPECIAL DUTIES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</si>
  <si>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</si>
  <si>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</si>
  <si>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</si>
  <si>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</si>
  <si>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</si>
  <si>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</si>
  <si>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</si>
  <si>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DR FRANCIS NDUM OJIE</t>
  </si>
  <si>
    <t>AD, TRAINING &amp; IC./SA TO DG</t>
  </si>
  <si>
    <t>15(7)</t>
  </si>
  <si>
    <t>ALI ABDULLAHI</t>
  </si>
  <si>
    <t>CHIEF ICT OFFICER</t>
  </si>
  <si>
    <t>14(11)</t>
  </si>
  <si>
    <t>EMILY EKHIDE</t>
  </si>
  <si>
    <t xml:space="preserve">SENIOR RESEARCH FELLOW </t>
  </si>
  <si>
    <t>DORIS DAKDA AARON</t>
  </si>
  <si>
    <t>RESEARCH FELLOW I</t>
  </si>
  <si>
    <t>14(8)</t>
  </si>
  <si>
    <t>ABDULSALAM S. MUSTAPHA</t>
  </si>
  <si>
    <t>ASST. DIRECTOR ICT</t>
  </si>
  <si>
    <t>PERCY TERFA GBAHABO</t>
  </si>
  <si>
    <t>HEAD, NILDS LIAISON OFFICE</t>
  </si>
  <si>
    <t>13(10)</t>
  </si>
  <si>
    <t>HASSANA AHMED IBRAHIM</t>
  </si>
  <si>
    <t>PA- TO DG</t>
  </si>
  <si>
    <t>13 (9)</t>
  </si>
  <si>
    <t>IKIP LEBO</t>
  </si>
  <si>
    <t>ASST CHIEF PROC. OFFICER</t>
  </si>
  <si>
    <t>13 (7)</t>
  </si>
  <si>
    <t>ALABI ADESINA MUHYDEEN</t>
  </si>
  <si>
    <t>ADUGBA RICHARD TERSEER</t>
  </si>
  <si>
    <t>PRINCIPAL INFO. OFFICER</t>
  </si>
  <si>
    <t>12(9)</t>
  </si>
  <si>
    <t>LUCKY AGWOM</t>
  </si>
  <si>
    <t>RESEARCH ASSISTANT</t>
  </si>
  <si>
    <t>12(7)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</si>
  <si>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</si>
  <si>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</si>
  <si>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</si>
  <si>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</si>
  <si>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</si>
  <si>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</si>
  <si>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</si>
  <si>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ELIZABETH OGECHUKWU ONYEAKU</t>
  </si>
  <si>
    <t>ICT OFFICER</t>
  </si>
  <si>
    <t>9(9)</t>
  </si>
  <si>
    <t>VICTOR ASUKWO</t>
  </si>
  <si>
    <t>NNANDI LIVINUS ATURE</t>
  </si>
  <si>
    <t>ABDULRAHMAN A SULAIMAN</t>
  </si>
  <si>
    <t>STORE OFFICER</t>
  </si>
  <si>
    <t>9(8)</t>
  </si>
  <si>
    <t>DARE SHEU MAGBON</t>
  </si>
  <si>
    <t>ADMINISTRATION OFFICER</t>
  </si>
  <si>
    <t>9(7)</t>
  </si>
  <si>
    <t>ABUBAKAR SULAIMAN SODEEQ</t>
  </si>
  <si>
    <t>JIMOH ADEBAYO ZAKA</t>
  </si>
  <si>
    <t>ASST. OFFICER/COMM</t>
  </si>
  <si>
    <t>ABDULMUSHIN TAWFIQ LADAN</t>
  </si>
  <si>
    <t>MOHAMMED BELLO</t>
  </si>
  <si>
    <t xml:space="preserve">PROTOCOL ASSISTANT </t>
  </si>
  <si>
    <t>HARUNA JIBRIL AMEH</t>
  </si>
  <si>
    <t>ASST. ADMIN. OFFICER</t>
  </si>
  <si>
    <t>8(8)</t>
  </si>
  <si>
    <t>RAMATU IBRAHIM ABDULRAHEEM</t>
  </si>
  <si>
    <t>INFORMATION OFFICER</t>
  </si>
  <si>
    <t>8(7)</t>
  </si>
  <si>
    <t>TOTAL</t>
  </si>
  <si>
    <t>INTERNAL AUDIT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</si>
  <si>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</si>
  <si>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</si>
  <si>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</si>
  <si>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</si>
  <si>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</si>
  <si>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</si>
  <si>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10(8)</t>
  </si>
  <si>
    <t>YUSUF YUSUF DAYYABU</t>
  </si>
  <si>
    <t>INERNAL AUDIT OFFICER</t>
  </si>
  <si>
    <t>LEG. SUPPORT SEVICES</t>
  </si>
  <si>
    <t>BETHEL UZOMA IHUGBA</t>
  </si>
  <si>
    <t>DEPUTY DIRECTOR, LEGAL RESEARCH</t>
  </si>
  <si>
    <t>16(8)</t>
  </si>
  <si>
    <t>OGUCHE SAMUEL</t>
  </si>
  <si>
    <t xml:space="preserve">SNR RESEARCH FELLOW </t>
  </si>
  <si>
    <t>IBRAHIM USMAN</t>
  </si>
  <si>
    <t>DR MOHAMMED O. AMALI</t>
  </si>
  <si>
    <t>YAHAYA SHAMSU</t>
  </si>
  <si>
    <t>BILKIS S. LAWAL-GAMBARI</t>
  </si>
  <si>
    <t>RESEARCH OFFICER</t>
  </si>
  <si>
    <t>ZAINAB AKINDE</t>
  </si>
  <si>
    <t>GUNAT NANSAK MARK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</si>
  <si>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</si>
  <si>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</si>
  <si>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</si>
  <si>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</si>
  <si>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</si>
  <si>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</si>
  <si>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</si>
  <si>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DR. ADEWALE ADEREMI</t>
  </si>
  <si>
    <t>DIRECTOR, DEMOCRATIC STUDIES</t>
  </si>
  <si>
    <t>NDANUSA MOHAMMED MANZUMA</t>
  </si>
  <si>
    <t>SNR RESEARCH FELLOW</t>
  </si>
  <si>
    <t>15(8)</t>
  </si>
  <si>
    <t>EJALONIBU GANIYU LAYI</t>
  </si>
  <si>
    <t>RESEARCH FELLOW 1</t>
  </si>
  <si>
    <t>UDEFUNA NNADOZIE PATRICK</t>
  </si>
  <si>
    <t>12(8)</t>
  </si>
  <si>
    <t>SHAFIU YAHYA MIKAIL</t>
  </si>
  <si>
    <t>HASSAN YERIMA</t>
  </si>
  <si>
    <t>HAUWA PATE SADIQ</t>
  </si>
  <si>
    <t>PRINCIPAL PROGRAMME OFFICER</t>
  </si>
  <si>
    <t>KOLAPO Q. ABAYOMI</t>
  </si>
  <si>
    <t>DEPARTMENT OF STUDIES</t>
  </si>
  <si>
    <t>DR ASIMIYU G. ABIOLA</t>
  </si>
  <si>
    <t>DIRECTOR POST GRADUATE</t>
  </si>
  <si>
    <t>DR. HADIZA SAIDU</t>
  </si>
  <si>
    <t>ASSISTANT DIRECTOR</t>
  </si>
  <si>
    <t>ANTHONY EDET</t>
  </si>
  <si>
    <t>CHIEF PROGRAMMES OFFICER</t>
  </si>
  <si>
    <t>14(9)</t>
  </si>
  <si>
    <t>IGWE STACY</t>
  </si>
  <si>
    <t>PRINC. PROGRAMME OFFICER</t>
  </si>
  <si>
    <t>OLANIYAN TAIWO ABINBOLA</t>
  </si>
  <si>
    <t>PROGRAMME OFFICER</t>
  </si>
  <si>
    <t>AMINAT JUMOKE SULAIMON</t>
  </si>
  <si>
    <t>AST. PROGRAMME OFFICER</t>
  </si>
  <si>
    <t>ECON. DEV. &amp; SOC. RESEARCH</t>
  </si>
  <si>
    <t>TERFA WILLIAMS ABRAHAM</t>
  </si>
  <si>
    <t>DR AUGUSTINE C. OSIGWE</t>
  </si>
  <si>
    <t>OMOJU OLUWASOLA EMMANUEL</t>
  </si>
  <si>
    <t>IBE EZECHI CYRIACUS</t>
  </si>
  <si>
    <t>OSIKHEN LEO IGBANOI</t>
  </si>
  <si>
    <t>OKUNGBOWA OSARETIN GODSPOWER</t>
  </si>
  <si>
    <t>14(7)</t>
  </si>
  <si>
    <t>YUSUF IBRAHIM</t>
  </si>
  <si>
    <t>MUSTAPHA RAFIU AYOBANJI</t>
  </si>
  <si>
    <t>RESEARCH FELLOW 11</t>
  </si>
  <si>
    <t>13(7)</t>
  </si>
  <si>
    <t>MARYAM MUSA SADA</t>
  </si>
  <si>
    <t>ASSIT. RESEARCH OFFICER</t>
  </si>
  <si>
    <t>CHARITY EZENWAJIOBI</t>
  </si>
  <si>
    <t>REASEARCH. ASST.</t>
  </si>
  <si>
    <t>8(9)</t>
  </si>
  <si>
    <t>TRAINING  &amp;  INT''L COOP</t>
  </si>
  <si>
    <t>AKINSANMI ADEJOKE OLUKEMI</t>
  </si>
  <si>
    <t>Ag. DIR. TRAINING &amp; IC</t>
  </si>
  <si>
    <t>17(7)</t>
  </si>
  <si>
    <t>MOHAMMED R. ADAMU</t>
  </si>
  <si>
    <t>CHIEF TRAINING OFFICER</t>
  </si>
  <si>
    <t>EROMOSELE OMONIGBO</t>
  </si>
  <si>
    <t>ASSIST. CHIEF PERSONNEL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</si>
  <si>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</si>
  <si>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</si>
  <si>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</si>
  <si>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</si>
  <si>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</si>
  <si>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</si>
  <si>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</si>
  <si>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</si>
  <si>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</si>
  <si>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16(9)</t>
  </si>
  <si>
    <t>ALIYU SANNI ABUBAKAR</t>
  </si>
  <si>
    <t>RESEARCH FELLOW 11 DATA &amp; DOCU</t>
  </si>
  <si>
    <t>13(11)</t>
  </si>
  <si>
    <t>CHINAKO N. ASOGWA</t>
  </si>
  <si>
    <t>AMOS ABA</t>
  </si>
  <si>
    <t>LIBRARY ASSISTANT</t>
  </si>
  <si>
    <t>8(12)</t>
  </si>
  <si>
    <t>TITILAYO DANIEL MARVELLOUS</t>
  </si>
  <si>
    <t>8(11)</t>
  </si>
  <si>
    <t>ENENCHE JEREMIAH AGADA</t>
  </si>
  <si>
    <t>LEG, CTRE FOR SEC. ANALYSIS</t>
  </si>
  <si>
    <t>NGARA CHRISTOPHER OCHANJA</t>
  </si>
  <si>
    <t>EGUATU U. ONYEJELEM</t>
  </si>
  <si>
    <t xml:space="preserve">PRINCIPAL M&amp;E OFFICER </t>
  </si>
  <si>
    <t>CHRISTIAN MADUABUCHI ODO</t>
  </si>
  <si>
    <t>ASSIST. CHIEF ICT OFFICER</t>
  </si>
  <si>
    <t>DEMOCRACY RADIO 104.9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</si>
  <si>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</si>
  <si>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</si>
  <si>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</si>
  <si>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</si>
  <si>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</si>
  <si>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</si>
  <si>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</si>
  <si>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</si>
  <si>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</si>
  <si>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</si>
  <si>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</si>
  <si>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</si>
  <si>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</si>
  <si>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SHEHU ABDULLAHI</t>
  </si>
  <si>
    <t>CHIEF ACCOUNT OFFICER</t>
  </si>
  <si>
    <t>14(10)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</si>
  <si>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</si>
  <si>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</si>
  <si>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</si>
  <si>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</si>
  <si>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</si>
  <si>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</si>
  <si>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</si>
  <si>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</si>
  <si>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ASST. ACCOUNT. OFFICER</t>
  </si>
  <si>
    <t>RAHIMAT ONIZE SUBERU</t>
  </si>
  <si>
    <t>10</t>
  </si>
  <si>
    <t>ADMIN &amp; HUMAN RESOURCE</t>
  </si>
  <si>
    <t>AMINU BELLO DUKKU</t>
  </si>
  <si>
    <t>DIR ADMIN</t>
  </si>
  <si>
    <t>ARCH. TIJO ZARA BORYO</t>
  </si>
  <si>
    <t>DEPUTY DIRECTOR, ASSETS/MAINT.</t>
  </si>
  <si>
    <t>SIMON YAKUBU WAKAWA</t>
  </si>
  <si>
    <t>ASST DIR. ASSETS &amp; MAINT.</t>
  </si>
  <si>
    <t>SALAMATU YAKUBU</t>
  </si>
  <si>
    <t>ASSIT. DIR. ADMIN</t>
  </si>
  <si>
    <t>USMAN WAZIRI</t>
  </si>
  <si>
    <t>OGUNYOMI ROTIMI</t>
  </si>
  <si>
    <t>OMOUDU QUEEN PRISCILLA</t>
  </si>
  <si>
    <t>ASSIST.CHIEF CONF. SECRETARY</t>
  </si>
  <si>
    <t>JUWAIRATU ABDULSALAM ISAH</t>
  </si>
  <si>
    <t>PRINC.LIAISON OFFICER</t>
  </si>
  <si>
    <t>ABDULWAHAB DAHIRU</t>
  </si>
  <si>
    <t>PRINCIPAL ADMIN OFFICER</t>
  </si>
  <si>
    <t>BASSEY NSONGURUA UDOFIA</t>
  </si>
  <si>
    <t>PRINC.CONFIDENTIAL SECRETARY II</t>
  </si>
  <si>
    <t>12(10)</t>
  </si>
  <si>
    <t>ODEH SUZIE</t>
  </si>
  <si>
    <t>PRINC. ADMIN &amp; HR OFFICER</t>
  </si>
  <si>
    <t>YUSUF SADIQ SANI</t>
  </si>
  <si>
    <t>STELLA NGIZI PAUL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</si>
  <si>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</si>
  <si>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</si>
  <si>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</si>
  <si>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</si>
  <si>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</si>
  <si>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</si>
  <si>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</si>
  <si>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10(9)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</si>
  <si>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</si>
  <si>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</si>
  <si>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</si>
  <si>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</si>
  <si>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</si>
  <si>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</si>
  <si>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</si>
  <si>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</si>
  <si>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SARATU ATAJIRI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</si>
  <si>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</si>
  <si>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</si>
  <si>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</si>
  <si>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</si>
  <si>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</si>
  <si>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</si>
  <si>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</si>
  <si>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</si>
  <si>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</si>
  <si>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KATMAN EMMANUEL</t>
  </si>
  <si>
    <t>CONFIDENTIAL SECRETARY 1</t>
  </si>
  <si>
    <t>USMAN MOHAMMED GIDADO</t>
  </si>
  <si>
    <t>OLATUNJI OYEDELE YUSUF</t>
  </si>
  <si>
    <t>CHIEF DRIVER</t>
  </si>
  <si>
    <t>7(6)</t>
  </si>
  <si>
    <t>TASIU MOHAMMED</t>
  </si>
  <si>
    <t>NAMADI IDRIS UMAR</t>
  </si>
  <si>
    <t>ALIYU YAKUBU</t>
  </si>
  <si>
    <t>ABDULLAHI HARUNA</t>
  </si>
  <si>
    <t>OGABO OGAH USMAN</t>
  </si>
  <si>
    <t>7(5)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</si>
  <si>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</si>
  <si>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</si>
  <si>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</si>
  <si>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</si>
  <si>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</si>
  <si>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</si>
  <si>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</si>
  <si>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7(3)</t>
  </si>
  <si>
    <t>JOHN GIMAH</t>
  </si>
  <si>
    <t>ABUBAKAR MUSA DANLAMI</t>
  </si>
  <si>
    <t>7(4)</t>
  </si>
  <si>
    <t>OYINLOLA ISMAHEEL TAIWO</t>
  </si>
  <si>
    <t>SENIOR DRIVER</t>
  </si>
  <si>
    <t>IBRAHIM ZAKARI AHMAD</t>
  </si>
  <si>
    <t>DRIVER</t>
  </si>
  <si>
    <t>5 (10)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</si>
  <si>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</si>
  <si>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</si>
  <si>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</si>
  <si>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</si>
  <si>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</si>
  <si>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</si>
  <si>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</si>
  <si>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</si>
  <si>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</si>
  <si>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SENIOR MOTOR DRIVER MECH.</t>
  </si>
  <si>
    <t>5(9)</t>
  </si>
  <si>
    <t>JOSEPH GWATANA</t>
  </si>
  <si>
    <t>5(7)</t>
  </si>
  <si>
    <t>LAWAL TANIMU</t>
  </si>
  <si>
    <t>SAHEED AYINLA AJIA</t>
  </si>
  <si>
    <t>MOTOR DRIVER MECHANIC</t>
  </si>
  <si>
    <t>4(8)</t>
  </si>
  <si>
    <t>ABUBAKAR YAHAYA</t>
  </si>
  <si>
    <t>SULEIMAN USMAN</t>
  </si>
  <si>
    <t>ABDULLAHI HUSSAINI</t>
  </si>
  <si>
    <t>SENIOR MOTOR DRIVER</t>
  </si>
  <si>
    <t>5(8)</t>
  </si>
  <si>
    <t>SALIHU ABASS</t>
  </si>
  <si>
    <t>61</t>
  </si>
  <si>
    <t>GRAND TOTAL</t>
  </si>
  <si>
    <t>PREPARED BY:  Rahila N. Habu                                        SIGNATURE………………..                                  DATE:  27TH MARCH, 2025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</si>
  <si>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</si>
  <si>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</si>
  <si>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</si>
  <si>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</si>
  <si>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</si>
  <si>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</si>
  <si>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</si>
  <si>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</si>
  <si>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</si>
  <si>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</si>
  <si>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</si>
  <si>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</si>
  <si>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</si>
  <si>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</si>
  <si>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27TH MARCH 2025</t>
  </si>
  <si>
    <t>SUBJECT: PAYROLL FOR THE MONTH OF MARCH 2025</t>
  </si>
  <si>
    <t>Find below the details of NILDS Staff Payroll for the Month of  March, 2025:</t>
  </si>
  <si>
    <t>NGN</t>
  </si>
  <si>
    <t>GROSS SALARY FOR  MARCH, 2025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</si>
  <si>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</si>
  <si>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</si>
  <si>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</si>
  <si>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</si>
  <si>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</si>
  <si>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</si>
  <si>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TOTAL DEDUCTIONS FOR  MARCH 2025</t>
  </si>
  <si>
    <t>NET PAY AS PER  MARCH 2025 PAYROLL</t>
  </si>
  <si>
    <t>NET PAY AS PER  FEBRUARY, 2025 PAYROLL</t>
  </si>
  <si>
    <t>NET INCREASE/ (DECREASE)  IN PAY FOR  MARCH, 2025</t>
  </si>
  <si>
    <t>ANALYSED AS FOLLOWS:</t>
  </si>
  <si>
    <t>Effect of Cooperative Adjustment for March, 2025</t>
  </si>
  <si>
    <t>Effect of removal of Arrears for Omo &amp; Chris Odoh</t>
  </si>
  <si>
    <t>Effect of Stoppage of payment to Ndanusa M. Manzuma</t>
  </si>
  <si>
    <t>Effect of Prorated Payment to Adewale Aderemi</t>
  </si>
  <si>
    <t>Net Effect of Regularization of Salary to Joseph Gwatana</t>
  </si>
  <si>
    <t>JANUARY, 2025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</si>
  <si>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</si>
  <si>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</si>
  <si>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</si>
  <si>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</si>
  <si>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</si>
  <si>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</si>
  <si>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</si>
  <si>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</si>
  <si>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</si>
  <si>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</si>
  <si>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</si>
  <si>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</si>
  <si>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</si>
  <si>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</si>
  <si>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46,524,713.92 </t>
    </r>
    <r>
      <rPr>
        <sz val="14"/>
        <rFont val="Times New Roman"/>
        <charset val="134"/>
      </rPr>
      <t xml:space="preserve">to Guaranty Trust Bank  being  March, 2025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14,804,715.39 </t>
    </r>
    <r>
      <rPr>
        <sz val="14"/>
        <rFont val="Times New Roman"/>
        <charset val="134"/>
      </rPr>
      <t>being NILDS Coop Society deductions for March 2025,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10,821,559.70  </t>
    </r>
    <r>
      <rPr>
        <sz val="14"/>
        <rFont val="Times New Roman"/>
        <charset val="134"/>
      </rPr>
      <t xml:space="preserve">being PAYE Tax Deductions from Staff Salary for the month  of March 2025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237,989.65 </t>
    </r>
    <r>
      <rPr>
        <sz val="14"/>
        <rFont val="Times New Roman"/>
        <charset val="134"/>
      </rPr>
      <t xml:space="preserve"> being NHF deductions from staff for March 2025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</si>
  <si>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</si>
  <si>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</si>
  <si>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NATIONAL INSTITUTE FOR LEGISLATIVE &amp; DEMOCRATIC STUDIES</t>
  </si>
  <si>
    <t xml:space="preserve">2024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</si>
  <si>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</si>
  <si>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</si>
  <si>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</si>
  <si>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</si>
  <si>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</si>
  <si>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</si>
  <si>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</si>
  <si>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</si>
  <si>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No of Months</t>
  </si>
  <si>
    <t>Total Amount of Arrears (Gross)</t>
  </si>
  <si>
    <t>ABDULSALAM MUSTAPHA</t>
  </si>
  <si>
    <t>DG's Office</t>
  </si>
  <si>
    <t>13/11</t>
  </si>
  <si>
    <t>15/7</t>
  </si>
  <si>
    <t>EMILY EDIOSA IKHIDE</t>
  </si>
  <si>
    <t>014/10</t>
  </si>
  <si>
    <t>015/7</t>
  </si>
  <si>
    <t>SIMON WAKAWA</t>
  </si>
  <si>
    <t>014/11</t>
  </si>
  <si>
    <t>WAZIRI USMAN</t>
  </si>
  <si>
    <t>Admin. &amp; HR</t>
  </si>
  <si>
    <t>TAIWO I. OYINLOLA</t>
  </si>
  <si>
    <t>05/9</t>
  </si>
  <si>
    <t>07/3</t>
  </si>
  <si>
    <t>Effective in Dec</t>
  </si>
  <si>
    <t>N/A</t>
  </si>
  <si>
    <t>09/7</t>
  </si>
  <si>
    <t>YUSIF SANI SADIQ</t>
  </si>
  <si>
    <t>10/9</t>
  </si>
  <si>
    <t>12/7</t>
  </si>
  <si>
    <t>STELLA NGOZI PAUL</t>
  </si>
  <si>
    <t>10/10</t>
  </si>
  <si>
    <t>OMONIGHO EROMOSELE-WESEY</t>
  </si>
  <si>
    <t>12/10</t>
  </si>
  <si>
    <t>13/7</t>
  </si>
  <si>
    <t>QUEEN ONYEKESON</t>
  </si>
  <si>
    <t>SHAMSUDEEN YAHAYA</t>
  </si>
  <si>
    <t>LSS</t>
  </si>
  <si>
    <t>ROTIMI OGUNYOMI</t>
  </si>
  <si>
    <t>LEO IGBANOI</t>
  </si>
  <si>
    <t>Dem. &amp; Gov.</t>
  </si>
  <si>
    <t>13/10</t>
  </si>
  <si>
    <t>14/8</t>
  </si>
  <si>
    <t>TOSIN OWOEYE</t>
  </si>
  <si>
    <t>STACY CHINYERE IGWE</t>
  </si>
  <si>
    <t>DOS</t>
  </si>
  <si>
    <t>TANIMU M. LAWAL</t>
  </si>
  <si>
    <t>Econ/ &amp; Social Res.</t>
  </si>
  <si>
    <t>04/10</t>
  </si>
  <si>
    <t>Finance &amp; Accts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</si>
  <si>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</si>
  <si>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</si>
  <si>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</si>
  <si>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</si>
  <si>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</si>
  <si>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</si>
  <si>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</si>
  <si>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</si>
  <si>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</si>
  <si>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</si>
  <si>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</si>
  <si>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</si>
  <si>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</si>
  <si>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</si>
  <si>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</si>
  <si>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</si>
  <si>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</si>
  <si>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</si>
  <si>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</si>
  <si>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</si>
  <si>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</si>
  <si>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</si>
  <si>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</si>
  <si>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</si>
  <si>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 xml:space="preserve"> TAX OF DEC 2024</t>
  </si>
  <si>
    <t>EXCESS PAID</t>
  </si>
  <si>
    <t>TOTAL - ANNUAL</t>
  </si>
  <si>
    <t>TOTAL - MONTHLY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</si>
  <si>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</si>
  <si>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</si>
  <si>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</si>
  <si>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</si>
  <si>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</si>
  <si>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</si>
  <si>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NEW NHF</t>
  </si>
  <si>
    <t>CURRENT PAYE</t>
  </si>
  <si>
    <t>NEW PAYE</t>
  </si>
  <si>
    <t>INCREMENT IN PAYE</t>
  </si>
  <si>
    <t>NET SALARY INCREMENT</t>
  </si>
  <si>
    <t>ARREARS</t>
  </si>
  <si>
    <t>RESEARCH FELLOW II</t>
  </si>
  <si>
    <t>ARREARS OF PROMOTION</t>
  </si>
  <si>
    <t xml:space="preserve"> TAX PAYABLE ON ARREARS</t>
  </si>
  <si>
    <t>LOHNA BONKAT JONATHAN</t>
  </si>
  <si>
    <t>TITILAYO MARVELOUS DANIEL</t>
  </si>
  <si>
    <t>STAFF PAYROLL FOR THE MONTH OF NOVEMBER, 2024</t>
  </si>
  <si>
    <t>OCTOBER, 2024</t>
  </si>
  <si>
    <t>NOVEMBER, 2024</t>
  </si>
  <si>
    <t>DR CLINTON JAJA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</si>
  <si>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</si>
  <si>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</si>
  <si>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</si>
  <si>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</si>
  <si>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Library</t>
  </si>
  <si>
    <t>SARATU  ATAJIRI</t>
  </si>
  <si>
    <t>ADMINI OFFICER</t>
  </si>
  <si>
    <t>STAFF CHRISTMAS WELFARE DECEMBER, 2024</t>
  </si>
  <si>
    <t>AMOUNT</t>
  </si>
  <si>
    <t>PROF. EDOBA BRIGHT OMOREGBE</t>
  </si>
  <si>
    <t>AG. DLSS</t>
  </si>
  <si>
    <t>DR SHUIBU DANWANKA</t>
  </si>
  <si>
    <t>62</t>
  </si>
  <si>
    <t>SUMMARY OF CHRISTMAS WELFARE</t>
  </si>
  <si>
    <t>Permanent Staff</t>
  </si>
  <si>
    <t>New Permanent Staff</t>
  </si>
  <si>
    <t>Contract Staff</t>
  </si>
  <si>
    <t>New Contract Staff</t>
  </si>
  <si>
    <t>Casual, Sabbatical &amp; NYSC</t>
  </si>
  <si>
    <t>Consultants/Freelance</t>
  </si>
  <si>
    <t>Cleaners &amp; Security Personnel</t>
  </si>
  <si>
    <t>Total</t>
  </si>
  <si>
    <t>STAFF END OF YEAR BONUS DECEMBER 2024</t>
  </si>
  <si>
    <t>HALF SALARY</t>
  </si>
  <si>
    <t>SUMMARY OF END OF YEAR BONUS</t>
  </si>
  <si>
    <t>Consultants</t>
  </si>
  <si>
    <t>Difference</t>
  </si>
  <si>
    <t>YUNUSA ABDULLAHI</t>
  </si>
  <si>
    <t>USMAN WALI</t>
  </si>
  <si>
    <t>AYOBOLU OLAJIDE OLUFUNSHO</t>
  </si>
  <si>
    <t>difference</t>
  </si>
  <si>
    <t>ARAOYE GANIYAT TITILOLA</t>
  </si>
  <si>
    <t>MAGAJI BALA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</si>
  <si>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</si>
  <si>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</si>
  <si>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</si>
  <si>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</si>
  <si>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</si>
  <si>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</si>
  <si>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</si>
  <si>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</si>
  <si>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</si>
  <si>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</si>
  <si>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</si>
  <si>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</si>
  <si>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</si>
  <si>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</si>
  <si>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</si>
  <si>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</si>
  <si>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</si>
  <si>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</si>
  <si>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</si>
  <si>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</si>
  <si>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</si>
  <si>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</si>
  <si>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</si>
  <si>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</si>
  <si>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</si>
  <si>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</si>
  <si>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</si>
  <si>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</si>
  <si>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</si>
  <si>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</si>
  <si>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</si>
  <si>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</si>
  <si>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</si>
  <si>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</si>
  <si>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</si>
  <si>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Assistant Director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</si>
  <si>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</si>
  <si>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</si>
  <si>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</si>
  <si>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</si>
  <si>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</si>
  <si>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</si>
  <si>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</si>
  <si>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</si>
  <si>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</si>
  <si>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</si>
  <si>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</si>
  <si>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SENIOR RESEARCH FELLOW</t>
  </si>
  <si>
    <t>15 (8)</t>
  </si>
  <si>
    <t>ASST.DIR., INFORMATION</t>
  </si>
  <si>
    <t>DD ADMIN</t>
  </si>
  <si>
    <t>REKIYA IBRAHIM ATTAH</t>
  </si>
  <si>
    <t>DEPUTY DIRECTOR TRAINING</t>
  </si>
  <si>
    <t>STAFF SALLAH WELFARE JUNE, 2024</t>
  </si>
  <si>
    <t>ASST. MANAGER ICT</t>
  </si>
  <si>
    <t>ABDULLAHI AHMAD USMAN</t>
  </si>
  <si>
    <t>PRINCIPAL ICT OFFICER</t>
  </si>
  <si>
    <t>CHIEF , ASSETS &amp; MAINT. OFFICER</t>
  </si>
  <si>
    <t>CHIEF ADMIN OFFICER</t>
  </si>
  <si>
    <t>PRINCIPAL PERSONNEL OFFICER</t>
  </si>
  <si>
    <t>PRINCIPAL CONF. SECRETARY</t>
  </si>
  <si>
    <t>SENIOR CONFIDENTIAL SECR</t>
  </si>
  <si>
    <t>10(10)</t>
  </si>
  <si>
    <t>5(11)</t>
  </si>
  <si>
    <t>4(10)</t>
  </si>
  <si>
    <t>59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</si>
  <si>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</si>
  <si>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</si>
  <si>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</si>
  <si>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</si>
  <si>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</si>
  <si>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</si>
  <si>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</si>
  <si>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</si>
  <si>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</si>
  <si>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</si>
  <si>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</si>
  <si>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</si>
  <si>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</si>
  <si>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</si>
  <si>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</si>
  <si>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</si>
  <si>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</si>
  <si>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</si>
  <si>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</si>
  <si>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</si>
  <si>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</si>
  <si>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</si>
  <si>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</si>
  <si>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</si>
  <si>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</si>
  <si>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</si>
  <si>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</si>
  <si>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</si>
  <si>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</si>
  <si>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</si>
  <si>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</si>
  <si>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</si>
  <si>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</si>
  <si>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</si>
  <si>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</si>
  <si>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</si>
  <si>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</si>
  <si>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</si>
  <si>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</si>
  <si>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</si>
  <si>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</si>
  <si>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</si>
  <si>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</si>
  <si>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</si>
  <si>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</si>
  <si>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</si>
  <si>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</si>
  <si>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</si>
  <si>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</si>
  <si>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</si>
  <si>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</si>
  <si>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</si>
  <si>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</si>
  <si>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</si>
  <si>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</si>
  <si>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</si>
  <si>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</si>
  <si>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</si>
  <si>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</si>
  <si>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NET SALARY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</si>
  <si>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</si>
  <si>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</si>
  <si>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</si>
  <si>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</si>
  <si>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</si>
  <si>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</si>
  <si>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</si>
  <si>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</si>
  <si>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</si>
  <si>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</si>
  <si>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</si>
  <si>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</si>
  <si>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</si>
  <si>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</si>
  <si>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</si>
  <si>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</si>
  <si>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</si>
  <si>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</si>
  <si>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</si>
  <si>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</si>
  <si>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</si>
  <si>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</si>
  <si>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</si>
  <si>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</si>
  <si>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</si>
  <si>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</si>
  <si>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</si>
  <si>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</si>
  <si>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</si>
  <si>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</si>
  <si>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</si>
  <si>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</si>
  <si>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</si>
  <si>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</si>
  <si>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</si>
  <si>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</si>
  <si>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</si>
  <si>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</si>
  <si>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</si>
  <si>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</si>
  <si>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</si>
  <si>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</si>
  <si>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</si>
  <si>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</si>
  <si>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</si>
  <si>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</si>
  <si>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</si>
  <si>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</si>
  <si>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</si>
  <si>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</si>
  <si>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</si>
  <si>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</si>
  <si>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</si>
  <si>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</si>
  <si>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</si>
  <si>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</si>
  <si>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</si>
  <si>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</si>
  <si>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</si>
  <si>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</si>
  <si>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</si>
  <si>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</si>
  <si>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</si>
  <si>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</si>
  <si>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</si>
  <si>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</si>
  <si>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</si>
  <si>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</si>
  <si>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</si>
  <si>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</si>
  <si>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</si>
  <si>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</si>
  <si>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</si>
  <si>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</si>
  <si>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</si>
  <si>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</si>
  <si>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</si>
  <si>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</si>
  <si>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</si>
  <si>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</si>
  <si>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</si>
  <si>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</si>
  <si>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</si>
  <si>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</si>
  <si>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</si>
  <si>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</si>
  <si>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</si>
  <si>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</si>
  <si>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</si>
  <si>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</si>
  <si>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</si>
  <si>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</si>
  <si>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</si>
  <si>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</si>
  <si>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</si>
  <si>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</si>
  <si>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</si>
  <si>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</si>
  <si>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</si>
  <si>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</si>
  <si>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</si>
  <si>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</si>
  <si>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</si>
  <si>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</si>
  <si>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</si>
  <si>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</si>
  <si>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</si>
  <si>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</si>
  <si>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</si>
  <si>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</si>
  <si>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</si>
  <si>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</si>
  <si>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</si>
  <si>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</si>
  <si>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</si>
  <si>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</si>
  <si>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</si>
  <si>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</si>
  <si>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</si>
  <si>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</si>
  <si>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</si>
  <si>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</si>
  <si>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</si>
  <si>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</si>
  <si>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</si>
  <si>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</si>
  <si>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</si>
  <si>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</si>
  <si>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</si>
  <si>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</si>
  <si>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</si>
  <si>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</si>
  <si>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</si>
  <si>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</si>
  <si>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</si>
  <si>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</si>
  <si>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</si>
  <si>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</si>
  <si>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</si>
  <si>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</si>
  <si>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</si>
  <si>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</si>
  <si>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</si>
  <si>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</si>
  <si>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</si>
  <si>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</si>
  <si>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</si>
  <si>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</si>
  <si>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</si>
  <si>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</si>
  <si>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</si>
  <si>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</si>
  <si>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</si>
  <si>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</si>
  <si>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</si>
  <si>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</si>
  <si>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</si>
  <si>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</si>
  <si>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</si>
  <si>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</si>
  <si>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</si>
  <si>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</si>
  <si>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</si>
  <si>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</si>
  <si>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</si>
  <si>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</si>
  <si>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</si>
  <si>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</si>
  <si>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</si>
  <si>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</si>
  <si>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</si>
  <si>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</si>
  <si>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</si>
  <si>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</si>
  <si>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</si>
  <si>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</si>
  <si>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</si>
  <si>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</si>
  <si>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</si>
  <si>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</si>
  <si>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</si>
  <si>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</si>
  <si>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</si>
  <si>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</si>
  <si>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</si>
  <si>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</si>
  <si>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</si>
  <si>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</si>
  <si>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</si>
  <si>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</si>
  <si>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</si>
  <si>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</si>
  <si>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</si>
  <si>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</si>
  <si>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</si>
  <si>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</si>
  <si>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</si>
  <si>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</si>
  <si>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</si>
  <si>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</si>
  <si>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</si>
  <si>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</si>
  <si>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</si>
  <si>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</si>
  <si>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</si>
  <si>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</si>
  <si>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</si>
  <si>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</si>
  <si>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</si>
  <si>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</si>
  <si>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</si>
  <si>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</si>
  <si>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</si>
  <si>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</si>
  <si>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</si>
  <si>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</si>
  <si>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</si>
  <si>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</si>
  <si>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</si>
  <si>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</si>
  <si>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</si>
  <si>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</si>
  <si>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</si>
  <si>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</si>
  <si>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</si>
  <si>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</si>
  <si>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</si>
  <si>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</si>
  <si>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</si>
  <si>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</si>
  <si>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</si>
  <si>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</si>
  <si>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</si>
  <si>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</si>
  <si>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</si>
  <si>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</si>
  <si>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</si>
  <si>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</si>
  <si>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</si>
  <si>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</si>
  <si>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</si>
  <si>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</si>
  <si>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</si>
  <si>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</si>
  <si>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</si>
  <si>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</si>
  <si>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</si>
  <si>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</si>
  <si>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</si>
  <si>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</si>
  <si>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</si>
  <si>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</si>
  <si>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</si>
  <si>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</si>
  <si>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</si>
  <si>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</si>
  <si>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</si>
  <si>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</si>
  <si>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</si>
  <si>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</si>
  <si>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</si>
  <si>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</si>
  <si>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</si>
  <si>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</si>
  <si>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</si>
  <si>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</si>
  <si>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</si>
  <si>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</si>
  <si>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</si>
  <si>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</si>
  <si>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</si>
  <si>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</si>
  <si>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</si>
  <si>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</si>
  <si>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</si>
  <si>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</si>
  <si>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</si>
  <si>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</si>
  <si>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</si>
  <si>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</si>
  <si>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</si>
  <si>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</si>
  <si>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</si>
  <si>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</si>
  <si>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</si>
  <si>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</si>
  <si>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</si>
  <si>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</si>
  <si>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</si>
  <si>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</si>
  <si>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</si>
  <si>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</si>
  <si>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</si>
  <si>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</si>
  <si>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</si>
  <si>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</si>
  <si>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</si>
  <si>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</si>
  <si>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</si>
  <si>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</si>
  <si>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</si>
  <si>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</si>
  <si>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</si>
  <si>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</si>
  <si>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</si>
  <si>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</si>
  <si>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</si>
  <si>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</si>
  <si>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</si>
  <si>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</si>
  <si>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</si>
  <si>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</si>
  <si>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</si>
  <si>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</si>
  <si>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</si>
  <si>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</si>
  <si>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</si>
  <si>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</si>
  <si>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</si>
  <si>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</si>
  <si>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</si>
  <si>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</si>
  <si>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</si>
  <si>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</si>
  <si>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</si>
  <si>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</si>
  <si>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</si>
  <si>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</si>
  <si>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</si>
  <si>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</si>
  <si>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</si>
  <si>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</si>
  <si>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</si>
  <si>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</si>
  <si>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</si>
  <si>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</si>
  <si>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</si>
  <si>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</si>
  <si>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</si>
  <si>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</si>
  <si>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</si>
  <si>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</si>
  <si>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</si>
  <si>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</si>
  <si>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</si>
  <si>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</si>
  <si>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</si>
  <si>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</si>
  <si>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</si>
  <si>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</si>
  <si>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</si>
  <si>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</si>
  <si>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</si>
  <si>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</si>
  <si>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</si>
  <si>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</si>
  <si>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</si>
  <si>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</si>
  <si>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</si>
  <si>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</si>
  <si>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</si>
  <si>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</si>
  <si>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</si>
  <si>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8(10)</t>
  </si>
  <si>
    <t>16(7)</t>
  </si>
  <si>
    <t>14 (7)</t>
  </si>
  <si>
    <t>5(12)</t>
  </si>
  <si>
    <t>STAFF CHRISTMAS WELFARE DECEMBER 2023</t>
  </si>
  <si>
    <t>13(9)</t>
  </si>
  <si>
    <t>13 (8)</t>
  </si>
  <si>
    <t>15 (7)</t>
  </si>
  <si>
    <t>FAROOQ ONOKIJIPA</t>
  </si>
  <si>
    <t>5(10)</t>
  </si>
  <si>
    <t>5 (9)</t>
  </si>
  <si>
    <t>4(9)</t>
  </si>
  <si>
    <t>4(7)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</si>
  <si>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</si>
  <si>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</si>
  <si>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</si>
  <si>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</si>
  <si>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</si>
  <si>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</si>
  <si>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</si>
  <si>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</si>
  <si>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</si>
  <si>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</si>
  <si>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</si>
  <si>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</si>
  <si>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</si>
  <si>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</si>
  <si>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</si>
  <si>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</si>
  <si>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</si>
  <si>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</si>
  <si>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</si>
  <si>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</si>
  <si>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</si>
  <si>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</si>
  <si>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</si>
  <si>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</si>
  <si>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</si>
  <si>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</si>
  <si>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</si>
  <si>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</si>
  <si>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</si>
  <si>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</si>
  <si>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</si>
  <si>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</si>
  <si>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</si>
  <si>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</si>
  <si>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</si>
  <si>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</si>
  <si>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</si>
  <si>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</si>
  <si>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</si>
  <si>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</si>
  <si>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</si>
  <si>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</si>
  <si>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</si>
  <si>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</si>
  <si>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</si>
  <si>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</si>
  <si>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</si>
  <si>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</si>
  <si>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</si>
  <si>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</si>
  <si>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</si>
  <si>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</si>
  <si>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</si>
  <si>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</si>
  <si>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</si>
  <si>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</si>
  <si>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</si>
  <si>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</si>
  <si>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</si>
  <si>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</si>
  <si>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</si>
  <si>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</si>
  <si>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</si>
  <si>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</si>
  <si>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</si>
  <si>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</si>
  <si>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</si>
  <si>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</si>
  <si>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</si>
  <si>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</si>
  <si>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</si>
  <si>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</si>
  <si>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</si>
  <si>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</si>
  <si>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</si>
  <si>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</si>
  <si>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</si>
  <si>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</si>
  <si>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</si>
  <si>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</si>
  <si>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</si>
  <si>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</si>
  <si>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</si>
  <si>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</si>
  <si>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</si>
  <si>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</si>
  <si>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</si>
  <si>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</si>
  <si>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</si>
  <si>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</si>
  <si>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</si>
  <si>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</si>
  <si>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</si>
  <si>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</si>
  <si>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</si>
  <si>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</si>
  <si>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</si>
  <si>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</si>
  <si>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</si>
  <si>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</si>
  <si>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</si>
  <si>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</si>
  <si>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</si>
  <si>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</si>
  <si>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</si>
  <si>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</si>
  <si>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</si>
  <si>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</si>
  <si>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</si>
  <si>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</si>
  <si>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</si>
  <si>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</si>
  <si>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</si>
  <si>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</si>
  <si>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</si>
  <si>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</si>
  <si>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</si>
  <si>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</si>
  <si>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</si>
  <si>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</si>
  <si>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</si>
  <si>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</si>
  <si>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</si>
  <si>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</si>
  <si>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</si>
  <si>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</si>
  <si>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</si>
  <si>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</si>
  <si>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</si>
  <si>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</si>
  <si>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</si>
  <si>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</si>
  <si>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</si>
  <si>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</si>
  <si>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</si>
  <si>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</si>
  <si>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</si>
  <si>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</si>
  <si>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</si>
  <si>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</si>
  <si>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</si>
  <si>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</si>
  <si>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</si>
  <si>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</si>
  <si>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</si>
  <si>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</si>
  <si>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</si>
  <si>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</si>
  <si>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</si>
  <si>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</si>
  <si>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</si>
  <si>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</si>
  <si>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</si>
  <si>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</si>
  <si>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</si>
  <si>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</si>
  <si>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</si>
  <si>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</si>
  <si>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</si>
  <si>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</si>
  <si>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</si>
  <si>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</si>
  <si>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</si>
  <si>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</si>
  <si>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</si>
  <si>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</si>
  <si>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</si>
  <si>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</si>
  <si>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</si>
  <si>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</si>
  <si>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</si>
  <si>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</si>
  <si>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</si>
  <si>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</si>
  <si>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</si>
  <si>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</si>
  <si>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</si>
  <si>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</si>
  <si>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</si>
  <si>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</si>
  <si>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</si>
  <si>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</si>
  <si>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</si>
  <si>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</si>
  <si>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</si>
  <si>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</si>
  <si>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</si>
  <si>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</si>
  <si>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</si>
  <si>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</si>
  <si>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</si>
  <si>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</si>
  <si>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</si>
  <si>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</si>
  <si>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</si>
  <si>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</si>
  <si>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</si>
  <si>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</si>
  <si>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</si>
  <si>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</si>
  <si>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</si>
  <si>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</si>
  <si>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</si>
  <si>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</si>
  <si>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13(8)</t>
  </si>
  <si>
    <t>OFFICER M&amp;E</t>
  </si>
  <si>
    <t>8 (9)</t>
  </si>
  <si>
    <t>HABEEBA K MUHAMMAD SALIHU</t>
  </si>
  <si>
    <t>17(8)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</si>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</sst>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</numFmts>
  <fonts count="112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u/>
      <sz val="14"/>
      <name val="Times New Roman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u val="double"/>
      <sz val="18"/>
      <name val="Times New Roman"/>
      <charset val="134"/>
    </font>
    <font>
      <b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42" fontId="46" fillId="0" borderId="0" applyFon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46" fillId="19" borderId="19" applyNumberFormat="0" applyFont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20" applyNumberFormat="0" applyFill="0" applyAlignment="0" applyProtection="0">
      <alignment vertical="center"/>
    </xf>
    <xf numFmtId="0" fontId="99" fillId="0" borderId="20" applyNumberFormat="0" applyFill="0" applyAlignment="0" applyProtection="0">
      <alignment vertical="center"/>
    </xf>
    <xf numFmtId="0" fontId="100" fillId="0" borderId="21" applyNumberFormat="0" applyFill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20" borderId="22" applyNumberFormat="0" applyAlignment="0" applyProtection="0">
      <alignment vertical="center"/>
    </xf>
    <xf numFmtId="0" fontId="102" fillId="21" borderId="23" applyNumberFormat="0" applyAlignment="0" applyProtection="0">
      <alignment vertical="center"/>
    </xf>
    <xf numFmtId="0" fontId="103" fillId="21" borderId="22" applyNumberFormat="0" applyAlignment="0" applyProtection="0">
      <alignment vertical="center"/>
    </xf>
    <xf numFmtId="0" fontId="104" fillId="22" borderId="24" applyNumberFormat="0" applyAlignment="0" applyProtection="0">
      <alignment vertical="center"/>
    </xf>
    <xf numFmtId="0" fontId="105" fillId="0" borderId="25" applyNumberFormat="0" applyFill="0" applyAlignment="0" applyProtection="0">
      <alignment vertical="center"/>
    </xf>
    <xf numFmtId="0" fontId="106" fillId="0" borderId="26" applyNumberFormat="0" applyFill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9" fillId="25" borderId="0" applyNumberFormat="0" applyBorder="0" applyAlignment="0" applyProtection="0">
      <alignment vertical="center"/>
    </xf>
    <xf numFmtId="0" fontId="110" fillId="26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0" fillId="29" borderId="0" applyNumberFormat="0" applyBorder="0" applyAlignment="0" applyProtection="0">
      <alignment vertical="center"/>
    </xf>
    <xf numFmtId="0" fontId="110" fillId="30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33" borderId="0" applyNumberFormat="0" applyBorder="0" applyAlignment="0" applyProtection="0">
      <alignment vertical="center"/>
    </xf>
    <xf numFmtId="0" fontId="110" fillId="34" borderId="0" applyNumberFormat="0" applyBorder="0" applyAlignment="0" applyProtection="0">
      <alignment vertical="center"/>
    </xf>
    <xf numFmtId="0" fontId="111" fillId="35" borderId="0" applyNumberFormat="0" applyBorder="0" applyAlignment="0" applyProtection="0">
      <alignment vertical="center"/>
    </xf>
    <xf numFmtId="0" fontId="111" fillId="36" borderId="0" applyNumberFormat="0" applyBorder="0" applyAlignment="0" applyProtection="0">
      <alignment vertical="center"/>
    </xf>
    <xf numFmtId="0" fontId="110" fillId="37" borderId="0" applyNumberFormat="0" applyBorder="0" applyAlignment="0" applyProtection="0">
      <alignment vertical="center"/>
    </xf>
    <xf numFmtId="0" fontId="110" fillId="38" borderId="0" applyNumberFormat="0" applyBorder="0" applyAlignment="0" applyProtection="0">
      <alignment vertical="center"/>
    </xf>
    <xf numFmtId="0" fontId="111" fillId="39" borderId="0" applyNumberFormat="0" applyBorder="0" applyAlignment="0" applyProtection="0">
      <alignment vertical="center"/>
    </xf>
    <xf numFmtId="0" fontId="111" fillId="40" borderId="0" applyNumberFormat="0" applyBorder="0" applyAlignment="0" applyProtection="0">
      <alignment vertical="center"/>
    </xf>
    <xf numFmtId="0" fontId="110" fillId="41" borderId="0" applyNumberFormat="0" applyBorder="0" applyAlignment="0" applyProtection="0">
      <alignment vertical="center"/>
    </xf>
    <xf numFmtId="0" fontId="110" fillId="42" borderId="0" applyNumberFormat="0" applyBorder="0" applyAlignment="0" applyProtection="0">
      <alignment vertical="center"/>
    </xf>
    <xf numFmtId="0" fontId="111" fillId="43" borderId="0" applyNumberFormat="0" applyBorder="0" applyAlignment="0" applyProtection="0">
      <alignment vertical="center"/>
    </xf>
    <xf numFmtId="0" fontId="111" fillId="44" borderId="0" applyNumberFormat="0" applyBorder="0" applyAlignment="0" applyProtection="0">
      <alignment vertical="center"/>
    </xf>
    <xf numFmtId="0" fontId="110" fillId="45" borderId="0" applyNumberFormat="0" applyBorder="0" applyAlignment="0" applyProtection="0">
      <alignment vertical="center"/>
    </xf>
    <xf numFmtId="0" fontId="110" fillId="46" borderId="0" applyNumberFormat="0" applyBorder="0" applyAlignment="0" applyProtection="0">
      <alignment vertical="center"/>
    </xf>
    <xf numFmtId="0" fontId="111" fillId="47" borderId="0" applyNumberFormat="0" applyBorder="0" applyAlignment="0" applyProtection="0">
      <alignment vertical="center"/>
    </xf>
    <xf numFmtId="0" fontId="111" fillId="48" borderId="0" applyNumberFormat="0" applyBorder="0" applyAlignment="0" applyProtection="0">
      <alignment vertical="center"/>
    </xf>
    <xf numFmtId="0" fontId="110" fillId="49" borderId="0" applyNumberFormat="0" applyBorder="0" applyAlignment="0" applyProtection="0">
      <alignment vertical="center"/>
    </xf>
    <xf numFmtId="177" fontId="46" fillId="0" borderId="0" applyFont="0" applyFill="0" applyBorder="0" applyAlignment="0" applyProtection="0"/>
    <xf numFmtId="177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0" fillId="0" borderId="0"/>
  </cellStyleXfs>
  <cellXfs count="83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77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16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16" fontId="3" fillId="0" borderId="0" xfId="0" applyNumberFormat="1" applyFont="1" applyAlignment="1">
      <alignment horizontal="left"/>
    </xf>
    <xf numFmtId="0" fontId="12" fillId="2" borderId="0" xfId="0" applyFont="1" applyFill="1" applyAlignment="1">
      <alignment horizontal="center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11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9" fontId="1" fillId="0" borderId="2" xfId="0" applyNumberFormat="1" applyFont="1" applyBorder="1"/>
    <xf numFmtId="49" fontId="1" fillId="0" borderId="4" xfId="0" applyNumberFormat="1" applyFont="1" applyBorder="1"/>
    <xf numFmtId="43" fontId="21" fillId="0" borderId="1" xfId="0" applyNumberFormat="1" applyFont="1" applyBorder="1"/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77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27" fillId="0" borderId="0" xfId="0" applyFont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0" fontId="36" fillId="0" borderId="1" xfId="0" applyFont="1" applyBorder="1" applyAlignment="1">
      <alignment horizontal="left"/>
    </xf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77" fontId="1" fillId="8" borderId="1" xfId="0" applyNumberFormat="1" applyFont="1" applyFill="1" applyBorder="1"/>
    <xf numFmtId="177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77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77" fontId="1" fillId="7" borderId="1" xfId="50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0" fontId="1" fillId="2" borderId="0" xfId="0" applyFont="1" applyFill="1" applyAlignment="1">
      <alignment horizontal="center" vertical="center"/>
    </xf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50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58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77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77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0" fontId="39" fillId="0" borderId="2" xfId="0" applyFont="1" applyBorder="1"/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77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77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77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77" fontId="1" fillId="2" borderId="1" xfId="50" applyFont="1" applyFill="1" applyBorder="1" applyAlignment="1">
      <alignment horizontal="right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77" fontId="31" fillId="2" borderId="1" xfId="51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77" fontId="31" fillId="2" borderId="5" xfId="51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77" fontId="24" fillId="7" borderId="1" xfId="0" applyNumberFormat="1" applyFont="1" applyFill="1" applyBorder="1"/>
    <xf numFmtId="43" fontId="0" fillId="2" borderId="0" xfId="1" applyFont="1" applyFill="1"/>
    <xf numFmtId="177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77" fontId="5" fillId="14" borderId="1" xfId="49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77" fontId="63" fillId="14" borderId="1" xfId="49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77" fontId="5" fillId="14" borderId="2" xfId="49" applyFont="1" applyFill="1" applyBorder="1"/>
    <xf numFmtId="177" fontId="5" fillId="2" borderId="17" xfId="49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77" fontId="5" fillId="11" borderId="4" xfId="49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77" fontId="5" fillId="14" borderId="4" xfId="49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77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6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77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2" xfId="0" applyFont="1" applyBorder="1"/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7" borderId="1" xfId="0" applyFont="1" applyFill="1" applyBorder="1" applyAlignment="1">
      <alignment horizontal="center" wrapText="1"/>
    </xf>
    <xf numFmtId="0" fontId="3" fillId="18" borderId="1" xfId="0" applyFont="1" applyFill="1" applyBorder="1" applyAlignment="1">
      <alignment horizontal="center" wrapText="1"/>
    </xf>
    <xf numFmtId="0" fontId="18" fillId="17" borderId="1" xfId="0" applyFont="1" applyFill="1" applyBorder="1" applyAlignment="1">
      <alignment horizontal="center"/>
    </xf>
    <xf numFmtId="0" fontId="18" fillId="18" borderId="1" xfId="0" applyFont="1" applyFill="1" applyBorder="1" applyAlignment="1">
      <alignment horizontal="center"/>
    </xf>
    <xf numFmtId="0" fontId="3" fillId="18" borderId="1" xfId="0" applyFont="1" applyFill="1" applyBorder="1" applyAlignment="1">
      <alignment horizontal="center"/>
    </xf>
    <xf numFmtId="43" fontId="1" fillId="17" borderId="1" xfId="1" applyFont="1" applyFill="1" applyBorder="1" applyAlignment="1">
      <alignment horizontal="right"/>
    </xf>
    <xf numFmtId="43" fontId="1" fillId="18" borderId="1" xfId="1" applyFont="1" applyFill="1" applyBorder="1" applyAlignment="1">
      <alignment horizontal="right"/>
    </xf>
    <xf numFmtId="43" fontId="5" fillId="17" borderId="1" xfId="1" applyFont="1" applyFill="1" applyBorder="1"/>
    <xf numFmtId="43" fontId="2" fillId="17" borderId="1" xfId="1" applyFont="1" applyFill="1" applyBorder="1" applyAlignment="1">
      <alignment horizontal="right"/>
    </xf>
    <xf numFmtId="43" fontId="2" fillId="18" borderId="1" xfId="1" applyFont="1" applyFill="1" applyBorder="1" applyAlignment="1">
      <alignment horizontal="right"/>
    </xf>
    <xf numFmtId="43" fontId="21" fillId="17" borderId="1" xfId="1" applyFont="1" applyFill="1" applyBorder="1" applyAlignment="1">
      <alignment horizontal="right"/>
    </xf>
    <xf numFmtId="43" fontId="21" fillId="18" borderId="1" xfId="1" applyFont="1" applyFill="1" applyBorder="1" applyAlignment="1">
      <alignment horizontal="right"/>
    </xf>
    <xf numFmtId="43" fontId="3" fillId="17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177" fontId="1" fillId="17" borderId="1" xfId="50" applyFont="1" applyFill="1" applyBorder="1" applyAlignment="1">
      <alignment horizontal="right"/>
    </xf>
    <xf numFmtId="43" fontId="1" fillId="17" borderId="1" xfId="1" applyFont="1" applyFill="1" applyBorder="1"/>
    <xf numFmtId="0" fontId="1" fillId="17" borderId="1" xfId="0" applyFont="1" applyFill="1" applyBorder="1"/>
    <xf numFmtId="0" fontId="1" fillId="18" borderId="1" xfId="0" applyFont="1" applyFill="1" applyBorder="1"/>
    <xf numFmtId="43" fontId="21" fillId="17" borderId="1" xfId="0" applyNumberFormat="1" applyFont="1" applyFill="1" applyBorder="1"/>
    <xf numFmtId="43" fontId="21" fillId="18" borderId="1" xfId="0" applyNumberFormat="1" applyFont="1" applyFill="1" applyBorder="1"/>
    <xf numFmtId="43" fontId="7" fillId="17" borderId="1" xfId="1" applyFont="1" applyFill="1" applyBorder="1" applyAlignment="1">
      <alignment horizontal="right"/>
    </xf>
    <xf numFmtId="43" fontId="7" fillId="18" borderId="1" xfId="1" applyFont="1" applyFill="1" applyBorder="1" applyAlignment="1">
      <alignment horizontal="right"/>
    </xf>
    <xf numFmtId="0" fontId="24" fillId="0" borderId="1" xfId="0" applyFont="1" applyBorder="1" applyAlignment="1">
      <alignment horizontal="center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1" fillId="2" borderId="1" xfId="1" applyFont="1" applyFill="1" applyBorder="1" applyAlignment="1">
      <alignment horizontal="right"/>
    </xf>
    <xf numFmtId="43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43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43" fontId="81" fillId="14" borderId="1" xfId="1" applyFont="1" applyFill="1" applyBorder="1" applyAlignment="1">
      <alignment horizontal="right"/>
    </xf>
    <xf numFmtId="43" fontId="81" fillId="2" borderId="0" xfId="0" applyNumberFormat="1" applyFont="1" applyFill="1"/>
    <xf numFmtId="0" fontId="82" fillId="0" borderId="0" xfId="0" applyFont="1" applyAlignment="1">
      <alignment horizontal="center"/>
    </xf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43" fontId="24" fillId="2" borderId="0" xfId="0" applyNumberFormat="1" applyFont="1" applyFill="1"/>
    <xf numFmtId="0" fontId="64" fillId="2" borderId="1" xfId="0" applyFont="1" applyFill="1" applyBorder="1" applyAlignment="1">
      <alignment horizontal="center" wrapText="1"/>
    </xf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4" fontId="32" fillId="2" borderId="1" xfId="1" applyNumberFormat="1" applyFont="1" applyFill="1" applyBorder="1" applyAlignment="1">
      <alignment horizontal="right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8" borderId="1" xfId="0" applyFont="1" applyFill="1" applyBorder="1"/>
    <xf numFmtId="0" fontId="64" fillId="18" borderId="1" xfId="0" applyFont="1" applyFill="1" applyBorder="1" applyAlignment="1">
      <alignment wrapText="1"/>
    </xf>
    <xf numFmtId="0" fontId="64" fillId="18" borderId="1" xfId="0" applyFont="1" applyFill="1" applyBorder="1" applyAlignment="1">
      <alignment horizontal="center" wrapText="1"/>
    </xf>
    <xf numFmtId="4" fontId="64" fillId="18" borderId="1" xfId="0" applyNumberFormat="1" applyFont="1" applyFill="1" applyBorder="1"/>
    <xf numFmtId="4" fontId="83" fillId="18" borderId="1" xfId="0" applyNumberFormat="1" applyFont="1" applyFill="1" applyBorder="1"/>
    <xf numFmtId="4" fontId="64" fillId="18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8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0" fontId="0" fillId="0" borderId="0" xfId="0" applyAlignment="1">
      <alignment horizontal="center"/>
    </xf>
    <xf numFmtId="0" fontId="8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90" fillId="0" borderId="0" xfId="0" applyFont="1" applyAlignment="1">
      <alignment horizontal="left"/>
    </xf>
    <xf numFmtId="0" fontId="89" fillId="0" borderId="0" xfId="0" applyFont="1"/>
    <xf numFmtId="0" fontId="71" fillId="0" borderId="0" xfId="0" applyFont="1"/>
    <xf numFmtId="0" fontId="91" fillId="0" borderId="0" xfId="0" applyFont="1"/>
    <xf numFmtId="0" fontId="92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3" fontId="21" fillId="0" borderId="12" xfId="1" applyFont="1" applyBorder="1" applyAlignment="1"/>
    <xf numFmtId="43" fontId="1" fillId="0" borderId="0" xfId="1" applyFont="1" applyFill="1" applyBorder="1" applyAlignment="1"/>
    <xf numFmtId="4" fontId="1" fillId="0" borderId="0" xfId="0" applyNumberFormat="1" applyFont="1"/>
    <xf numFmtId="43" fontId="21" fillId="0" borderId="10" xfId="1" applyFont="1" applyBorder="1" applyAlignment="1"/>
    <xf numFmtId="43" fontId="3" fillId="0" borderId="0" xfId="1" applyFont="1" applyBorder="1" applyAlignment="1"/>
    <xf numFmtId="0" fontId="1" fillId="0" borderId="9" xfId="0" applyFont="1" applyBorder="1" applyAlignment="1">
      <alignment horizontal="left"/>
    </xf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4" fontId="1" fillId="2" borderId="1" xfId="0" applyNumberFormat="1" applyFont="1" applyFill="1" applyBorder="1"/>
    <xf numFmtId="43" fontId="21" fillId="13" borderId="1" xfId="1" applyFont="1" applyFill="1" applyBorder="1" applyAlignment="1">
      <alignment horizontal="right"/>
    </xf>
    <xf numFmtId="177" fontId="1" fillId="2" borderId="1" xfId="0" applyNumberFormat="1" applyFont="1" applyFill="1" applyBorder="1"/>
    <xf numFmtId="177" fontId="1" fillId="13" borderId="1" xfId="0" applyNumberFormat="1" applyFont="1" applyFill="1" applyBorder="1"/>
    <xf numFmtId="43" fontId="21" fillId="14" borderId="1" xfId="1" applyFont="1" applyFill="1" applyBorder="1" applyAlignment="1">
      <alignment horizontal="right"/>
    </xf>
    <xf numFmtId="0" fontId="3" fillId="2" borderId="0" xfId="0" applyFont="1" applyFill="1"/>
    <xf numFmtId="0" fontId="64" fillId="2" borderId="1" xfId="0" applyFont="1" applyFill="1" applyBorder="1" applyAlignment="1" quotePrefix="1">
      <alignment horizontal="center" wrapText="1"/>
    </xf>
    <xf numFmtId="0" fontId="64" fillId="0" borderId="1" xfId="0" applyFont="1" applyBorder="1" applyAlignment="1" quotePrefix="1">
      <alignment horizontal="center" wrapText="1"/>
    </xf>
    <xf numFmtId="0" fontId="64" fillId="18" borderId="1" xfId="0" applyFont="1" applyFill="1" applyBorder="1" applyAlignment="1" quotePrefix="1">
      <alignment horizontal="center" wrapText="1"/>
    </xf>
    <xf numFmtId="0" fontId="1" fillId="0" borderId="1" xfId="0" applyFont="1" applyBorder="1" applyAlignment="1" quotePrefix="1">
      <alignment horizontal="center"/>
    </xf>
    <xf numFmtId="0" fontId="39" fillId="0" borderId="1" xfId="0" applyFont="1" applyBorder="1" quotePrefix="1"/>
    <xf numFmtId="0" fontId="9" fillId="0" borderId="1" xfId="0" applyFont="1" applyBorder="1" quotePrefix="1"/>
    <xf numFmtId="0" fontId="39" fillId="0" borderId="0" xfId="0" applyFont="1" quotePrefix="1"/>
    <xf numFmtId="0" fontId="39" fillId="0" borderId="2" xfId="0" applyFont="1" applyBorder="1" quotePrefix="1"/>
    <xf numFmtId="43" fontId="1" fillId="0" borderId="1" xfId="1" applyFont="1" applyFill="1" applyBorder="1" applyAlignment="1" quotePrefix="1">
      <alignment horizontal="right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12" xfId="49"/>
    <cellStyle name="Comma 2" xfId="50"/>
    <cellStyle name="Comma 8" xfId="51"/>
    <cellStyle name="Normal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7" Type="http://schemas.openxmlformats.org/officeDocument/2006/relationships/styles" Target="styles.xml"/><Relationship Id="rId96" Type="http://schemas.openxmlformats.org/officeDocument/2006/relationships/sharedStrings" Target="sharedStrings.xml"/><Relationship Id="rId95" Type="http://schemas.openxmlformats.org/officeDocument/2006/relationships/theme" Target="theme/theme1.xml"/><Relationship Id="rId94" Type="http://schemas.openxmlformats.org/officeDocument/2006/relationships/externalLink" Target="externalLinks/externalLink14.xml"/><Relationship Id="rId93" Type="http://schemas.openxmlformats.org/officeDocument/2006/relationships/externalLink" Target="externalLinks/externalLink13.xml"/><Relationship Id="rId92" Type="http://schemas.openxmlformats.org/officeDocument/2006/relationships/externalLink" Target="externalLinks/externalLink12.xml"/><Relationship Id="rId91" Type="http://schemas.openxmlformats.org/officeDocument/2006/relationships/externalLink" Target="externalLinks/externalLink11.xml"/><Relationship Id="rId90" Type="http://schemas.openxmlformats.org/officeDocument/2006/relationships/externalLink" Target="externalLinks/externalLink10.xml"/><Relationship Id="rId9" Type="http://schemas.openxmlformats.org/officeDocument/2006/relationships/worksheet" Target="worksheets/sheet9.xml"/><Relationship Id="rId89" Type="http://schemas.openxmlformats.org/officeDocument/2006/relationships/externalLink" Target="externalLinks/externalLink9.xml"/><Relationship Id="rId88" Type="http://schemas.openxmlformats.org/officeDocument/2006/relationships/externalLink" Target="externalLinks/externalLink8.xml"/><Relationship Id="rId87" Type="http://schemas.openxmlformats.org/officeDocument/2006/relationships/externalLink" Target="externalLinks/externalLink7.xml"/><Relationship Id="rId86" Type="http://schemas.openxmlformats.org/officeDocument/2006/relationships/externalLink" Target="externalLinks/externalLink6.xml"/><Relationship Id="rId85" Type="http://schemas.openxmlformats.org/officeDocument/2006/relationships/externalLink" Target="externalLinks/externalLink5.xml"/><Relationship Id="rId84" Type="http://schemas.openxmlformats.org/officeDocument/2006/relationships/externalLink" Target="externalLinks/externalLink4.xml"/><Relationship Id="rId83" Type="http://schemas.openxmlformats.org/officeDocument/2006/relationships/externalLink" Target="externalLinks/externalLink3.xml"/><Relationship Id="rId82" Type="http://schemas.openxmlformats.org/officeDocument/2006/relationships/externalLink" Target="externalLinks/externalLink2.xml"/><Relationship Id="rId81" Type="http://schemas.openxmlformats.org/officeDocument/2006/relationships/externalLink" Target="externalLinks/externalLink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60800" y="135890"/>
          <a:ext cx="1742440" cy="362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Deductions%20(18)%20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July%202024%20Payroll\NILDS%20New%20Salary%20Structur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November%202024%20%20Salary%20-%20New%20Staf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ownloads\Consultants,%20Deployed%20Staff%20November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January%202024%20%20Salar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Payroll%20Matters%202024\May%202024%20Payroll\Consultants,%20Deployed%20Staff%20May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NILDS%20SALARY%20STRUCTURE\NILDS%20New%20Salary%20Structure%20Cummulativ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%20N\Documents\Documents\NILDS%20SALARY%20STRUCTURE\NILDS%20New%20Salary%20Structure%20Cummulativ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October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October%202023%20Payroll\October%20%202023%20%20Salary%20Revis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ers%202023\July%202023%20Payroll\Consultants,%20Deployed%20Staff%20June%20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HILA\Documents\Payroll%20Matters%202024\January%202024%20Payroll\NILDS%20Tax%20Schedule%202022%20new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TONDO\Desktop\TONDO\NHF\NHF%20April%20%2020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</row>
        <row r="8">
          <cell r="M8">
            <v>390000</v>
          </cell>
        </row>
        <row r="8"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193">
          <cell r="D193">
            <v>230499.8</v>
          </cell>
        </row>
      </sheetData>
      <sheetData sheetId="89"/>
      <sheetData sheetId="9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218287.583333333</v>
          </cell>
        </row>
        <row r="37">
          <cell r="H37">
            <v>255849</v>
          </cell>
        </row>
        <row r="40">
          <cell r="H40">
            <v>390248.916666667</v>
          </cell>
        </row>
        <row r="44">
          <cell r="H44">
            <v>1352042.66666667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4618070.67666667</v>
          </cell>
        </row>
      </sheetData>
      <sheetData sheetId="10">
        <row r="30">
          <cell r="F30">
            <v>4681559.76833333</v>
          </cell>
        </row>
      </sheetData>
      <sheetData sheetId="11">
        <row r="67">
          <cell r="E67">
            <v>4877192.37333333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775.496</v>
          </cell>
        </row>
        <row r="33">
          <cell r="R33">
            <v>173329.0495</v>
          </cell>
        </row>
        <row r="33">
          <cell r="W33">
            <v>16512.6821906667</v>
          </cell>
        </row>
        <row r="38">
          <cell r="R38">
            <v>176816.1</v>
          </cell>
        </row>
        <row r="38">
          <cell r="W38">
            <v>17042.7138666667</v>
          </cell>
        </row>
        <row r="47">
          <cell r="V47">
            <v>837.6875</v>
          </cell>
        </row>
        <row r="78">
          <cell r="V78">
            <v>668.31625</v>
          </cell>
        </row>
        <row r="86">
          <cell r="V86">
            <v>837.6875</v>
          </cell>
        </row>
        <row r="92">
          <cell r="V92">
            <v>576.87475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658.4825</v>
          </cell>
        </row>
        <row r="115">
          <cell r="V115">
            <v>806.58</v>
          </cell>
        </row>
        <row r="117">
          <cell r="V117">
            <v>576.62125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</row>
        <row r="16">
          <cell r="K16">
            <v>2523630</v>
          </cell>
        </row>
        <row r="17">
          <cell r="H17">
            <v>2524677</v>
          </cell>
        </row>
        <row r="17">
          <cell r="J17">
            <v>2691445</v>
          </cell>
        </row>
        <row r="17">
          <cell r="L17">
            <v>2858213</v>
          </cell>
        </row>
        <row r="18">
          <cell r="I18">
            <v>2864307</v>
          </cell>
          <cell r="J18">
            <v>2954075</v>
          </cell>
        </row>
        <row r="18"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</row>
        <row r="21">
          <cell r="J21">
            <v>9304688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31749.1206666667</v>
          </cell>
        </row>
        <row r="29">
          <cell r="Z29">
            <v>21640.8826666667</v>
          </cell>
        </row>
        <row r="30">
          <cell r="Z30">
            <v>25571.7326666667</v>
          </cell>
        </row>
        <row r="50">
          <cell r="Z50">
            <v>54812.4685866667</v>
          </cell>
        </row>
        <row r="62">
          <cell r="Z62">
            <v>54931.2266666667</v>
          </cell>
        </row>
        <row r="78">
          <cell r="Z78">
            <v>54931.2266666667</v>
          </cell>
        </row>
        <row r="85">
          <cell r="Z85">
            <v>75440.4047466667</v>
          </cell>
        </row>
        <row r="86">
          <cell r="Z86">
            <v>75572.9386666667</v>
          </cell>
        </row>
        <row r="89">
          <cell r="Z89">
            <v>53384.1226666667</v>
          </cell>
        </row>
        <row r="97">
          <cell r="Z97">
            <v>94644.6218666667</v>
          </cell>
        </row>
        <row r="118">
          <cell r="Z118">
            <v>42034.2433466667</v>
          </cell>
        </row>
        <row r="129">
          <cell r="Z129">
            <v>42047.7690266667</v>
          </cell>
        </row>
        <row r="134">
          <cell r="Z134">
            <v>31653.2010666667</v>
          </cell>
        </row>
        <row r="145">
          <cell r="Z145">
            <v>21640.8826666667</v>
          </cell>
        </row>
        <row r="164">
          <cell r="Z164">
            <v>8312.59</v>
          </cell>
        </row>
        <row r="177">
          <cell r="Z177">
            <v>3951.85533333333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</v>
          </cell>
        </row>
      </sheetData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</v>
          </cell>
        </row>
        <row r="22">
          <cell r="H22">
            <v>837.6875</v>
          </cell>
        </row>
        <row r="24">
          <cell r="H24">
            <v>618.5315</v>
          </cell>
        </row>
        <row r="26">
          <cell r="H26">
            <v>1028.94225</v>
          </cell>
        </row>
        <row r="27">
          <cell r="H27">
            <v>668.31625</v>
          </cell>
        </row>
        <row r="28">
          <cell r="H28">
            <v>837.6875</v>
          </cell>
        </row>
        <row r="35">
          <cell r="H35">
            <v>658.4825</v>
          </cell>
        </row>
        <row r="36">
          <cell r="H36">
            <v>444.6025</v>
          </cell>
        </row>
        <row r="37">
          <cell r="H37">
            <v>837.6875</v>
          </cell>
        </row>
        <row r="38">
          <cell r="H38">
            <v>618.5315</v>
          </cell>
        </row>
        <row r="39">
          <cell r="H39">
            <v>226.2535</v>
          </cell>
        </row>
        <row r="40">
          <cell r="H40">
            <v>538.022</v>
          </cell>
        </row>
        <row r="41">
          <cell r="H41">
            <v>538.022</v>
          </cell>
        </row>
        <row r="43">
          <cell r="H43">
            <v>457.041</v>
          </cell>
        </row>
        <row r="44">
          <cell r="H44">
            <v>690.28075</v>
          </cell>
        </row>
        <row r="45">
          <cell r="H45">
            <v>538.022</v>
          </cell>
        </row>
        <row r="46">
          <cell r="H46">
            <v>618.5315</v>
          </cell>
        </row>
        <row r="47">
          <cell r="H47">
            <v>668.31625</v>
          </cell>
        </row>
        <row r="48">
          <cell r="H48">
            <v>618.5315</v>
          </cell>
        </row>
        <row r="50">
          <cell r="H50">
            <v>668.31625</v>
          </cell>
        </row>
        <row r="51">
          <cell r="H51">
            <v>226.2535</v>
          </cell>
        </row>
        <row r="52">
          <cell r="H52">
            <v>576.87475</v>
          </cell>
        </row>
        <row r="54">
          <cell r="H54">
            <v>668.31625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7"/>
  <sheetViews>
    <sheetView zoomScale="90" zoomScaleNormal="90" zoomScaleSheetLayoutView="50" workbookViewId="0">
      <pane xSplit="3" ySplit="7" topLeftCell="L197" activePane="bottomRight" state="frozen"/>
      <selection/>
      <selection pane="topRight"/>
      <selection pane="bottomLeft"/>
      <selection pane="bottomRight" activeCell="L202" sqref="L202:M202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7" width="19.2818181818182" style="1" customWidth="1"/>
    <col min="18" max="18" width="21.8181818181818" style="1" customWidth="1"/>
    <col min="19" max="19" width="18.8545454545455" style="1" customWidth="1"/>
    <col min="20" max="20" width="15.0909090909091" style="1"/>
    <col min="21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19">
      <c r="A2" s="76" t="s">
        <v>1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19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505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4" t="s">
        <v>14</v>
      </c>
      <c r="P4" s="218" t="s">
        <v>15</v>
      </c>
      <c r="Q4" s="506" t="s">
        <v>16</v>
      </c>
      <c r="R4" s="80" t="s">
        <v>17</v>
      </c>
      <c r="S4" s="633" t="s">
        <v>18</v>
      </c>
    </row>
    <row r="5" ht="17.25" customHeight="1" spans="3:19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507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508" t="s">
        <v>19</v>
      </c>
      <c r="R5" s="82" t="s">
        <v>19</v>
      </c>
      <c r="S5" s="507" t="s">
        <v>19</v>
      </c>
    </row>
    <row r="6" customHeight="1" spans="1:19">
      <c r="A6" s="9" t="s">
        <v>20</v>
      </c>
      <c r="B6" s="8" t="s">
        <v>21</v>
      </c>
      <c r="C6" s="8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508"/>
      <c r="R6" s="82"/>
      <c r="S6" s="507"/>
    </row>
    <row r="7" customHeight="1" spans="1:19">
      <c r="A7" s="10">
        <v>1</v>
      </c>
      <c r="B7" s="11" t="s">
        <v>22</v>
      </c>
      <c r="C7" s="12" t="s">
        <v>23</v>
      </c>
      <c r="D7" s="12" t="s">
        <v>24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85"/>
      <c r="L7" s="85"/>
      <c r="M7" s="85"/>
      <c r="N7" s="85"/>
      <c r="O7" s="85">
        <v>350184.010730667</v>
      </c>
      <c r="P7" s="85"/>
      <c r="Q7" s="510">
        <f>O7+N7+M7+L7+K7+P7</f>
        <v>350184.010730667</v>
      </c>
      <c r="R7" s="85">
        <v>1584802.15626933</v>
      </c>
      <c r="S7" s="509">
        <f>J7-Q7</f>
        <v>1584802.15626933</v>
      </c>
    </row>
    <row r="8" customHeight="1" spans="1:19">
      <c r="A8" s="10">
        <v>2</v>
      </c>
      <c r="B8" s="11" t="s">
        <v>25</v>
      </c>
      <c r="C8" s="12" t="s">
        <v>26</v>
      </c>
      <c r="D8" s="10" t="s">
        <v>27</v>
      </c>
      <c r="E8" s="85">
        <v>762373.166666667</v>
      </c>
      <c r="F8" s="85"/>
      <c r="G8" s="220"/>
      <c r="H8" s="220">
        <f>90000</f>
        <v>90000</v>
      </c>
      <c r="I8" s="85">
        <f>100000</f>
        <v>100000</v>
      </c>
      <c r="J8" s="509">
        <f t="shared" ref="J8:J37" si="0">E8+F8+G8+H8+I8</f>
        <v>952373.166666667</v>
      </c>
      <c r="K8" s="85"/>
      <c r="L8" s="85">
        <f>250000</f>
        <v>250000</v>
      </c>
      <c r="M8" s="85"/>
      <c r="N8" s="85"/>
      <c r="O8" s="85">
        <f>'Additional Leg Duty Allowance'!P7</f>
        <v>149812.262826667</v>
      </c>
      <c r="P8" s="85">
        <v>60989.8533333333</v>
      </c>
      <c r="Q8" s="510">
        <f t="shared" ref="Q8:Q37" si="1">O8+N8+M8+L8+K8+P8</f>
        <v>460802.11616</v>
      </c>
      <c r="R8" s="85">
        <v>491571.050506667</v>
      </c>
      <c r="S8" s="509">
        <f t="shared" ref="S8:S37" si="2">J8-Q8</f>
        <v>491571.050506667</v>
      </c>
    </row>
    <row r="9" customHeight="1" spans="1:19">
      <c r="A9" s="10">
        <v>3</v>
      </c>
      <c r="B9" s="14" t="s">
        <v>28</v>
      </c>
      <c r="C9" s="4" t="s">
        <v>29</v>
      </c>
      <c r="D9" s="10" t="s">
        <v>27</v>
      </c>
      <c r="E9" s="85">
        <v>762373.166666667</v>
      </c>
      <c r="F9" s="85"/>
      <c r="G9" s="220"/>
      <c r="H9" s="220">
        <f>90000</f>
        <v>90000</v>
      </c>
      <c r="I9" s="85">
        <f>200000+100000</f>
        <v>300000</v>
      </c>
      <c r="J9" s="509">
        <f t="shared" si="0"/>
        <v>1152373.16666667</v>
      </c>
      <c r="K9" s="85"/>
      <c r="L9" s="85"/>
      <c r="M9" s="85"/>
      <c r="N9" s="85"/>
      <c r="O9" s="85">
        <f>'Additional Leg Duty Allowance'!P8</f>
        <v>199922.314666667</v>
      </c>
      <c r="P9" s="85"/>
      <c r="Q9" s="510">
        <f t="shared" si="1"/>
        <v>199922.314666667</v>
      </c>
      <c r="R9" s="85">
        <v>952450.852</v>
      </c>
      <c r="S9" s="509">
        <f t="shared" si="2"/>
        <v>952450.852</v>
      </c>
    </row>
    <row r="10" customHeight="1" spans="1:19">
      <c r="A10" s="10">
        <v>4</v>
      </c>
      <c r="B10" s="11" t="s">
        <v>30</v>
      </c>
      <c r="C10" s="17" t="s">
        <v>31</v>
      </c>
      <c r="D10" s="10" t="s">
        <v>27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85"/>
      <c r="L10" s="85">
        <f>50000</f>
        <v>50000</v>
      </c>
      <c r="M10" s="85">
        <v>0</v>
      </c>
      <c r="N10" s="85">
        <v>10293.3979166667</v>
      </c>
      <c r="O10" s="85">
        <v>147687.527610667</v>
      </c>
      <c r="P10" s="85">
        <v>60989.8533333333</v>
      </c>
      <c r="Q10" s="510">
        <f t="shared" si="1"/>
        <v>268970.778860667</v>
      </c>
      <c r="R10" s="85">
        <v>673402.387806</v>
      </c>
      <c r="S10" s="509">
        <f t="shared" si="2"/>
        <v>673402.387806</v>
      </c>
    </row>
    <row r="11" customHeight="1" spans="1:19">
      <c r="A11" s="10">
        <v>5</v>
      </c>
      <c r="B11" s="14" t="s">
        <v>32</v>
      </c>
      <c r="C11" s="4" t="s">
        <v>33</v>
      </c>
      <c r="D11" s="10" t="s">
        <v>27</v>
      </c>
      <c r="E11" s="85">
        <v>762373.166666667</v>
      </c>
      <c r="F11" s="85"/>
      <c r="G11" s="220"/>
      <c r="H11" s="220">
        <f>80000+10000</f>
        <v>90000</v>
      </c>
      <c r="I11" s="85">
        <f>150000+100000</f>
        <v>250000</v>
      </c>
      <c r="J11" s="509">
        <f t="shared" si="0"/>
        <v>1102373.16666667</v>
      </c>
      <c r="K11" s="85"/>
      <c r="L11" s="85">
        <f>20000+60000</f>
        <v>80000</v>
      </c>
      <c r="M11" s="85">
        <f>'[2]OCTOBER 2023 '!$D$193</f>
        <v>230499.8</v>
      </c>
      <c r="N11" s="85">
        <v>10293.3979166667</v>
      </c>
      <c r="O11" s="85">
        <f>'Additional Leg Duty Allowance'!P9</f>
        <v>178407.527610667</v>
      </c>
      <c r="P11" s="85">
        <v>60989.8533333333</v>
      </c>
      <c r="Q11" s="510">
        <f t="shared" si="1"/>
        <v>560190.578860667</v>
      </c>
      <c r="R11" s="85">
        <v>542182.587806</v>
      </c>
      <c r="S11" s="509">
        <f t="shared" si="2"/>
        <v>542182.587806</v>
      </c>
    </row>
    <row r="12" customHeight="1" spans="1:19">
      <c r="A12" s="10">
        <v>6</v>
      </c>
      <c r="B12" s="11" t="s">
        <v>34</v>
      </c>
      <c r="C12" s="12" t="s">
        <v>35</v>
      </c>
      <c r="D12" s="15" t="s">
        <v>36</v>
      </c>
      <c r="E12" s="85">
        <v>620675.583333333</v>
      </c>
      <c r="F12" s="85"/>
      <c r="G12" s="220"/>
      <c r="H12" s="220">
        <f>80000</f>
        <v>80000</v>
      </c>
      <c r="I12" s="85">
        <v>50000</v>
      </c>
      <c r="J12" s="509">
        <f t="shared" si="0"/>
        <v>750675.583333333</v>
      </c>
      <c r="K12" s="85"/>
      <c r="L12" s="85">
        <f>50000-40000</f>
        <v>10000</v>
      </c>
      <c r="M12" s="85">
        <f>90000+110000</f>
        <v>200000</v>
      </c>
      <c r="N12" s="85">
        <v>8380.22708333333</v>
      </c>
      <c r="O12" s="85">
        <v>113101.965706667</v>
      </c>
      <c r="P12" s="85">
        <v>49654.0466666667</v>
      </c>
      <c r="Q12" s="510">
        <f t="shared" si="1"/>
        <v>381136.239456667</v>
      </c>
      <c r="R12" s="85">
        <v>369539.343876666</v>
      </c>
      <c r="S12" s="509">
        <f t="shared" si="2"/>
        <v>369539.343876666</v>
      </c>
    </row>
    <row r="13" customHeight="1" spans="1:19">
      <c r="A13" s="10">
        <v>7</v>
      </c>
      <c r="B13" s="11" t="s">
        <v>37</v>
      </c>
      <c r="C13" s="4" t="s">
        <v>38</v>
      </c>
      <c r="D13" s="10" t="s">
        <v>39</v>
      </c>
      <c r="E13" s="85">
        <v>582118.083333333</v>
      </c>
      <c r="F13" s="85"/>
      <c r="G13" s="220">
        <v>160000</v>
      </c>
      <c r="H13" s="220"/>
      <c r="I13" s="85">
        <f>100000+100000</f>
        <v>200000</v>
      </c>
      <c r="J13" s="509">
        <f t="shared" si="0"/>
        <v>942118.083333333</v>
      </c>
      <c r="K13" s="85"/>
      <c r="L13" s="85"/>
      <c r="M13" s="85"/>
      <c r="N13" s="85">
        <v>7859.63125</v>
      </c>
      <c r="O13" s="85">
        <f>'Additional Leg Duty Allowance'!P12</f>
        <v>150463.109674667</v>
      </c>
      <c r="P13" s="85">
        <v>46569.4466666667</v>
      </c>
      <c r="Q13" s="510">
        <f t="shared" si="1"/>
        <v>204892.187591333</v>
      </c>
      <c r="R13" s="85">
        <v>737225.895742</v>
      </c>
      <c r="S13" s="509">
        <f t="shared" si="2"/>
        <v>737225.895742</v>
      </c>
    </row>
    <row r="14" customHeight="1" spans="1:19">
      <c r="A14" s="10">
        <v>8</v>
      </c>
      <c r="B14" s="11" t="s">
        <v>40</v>
      </c>
      <c r="C14" s="4" t="s">
        <v>41</v>
      </c>
      <c r="D14" s="15" t="s">
        <v>42</v>
      </c>
      <c r="E14" s="85">
        <v>484373.75</v>
      </c>
      <c r="F14" s="85"/>
      <c r="G14" s="220"/>
      <c r="H14" s="220">
        <f t="shared" ref="H14" si="3">70000</f>
        <v>70000</v>
      </c>
      <c r="I14" s="85">
        <f>0</f>
        <v>0</v>
      </c>
      <c r="J14" s="509">
        <f t="shared" si="0"/>
        <v>554373.75</v>
      </c>
      <c r="K14" s="85"/>
      <c r="L14" s="85"/>
      <c r="M14" s="85"/>
      <c r="N14" s="85"/>
      <c r="O14" s="85">
        <v>77666.4458666667</v>
      </c>
      <c r="P14" s="85">
        <v>38749.9</v>
      </c>
      <c r="Q14" s="510">
        <f t="shared" si="1"/>
        <v>116416.345866667</v>
      </c>
      <c r="R14" s="85">
        <v>437957.404133333</v>
      </c>
      <c r="S14" s="509">
        <f t="shared" si="2"/>
        <v>437957.404133333</v>
      </c>
    </row>
    <row r="15" customHeight="1" spans="1:19">
      <c r="A15" s="10">
        <v>9</v>
      </c>
      <c r="B15" s="14" t="s">
        <v>43</v>
      </c>
      <c r="C15" s="17" t="s">
        <v>44</v>
      </c>
      <c r="D15" s="15" t="s">
        <v>39</v>
      </c>
      <c r="E15" s="85">
        <v>582118.083333333</v>
      </c>
      <c r="F15" s="85"/>
      <c r="G15" s="220">
        <v>160000</v>
      </c>
      <c r="H15" s="220"/>
      <c r="I15" s="85">
        <f>50000+100000</f>
        <v>150000</v>
      </c>
      <c r="J15" s="509">
        <f t="shared" si="0"/>
        <v>892118.083333333</v>
      </c>
      <c r="K15" s="85"/>
      <c r="L15" s="85">
        <f>50000</f>
        <v>50000</v>
      </c>
      <c r="M15" s="85"/>
      <c r="N15" s="85"/>
      <c r="O15" s="85">
        <v>141011.988957867</v>
      </c>
      <c r="P15" s="85">
        <f>46569.45</f>
        <v>46569.45</v>
      </c>
      <c r="Q15" s="510">
        <f t="shared" si="1"/>
        <v>237581.438957867</v>
      </c>
      <c r="R15" s="85">
        <v>654536.644375466</v>
      </c>
      <c r="S15" s="509">
        <f t="shared" si="2"/>
        <v>654536.644375466</v>
      </c>
    </row>
    <row r="16" customHeight="1" spans="1:19">
      <c r="A16" s="10">
        <v>10</v>
      </c>
      <c r="B16" s="11" t="s">
        <v>45</v>
      </c>
      <c r="C16" s="4" t="s">
        <v>46</v>
      </c>
      <c r="D16" s="10" t="s">
        <v>47</v>
      </c>
      <c r="E16" s="85">
        <v>442746.5</v>
      </c>
      <c r="F16" s="85"/>
      <c r="G16" s="220">
        <f>140000</f>
        <v>140000</v>
      </c>
      <c r="H16" s="220"/>
      <c r="I16" s="85">
        <f>150000+100000</f>
        <v>250000</v>
      </c>
      <c r="J16" s="509">
        <f t="shared" si="0"/>
        <v>832746.5</v>
      </c>
      <c r="K16" s="85"/>
      <c r="L16" s="85">
        <v>70000</v>
      </c>
      <c r="M16" s="85">
        <v>175000</v>
      </c>
      <c r="N16" s="85"/>
      <c r="O16" s="85">
        <f>'Additional Leg Duty Allowance'!P13</f>
        <v>131753.408426667</v>
      </c>
      <c r="P16" s="85">
        <v>35419.72</v>
      </c>
      <c r="Q16" s="510">
        <f t="shared" si="1"/>
        <v>412173.128426667</v>
      </c>
      <c r="R16" s="85">
        <v>420573.371573333</v>
      </c>
      <c r="S16" s="509">
        <f t="shared" si="2"/>
        <v>420573.371573333</v>
      </c>
    </row>
    <row r="17" customHeight="1" spans="1:19">
      <c r="A17" s="10">
        <v>11</v>
      </c>
      <c r="B17" s="11" t="s">
        <v>48</v>
      </c>
      <c r="C17" s="4" t="s">
        <v>49</v>
      </c>
      <c r="D17" s="10" t="s">
        <v>39</v>
      </c>
      <c r="E17" s="85">
        <v>582118.083333333</v>
      </c>
      <c r="F17" s="85"/>
      <c r="G17" s="220"/>
      <c r="H17" s="220">
        <v>80000</v>
      </c>
      <c r="I17" s="85">
        <v>50000</v>
      </c>
      <c r="J17" s="509">
        <f t="shared" si="0"/>
        <v>712118.083333333</v>
      </c>
      <c r="K17" s="4"/>
      <c r="L17" s="4"/>
      <c r="M17" s="85"/>
      <c r="N17" s="85"/>
      <c r="O17" s="85">
        <v>106452</v>
      </c>
      <c r="P17" s="85">
        <f>46569.45</f>
        <v>46569.45</v>
      </c>
      <c r="Q17" s="510">
        <f t="shared" si="1"/>
        <v>153021.45</v>
      </c>
      <c r="R17" s="85">
        <v>559096.633333333</v>
      </c>
      <c r="S17" s="509">
        <f t="shared" si="2"/>
        <v>559096.633333333</v>
      </c>
    </row>
    <row r="18" customHeight="1" spans="1:19">
      <c r="A18" s="10">
        <v>12</v>
      </c>
      <c r="B18" s="11" t="s">
        <v>50</v>
      </c>
      <c r="C18" s="12" t="s">
        <v>51</v>
      </c>
      <c r="D18" s="15" t="s">
        <v>52</v>
      </c>
      <c r="E18" s="85">
        <v>428915.916666667</v>
      </c>
      <c r="F18" s="85"/>
      <c r="G18" s="220">
        <f>120000</f>
        <v>120000</v>
      </c>
      <c r="H18" s="220"/>
      <c r="I18" s="85">
        <v>0</v>
      </c>
      <c r="J18" s="509">
        <f t="shared" si="0"/>
        <v>548915.916666667</v>
      </c>
      <c r="K18" s="85"/>
      <c r="L18" s="85"/>
      <c r="M18" s="85"/>
      <c r="N18" s="85"/>
      <c r="O18" s="85">
        <v>77470.3741866667</v>
      </c>
      <c r="P18" s="85">
        <v>34313.2733333333</v>
      </c>
      <c r="Q18" s="510">
        <f t="shared" si="1"/>
        <v>111783.64752</v>
      </c>
      <c r="R18" s="85">
        <v>437132.269146667</v>
      </c>
      <c r="S18" s="509">
        <f t="shared" si="2"/>
        <v>437132.269146667</v>
      </c>
    </row>
    <row r="19" customHeight="1" spans="1:19">
      <c r="A19" s="10">
        <v>13</v>
      </c>
      <c r="B19" s="18" t="s">
        <v>53</v>
      </c>
      <c r="C19" s="4" t="s">
        <v>54</v>
      </c>
      <c r="D19" s="15" t="s">
        <v>55</v>
      </c>
      <c r="E19" s="85">
        <v>416026.916666667</v>
      </c>
      <c r="F19" s="85"/>
      <c r="G19" s="220">
        <f>120000</f>
        <v>120000</v>
      </c>
      <c r="H19" s="220"/>
      <c r="I19" s="85">
        <f>100000+100000</f>
        <v>200000</v>
      </c>
      <c r="J19" s="509">
        <f t="shared" si="0"/>
        <v>736026.916666667</v>
      </c>
      <c r="K19" s="85"/>
      <c r="L19" s="85">
        <f>30000-20000</f>
        <v>10000</v>
      </c>
      <c r="M19" s="85">
        <f>95833.33</f>
        <v>95833.33</v>
      </c>
      <c r="N19" s="85">
        <v>5607.17708333333</v>
      </c>
      <c r="O19" s="85">
        <f>'Additional Leg Duty Allowance'!P14</f>
        <v>113474.903466667</v>
      </c>
      <c r="P19" s="85">
        <v>33282.1533333333</v>
      </c>
      <c r="Q19" s="510">
        <f t="shared" si="1"/>
        <v>258197.563883333</v>
      </c>
      <c r="R19" s="85">
        <v>477829.352783334</v>
      </c>
      <c r="S19" s="509">
        <f t="shared" si="2"/>
        <v>477829.352783334</v>
      </c>
    </row>
    <row r="20" customHeight="1" spans="1:19">
      <c r="A20" s="10">
        <v>14</v>
      </c>
      <c r="B20" s="18" t="s">
        <v>56</v>
      </c>
      <c r="C20" s="4" t="s">
        <v>57</v>
      </c>
      <c r="D20" s="15" t="s">
        <v>58</v>
      </c>
      <c r="E20" s="674">
        <f>'[3]Annual &amp; Monthly'!$H$40</f>
        <v>390248.916666667</v>
      </c>
      <c r="F20" s="85"/>
      <c r="G20" s="4"/>
      <c r="H20" s="220">
        <v>70000</v>
      </c>
      <c r="I20" s="85"/>
      <c r="J20" s="509">
        <f t="shared" si="0"/>
        <v>460248.916666667</v>
      </c>
      <c r="K20" s="85"/>
      <c r="L20" s="684">
        <v>50000</v>
      </c>
      <c r="M20" s="684"/>
      <c r="O20" s="684">
        <f>61040.2353066666</f>
        <v>61040.2353066666</v>
      </c>
      <c r="P20" s="85">
        <f>390248.916666667*0.08</f>
        <v>31219.9133333334</v>
      </c>
      <c r="Q20" s="510">
        <f t="shared" si="1"/>
        <v>142260.14864</v>
      </c>
      <c r="R20" s="85">
        <v>317988.768026667</v>
      </c>
      <c r="S20" s="509">
        <f t="shared" si="2"/>
        <v>317988.768026667</v>
      </c>
    </row>
    <row r="21" customHeight="1" spans="1:19">
      <c r="A21" s="10">
        <v>15</v>
      </c>
      <c r="B21" s="18" t="s">
        <v>59</v>
      </c>
      <c r="C21" s="4" t="s">
        <v>51</v>
      </c>
      <c r="D21" s="15" t="s">
        <v>58</v>
      </c>
      <c r="E21" s="674">
        <v>390248.916666667</v>
      </c>
      <c r="F21" s="85"/>
      <c r="G21" s="825">
        <v>120000</v>
      </c>
      <c r="H21" s="220"/>
      <c r="I21" s="85"/>
      <c r="J21" s="509">
        <f t="shared" si="0"/>
        <v>510248.916666667</v>
      </c>
      <c r="K21" s="85"/>
      <c r="L21" s="684"/>
      <c r="M21" s="684"/>
      <c r="O21" s="684">
        <f>70640.2353066667</f>
        <v>70640.2353066667</v>
      </c>
      <c r="P21" s="85">
        <v>31219.9133333334</v>
      </c>
      <c r="Q21" s="510">
        <f t="shared" si="1"/>
        <v>101860.14864</v>
      </c>
      <c r="R21" s="85">
        <v>408388.768026667</v>
      </c>
      <c r="S21" s="509">
        <f t="shared" si="2"/>
        <v>408388.768026667</v>
      </c>
    </row>
    <row r="22" ht="18.75" customHeight="1" spans="1:19">
      <c r="A22" s="10">
        <v>16</v>
      </c>
      <c r="B22" s="11" t="s">
        <v>60</v>
      </c>
      <c r="C22" s="12" t="s">
        <v>61</v>
      </c>
      <c r="D22" s="15" t="s">
        <v>62</v>
      </c>
      <c r="E22" s="85">
        <v>377895.166666667</v>
      </c>
      <c r="F22" s="85"/>
      <c r="G22" s="220"/>
      <c r="H22" s="220">
        <f>60000</f>
        <v>60000</v>
      </c>
      <c r="I22" s="85">
        <f>100000+50000</f>
        <v>150000</v>
      </c>
      <c r="J22" s="509">
        <f t="shared" si="0"/>
        <v>587895.166666667</v>
      </c>
      <c r="K22" s="85"/>
      <c r="L22" s="85">
        <f>10000</f>
        <v>10000</v>
      </c>
      <c r="M22" s="85">
        <v>292813.77</v>
      </c>
      <c r="N22" s="85"/>
      <c r="O22" s="85">
        <v>82601.2049066667</v>
      </c>
      <c r="P22" s="85">
        <v>30231.6133333333</v>
      </c>
      <c r="Q22" s="510">
        <f t="shared" si="1"/>
        <v>415646.58824</v>
      </c>
      <c r="R22" s="85">
        <v>313229.018426667</v>
      </c>
      <c r="S22" s="509">
        <f t="shared" si="2"/>
        <v>172248.578426667</v>
      </c>
    </row>
    <row r="23" customHeight="1" spans="1:19">
      <c r="A23" s="10">
        <v>17</v>
      </c>
      <c r="B23" s="14" t="s">
        <v>63</v>
      </c>
      <c r="C23" s="17" t="s">
        <v>64</v>
      </c>
      <c r="D23" s="10" t="s">
        <v>65</v>
      </c>
      <c r="E23" s="85">
        <v>353512.5</v>
      </c>
      <c r="F23" s="85"/>
      <c r="G23" s="220">
        <f t="shared" ref="G23" si="4">100000</f>
        <v>100000</v>
      </c>
      <c r="H23" s="220"/>
      <c r="I23" s="85">
        <f>100000+100000</f>
        <v>200000</v>
      </c>
      <c r="J23" s="509">
        <f t="shared" si="0"/>
        <v>653512.5</v>
      </c>
      <c r="K23" s="85"/>
      <c r="L23" s="85">
        <f>50000+100000</f>
        <v>150000</v>
      </c>
      <c r="M23" s="85"/>
      <c r="N23" s="85"/>
      <c r="O23" s="85">
        <f>'Additional Leg Duty Allowance'!P15</f>
        <v>98711.1146666667</v>
      </c>
      <c r="P23" s="85">
        <v>28281</v>
      </c>
      <c r="Q23" s="510">
        <f t="shared" si="1"/>
        <v>276992.114666667</v>
      </c>
      <c r="R23" s="85">
        <v>376520.385333333</v>
      </c>
      <c r="S23" s="509">
        <f t="shared" si="2"/>
        <v>376520.385333333</v>
      </c>
    </row>
    <row r="24" ht="21.6" customHeight="1" spans="1:19">
      <c r="A24" s="10">
        <v>18</v>
      </c>
      <c r="B24" s="11" t="s">
        <v>66</v>
      </c>
      <c r="C24" s="17" t="s">
        <v>67</v>
      </c>
      <c r="D24" s="15" t="s">
        <v>65</v>
      </c>
      <c r="E24" s="85">
        <v>353512.5</v>
      </c>
      <c r="F24" s="85"/>
      <c r="G24" s="220">
        <v>110000</v>
      </c>
      <c r="H24" s="220"/>
      <c r="I24" s="85">
        <v>0</v>
      </c>
      <c r="J24" s="509">
        <f t="shared" si="0"/>
        <v>463512.5</v>
      </c>
      <c r="K24" s="85"/>
      <c r="L24" s="85">
        <v>0</v>
      </c>
      <c r="M24" s="85"/>
      <c r="N24" s="85"/>
      <c r="O24" s="85">
        <v>62231.1146666667</v>
      </c>
      <c r="P24" s="85">
        <v>28281</v>
      </c>
      <c r="Q24" s="510">
        <f t="shared" si="1"/>
        <v>90512.1146666667</v>
      </c>
      <c r="R24" s="85">
        <v>373000.385333333</v>
      </c>
      <c r="S24" s="509">
        <f t="shared" si="2"/>
        <v>373000.385333333</v>
      </c>
    </row>
    <row r="25" customHeight="1" spans="1:19">
      <c r="A25" s="10">
        <v>19</v>
      </c>
      <c r="B25" s="14" t="s">
        <v>68</v>
      </c>
      <c r="C25" s="17" t="s">
        <v>69</v>
      </c>
      <c r="D25" s="10" t="s">
        <v>70</v>
      </c>
      <c r="E25" s="85">
        <v>293029.666666667</v>
      </c>
      <c r="F25" s="85"/>
      <c r="G25" s="220"/>
      <c r="H25" s="220">
        <f>50000+10000</f>
        <v>60000</v>
      </c>
      <c r="I25" s="85">
        <f>100000+100000</f>
        <v>200000</v>
      </c>
      <c r="J25" s="509">
        <f t="shared" si="0"/>
        <v>553029.666666667</v>
      </c>
      <c r="K25" s="85"/>
      <c r="L25" s="85">
        <v>150000</v>
      </c>
      <c r="M25" s="85"/>
      <c r="N25" s="85"/>
      <c r="O25" s="85">
        <f>'Additional Leg Duty Allowance'!P16</f>
        <v>80347.4269866667</v>
      </c>
      <c r="P25" s="85">
        <v>23442.3733333333</v>
      </c>
      <c r="Q25" s="510">
        <f t="shared" si="1"/>
        <v>253789.80032</v>
      </c>
      <c r="R25" s="85">
        <v>319239.866346667</v>
      </c>
      <c r="S25" s="509">
        <f t="shared" si="2"/>
        <v>299239.866346667</v>
      </c>
    </row>
    <row r="26" customHeight="1" spans="1:19">
      <c r="A26" s="10">
        <v>20</v>
      </c>
      <c r="B26" s="14" t="s">
        <v>71</v>
      </c>
      <c r="C26" s="17" t="s">
        <v>72</v>
      </c>
      <c r="D26" s="10" t="s">
        <v>70</v>
      </c>
      <c r="E26" s="85">
        <v>293029.666666667</v>
      </c>
      <c r="F26" s="85"/>
      <c r="G26" s="220"/>
      <c r="H26" s="220">
        <v>60000</v>
      </c>
      <c r="I26" s="85"/>
      <c r="J26" s="509">
        <f t="shared" si="0"/>
        <v>353029.666666667</v>
      </c>
      <c r="K26" s="85"/>
      <c r="L26" s="85">
        <v>50000</v>
      </c>
      <c r="M26" s="85"/>
      <c r="O26" s="85">
        <f>42537.3319466667</f>
        <v>42537.3319466667</v>
      </c>
      <c r="P26" s="85">
        <v>23442.3733333334</v>
      </c>
      <c r="Q26" s="510">
        <f t="shared" si="1"/>
        <v>115979.70528</v>
      </c>
      <c r="R26" s="85">
        <v>237049.961386667</v>
      </c>
      <c r="S26" s="509">
        <f t="shared" si="2"/>
        <v>237049.961386667</v>
      </c>
    </row>
    <row r="27" ht="18.75" customHeight="1" spans="1:19">
      <c r="A27" s="10">
        <v>21</v>
      </c>
      <c r="B27" s="4" t="s">
        <v>73</v>
      </c>
      <c r="C27" s="4" t="s">
        <v>74</v>
      </c>
      <c r="D27" s="10" t="s">
        <v>75</v>
      </c>
      <c r="E27" s="85">
        <v>270481.666666667</v>
      </c>
      <c r="F27" s="85"/>
      <c r="G27" s="220"/>
      <c r="H27" s="220">
        <f>50000+10000</f>
        <v>60000</v>
      </c>
      <c r="I27" s="85"/>
      <c r="J27" s="509">
        <f t="shared" si="0"/>
        <v>330481.666666667</v>
      </c>
      <c r="K27" s="85"/>
      <c r="L27" s="85">
        <v>10000</v>
      </c>
      <c r="M27" s="85"/>
      <c r="N27" s="85"/>
      <c r="O27" s="85">
        <v>39052.3130666667</v>
      </c>
      <c r="P27" s="85">
        <v>21638.5333333333</v>
      </c>
      <c r="Q27" s="510">
        <f t="shared" si="1"/>
        <v>70690.8464</v>
      </c>
      <c r="R27" s="85">
        <v>259790.820266667</v>
      </c>
      <c r="S27" s="509">
        <f t="shared" si="2"/>
        <v>259790.820266667</v>
      </c>
    </row>
    <row r="28" ht="18.75" customHeight="1" spans="1:19">
      <c r="A28" s="10">
        <v>22</v>
      </c>
      <c r="B28" s="18" t="s">
        <v>76</v>
      </c>
      <c r="C28" s="12" t="s">
        <v>74</v>
      </c>
      <c r="D28" s="15" t="s">
        <v>75</v>
      </c>
      <c r="E28" s="85">
        <v>270481.666666667</v>
      </c>
      <c r="F28" s="85"/>
      <c r="G28" s="220"/>
      <c r="H28" s="220">
        <f>50000+10000</f>
        <v>60000</v>
      </c>
      <c r="I28" s="85"/>
      <c r="J28" s="509">
        <f t="shared" si="0"/>
        <v>330481.666666667</v>
      </c>
      <c r="K28" s="85"/>
      <c r="L28" s="85"/>
      <c r="M28" s="85"/>
      <c r="N28" s="85"/>
      <c r="O28" s="85">
        <v>39052.3130666667</v>
      </c>
      <c r="P28" s="85">
        <v>21638.5333333333</v>
      </c>
      <c r="Q28" s="510">
        <f t="shared" si="1"/>
        <v>60690.8464</v>
      </c>
      <c r="R28" s="85">
        <v>269790.820266667</v>
      </c>
      <c r="S28" s="509">
        <f t="shared" si="2"/>
        <v>269790.820266667</v>
      </c>
    </row>
    <row r="29" customHeight="1" spans="1:19">
      <c r="A29" s="10">
        <v>23</v>
      </c>
      <c r="B29" s="11" t="s">
        <v>77</v>
      </c>
      <c r="C29" s="17" t="s">
        <v>64</v>
      </c>
      <c r="D29" s="10" t="s">
        <v>75</v>
      </c>
      <c r="E29" s="85">
        <v>270481.666666667</v>
      </c>
      <c r="F29" s="85"/>
      <c r="G29" s="220">
        <f t="shared" ref="G29" si="5">100000</f>
        <v>100000</v>
      </c>
      <c r="H29" s="220"/>
      <c r="I29" s="85"/>
      <c r="J29" s="509">
        <f t="shared" si="0"/>
        <v>370481.666666667</v>
      </c>
      <c r="K29" s="85"/>
      <c r="L29" s="85">
        <f>10000</f>
        <v>10000</v>
      </c>
      <c r="M29" s="85">
        <f>95833.33</f>
        <v>95833.33</v>
      </c>
      <c r="N29" s="85"/>
      <c r="O29" s="85">
        <v>45772.3130666667</v>
      </c>
      <c r="P29" s="85">
        <v>21638.5333333333</v>
      </c>
      <c r="Q29" s="510">
        <f t="shared" si="1"/>
        <v>173244.1764</v>
      </c>
      <c r="R29" s="85">
        <v>197237.490266667</v>
      </c>
      <c r="S29" s="509">
        <f t="shared" si="2"/>
        <v>197237.490266667</v>
      </c>
    </row>
    <row r="30" ht="18.75" customHeight="1" spans="1:19">
      <c r="A30" s="10">
        <v>24</v>
      </c>
      <c r="B30" s="18" t="s">
        <v>78</v>
      </c>
      <c r="C30" s="12" t="s">
        <v>79</v>
      </c>
      <c r="D30" s="15" t="s">
        <v>80</v>
      </c>
      <c r="E30" s="85">
        <v>263165.333333333</v>
      </c>
      <c r="F30" s="85"/>
      <c r="G30" s="220"/>
      <c r="H30" s="220">
        <f t="shared" ref="H30:H35" si="6">60000</f>
        <v>60000</v>
      </c>
      <c r="I30" s="4"/>
      <c r="J30" s="509">
        <f t="shared" si="0"/>
        <v>323165.333333333</v>
      </c>
      <c r="K30" s="85"/>
      <c r="L30" s="85">
        <f>20000</f>
        <v>20000</v>
      </c>
      <c r="M30" s="85">
        <f>17500</f>
        <v>17500</v>
      </c>
      <c r="N30" s="85"/>
      <c r="O30" s="85">
        <v>37921.5005866667</v>
      </c>
      <c r="P30" s="85">
        <v>21053.2266666667</v>
      </c>
      <c r="Q30" s="510">
        <f t="shared" si="1"/>
        <v>96474.7272533334</v>
      </c>
      <c r="R30" s="85">
        <v>226690.60608</v>
      </c>
      <c r="S30" s="509">
        <f t="shared" si="2"/>
        <v>226690.60608</v>
      </c>
    </row>
    <row r="31" ht="18.75" customHeight="1" spans="1:19">
      <c r="A31" s="10">
        <v>25</v>
      </c>
      <c r="B31" s="18" t="s">
        <v>81</v>
      </c>
      <c r="C31" s="4" t="s">
        <v>82</v>
      </c>
      <c r="D31" s="10" t="s">
        <v>83</v>
      </c>
      <c r="E31" s="85">
        <v>255849</v>
      </c>
      <c r="F31" s="85"/>
      <c r="G31" s="220"/>
      <c r="H31" s="220">
        <f t="shared" si="6"/>
        <v>60000</v>
      </c>
      <c r="I31" s="85"/>
      <c r="J31" s="509">
        <f t="shared" si="0"/>
        <v>315849</v>
      </c>
      <c r="K31" s="85"/>
      <c r="L31" s="85">
        <f>30000+20000</f>
        <v>50000</v>
      </c>
      <c r="M31" s="85">
        <v>0</v>
      </c>
      <c r="N31" s="85"/>
      <c r="O31" s="85">
        <v>36790.6881066667</v>
      </c>
      <c r="P31" s="85">
        <v>20467.92</v>
      </c>
      <c r="Q31" s="510">
        <f t="shared" si="1"/>
        <v>107258.608106667</v>
      </c>
      <c r="R31" s="85">
        <v>208590.391893333</v>
      </c>
      <c r="S31" s="509">
        <f t="shared" si="2"/>
        <v>208590.391893333</v>
      </c>
    </row>
    <row r="32" ht="18.75" customHeight="1" spans="1:19">
      <c r="A32" s="10">
        <v>26</v>
      </c>
      <c r="B32" s="18" t="s">
        <v>84</v>
      </c>
      <c r="C32" s="4" t="s">
        <v>82</v>
      </c>
      <c r="D32" s="10" t="s">
        <v>83</v>
      </c>
      <c r="E32" s="85">
        <v>255849</v>
      </c>
      <c r="F32" s="85"/>
      <c r="G32" s="220"/>
      <c r="H32" s="220">
        <f t="shared" si="6"/>
        <v>60000</v>
      </c>
      <c r="I32" s="85"/>
      <c r="J32" s="509">
        <f t="shared" si="0"/>
        <v>315849</v>
      </c>
      <c r="K32" s="85"/>
      <c r="L32" s="85"/>
      <c r="M32" s="85">
        <v>0</v>
      </c>
      <c r="N32" s="85"/>
      <c r="O32" s="85">
        <v>36790.6881066667</v>
      </c>
      <c r="P32" s="85">
        <v>20467.92</v>
      </c>
      <c r="Q32" s="510">
        <f t="shared" si="1"/>
        <v>57258.6081066667</v>
      </c>
      <c r="R32" s="85">
        <v>258590.391893333</v>
      </c>
      <c r="S32" s="509">
        <f t="shared" si="2"/>
        <v>258590.391893333</v>
      </c>
    </row>
    <row r="33" ht="18.75" customHeight="1" spans="1:19">
      <c r="A33" s="10">
        <v>27</v>
      </c>
      <c r="B33" s="18" t="s">
        <v>85</v>
      </c>
      <c r="C33" s="17" t="s">
        <v>86</v>
      </c>
      <c r="D33" s="15" t="s">
        <v>75</v>
      </c>
      <c r="E33" s="85">
        <v>270481.666666667</v>
      </c>
      <c r="F33" s="85"/>
      <c r="G33" s="220"/>
      <c r="H33" s="220">
        <f t="shared" si="6"/>
        <v>60000</v>
      </c>
      <c r="I33" s="85"/>
      <c r="J33" s="509">
        <f t="shared" si="0"/>
        <v>330481.666666667</v>
      </c>
      <c r="K33" s="85"/>
      <c r="L33" s="85">
        <f>10000</f>
        <v>10000</v>
      </c>
      <c r="M33" s="85">
        <v>161429.76</v>
      </c>
      <c r="N33" s="85">
        <f>3653.5</f>
        <v>3653.5</v>
      </c>
      <c r="O33" s="220">
        <v>39052.3130666667</v>
      </c>
      <c r="P33" s="220">
        <v>21638.5333333333</v>
      </c>
      <c r="Q33" s="510">
        <f t="shared" si="1"/>
        <v>235774.1064</v>
      </c>
      <c r="R33" s="85">
        <v>94707.560266667</v>
      </c>
      <c r="S33" s="509">
        <f t="shared" si="2"/>
        <v>94707.560266667</v>
      </c>
    </row>
    <row r="34" ht="18.75" customHeight="1" spans="1:19">
      <c r="A34" s="10">
        <v>28</v>
      </c>
      <c r="B34" s="18" t="s">
        <v>87</v>
      </c>
      <c r="C34" s="4" t="s">
        <v>74</v>
      </c>
      <c r="D34" s="10" t="s">
        <v>83</v>
      </c>
      <c r="E34" s="85">
        <v>255849</v>
      </c>
      <c r="F34" s="85"/>
      <c r="G34" s="220"/>
      <c r="H34" s="220">
        <f t="shared" si="6"/>
        <v>60000</v>
      </c>
      <c r="I34" s="85"/>
      <c r="J34" s="509">
        <f t="shared" ref="J34" si="7">E34+F34+G34+H34+I34</f>
        <v>315849</v>
      </c>
      <c r="K34" s="85"/>
      <c r="L34" s="85"/>
      <c r="M34" s="85">
        <v>0</v>
      </c>
      <c r="N34" s="85"/>
      <c r="O34" s="85">
        <f>36790.6881066667</f>
        <v>36790.6881066667</v>
      </c>
      <c r="P34" s="85">
        <v>20467.92</v>
      </c>
      <c r="Q34" s="510">
        <f t="shared" ref="Q34" si="8">O34+N34+M34+L34+K34+P34</f>
        <v>57258.6081066667</v>
      </c>
      <c r="R34" s="85">
        <v>258590.391893333</v>
      </c>
      <c r="S34" s="509">
        <f t="shared" ref="S34" si="9">J34-Q34</f>
        <v>258590.391893333</v>
      </c>
    </row>
    <row r="35" ht="18.75" customHeight="1" spans="1:19">
      <c r="A35" s="10">
        <v>29</v>
      </c>
      <c r="B35" s="18" t="s">
        <v>88</v>
      </c>
      <c r="C35" s="4" t="s">
        <v>89</v>
      </c>
      <c r="D35" s="10" t="s">
        <v>83</v>
      </c>
      <c r="E35" s="85">
        <v>255849</v>
      </c>
      <c r="F35" s="85"/>
      <c r="G35" s="220"/>
      <c r="H35" s="220">
        <f t="shared" si="6"/>
        <v>60000</v>
      </c>
      <c r="I35" s="85"/>
      <c r="J35" s="509">
        <f t="shared" si="0"/>
        <v>315849</v>
      </c>
      <c r="K35" s="85"/>
      <c r="L35" s="85">
        <f>0</f>
        <v>0</v>
      </c>
      <c r="M35" s="85"/>
      <c r="N35" s="85"/>
      <c r="O35" s="85">
        <v>36790.6881066667</v>
      </c>
      <c r="P35" s="85">
        <v>20467.92</v>
      </c>
      <c r="Q35" s="510">
        <f t="shared" si="1"/>
        <v>57258.6081066667</v>
      </c>
      <c r="R35" s="85">
        <v>258590.391893333</v>
      </c>
      <c r="S35" s="509">
        <f t="shared" si="2"/>
        <v>258590.391893333</v>
      </c>
    </row>
    <row r="36" ht="18.75" customHeight="1" spans="1:19">
      <c r="A36" s="10">
        <v>30</v>
      </c>
      <c r="B36" s="18" t="s">
        <v>90</v>
      </c>
      <c r="C36" s="12" t="s">
        <v>91</v>
      </c>
      <c r="D36" s="15" t="s">
        <v>92</v>
      </c>
      <c r="E36" s="85">
        <v>224459.75</v>
      </c>
      <c r="F36" s="85"/>
      <c r="G36" s="220"/>
      <c r="H36" s="220">
        <v>50000</v>
      </c>
      <c r="I36" s="85"/>
      <c r="J36" s="509">
        <f t="shared" si="0"/>
        <v>274459.75</v>
      </c>
      <c r="K36" s="85"/>
      <c r="L36" s="85">
        <v>20000</v>
      </c>
      <c r="M36" s="85">
        <v>0</v>
      </c>
      <c r="N36" s="85"/>
      <c r="O36" s="85">
        <v>30259.1656266667</v>
      </c>
      <c r="P36" s="85">
        <v>17956.78</v>
      </c>
      <c r="Q36" s="510">
        <f t="shared" si="1"/>
        <v>68215.9456266667</v>
      </c>
      <c r="R36" s="85">
        <v>206243.804373333</v>
      </c>
      <c r="S36" s="509">
        <f t="shared" si="2"/>
        <v>206243.804373333</v>
      </c>
    </row>
    <row r="37" ht="18.75" customHeight="1" spans="1:19">
      <c r="A37" s="10">
        <v>31</v>
      </c>
      <c r="B37" s="18" t="s">
        <v>93</v>
      </c>
      <c r="C37" s="12" t="s">
        <v>94</v>
      </c>
      <c r="D37" s="15" t="s">
        <v>95</v>
      </c>
      <c r="E37" s="674">
        <v>218287.583333333</v>
      </c>
      <c r="F37" s="85"/>
      <c r="G37" s="220"/>
      <c r="H37" s="220">
        <v>50000</v>
      </c>
      <c r="I37" s="85"/>
      <c r="J37" s="509">
        <f t="shared" si="0"/>
        <v>268287.583333333</v>
      </c>
      <c r="K37" s="85"/>
      <c r="L37" s="684">
        <v>50000</v>
      </c>
      <c r="M37" s="684">
        <v>45833.33</v>
      </c>
      <c r="O37" s="684">
        <f>29305.1955466667</f>
        <v>29305.1955466667</v>
      </c>
      <c r="P37" s="685">
        <f>218287.583333333*0.08</f>
        <v>17463.0066666666</v>
      </c>
      <c r="Q37" s="510">
        <f t="shared" si="1"/>
        <v>142601.532213333</v>
      </c>
      <c r="R37" s="85">
        <v>125686.05112</v>
      </c>
      <c r="S37" s="509">
        <f t="shared" si="2"/>
        <v>125686.05112</v>
      </c>
    </row>
    <row r="38" ht="26.25" customHeight="1" spans="1:19">
      <c r="A38" s="10"/>
      <c r="B38" s="20" t="s">
        <v>96</v>
      </c>
      <c r="C38" s="21">
        <v>31</v>
      </c>
      <c r="D38" s="15"/>
      <c r="E38" s="221">
        <f t="shared" ref="E38:Q38" si="10">SUM(E7:E37)</f>
        <v>14111049.417</v>
      </c>
      <c r="F38" s="221">
        <f t="shared" si="10"/>
        <v>0</v>
      </c>
      <c r="G38" s="221">
        <f t="shared" si="10"/>
        <v>1560000</v>
      </c>
      <c r="H38" s="221">
        <f t="shared" si="10"/>
        <v>1330000</v>
      </c>
      <c r="I38" s="221">
        <f t="shared" si="10"/>
        <v>2125235</v>
      </c>
      <c r="J38" s="221">
        <f t="shared" si="10"/>
        <v>19126284.417</v>
      </c>
      <c r="K38" s="221">
        <f t="shared" si="10"/>
        <v>0</v>
      </c>
      <c r="L38" s="221">
        <f t="shared" si="10"/>
        <v>1100000</v>
      </c>
      <c r="M38" s="221">
        <f t="shared" si="10"/>
        <v>1314743.32</v>
      </c>
      <c r="N38" s="221">
        <f t="shared" si="10"/>
        <v>46087.3312500001</v>
      </c>
      <c r="O38" s="221">
        <f t="shared" si="10"/>
        <v>2843094.3699712</v>
      </c>
      <c r="P38" s="221">
        <f t="shared" si="10"/>
        <v>935114.013333334</v>
      </c>
      <c r="Q38" s="221">
        <f t="shared" si="10"/>
        <v>6239039.03455454</v>
      </c>
      <c r="R38" s="221">
        <v>13048225.8224455</v>
      </c>
      <c r="S38" s="221">
        <f>SUM(S7:S37)</f>
        <v>12887245.3824455</v>
      </c>
    </row>
    <row r="39" ht="18.75" customHeight="1" spans="1:19">
      <c r="A39" s="10"/>
      <c r="B39" s="22"/>
      <c r="C39" s="4"/>
      <c r="D39" s="15"/>
      <c r="E39" s="221"/>
      <c r="F39" s="221"/>
      <c r="G39" s="220"/>
      <c r="H39" s="220"/>
      <c r="I39" s="221"/>
      <c r="J39" s="514"/>
      <c r="K39" s="221"/>
      <c r="L39" s="221"/>
      <c r="M39" s="221"/>
      <c r="N39" s="221"/>
      <c r="O39" s="221"/>
      <c r="P39" s="221"/>
      <c r="Q39" s="515"/>
      <c r="R39" s="221"/>
      <c r="S39" s="514"/>
    </row>
    <row r="40" ht="18.75" customHeight="1" spans="1:19">
      <c r="A40" s="10"/>
      <c r="B40" s="20" t="s">
        <v>97</v>
      </c>
      <c r="C40" s="4"/>
      <c r="D40" s="15"/>
      <c r="E40" s="85"/>
      <c r="F40" s="85"/>
      <c r="G40" s="220"/>
      <c r="H40" s="220"/>
      <c r="I40" s="85"/>
      <c r="J40" s="509"/>
      <c r="K40" s="85"/>
      <c r="L40" s="85"/>
      <c r="M40" s="85"/>
      <c r="N40" s="85"/>
      <c r="O40" s="85"/>
      <c r="P40" s="85"/>
      <c r="Q40" s="510"/>
      <c r="R40" s="85"/>
      <c r="S40" s="509"/>
    </row>
    <row r="41" ht="18.75" customHeight="1" spans="1:19">
      <c r="A41" s="10">
        <v>1</v>
      </c>
      <c r="B41" s="18" t="s">
        <v>98</v>
      </c>
      <c r="C41" s="4" t="s">
        <v>99</v>
      </c>
      <c r="D41" s="10" t="s">
        <v>100</v>
      </c>
      <c r="E41" s="85">
        <v>1435720</v>
      </c>
      <c r="F41" s="85"/>
      <c r="G41" s="220"/>
      <c r="H41" s="220">
        <f>100000</f>
        <v>100000</v>
      </c>
      <c r="I41" s="85"/>
      <c r="J41" s="509">
        <f>SUM(E41:I41)</f>
        <v>1535720</v>
      </c>
      <c r="K41" s="85">
        <f>'MARCH 2025'!F204</f>
        <v>0</v>
      </c>
      <c r="L41" s="85">
        <f>300000</f>
        <v>300000</v>
      </c>
      <c r="M41" s="85">
        <f>458333.33</f>
        <v>458333.33</v>
      </c>
      <c r="N41" s="85"/>
      <c r="O41" s="85">
        <v>251472.247466667</v>
      </c>
      <c r="P41" s="85">
        <v>114857.6</v>
      </c>
      <c r="Q41" s="510">
        <f>O41+N41+M41+L41+K41+P41</f>
        <v>1124663.17746667</v>
      </c>
      <c r="R41" s="85">
        <v>411056.822533333</v>
      </c>
      <c r="S41" s="509">
        <f>J41-Q41</f>
        <v>411056.822533333</v>
      </c>
    </row>
    <row r="42" ht="18.75" customHeight="1" spans="1:19">
      <c r="A42" s="10">
        <v>2</v>
      </c>
      <c r="B42" s="18" t="s">
        <v>101</v>
      </c>
      <c r="C42" s="4" t="s">
        <v>102</v>
      </c>
      <c r="D42" s="10" t="s">
        <v>70</v>
      </c>
      <c r="E42" s="85">
        <v>293029.666666667</v>
      </c>
      <c r="F42" s="85"/>
      <c r="G42" s="220"/>
      <c r="H42" s="220">
        <f>60000</f>
        <v>60000</v>
      </c>
      <c r="I42" s="85"/>
      <c r="J42" s="509">
        <f t="shared" ref="J42:J44" si="11">SUM(E42:I42)</f>
        <v>353029.666666667</v>
      </c>
      <c r="K42" s="85"/>
      <c r="L42" s="85">
        <f>20000</f>
        <v>20000</v>
      </c>
      <c r="M42" s="85">
        <v>45833.33</v>
      </c>
      <c r="N42" s="85"/>
      <c r="O42" s="85">
        <v>42537.3319466667</v>
      </c>
      <c r="P42" s="85">
        <v>23442.3733333333</v>
      </c>
      <c r="Q42" s="510">
        <f t="shared" ref="Q42:Q44" si="12">O42+N42+M42+L42+K42+P42</f>
        <v>131813.03528</v>
      </c>
      <c r="R42" s="85">
        <v>221216.631386667</v>
      </c>
      <c r="S42" s="509">
        <f>J42-Q42</f>
        <v>221216.631386667</v>
      </c>
    </row>
    <row r="43" ht="18.75" customHeight="1" spans="1:19">
      <c r="A43" s="10">
        <v>3</v>
      </c>
      <c r="B43" s="11" t="s">
        <v>103</v>
      </c>
      <c r="C43" s="4" t="s">
        <v>102</v>
      </c>
      <c r="D43" s="15" t="s">
        <v>104</v>
      </c>
      <c r="E43" s="85">
        <v>300965.583333333</v>
      </c>
      <c r="F43" s="85"/>
      <c r="G43" s="220"/>
      <c r="H43" s="220">
        <f>50000+10000</f>
        <v>60000</v>
      </c>
      <c r="I43" s="85"/>
      <c r="J43" s="509">
        <f t="shared" si="11"/>
        <v>360965.583333333</v>
      </c>
      <c r="K43" s="85"/>
      <c r="L43" s="85">
        <f>10000</f>
        <v>10000</v>
      </c>
      <c r="M43" s="85"/>
      <c r="N43" s="85"/>
      <c r="O43" s="85">
        <v>43763.9072266667</v>
      </c>
      <c r="P43" s="85">
        <v>24077.2466666667</v>
      </c>
      <c r="Q43" s="510">
        <f t="shared" si="12"/>
        <v>77841.1538933334</v>
      </c>
      <c r="R43" s="85">
        <v>283124.42944</v>
      </c>
      <c r="S43" s="509">
        <f>J43-Q43</f>
        <v>283124.42944</v>
      </c>
    </row>
    <row r="44" ht="18.75" customHeight="1" spans="1:19">
      <c r="A44" s="10">
        <v>4</v>
      </c>
      <c r="B44" s="11" t="s">
        <v>105</v>
      </c>
      <c r="C44" s="4" t="s">
        <v>106</v>
      </c>
      <c r="D44" s="15" t="s">
        <v>83</v>
      </c>
      <c r="E44" s="674">
        <f>'[3]Annual &amp; Monthly'!$H$37</f>
        <v>255849</v>
      </c>
      <c r="F44" s="85"/>
      <c r="G44" s="220"/>
      <c r="H44" s="220">
        <v>60000</v>
      </c>
      <c r="I44" s="85"/>
      <c r="J44" s="509">
        <f t="shared" si="11"/>
        <v>315849</v>
      </c>
      <c r="K44" s="85"/>
      <c r="L44" s="684">
        <v>50000</v>
      </c>
      <c r="M44" s="684"/>
      <c r="O44" s="684">
        <f>36790.6881066667</f>
        <v>36790.6881066667</v>
      </c>
      <c r="P44" s="685">
        <f>255849*0.08</f>
        <v>20467.92</v>
      </c>
      <c r="Q44" s="510">
        <f t="shared" si="12"/>
        <v>107258.608106667</v>
      </c>
      <c r="R44" s="85">
        <v>208590.391893333</v>
      </c>
      <c r="S44" s="509">
        <f>J44-Q44</f>
        <v>208590.391893333</v>
      </c>
    </row>
    <row r="45" ht="19.5" customHeight="1" spans="1:19">
      <c r="A45" s="10"/>
      <c r="B45" s="14"/>
      <c r="C45" s="21">
        <v>4</v>
      </c>
      <c r="D45" s="10"/>
      <c r="E45" s="221">
        <f>SUM(E41:E44)</f>
        <v>2285564.25</v>
      </c>
      <c r="F45" s="221">
        <f t="shared" ref="F45:S45" si="13">SUM(F41:F44)</f>
        <v>0</v>
      </c>
      <c r="G45" s="221">
        <f t="shared" si="13"/>
        <v>0</v>
      </c>
      <c r="H45" s="221">
        <f t="shared" si="13"/>
        <v>280000</v>
      </c>
      <c r="I45" s="221">
        <f t="shared" si="13"/>
        <v>0</v>
      </c>
      <c r="J45" s="221">
        <f t="shared" si="13"/>
        <v>2565564.25</v>
      </c>
      <c r="K45" s="221">
        <f t="shared" si="13"/>
        <v>0</v>
      </c>
      <c r="L45" s="221">
        <f t="shared" si="13"/>
        <v>380000</v>
      </c>
      <c r="M45" s="221">
        <f t="shared" si="13"/>
        <v>504166.66</v>
      </c>
      <c r="N45" s="221">
        <f t="shared" si="13"/>
        <v>0</v>
      </c>
      <c r="O45" s="221">
        <f t="shared" si="13"/>
        <v>374564.174746667</v>
      </c>
      <c r="P45" s="221">
        <f t="shared" si="13"/>
        <v>182845.14</v>
      </c>
      <c r="Q45" s="221">
        <f t="shared" si="13"/>
        <v>1441575.97474667</v>
      </c>
      <c r="R45" s="221">
        <v>1123988.27525333</v>
      </c>
      <c r="S45" s="221">
        <f t="shared" si="13"/>
        <v>1123988.27525333</v>
      </c>
    </row>
    <row r="46" customHeight="1" spans="1:19">
      <c r="A46" s="10"/>
      <c r="B46" s="14"/>
      <c r="C46" s="4"/>
      <c r="D46" s="10"/>
      <c r="E46" s="221"/>
      <c r="F46" s="221"/>
      <c r="G46" s="220"/>
      <c r="H46" s="220"/>
      <c r="I46" s="221"/>
      <c r="J46" s="514"/>
      <c r="K46" s="221"/>
      <c r="L46" s="221"/>
      <c r="M46" s="221"/>
      <c r="N46" s="221"/>
      <c r="O46" s="221"/>
      <c r="P46" s="221"/>
      <c r="Q46" s="510"/>
      <c r="R46" s="85"/>
      <c r="S46" s="509"/>
    </row>
    <row r="47" customHeight="1" spans="1:19">
      <c r="A47" s="10"/>
      <c r="B47" s="23" t="s">
        <v>107</v>
      </c>
      <c r="C47" s="5"/>
      <c r="D47" s="24"/>
      <c r="E47" s="221"/>
      <c r="F47" s="221"/>
      <c r="G47" s="220"/>
      <c r="H47" s="220"/>
      <c r="I47" s="85"/>
      <c r="J47" s="509"/>
      <c r="K47" s="85"/>
      <c r="L47" s="85"/>
      <c r="M47" s="85"/>
      <c r="N47" s="85"/>
      <c r="O47" s="85"/>
      <c r="P47" s="85"/>
      <c r="Q47" s="510"/>
      <c r="R47" s="85"/>
      <c r="S47" s="509"/>
    </row>
    <row r="48" customHeight="1" spans="1:19">
      <c r="A48" s="10">
        <v>2</v>
      </c>
      <c r="B48" s="11" t="s">
        <v>108</v>
      </c>
      <c r="C48" s="4" t="s">
        <v>109</v>
      </c>
      <c r="D48" s="10" t="s">
        <v>110</v>
      </c>
      <c r="E48" s="85">
        <v>739203.583333333</v>
      </c>
      <c r="F48" s="85"/>
      <c r="G48" s="220">
        <f>180000</f>
        <v>180000</v>
      </c>
      <c r="H48" s="220"/>
      <c r="I48" s="85"/>
      <c r="J48" s="509">
        <f t="shared" ref="J48:J55" si="14">SUM(E48:I48)</f>
        <v>919203.583333333</v>
      </c>
      <c r="K48" s="85"/>
      <c r="L48" s="85">
        <f>80000+23000</f>
        <v>103000</v>
      </c>
      <c r="M48" s="85">
        <f>246905.96</f>
        <v>246905.96</v>
      </c>
      <c r="N48" s="85"/>
      <c r="O48" s="85">
        <v>143799.587626667</v>
      </c>
      <c r="P48" s="85">
        <v>59136.2866666667</v>
      </c>
      <c r="Q48" s="510">
        <f t="shared" ref="Q48:Q55" si="15">O48+N48+M48+L48+K48+P48</f>
        <v>552841.834293334</v>
      </c>
      <c r="R48" s="85">
        <v>366361.749039999</v>
      </c>
      <c r="S48" s="509">
        <f t="shared" ref="S48:S55" si="16">J48-Q48</f>
        <v>366361.749039999</v>
      </c>
    </row>
    <row r="49" customHeight="1" spans="1:19">
      <c r="A49" s="10">
        <v>3</v>
      </c>
      <c r="B49" s="11" t="s">
        <v>111</v>
      </c>
      <c r="C49" s="4" t="s">
        <v>112</v>
      </c>
      <c r="D49" s="10" t="s">
        <v>36</v>
      </c>
      <c r="E49" s="85">
        <v>620675.583333333</v>
      </c>
      <c r="F49" s="85"/>
      <c r="G49" s="220">
        <f>160000</f>
        <v>160000</v>
      </c>
      <c r="H49" s="220"/>
      <c r="I49" s="85"/>
      <c r="J49" s="509">
        <f t="shared" si="14"/>
        <v>780675.583333333</v>
      </c>
      <c r="K49" s="85"/>
      <c r="L49" s="85">
        <f>30000</f>
        <v>30000</v>
      </c>
      <c r="M49" s="85">
        <v>223059.88</v>
      </c>
      <c r="N49" s="85"/>
      <c r="O49" s="85">
        <v>119022.801706667</v>
      </c>
      <c r="P49" s="85">
        <v>49654.0466666667</v>
      </c>
      <c r="Q49" s="510">
        <f t="shared" si="15"/>
        <v>421736.728373334</v>
      </c>
      <c r="R49" s="85">
        <v>358938.854959999</v>
      </c>
      <c r="S49" s="509">
        <f t="shared" si="16"/>
        <v>358938.854959999</v>
      </c>
    </row>
    <row r="50" customHeight="1" spans="1:19">
      <c r="A50" s="10">
        <v>4</v>
      </c>
      <c r="B50" s="11" t="s">
        <v>113</v>
      </c>
      <c r="C50" s="4" t="s">
        <v>112</v>
      </c>
      <c r="D50" s="10" t="s">
        <v>36</v>
      </c>
      <c r="E50" s="85">
        <v>620675.583333333</v>
      </c>
      <c r="F50" s="85"/>
      <c r="G50" s="220">
        <f>140000+20000</f>
        <v>160000</v>
      </c>
      <c r="H50" s="220"/>
      <c r="I50" s="85">
        <v>0</v>
      </c>
      <c r="J50" s="509">
        <f t="shared" si="14"/>
        <v>780675.583333333</v>
      </c>
      <c r="K50" s="85"/>
      <c r="L50" s="85"/>
      <c r="M50" s="85"/>
      <c r="N50" s="85">
        <f>'New NHF Deduction'!G48</f>
        <v>8380.22708333333</v>
      </c>
      <c r="O50" s="85">
        <v>118861.965706667</v>
      </c>
      <c r="P50" s="85">
        <v>49654.0466666667</v>
      </c>
      <c r="Q50" s="510">
        <f t="shared" si="15"/>
        <v>176896.239456667</v>
      </c>
      <c r="R50" s="85">
        <v>603779.343876666</v>
      </c>
      <c r="S50" s="509">
        <f t="shared" si="16"/>
        <v>603779.343876666</v>
      </c>
    </row>
    <row r="51" customHeight="1" spans="1:19">
      <c r="A51" s="10">
        <v>5</v>
      </c>
      <c r="B51" s="11" t="s">
        <v>114</v>
      </c>
      <c r="C51" s="4" t="s">
        <v>112</v>
      </c>
      <c r="D51" s="10" t="s">
        <v>39</v>
      </c>
      <c r="E51" s="85">
        <v>582118.083333333</v>
      </c>
      <c r="F51" s="85"/>
      <c r="G51" s="220">
        <f>140000+20000</f>
        <v>160000</v>
      </c>
      <c r="H51" s="220"/>
      <c r="I51" s="85"/>
      <c r="J51" s="509">
        <f t="shared" si="14"/>
        <v>742118.083333333</v>
      </c>
      <c r="K51" s="85"/>
      <c r="L51" s="85">
        <f>15000</f>
        <v>15000</v>
      </c>
      <c r="M51" s="85">
        <v>99000</v>
      </c>
      <c r="N51" s="85"/>
      <c r="O51" s="85">
        <v>112212.004906667</v>
      </c>
      <c r="P51" s="85">
        <v>46569.4466666667</v>
      </c>
      <c r="Q51" s="510">
        <f t="shared" si="15"/>
        <v>272781.451573334</v>
      </c>
      <c r="R51" s="85">
        <v>469336.631759999</v>
      </c>
      <c r="S51" s="509">
        <f t="shared" si="16"/>
        <v>469336.631759999</v>
      </c>
    </row>
    <row r="52" customHeight="1" spans="1:19">
      <c r="A52" s="10">
        <v>6</v>
      </c>
      <c r="B52" s="14" t="s">
        <v>115</v>
      </c>
      <c r="C52" s="4" t="s">
        <v>112</v>
      </c>
      <c r="D52" s="10" t="s">
        <v>39</v>
      </c>
      <c r="E52" s="85">
        <v>582118.083333333</v>
      </c>
      <c r="F52" s="85"/>
      <c r="G52" s="220">
        <f>160000</f>
        <v>160000</v>
      </c>
      <c r="H52" s="220"/>
      <c r="I52" s="85"/>
      <c r="J52" s="509">
        <f t="shared" si="14"/>
        <v>742118.083333333</v>
      </c>
      <c r="K52" s="85"/>
      <c r="L52" s="85"/>
      <c r="M52" s="85"/>
      <c r="N52" s="85">
        <v>0</v>
      </c>
      <c r="O52" s="85">
        <v>112211.988957867</v>
      </c>
      <c r="P52" s="85">
        <f>46569.45</f>
        <v>46569.45</v>
      </c>
      <c r="Q52" s="510">
        <f t="shared" si="15"/>
        <v>158781.438957867</v>
      </c>
      <c r="R52" s="85">
        <v>583336.644375466</v>
      </c>
      <c r="S52" s="509">
        <f t="shared" si="16"/>
        <v>583336.644375466</v>
      </c>
    </row>
    <row r="53" customHeight="1" spans="1:19">
      <c r="A53" s="10">
        <v>7</v>
      </c>
      <c r="B53" s="11" t="s">
        <v>116</v>
      </c>
      <c r="C53" s="4" t="s">
        <v>117</v>
      </c>
      <c r="D53" s="10" t="s">
        <v>104</v>
      </c>
      <c r="E53" s="85">
        <v>300965.583333333</v>
      </c>
      <c r="F53" s="85"/>
      <c r="G53" s="220">
        <v>100000</v>
      </c>
      <c r="H53" s="220"/>
      <c r="I53" s="85"/>
      <c r="J53" s="509">
        <f t="shared" si="14"/>
        <v>400965.583333333</v>
      </c>
      <c r="K53" s="85"/>
      <c r="L53" s="85"/>
      <c r="M53" s="85"/>
      <c r="N53" s="85"/>
      <c r="O53" s="85">
        <v>51029.2273066667</v>
      </c>
      <c r="P53" s="85">
        <v>24077.2466666667</v>
      </c>
      <c r="Q53" s="510">
        <f t="shared" si="15"/>
        <v>75106.4739733334</v>
      </c>
      <c r="R53" s="85">
        <v>325859.10936</v>
      </c>
      <c r="S53" s="509">
        <f t="shared" si="16"/>
        <v>325859.10936</v>
      </c>
    </row>
    <row r="54" customHeight="1" spans="1:19">
      <c r="A54" s="10">
        <v>8</v>
      </c>
      <c r="B54" s="11" t="s">
        <v>118</v>
      </c>
      <c r="C54" s="4" t="s">
        <v>117</v>
      </c>
      <c r="D54" s="10" t="s">
        <v>80</v>
      </c>
      <c r="E54" s="85">
        <v>263165.333333333</v>
      </c>
      <c r="F54" s="85"/>
      <c r="G54" s="220">
        <f>100000</f>
        <v>100000</v>
      </c>
      <c r="H54" s="220"/>
      <c r="I54" s="85"/>
      <c r="J54" s="509">
        <f t="shared" si="14"/>
        <v>363165.333333333</v>
      </c>
      <c r="K54" s="85"/>
      <c r="L54" s="85"/>
      <c r="M54" s="85"/>
      <c r="N54" s="85"/>
      <c r="O54" s="85">
        <v>44641.5005866667</v>
      </c>
      <c r="P54" s="85">
        <v>21053.2266666667</v>
      </c>
      <c r="Q54" s="510">
        <f t="shared" si="15"/>
        <v>65694.7272533334</v>
      </c>
      <c r="R54" s="85">
        <v>297470.60608</v>
      </c>
      <c r="S54" s="509">
        <f t="shared" si="16"/>
        <v>297470.60608</v>
      </c>
    </row>
    <row r="55" customHeight="1" spans="1:19">
      <c r="A55" s="10">
        <v>9</v>
      </c>
      <c r="B55" s="11" t="s">
        <v>119</v>
      </c>
      <c r="C55" s="4" t="s">
        <v>117</v>
      </c>
      <c r="D55" s="10" t="s">
        <v>80</v>
      </c>
      <c r="E55" s="85">
        <v>263165.333333333</v>
      </c>
      <c r="F55" s="85"/>
      <c r="G55" s="220">
        <f>100000</f>
        <v>100000</v>
      </c>
      <c r="H55" s="220"/>
      <c r="I55" s="85"/>
      <c r="J55" s="509">
        <f t="shared" si="14"/>
        <v>363165.333333333</v>
      </c>
      <c r="K55" s="85"/>
      <c r="L55" s="85"/>
      <c r="M55" s="85"/>
      <c r="N55" s="85"/>
      <c r="O55" s="85">
        <v>44641.5005866667</v>
      </c>
      <c r="P55" s="85">
        <v>21053.2266666667</v>
      </c>
      <c r="Q55" s="510">
        <f t="shared" si="15"/>
        <v>65694.7272533334</v>
      </c>
      <c r="R55" s="85">
        <v>297470.60608</v>
      </c>
      <c r="S55" s="509">
        <f t="shared" si="16"/>
        <v>297470.60608</v>
      </c>
    </row>
    <row r="56" ht="25.5" customHeight="1" spans="1:19">
      <c r="A56" s="10"/>
      <c r="B56" s="20" t="s">
        <v>96</v>
      </c>
      <c r="C56" s="21">
        <v>9</v>
      </c>
      <c r="D56" s="21"/>
      <c r="E56" s="93">
        <f t="shared" ref="E56:Q56" si="17">SUM(E48:E55)</f>
        <v>3972087.16666666</v>
      </c>
      <c r="F56" s="93">
        <f t="shared" si="17"/>
        <v>0</v>
      </c>
      <c r="G56" s="93">
        <f t="shared" si="17"/>
        <v>1120000</v>
      </c>
      <c r="H56" s="93">
        <f t="shared" si="17"/>
        <v>0</v>
      </c>
      <c r="I56" s="93">
        <f t="shared" si="17"/>
        <v>0</v>
      </c>
      <c r="J56" s="93">
        <f t="shared" si="17"/>
        <v>5092087.16666666</v>
      </c>
      <c r="K56" s="93">
        <f t="shared" si="17"/>
        <v>0</v>
      </c>
      <c r="L56" s="93">
        <f t="shared" si="17"/>
        <v>148000</v>
      </c>
      <c r="M56" s="93">
        <f t="shared" si="17"/>
        <v>568965.84</v>
      </c>
      <c r="N56" s="93">
        <f t="shared" si="17"/>
        <v>8380.22708333333</v>
      </c>
      <c r="O56" s="93">
        <f t="shared" si="17"/>
        <v>746420.577384535</v>
      </c>
      <c r="P56" s="93">
        <f t="shared" si="17"/>
        <v>317766.976666667</v>
      </c>
      <c r="Q56" s="93">
        <f t="shared" si="17"/>
        <v>1789533.62113454</v>
      </c>
      <c r="R56" s="93">
        <v>3302553.54553213</v>
      </c>
      <c r="S56" s="93">
        <f>SUM(S48:S55)</f>
        <v>3302553.54553213</v>
      </c>
    </row>
    <row r="57" customHeight="1" spans="1:19">
      <c r="A57" s="10"/>
      <c r="B57" s="22"/>
      <c r="C57" s="21"/>
      <c r="D57" s="21"/>
      <c r="E57" s="146"/>
      <c r="F57" s="146"/>
      <c r="G57" s="220"/>
      <c r="H57" s="220"/>
      <c r="I57" s="146"/>
      <c r="J57" s="516"/>
      <c r="K57" s="146"/>
      <c r="L57" s="146"/>
      <c r="M57" s="146"/>
      <c r="N57" s="146"/>
      <c r="O57" s="146"/>
      <c r="P57" s="146"/>
      <c r="Q57" s="517"/>
      <c r="R57" s="146"/>
      <c r="S57" s="516"/>
    </row>
    <row r="58" customHeight="1" spans="1:19">
      <c r="A58" s="10"/>
      <c r="B58" s="20" t="s">
        <v>120</v>
      </c>
      <c r="C58" s="21"/>
      <c r="D58" s="21"/>
      <c r="E58" s="146"/>
      <c r="F58" s="146"/>
      <c r="G58" s="220"/>
      <c r="H58" s="220"/>
      <c r="I58" s="146"/>
      <c r="J58" s="516"/>
      <c r="K58" s="146"/>
      <c r="L58" s="146"/>
      <c r="M58" s="146"/>
      <c r="N58" s="146"/>
      <c r="O58" s="146"/>
      <c r="P58" s="146"/>
      <c r="Q58" s="517"/>
      <c r="R58" s="146"/>
      <c r="S58" s="516"/>
    </row>
    <row r="59" customHeight="1" spans="1:19">
      <c r="A59" s="10">
        <v>1</v>
      </c>
      <c r="B59" s="11" t="s">
        <v>121</v>
      </c>
      <c r="C59" s="12" t="s">
        <v>122</v>
      </c>
      <c r="D59" s="15" t="s">
        <v>100</v>
      </c>
      <c r="E59" s="85">
        <v>1435720</v>
      </c>
      <c r="F59" s="85"/>
      <c r="G59" s="220">
        <f>200000</f>
        <v>200000</v>
      </c>
      <c r="H59" s="220"/>
      <c r="I59" s="85">
        <v>0</v>
      </c>
      <c r="J59" s="509">
        <f>SUM(E59:I59)</f>
        <v>1635720</v>
      </c>
      <c r="K59" s="85"/>
      <c r="L59" s="85">
        <v>250000</v>
      </c>
      <c r="M59" s="85"/>
      <c r="N59" s="85">
        <v>0</v>
      </c>
      <c r="O59" s="674">
        <v>270672.247466667</v>
      </c>
      <c r="P59" s="674">
        <v>114857.6</v>
      </c>
      <c r="Q59" s="510">
        <f>O59+N59+M59+L59+K59+P59</f>
        <v>635529.847466667</v>
      </c>
      <c r="R59" s="85">
        <v>1000190.15253333</v>
      </c>
      <c r="S59" s="509">
        <f>J59-Q59</f>
        <v>1000190.15253333</v>
      </c>
    </row>
    <row r="60" customHeight="1" spans="1:19">
      <c r="A60" s="10">
        <v>2</v>
      </c>
      <c r="B60" s="11" t="s">
        <v>123</v>
      </c>
      <c r="C60" s="12" t="s">
        <v>124</v>
      </c>
      <c r="D60" s="15" t="s">
        <v>125</v>
      </c>
      <c r="E60" s="85">
        <v>620675.583333333</v>
      </c>
      <c r="F60" s="85"/>
      <c r="G60" s="220"/>
      <c r="H60" s="220">
        <v>80000</v>
      </c>
      <c r="I60" s="85"/>
      <c r="J60" s="509">
        <f>SUM(E60:I60)</f>
        <v>700675.583333333</v>
      </c>
      <c r="K60" s="85"/>
      <c r="L60" s="85">
        <v>50000</v>
      </c>
      <c r="M60" s="85">
        <v>145000</v>
      </c>
      <c r="N60" s="85">
        <v>0</v>
      </c>
      <c r="O60" s="674">
        <v>103662.801706667</v>
      </c>
      <c r="P60" s="674">
        <v>49654.0466666667</v>
      </c>
      <c r="Q60" s="510">
        <f>O60+N60+M60+L60+K60+P60</f>
        <v>348316.848373334</v>
      </c>
      <c r="R60" s="85">
        <v>352358.734959999</v>
      </c>
      <c r="S60" s="509">
        <f>J60-Q60</f>
        <v>352358.734959999</v>
      </c>
    </row>
    <row r="61" customHeight="1" spans="1:19">
      <c r="A61" s="10"/>
      <c r="B61" s="20" t="s">
        <v>96</v>
      </c>
      <c r="C61" s="21">
        <v>2</v>
      </c>
      <c r="D61" s="21"/>
      <c r="E61" s="93">
        <f>SUM(E59:E60)</f>
        <v>2056395.58333333</v>
      </c>
      <c r="F61" s="93">
        <f t="shared" ref="F61:S61" si="18">SUM(F59:F60)</f>
        <v>0</v>
      </c>
      <c r="G61" s="93">
        <f t="shared" si="18"/>
        <v>200000</v>
      </c>
      <c r="H61" s="93">
        <f t="shared" si="18"/>
        <v>80000</v>
      </c>
      <c r="I61" s="93">
        <f t="shared" si="18"/>
        <v>0</v>
      </c>
      <c r="J61" s="93">
        <f t="shared" si="18"/>
        <v>2336395.58333333</v>
      </c>
      <c r="K61" s="93">
        <f t="shared" si="18"/>
        <v>0</v>
      </c>
      <c r="L61" s="93">
        <f t="shared" si="18"/>
        <v>300000</v>
      </c>
      <c r="M61" s="93">
        <f t="shared" si="18"/>
        <v>145000</v>
      </c>
      <c r="N61" s="93">
        <f t="shared" si="18"/>
        <v>0</v>
      </c>
      <c r="O61" s="93">
        <f t="shared" si="18"/>
        <v>374335.049173334</v>
      </c>
      <c r="P61" s="93">
        <f t="shared" si="18"/>
        <v>164511.646666667</v>
      </c>
      <c r="Q61" s="93">
        <f t="shared" si="18"/>
        <v>983846.695840001</v>
      </c>
      <c r="R61" s="93">
        <v>1352548.88749333</v>
      </c>
      <c r="S61" s="93">
        <f t="shared" si="18"/>
        <v>1352548.88749333</v>
      </c>
    </row>
    <row r="62" customHeight="1" spans="1:19">
      <c r="A62" s="10"/>
      <c r="B62" s="20"/>
      <c r="C62" s="21"/>
      <c r="D62" s="21"/>
      <c r="E62" s="146"/>
      <c r="F62" s="146"/>
      <c r="G62" s="220"/>
      <c r="H62" s="220"/>
      <c r="I62" s="146"/>
      <c r="J62" s="516"/>
      <c r="K62" s="146"/>
      <c r="L62" s="146"/>
      <c r="M62" s="146"/>
      <c r="N62" s="146"/>
      <c r="O62" s="146"/>
      <c r="P62" s="146"/>
      <c r="Q62" s="517"/>
      <c r="R62" s="146"/>
      <c r="S62" s="516"/>
    </row>
    <row r="63" customHeight="1" spans="1:19">
      <c r="A63" s="10"/>
      <c r="B63" s="20" t="s">
        <v>126</v>
      </c>
      <c r="C63" s="21"/>
      <c r="D63" s="21"/>
      <c r="E63" s="146"/>
      <c r="F63" s="146"/>
      <c r="G63" s="220"/>
      <c r="H63" s="220"/>
      <c r="I63" s="146"/>
      <c r="J63" s="516"/>
      <c r="K63" s="146"/>
      <c r="L63" s="146"/>
      <c r="M63" s="146"/>
      <c r="N63" s="146"/>
      <c r="O63" s="146"/>
      <c r="P63" s="146"/>
      <c r="Q63" s="517"/>
      <c r="R63" s="146"/>
      <c r="S63" s="516"/>
    </row>
    <row r="64" customHeight="1" spans="1:20">
      <c r="A64" s="10">
        <v>1</v>
      </c>
      <c r="B64" s="11" t="s">
        <v>127</v>
      </c>
      <c r="C64" s="17" t="s">
        <v>128</v>
      </c>
      <c r="D64" s="10" t="s">
        <v>100</v>
      </c>
      <c r="E64" s="85">
        <f>1435720*(10/31)</f>
        <v>463135.483870968</v>
      </c>
      <c r="F64" s="85"/>
      <c r="G64" s="220">
        <f>200000*(10/31)</f>
        <v>64516.1290322581</v>
      </c>
      <c r="H64" s="220"/>
      <c r="I64" s="85">
        <v>0</v>
      </c>
      <c r="J64" s="509">
        <f t="shared" ref="J64:J71" si="19">SUM(E64:I64)</f>
        <v>527651.612903226</v>
      </c>
      <c r="K64" s="85"/>
      <c r="L64" s="85"/>
      <c r="M64" s="85">
        <v>447675.83</v>
      </c>
      <c r="N64" s="85"/>
      <c r="O64" s="85">
        <v>79975.78</v>
      </c>
      <c r="P64" s="85"/>
      <c r="Q64" s="510">
        <f t="shared" ref="Q64:Q71" si="20">O64+N64+M64+L64+K64+P64</f>
        <v>527651.61</v>
      </c>
      <c r="R64" s="85">
        <v>442995.093333333</v>
      </c>
      <c r="S64" s="509">
        <f t="shared" ref="S64:S71" si="21">J64-Q64</f>
        <v>0.00290322583168745</v>
      </c>
      <c r="T64" s="13"/>
    </row>
    <row r="65" customHeight="1" spans="1:19">
      <c r="A65" s="10">
        <v>2</v>
      </c>
      <c r="B65" s="351" t="s">
        <v>129</v>
      </c>
      <c r="C65" s="17" t="s">
        <v>130</v>
      </c>
      <c r="D65" s="15" t="s">
        <v>131</v>
      </c>
      <c r="E65" s="85">
        <v>601396.833333333</v>
      </c>
      <c r="F65" s="85"/>
      <c r="G65" s="220">
        <f>160000</f>
        <v>160000</v>
      </c>
      <c r="H65" s="220"/>
      <c r="I65" s="146">
        <v>0</v>
      </c>
      <c r="J65" s="509">
        <v>0</v>
      </c>
      <c r="K65" s="85"/>
      <c r="L65" s="85"/>
      <c r="M65" s="85"/>
      <c r="N65" s="85"/>
      <c r="O65" s="85"/>
      <c r="P65" s="85"/>
      <c r="Q65" s="510">
        <f t="shared" si="20"/>
        <v>0</v>
      </c>
      <c r="R65" s="85">
        <v>267139.943359999</v>
      </c>
      <c r="S65" s="509">
        <f t="shared" si="21"/>
        <v>0</v>
      </c>
    </row>
    <row r="66" customHeight="1" spans="1:19">
      <c r="A66" s="10">
        <v>3</v>
      </c>
      <c r="B66" s="11" t="s">
        <v>132</v>
      </c>
      <c r="C66" s="4" t="s">
        <v>133</v>
      </c>
      <c r="D66" s="10" t="s">
        <v>47</v>
      </c>
      <c r="E66" s="85">
        <v>442746.5</v>
      </c>
      <c r="F66" s="85"/>
      <c r="G66" s="220">
        <v>140000</v>
      </c>
      <c r="H66" s="220"/>
      <c r="I66" s="85"/>
      <c r="J66" s="509">
        <f t="shared" si="19"/>
        <v>582746.5</v>
      </c>
      <c r="K66" s="85"/>
      <c r="L66" s="85">
        <f>110000+90000</f>
        <v>200000</v>
      </c>
      <c r="M66" s="85"/>
      <c r="N66" s="85"/>
      <c r="O66" s="85">
        <v>83753.4084266666</v>
      </c>
      <c r="P66" s="85">
        <v>35419.72</v>
      </c>
      <c r="Q66" s="510">
        <f t="shared" si="20"/>
        <v>319173.128426667</v>
      </c>
      <c r="R66" s="85">
        <v>263573.371573333</v>
      </c>
      <c r="S66" s="509">
        <f t="shared" si="21"/>
        <v>263573.371573333</v>
      </c>
    </row>
    <row r="67" customHeight="1" spans="1:19">
      <c r="A67" s="10">
        <v>4</v>
      </c>
      <c r="B67" s="11" t="s">
        <v>134</v>
      </c>
      <c r="C67" s="4" t="s">
        <v>117</v>
      </c>
      <c r="D67" s="10" t="s">
        <v>135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19"/>
        <v>475703.833333333</v>
      </c>
      <c r="K67" s="85"/>
      <c r="L67" s="85">
        <v>10000</v>
      </c>
      <c r="M67" s="85">
        <f>163196.67</f>
        <v>163196.67</v>
      </c>
      <c r="N67" s="85"/>
      <c r="O67" s="85">
        <v>64384.5917866667</v>
      </c>
      <c r="P67" s="85">
        <v>29256.3066666667</v>
      </c>
      <c r="Q67" s="510">
        <f t="shared" si="20"/>
        <v>266837.568453333</v>
      </c>
      <c r="R67" s="85">
        <v>208866.26488</v>
      </c>
      <c r="S67" s="509">
        <f t="shared" si="21"/>
        <v>208866.26488</v>
      </c>
    </row>
    <row r="68" customHeight="1" spans="1:19">
      <c r="A68" s="10">
        <v>5</v>
      </c>
      <c r="B68" s="11" t="s">
        <v>136</v>
      </c>
      <c r="C68" s="17" t="s">
        <v>67</v>
      </c>
      <c r="D68" s="10" t="s">
        <v>135</v>
      </c>
      <c r="E68" s="85">
        <v>365703.833333333</v>
      </c>
      <c r="F68" s="85"/>
      <c r="G68" s="220">
        <f t="shared" ref="G68:G70" si="22">110000</f>
        <v>110000</v>
      </c>
      <c r="H68" s="220"/>
      <c r="I68" s="85">
        <v>0</v>
      </c>
      <c r="J68" s="509">
        <f t="shared" si="19"/>
        <v>475703.833333333</v>
      </c>
      <c r="K68" s="85"/>
      <c r="L68" s="85">
        <f>52000-2000</f>
        <v>50000</v>
      </c>
      <c r="M68" s="85"/>
      <c r="N68" s="85"/>
      <c r="O68" s="85">
        <v>64384.5917866667</v>
      </c>
      <c r="P68" s="85">
        <v>29256.3066666667</v>
      </c>
      <c r="Q68" s="510">
        <f t="shared" si="20"/>
        <v>143640.898453333</v>
      </c>
      <c r="R68" s="85">
        <v>332062.93488</v>
      </c>
      <c r="S68" s="509">
        <f t="shared" si="21"/>
        <v>332062.93488</v>
      </c>
    </row>
    <row r="69" customHeight="1" spans="1:19">
      <c r="A69" s="10">
        <v>6</v>
      </c>
      <c r="B69" s="11" t="s">
        <v>137</v>
      </c>
      <c r="C69" s="17" t="s">
        <v>67</v>
      </c>
      <c r="D69" s="10" t="s">
        <v>135</v>
      </c>
      <c r="E69" s="85">
        <v>365703.833333333</v>
      </c>
      <c r="F69" s="85"/>
      <c r="G69" s="220">
        <f t="shared" si="22"/>
        <v>110000</v>
      </c>
      <c r="H69" s="220"/>
      <c r="I69" s="85">
        <v>0</v>
      </c>
      <c r="J69" s="509">
        <f t="shared" si="19"/>
        <v>475703.833333333</v>
      </c>
      <c r="K69" s="85"/>
      <c r="L69" s="85">
        <f>67000-2000</f>
        <v>65000</v>
      </c>
      <c r="M69" s="85"/>
      <c r="N69" s="85"/>
      <c r="O69" s="85">
        <v>64384.5917866667</v>
      </c>
      <c r="P69" s="85">
        <v>29256.3066666667</v>
      </c>
      <c r="Q69" s="510">
        <f t="shared" si="20"/>
        <v>158640.898453333</v>
      </c>
      <c r="R69" s="85">
        <v>317062.93488</v>
      </c>
      <c r="S69" s="509">
        <f t="shared" si="21"/>
        <v>317062.93488</v>
      </c>
    </row>
    <row r="70" customHeight="1" spans="1:19">
      <c r="A70" s="10">
        <v>7</v>
      </c>
      <c r="B70" s="11" t="s">
        <v>138</v>
      </c>
      <c r="C70" s="4" t="s">
        <v>139</v>
      </c>
      <c r="D70" s="10" t="s">
        <v>62</v>
      </c>
      <c r="E70" s="457">
        <v>377895.166666667</v>
      </c>
      <c r="F70" s="85"/>
      <c r="G70" s="220">
        <f t="shared" si="22"/>
        <v>110000</v>
      </c>
      <c r="H70" s="220"/>
      <c r="I70" s="85"/>
      <c r="J70" s="509">
        <f t="shared" si="19"/>
        <v>487895.166666667</v>
      </c>
      <c r="K70" s="85"/>
      <c r="L70" s="85">
        <f>80000+20000</f>
        <v>100000</v>
      </c>
      <c r="M70" s="85"/>
      <c r="N70" s="85"/>
      <c r="O70" s="85">
        <v>66538.0689066667</v>
      </c>
      <c r="P70" s="85">
        <v>30231.6133333333</v>
      </c>
      <c r="Q70" s="510">
        <f t="shared" si="20"/>
        <v>196769.68224</v>
      </c>
      <c r="R70" s="85">
        <v>291125.484426667</v>
      </c>
      <c r="S70" s="509">
        <f t="shared" si="21"/>
        <v>291125.484426667</v>
      </c>
    </row>
    <row r="71" ht="21.6" customHeight="1" spans="1:19">
      <c r="A71" s="10">
        <v>8</v>
      </c>
      <c r="B71" s="11" t="s">
        <v>140</v>
      </c>
      <c r="C71" s="4" t="s">
        <v>117</v>
      </c>
      <c r="D71" s="10" t="s">
        <v>104</v>
      </c>
      <c r="E71" s="220">
        <v>300965.583333333</v>
      </c>
      <c r="F71" s="85"/>
      <c r="G71" s="220">
        <v>100000</v>
      </c>
      <c r="H71" s="220"/>
      <c r="I71" s="85"/>
      <c r="J71" s="509">
        <f t="shared" si="19"/>
        <v>400965.583333333</v>
      </c>
      <c r="K71" s="4"/>
      <c r="L71" s="4"/>
      <c r="M71" s="4"/>
      <c r="N71" s="4"/>
      <c r="O71" s="85">
        <v>51029.2273066667</v>
      </c>
      <c r="P71" s="85">
        <v>24077.2466666667</v>
      </c>
      <c r="Q71" s="510">
        <f t="shared" si="20"/>
        <v>75106.4739733334</v>
      </c>
      <c r="R71" s="827">
        <v>325859.10936</v>
      </c>
      <c r="S71" s="828">
        <f t="shared" si="21"/>
        <v>325859.10936</v>
      </c>
    </row>
    <row r="72" ht="27" customHeight="1" spans="1:19">
      <c r="A72" s="10"/>
      <c r="B72" s="20" t="s">
        <v>96</v>
      </c>
      <c r="C72" s="21">
        <v>8</v>
      </c>
      <c r="D72" s="21"/>
      <c r="E72" s="93">
        <f t="shared" ref="E72:Q72" si="23">SUM(E64:E71)</f>
        <v>3283251.0672043</v>
      </c>
      <c r="F72" s="93">
        <f t="shared" si="23"/>
        <v>0</v>
      </c>
      <c r="G72" s="93">
        <f t="shared" si="23"/>
        <v>904516.129032258</v>
      </c>
      <c r="H72" s="93">
        <f t="shared" si="23"/>
        <v>0</v>
      </c>
      <c r="I72" s="93">
        <f t="shared" si="23"/>
        <v>0</v>
      </c>
      <c r="J72" s="93">
        <f t="shared" si="23"/>
        <v>3426370.36290322</v>
      </c>
      <c r="K72" s="93">
        <f t="shared" si="23"/>
        <v>0</v>
      </c>
      <c r="L72" s="93">
        <f t="shared" si="23"/>
        <v>425000</v>
      </c>
      <c r="M72" s="93">
        <f t="shared" si="23"/>
        <v>610872.5</v>
      </c>
      <c r="N72" s="93">
        <f t="shared" si="23"/>
        <v>0</v>
      </c>
      <c r="O72" s="93">
        <f t="shared" si="23"/>
        <v>474450.26</v>
      </c>
      <c r="P72" s="93">
        <f t="shared" si="23"/>
        <v>177497.5</v>
      </c>
      <c r="Q72" s="93">
        <f t="shared" si="23"/>
        <v>1687820.26</v>
      </c>
      <c r="R72" s="93">
        <v>2448685.13669333</v>
      </c>
      <c r="S72" s="93">
        <f>SUM(S64:S71)</f>
        <v>1738550.10290322</v>
      </c>
    </row>
    <row r="73" customHeight="1" spans="1:19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146"/>
      <c r="L73" s="146"/>
      <c r="M73" s="146"/>
      <c r="N73" s="146"/>
      <c r="O73" s="146"/>
      <c r="P73" s="146"/>
      <c r="Q73" s="517"/>
      <c r="R73" s="146"/>
      <c r="S73" s="516"/>
    </row>
    <row r="74" customHeight="1" spans="1:19">
      <c r="A74" s="10"/>
      <c r="B74" s="20" t="s">
        <v>141</v>
      </c>
      <c r="C74" s="21"/>
      <c r="D74" s="21"/>
      <c r="E74" s="146"/>
      <c r="F74" s="146"/>
      <c r="G74" s="220"/>
      <c r="H74" s="220"/>
      <c r="I74" s="146"/>
      <c r="J74" s="516"/>
      <c r="K74" s="146"/>
      <c r="L74" s="146"/>
      <c r="M74" s="146"/>
      <c r="N74" s="146"/>
      <c r="O74" s="146"/>
      <c r="P74" s="146"/>
      <c r="Q74" s="517"/>
      <c r="R74" s="146"/>
      <c r="S74" s="516"/>
    </row>
    <row r="75" customHeight="1" spans="1:19">
      <c r="A75" s="10">
        <v>1</v>
      </c>
      <c r="B75" s="11" t="s">
        <v>142</v>
      </c>
      <c r="C75" s="4" t="s">
        <v>143</v>
      </c>
      <c r="D75" s="10" t="s">
        <v>100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SUM(E75:I75)</f>
        <v>1635720</v>
      </c>
      <c r="K75" s="85"/>
      <c r="L75" s="85">
        <v>350000</v>
      </c>
      <c r="M75" s="85">
        <f>0</f>
        <v>0</v>
      </c>
      <c r="N75" s="85">
        <v>0</v>
      </c>
      <c r="O75" s="85">
        <v>270672.247466667</v>
      </c>
      <c r="P75" s="85">
        <v>114857.6</v>
      </c>
      <c r="Q75" s="510">
        <f>O75+N75+M75+L75+K75+P75</f>
        <v>735529.847466667</v>
      </c>
      <c r="R75" s="85">
        <v>900190.152533333</v>
      </c>
      <c r="S75" s="509">
        <f t="shared" ref="S75:S80" si="24">J75-Q75</f>
        <v>900190.152533333</v>
      </c>
    </row>
    <row r="76" customHeight="1" spans="1:19">
      <c r="A76" s="10">
        <v>2</v>
      </c>
      <c r="B76" s="11" t="s">
        <v>144</v>
      </c>
      <c r="C76" s="4" t="s">
        <v>145</v>
      </c>
      <c r="D76" s="10" t="s">
        <v>39</v>
      </c>
      <c r="E76" s="85">
        <v>582118.083333333</v>
      </c>
      <c r="F76" s="85"/>
      <c r="G76" s="220">
        <v>160000</v>
      </c>
      <c r="H76" s="220"/>
      <c r="I76" s="85"/>
      <c r="J76" s="509">
        <f>SUM(E76:I76)</f>
        <v>742118.083333333</v>
      </c>
      <c r="K76" s="85"/>
      <c r="L76" s="85"/>
      <c r="M76" s="85"/>
      <c r="N76" s="85"/>
      <c r="O76" s="85">
        <v>112212.004906667</v>
      </c>
      <c r="P76" s="85">
        <v>46569.4466666667</v>
      </c>
      <c r="Q76" s="510">
        <f>O76+N76+M76+L76+K76+P76</f>
        <v>158781.451573334</v>
      </c>
      <c r="R76" s="85">
        <v>583336.631759999</v>
      </c>
      <c r="S76" s="509">
        <f t="shared" si="24"/>
        <v>583336.631759999</v>
      </c>
    </row>
    <row r="77" customHeight="1" spans="1:19">
      <c r="A77" s="10">
        <v>3</v>
      </c>
      <c r="B77" s="11" t="s">
        <v>146</v>
      </c>
      <c r="C77" s="4" t="s">
        <v>147</v>
      </c>
      <c r="D77" s="15" t="s">
        <v>148</v>
      </c>
      <c r="E77" s="85">
        <v>456622.25</v>
      </c>
      <c r="F77" s="85"/>
      <c r="G77" s="220">
        <f>140000</f>
        <v>140000</v>
      </c>
      <c r="H77" s="220"/>
      <c r="I77" s="85">
        <v>0</v>
      </c>
      <c r="J77" s="509">
        <f t="shared" ref="J77:J80" si="25">SUM(E77:I77)</f>
        <v>596622.25</v>
      </c>
      <c r="K77" s="85"/>
      <c r="L77" s="85">
        <v>20000</v>
      </c>
      <c r="M77" s="85">
        <v>210785.51</v>
      </c>
      <c r="N77" s="85">
        <f>'New NHF Deduction'!G79</f>
        <v>6154.32291666667</v>
      </c>
      <c r="O77" s="85">
        <v>86076.1041866667</v>
      </c>
      <c r="P77" s="85">
        <v>36529.78</v>
      </c>
      <c r="Q77" s="510">
        <f t="shared" ref="Q77:Q80" si="26">O77+N77+M77+L77+K77+P77</f>
        <v>359545.717103333</v>
      </c>
      <c r="R77" s="85">
        <v>237076.532896667</v>
      </c>
      <c r="S77" s="509">
        <f t="shared" si="24"/>
        <v>237076.532896667</v>
      </c>
    </row>
    <row r="78" customHeight="1" spans="1:19">
      <c r="A78" s="10">
        <v>4</v>
      </c>
      <c r="B78" s="11" t="s">
        <v>149</v>
      </c>
      <c r="C78" s="4" t="s">
        <v>150</v>
      </c>
      <c r="D78" s="10" t="s">
        <v>65</v>
      </c>
      <c r="E78" s="85">
        <v>353512.5</v>
      </c>
      <c r="F78" s="85"/>
      <c r="G78" s="220">
        <f>110000</f>
        <v>110000</v>
      </c>
      <c r="H78" s="220"/>
      <c r="I78" s="85"/>
      <c r="J78" s="509">
        <f t="shared" si="25"/>
        <v>463512.5</v>
      </c>
      <c r="K78" s="85"/>
      <c r="L78" s="85">
        <f>50000</f>
        <v>50000</v>
      </c>
      <c r="M78" s="85">
        <f>50000</f>
        <v>50000</v>
      </c>
      <c r="N78" s="85"/>
      <c r="O78" s="85">
        <f>62231.1146666667</f>
        <v>62231.1146666667</v>
      </c>
      <c r="P78" s="85">
        <f>28281</f>
        <v>28281</v>
      </c>
      <c r="Q78" s="510">
        <f t="shared" si="26"/>
        <v>190512.114666667</v>
      </c>
      <c r="R78" s="85">
        <v>273000.385333333</v>
      </c>
      <c r="S78" s="509">
        <f t="shared" si="24"/>
        <v>273000.385333333</v>
      </c>
    </row>
    <row r="79" customHeight="1" spans="1:19">
      <c r="A79" s="10">
        <v>5</v>
      </c>
      <c r="B79" s="11" t="s">
        <v>151</v>
      </c>
      <c r="C79" s="4" t="s">
        <v>152</v>
      </c>
      <c r="D79" s="10" t="s">
        <v>80</v>
      </c>
      <c r="E79" s="85">
        <v>263165.333333333</v>
      </c>
      <c r="F79" s="85"/>
      <c r="G79" s="220">
        <v>100000</v>
      </c>
      <c r="H79" s="220"/>
      <c r="I79" s="85"/>
      <c r="J79" s="509">
        <f t="shared" si="25"/>
        <v>363165.333333333</v>
      </c>
      <c r="K79" s="85"/>
      <c r="L79" s="85"/>
      <c r="M79" s="85"/>
      <c r="N79" s="85"/>
      <c r="O79" s="85">
        <v>44641.5005866667</v>
      </c>
      <c r="P79" s="85">
        <v>21053.2266666667</v>
      </c>
      <c r="Q79" s="510">
        <f t="shared" si="26"/>
        <v>65694.7272533334</v>
      </c>
      <c r="R79" s="85">
        <v>297470.60608</v>
      </c>
      <c r="S79" s="509">
        <f t="shared" si="24"/>
        <v>297470.60608</v>
      </c>
    </row>
    <row r="80" customHeight="1" spans="1:19">
      <c r="A80" s="10">
        <v>6</v>
      </c>
      <c r="B80" s="11" t="s">
        <v>153</v>
      </c>
      <c r="C80" s="4" t="s">
        <v>154</v>
      </c>
      <c r="D80" s="10" t="s">
        <v>92</v>
      </c>
      <c r="E80" s="85">
        <v>224459.75</v>
      </c>
      <c r="F80" s="85"/>
      <c r="G80" s="220">
        <v>100000</v>
      </c>
      <c r="H80" s="220">
        <v>0</v>
      </c>
      <c r="I80" s="85"/>
      <c r="J80" s="509">
        <f t="shared" si="25"/>
        <v>324459.75</v>
      </c>
      <c r="K80" s="85"/>
      <c r="L80" s="85">
        <v>80000</v>
      </c>
      <c r="M80" s="85">
        <v>0</v>
      </c>
      <c r="N80" s="85">
        <v>0</v>
      </c>
      <c r="O80" s="85">
        <v>38659.1656266667</v>
      </c>
      <c r="P80" s="85">
        <v>17956.78</v>
      </c>
      <c r="Q80" s="510">
        <f t="shared" si="26"/>
        <v>136615.945626667</v>
      </c>
      <c r="R80" s="85">
        <v>187843.804373333</v>
      </c>
      <c r="S80" s="509">
        <f t="shared" si="24"/>
        <v>187843.804373333</v>
      </c>
    </row>
    <row r="81" customHeight="1" spans="1:19">
      <c r="A81" s="10"/>
      <c r="B81" s="20" t="s">
        <v>96</v>
      </c>
      <c r="C81" s="21">
        <v>6</v>
      </c>
      <c r="D81" s="21"/>
      <c r="E81" s="93">
        <f>SUM(E75:E80)</f>
        <v>3315597.91666667</v>
      </c>
      <c r="F81" s="93">
        <f t="shared" ref="F81:S81" si="27">SUM(F75:F80)</f>
        <v>0</v>
      </c>
      <c r="G81" s="93">
        <f t="shared" si="27"/>
        <v>810000</v>
      </c>
      <c r="H81" s="93">
        <f t="shared" si="27"/>
        <v>0</v>
      </c>
      <c r="I81" s="93">
        <f t="shared" si="27"/>
        <v>0</v>
      </c>
      <c r="J81" s="93">
        <f t="shared" si="27"/>
        <v>4125597.91666667</v>
      </c>
      <c r="K81" s="93">
        <f t="shared" si="27"/>
        <v>0</v>
      </c>
      <c r="L81" s="93">
        <f t="shared" si="27"/>
        <v>500000</v>
      </c>
      <c r="M81" s="93">
        <f t="shared" si="27"/>
        <v>260785.51</v>
      </c>
      <c r="N81" s="93">
        <f t="shared" si="27"/>
        <v>6154.32291666667</v>
      </c>
      <c r="O81" s="93">
        <f t="shared" si="27"/>
        <v>614492.137440001</v>
      </c>
      <c r="P81" s="93">
        <f t="shared" si="27"/>
        <v>265247.833333333</v>
      </c>
      <c r="Q81" s="93">
        <f t="shared" si="27"/>
        <v>1646679.80369</v>
      </c>
      <c r="R81" s="93">
        <v>2478918.11297666</v>
      </c>
      <c r="S81" s="93">
        <f t="shared" si="27"/>
        <v>2478918.11297666</v>
      </c>
    </row>
    <row r="82" customHeight="1" spans="1:19">
      <c r="A82" s="10"/>
      <c r="B82" s="20"/>
      <c r="C82" s="21"/>
      <c r="D82" s="21"/>
      <c r="E82" s="146"/>
      <c r="F82" s="146"/>
      <c r="G82" s="220"/>
      <c r="H82" s="220"/>
      <c r="I82" s="146"/>
      <c r="J82" s="516"/>
      <c r="K82" s="146"/>
      <c r="L82" s="146"/>
      <c r="M82" s="146"/>
      <c r="N82" s="146"/>
      <c r="O82" s="146"/>
      <c r="P82" s="146"/>
      <c r="Q82" s="510"/>
      <c r="R82" s="85"/>
      <c r="S82" s="509"/>
    </row>
    <row r="83" customHeight="1" spans="1:19">
      <c r="A83" s="10"/>
      <c r="B83" s="20" t="s">
        <v>155</v>
      </c>
      <c r="C83" s="25"/>
      <c r="D83" s="21"/>
      <c r="E83" s="146"/>
      <c r="F83" s="146"/>
      <c r="G83" s="220"/>
      <c r="H83" s="220"/>
      <c r="I83" s="146"/>
      <c r="J83" s="516"/>
      <c r="K83" s="146"/>
      <c r="L83" s="146"/>
      <c r="M83" s="146"/>
      <c r="N83" s="146"/>
      <c r="O83" s="146"/>
      <c r="P83" s="146"/>
      <c r="Q83" s="510"/>
      <c r="R83" s="85"/>
      <c r="S83" s="509"/>
    </row>
    <row r="84" customHeight="1" spans="1:19">
      <c r="A84" s="10">
        <v>1</v>
      </c>
      <c r="B84" s="11" t="s">
        <v>156</v>
      </c>
      <c r="C84" s="4" t="s">
        <v>112</v>
      </c>
      <c r="D84" s="10" t="s">
        <v>36</v>
      </c>
      <c r="E84" s="85">
        <v>620675.583333333</v>
      </c>
      <c r="F84" s="85"/>
      <c r="G84" s="220">
        <f>160000</f>
        <v>160000</v>
      </c>
      <c r="H84" s="220"/>
      <c r="I84" s="85">
        <f>100000+100000</f>
        <v>200000</v>
      </c>
      <c r="J84" s="509">
        <f>SUM(E84:I84)</f>
        <v>980675.583333333</v>
      </c>
      <c r="K84" s="85"/>
      <c r="L84" s="85"/>
      <c r="M84" s="85"/>
      <c r="N84" s="85"/>
      <c r="O84" s="85">
        <f>'Additional Leg Duty Allowance'!P11</f>
        <v>157422.801706667</v>
      </c>
      <c r="P84" s="85">
        <v>49654.0466666667</v>
      </c>
      <c r="Q84" s="510">
        <f>O84+N84+M84+L84+K84+P84</f>
        <v>207076.848373333</v>
      </c>
      <c r="R84" s="85">
        <v>773598.73496</v>
      </c>
      <c r="S84" s="509">
        <f t="shared" ref="S84:S93" si="28">J84-Q84</f>
        <v>773598.73496</v>
      </c>
    </row>
    <row r="85" customHeight="1" spans="1:19">
      <c r="A85" s="10">
        <v>2</v>
      </c>
      <c r="B85" s="11" t="s">
        <v>157</v>
      </c>
      <c r="C85" s="4" t="s">
        <v>112</v>
      </c>
      <c r="D85" s="10" t="s">
        <v>36</v>
      </c>
      <c r="E85" s="85">
        <v>620675.583333333</v>
      </c>
      <c r="F85" s="85"/>
      <c r="G85" s="220">
        <f>160000</f>
        <v>160000</v>
      </c>
      <c r="H85" s="220"/>
      <c r="I85" s="85"/>
      <c r="J85" s="509">
        <f t="shared" ref="J85:J93" si="29">SUM(E85:I85)</f>
        <v>780675.583333333</v>
      </c>
      <c r="K85" s="85"/>
      <c r="L85" s="85">
        <f>30000</f>
        <v>30000</v>
      </c>
      <c r="M85" s="85">
        <v>98750</v>
      </c>
      <c r="N85" s="85">
        <f>'New NHF Deduction'!G87</f>
        <v>8380.22708333333</v>
      </c>
      <c r="O85" s="85">
        <v>118861.965706667</v>
      </c>
      <c r="P85" s="85">
        <v>49654.0466666667</v>
      </c>
      <c r="Q85" s="510">
        <f t="shared" ref="Q85:Q93" si="30">O85+N85+M85+L85+K85+P85</f>
        <v>305646.239456667</v>
      </c>
      <c r="R85" s="85">
        <v>475029.343876666</v>
      </c>
      <c r="S85" s="509">
        <f t="shared" si="28"/>
        <v>475029.343876666</v>
      </c>
    </row>
    <row r="86" customHeight="1" spans="1:19">
      <c r="A86" s="10">
        <v>3</v>
      </c>
      <c r="B86" s="11" t="s">
        <v>158</v>
      </c>
      <c r="C86" s="4" t="s">
        <v>112</v>
      </c>
      <c r="D86" s="10" t="s">
        <v>39</v>
      </c>
      <c r="E86" s="85">
        <v>582118.083333333</v>
      </c>
      <c r="F86" s="85"/>
      <c r="G86" s="220">
        <v>160000</v>
      </c>
      <c r="H86" s="220"/>
      <c r="I86" s="85"/>
      <c r="J86" s="509">
        <f t="shared" si="29"/>
        <v>742118.083333333</v>
      </c>
      <c r="K86" s="85"/>
      <c r="L86" s="85">
        <f>50000</f>
        <v>50000</v>
      </c>
      <c r="M86" s="220"/>
      <c r="N86" s="85"/>
      <c r="O86" s="85">
        <v>112212.004906667</v>
      </c>
      <c r="P86" s="85">
        <v>46569.4466666667</v>
      </c>
      <c r="Q86" s="510">
        <f t="shared" si="30"/>
        <v>208781.451573334</v>
      </c>
      <c r="R86" s="85">
        <v>533336.631759999</v>
      </c>
      <c r="S86" s="509">
        <f t="shared" si="28"/>
        <v>533336.631759999</v>
      </c>
    </row>
    <row r="87" ht="21.6" customHeight="1" spans="1:19">
      <c r="A87" s="10">
        <v>4</v>
      </c>
      <c r="B87" s="11" t="s">
        <v>159</v>
      </c>
      <c r="C87" s="4" t="s">
        <v>133</v>
      </c>
      <c r="D87" s="15" t="s">
        <v>47</v>
      </c>
      <c r="E87" s="85">
        <v>442746.5</v>
      </c>
      <c r="F87" s="85"/>
      <c r="G87" s="220">
        <f>140000</f>
        <v>140000</v>
      </c>
      <c r="H87" s="220"/>
      <c r="I87" s="85">
        <v>0</v>
      </c>
      <c r="J87" s="509">
        <f t="shared" si="29"/>
        <v>582746.5</v>
      </c>
      <c r="K87" s="85"/>
      <c r="L87" s="85">
        <f>50000</f>
        <v>50000</v>
      </c>
      <c r="M87" s="85">
        <f>77638.89</f>
        <v>77638.89</v>
      </c>
      <c r="N87" s="85"/>
      <c r="O87" s="85">
        <v>83767.87</v>
      </c>
      <c r="P87" s="85">
        <v>35344.3933333333</v>
      </c>
      <c r="Q87" s="510">
        <f t="shared" si="30"/>
        <v>246751.153333333</v>
      </c>
      <c r="R87" s="85">
        <v>335995.346666667</v>
      </c>
      <c r="S87" s="509">
        <f t="shared" si="28"/>
        <v>335995.346666667</v>
      </c>
    </row>
    <row r="88" ht="21.6" customHeight="1" spans="1:19">
      <c r="A88" s="10">
        <v>5</v>
      </c>
      <c r="B88" s="11" t="s">
        <v>160</v>
      </c>
      <c r="C88" s="4" t="s">
        <v>133</v>
      </c>
      <c r="D88" s="15" t="s">
        <v>47</v>
      </c>
      <c r="E88" s="85">
        <v>442746.5</v>
      </c>
      <c r="F88" s="85"/>
      <c r="G88" s="220">
        <f>140000</f>
        <v>140000</v>
      </c>
      <c r="H88" s="220"/>
      <c r="I88" s="85">
        <v>0</v>
      </c>
      <c r="J88" s="509">
        <f t="shared" si="29"/>
        <v>582746.5</v>
      </c>
      <c r="K88" s="85"/>
      <c r="L88" s="85">
        <v>50000</v>
      </c>
      <c r="M88" s="85">
        <v>0</v>
      </c>
      <c r="N88" s="85"/>
      <c r="O88" s="85">
        <v>83753.4084266666</v>
      </c>
      <c r="P88" s="85">
        <f>35419.72</f>
        <v>35419.72</v>
      </c>
      <c r="Q88" s="510">
        <f t="shared" si="30"/>
        <v>169173.128426667</v>
      </c>
      <c r="R88" s="85">
        <v>413573.371573333</v>
      </c>
      <c r="S88" s="509">
        <f t="shared" si="28"/>
        <v>413573.371573333</v>
      </c>
    </row>
    <row r="89" ht="21.6" customHeight="1" spans="1:19">
      <c r="A89" s="10">
        <v>6</v>
      </c>
      <c r="B89" s="11" t="s">
        <v>161</v>
      </c>
      <c r="C89" s="12" t="s">
        <v>133</v>
      </c>
      <c r="D89" s="15" t="s">
        <v>162</v>
      </c>
      <c r="E89" s="85">
        <v>428870.75</v>
      </c>
      <c r="F89" s="85"/>
      <c r="G89" s="220">
        <f>140000</f>
        <v>140000</v>
      </c>
      <c r="H89" s="220"/>
      <c r="I89" s="85">
        <v>0</v>
      </c>
      <c r="J89" s="509">
        <f t="shared" si="29"/>
        <v>568870.75</v>
      </c>
      <c r="K89" s="85"/>
      <c r="L89" s="85">
        <f>100000-100000</f>
        <v>0</v>
      </c>
      <c r="M89" s="85"/>
      <c r="N89" s="85"/>
      <c r="O89" s="85">
        <v>81302.3959466667</v>
      </c>
      <c r="P89" s="85">
        <v>34309.66</v>
      </c>
      <c r="Q89" s="510">
        <f t="shared" si="30"/>
        <v>115612.055946667</v>
      </c>
      <c r="R89" s="85">
        <v>453258.694053333</v>
      </c>
      <c r="S89" s="509">
        <f t="shared" si="28"/>
        <v>453258.694053333</v>
      </c>
    </row>
    <row r="90" ht="21.6" customHeight="1" spans="1:19">
      <c r="A90" s="10">
        <v>7</v>
      </c>
      <c r="B90" s="11" t="s">
        <v>163</v>
      </c>
      <c r="C90" s="17" t="s">
        <v>67</v>
      </c>
      <c r="D90" s="15" t="s">
        <v>135</v>
      </c>
      <c r="E90" s="85">
        <v>365703.833333333</v>
      </c>
      <c r="F90" s="85"/>
      <c r="G90" s="220">
        <f t="shared" ref="G90" si="31">110000</f>
        <v>110000</v>
      </c>
      <c r="H90" s="220"/>
      <c r="I90" s="85">
        <v>0</v>
      </c>
      <c r="J90" s="509">
        <f t="shared" si="29"/>
        <v>475703.833333333</v>
      </c>
      <c r="K90" s="85"/>
      <c r="L90" s="85">
        <f>20000</f>
        <v>20000</v>
      </c>
      <c r="M90" s="85">
        <v>43750</v>
      </c>
      <c r="N90" s="85"/>
      <c r="O90" s="85">
        <v>64384.5917866667</v>
      </c>
      <c r="P90" s="85">
        <v>29256.3066666667</v>
      </c>
      <c r="Q90" s="510">
        <f t="shared" si="30"/>
        <v>157390.898453333</v>
      </c>
      <c r="R90" s="85">
        <v>318312.93488</v>
      </c>
      <c r="S90" s="509">
        <f t="shared" si="28"/>
        <v>318312.93488</v>
      </c>
    </row>
    <row r="91" ht="21.6" customHeight="1" spans="1:19">
      <c r="A91" s="10">
        <v>8</v>
      </c>
      <c r="B91" s="11" t="s">
        <v>164</v>
      </c>
      <c r="C91" s="17" t="s">
        <v>165</v>
      </c>
      <c r="D91" s="15" t="s">
        <v>166</v>
      </c>
      <c r="E91" s="85">
        <v>390248.916666667</v>
      </c>
      <c r="F91" s="85"/>
      <c r="G91" s="220">
        <v>120000</v>
      </c>
      <c r="H91" s="220"/>
      <c r="I91" s="85">
        <v>0</v>
      </c>
      <c r="J91" s="509">
        <f t="shared" si="29"/>
        <v>510248.916666667</v>
      </c>
      <c r="K91" s="85"/>
      <c r="L91" s="85">
        <v>0</v>
      </c>
      <c r="M91" s="85"/>
      <c r="N91" s="85">
        <f>'New NHF Deduction'!G93</f>
        <v>5259.74375</v>
      </c>
      <c r="O91" s="85">
        <v>70529.4753546667</v>
      </c>
      <c r="P91" s="85">
        <v>31219.9133333333</v>
      </c>
      <c r="Q91" s="510">
        <f t="shared" si="30"/>
        <v>107009.132438</v>
      </c>
      <c r="R91" s="85">
        <v>403239.784228667</v>
      </c>
      <c r="S91" s="509">
        <f t="shared" si="28"/>
        <v>403239.784228667</v>
      </c>
    </row>
    <row r="92" ht="21.6" customHeight="1" spans="1:19">
      <c r="A92" s="10">
        <v>9</v>
      </c>
      <c r="B92" s="11" t="s">
        <v>167</v>
      </c>
      <c r="C92" s="4" t="s">
        <v>168</v>
      </c>
      <c r="D92" s="10" t="s">
        <v>104</v>
      </c>
      <c r="E92" s="220">
        <v>300965.583333333</v>
      </c>
      <c r="F92" s="85"/>
      <c r="G92" s="220">
        <v>100000</v>
      </c>
      <c r="H92" s="220"/>
      <c r="I92" s="85"/>
      <c r="J92" s="509">
        <f t="shared" si="29"/>
        <v>400965.583333333</v>
      </c>
      <c r="K92" s="85"/>
      <c r="L92" s="85"/>
      <c r="M92" s="85"/>
      <c r="N92" s="85"/>
      <c r="O92" s="85">
        <v>51029.2273066667</v>
      </c>
      <c r="P92" s="85">
        <v>24077.2466666667</v>
      </c>
      <c r="Q92" s="510">
        <f t="shared" si="30"/>
        <v>75106.4739733334</v>
      </c>
      <c r="R92" s="85">
        <v>325859.10936</v>
      </c>
      <c r="S92" s="509">
        <f t="shared" si="28"/>
        <v>325859.10936</v>
      </c>
    </row>
    <row r="93" ht="21.6" customHeight="1" spans="1:19">
      <c r="A93" s="10">
        <v>10</v>
      </c>
      <c r="B93" s="11" t="s">
        <v>169</v>
      </c>
      <c r="C93" s="17" t="s">
        <v>170</v>
      </c>
      <c r="D93" s="15" t="s">
        <v>171</v>
      </c>
      <c r="E93" s="220">
        <v>230631.916666667</v>
      </c>
      <c r="F93" s="85"/>
      <c r="G93" s="220">
        <f t="shared" ref="G93" si="32">100000</f>
        <v>100000</v>
      </c>
      <c r="H93" s="220"/>
      <c r="I93" s="85"/>
      <c r="J93" s="509">
        <f t="shared" si="29"/>
        <v>330631.916666667</v>
      </c>
      <c r="K93" s="85"/>
      <c r="L93" s="85">
        <v>50000</v>
      </c>
      <c r="M93" s="85"/>
      <c r="N93" s="85">
        <v>0</v>
      </c>
      <c r="O93" s="85">
        <v>39613.1357066667</v>
      </c>
      <c r="P93" s="85">
        <v>18450.5533333333</v>
      </c>
      <c r="Q93" s="510">
        <f t="shared" si="30"/>
        <v>108063.68904</v>
      </c>
      <c r="R93" s="85">
        <v>222568.227626667</v>
      </c>
      <c r="S93" s="509">
        <f t="shared" si="28"/>
        <v>222568.227626667</v>
      </c>
    </row>
    <row r="94" customHeight="1" spans="1:19">
      <c r="A94" s="10"/>
      <c r="B94" s="20" t="s">
        <v>96</v>
      </c>
      <c r="C94" s="21">
        <v>10</v>
      </c>
      <c r="D94" s="21"/>
      <c r="E94" s="93">
        <f>SUM(E84:E93)</f>
        <v>4425383.25</v>
      </c>
      <c r="F94" s="93">
        <f t="shared" ref="F94:S94" si="33">SUM(F84:F93)</f>
        <v>0</v>
      </c>
      <c r="G94" s="93">
        <f t="shared" si="33"/>
        <v>1330000</v>
      </c>
      <c r="H94" s="93">
        <f t="shared" si="33"/>
        <v>0</v>
      </c>
      <c r="I94" s="93">
        <f t="shared" si="33"/>
        <v>200000</v>
      </c>
      <c r="J94" s="93">
        <f t="shared" si="33"/>
        <v>5955383.25</v>
      </c>
      <c r="K94" s="93">
        <f t="shared" si="33"/>
        <v>0</v>
      </c>
      <c r="L94" s="93">
        <f t="shared" si="33"/>
        <v>250000</v>
      </c>
      <c r="M94" s="93">
        <f t="shared" si="33"/>
        <v>220138.89</v>
      </c>
      <c r="N94" s="93">
        <f t="shared" si="33"/>
        <v>13639.9708333333</v>
      </c>
      <c r="O94" s="93">
        <f t="shared" si="33"/>
        <v>862876.876848001</v>
      </c>
      <c r="P94" s="93">
        <f t="shared" si="33"/>
        <v>353955.333333333</v>
      </c>
      <c r="Q94" s="93">
        <f t="shared" si="33"/>
        <v>1700611.07101467</v>
      </c>
      <c r="R94" s="93">
        <v>4254772.17898533</v>
      </c>
      <c r="S94" s="93">
        <f t="shared" si="33"/>
        <v>4254772.17898533</v>
      </c>
    </row>
    <row r="95" customHeight="1" spans="1:19">
      <c r="A95" s="10"/>
      <c r="B95" s="22"/>
      <c r="C95" s="21"/>
      <c r="D95" s="21"/>
      <c r="E95" s="146"/>
      <c r="F95" s="146"/>
      <c r="G95" s="220"/>
      <c r="H95" s="220"/>
      <c r="I95" s="146"/>
      <c r="J95" s="516"/>
      <c r="K95" s="146"/>
      <c r="L95" s="146"/>
      <c r="M95" s="146"/>
      <c r="N95" s="146"/>
      <c r="O95" s="146"/>
      <c r="P95" s="146"/>
      <c r="Q95" s="517"/>
      <c r="R95" s="146"/>
      <c r="S95" s="516"/>
    </row>
    <row r="96" customHeight="1" spans="1:19">
      <c r="A96" s="10"/>
      <c r="B96" s="20" t="s">
        <v>172</v>
      </c>
      <c r="C96" s="21"/>
      <c r="D96" s="21"/>
      <c r="E96" s="146"/>
      <c r="F96" s="146"/>
      <c r="G96" s="220"/>
      <c r="H96" s="220"/>
      <c r="I96" s="146"/>
      <c r="J96" s="516"/>
      <c r="K96" s="146"/>
      <c r="L96" s="146"/>
      <c r="M96" s="146"/>
      <c r="N96" s="146"/>
      <c r="O96" s="146"/>
      <c r="P96" s="146"/>
      <c r="Q96" s="517"/>
      <c r="R96" s="146"/>
      <c r="S96" s="516"/>
    </row>
    <row r="97" customHeight="1" spans="1:19">
      <c r="A97" s="10">
        <v>1</v>
      </c>
      <c r="B97" s="14" t="s">
        <v>173</v>
      </c>
      <c r="C97" s="4" t="s">
        <v>174</v>
      </c>
      <c r="D97" s="16" t="s">
        <v>175</v>
      </c>
      <c r="E97" s="85">
        <f>'[3]Annual &amp; Monthly'!$H$44</f>
        <v>1352042.66666667</v>
      </c>
      <c r="F97" s="85"/>
      <c r="G97" s="220"/>
      <c r="H97" s="220">
        <f>100000</f>
        <v>100000</v>
      </c>
      <c r="I97" s="85"/>
      <c r="J97" s="509">
        <f>E97+F97+G97+H97+I97</f>
        <v>1452042.66666667</v>
      </c>
      <c r="K97" s="85"/>
      <c r="L97" s="85">
        <v>500000</v>
      </c>
      <c r="M97" s="85">
        <v>0</v>
      </c>
      <c r="N97" s="85">
        <f>'New NHF Deduction'!G99</f>
        <v>18254.975</v>
      </c>
      <c r="O97" s="85">
        <f>'March New PAYE '!Z93</f>
        <v>236486.748679467</v>
      </c>
      <c r="P97" s="85">
        <f>'Upgrade in March'!P8</f>
        <v>114857.6</v>
      </c>
      <c r="Q97" s="510">
        <f>O97+N97+M97+L97+K97+P97</f>
        <v>869599.323679467</v>
      </c>
      <c r="R97" s="85">
        <v>582443.342987203</v>
      </c>
      <c r="S97" s="509">
        <f>J97-Q97</f>
        <v>582443.342987203</v>
      </c>
    </row>
    <row r="98" customHeight="1" spans="1:19">
      <c r="A98" s="10">
        <v>2</v>
      </c>
      <c r="B98" s="11" t="s">
        <v>176</v>
      </c>
      <c r="C98" s="4" t="s">
        <v>177</v>
      </c>
      <c r="D98" s="15" t="s">
        <v>148</v>
      </c>
      <c r="E98" s="85">
        <v>456622.25</v>
      </c>
      <c r="F98" s="85"/>
      <c r="G98" s="220"/>
      <c r="H98" s="220">
        <v>70000</v>
      </c>
      <c r="I98" s="85">
        <v>0</v>
      </c>
      <c r="J98" s="509">
        <f>E98+F98+G98+H98+I98</f>
        <v>526622.25</v>
      </c>
      <c r="K98" s="85"/>
      <c r="L98" s="85">
        <f>10000</f>
        <v>10000</v>
      </c>
      <c r="M98" s="85">
        <v>175000</v>
      </c>
      <c r="N98" s="85"/>
      <c r="O98" s="85">
        <v>72764.4209066667</v>
      </c>
      <c r="P98" s="85">
        <v>36529.78</v>
      </c>
      <c r="Q98" s="510">
        <f>O98+N98+M98+L98+K98+P98</f>
        <v>294294.200906667</v>
      </c>
      <c r="R98" s="85">
        <v>232328.049093333</v>
      </c>
      <c r="S98" s="509">
        <f>J98-Q98</f>
        <v>232328.049093333</v>
      </c>
    </row>
    <row r="99" customHeight="1" spans="1:19">
      <c r="A99" s="27">
        <v>6</v>
      </c>
      <c r="B99" s="11" t="s">
        <v>178</v>
      </c>
      <c r="C99" s="12" t="s">
        <v>179</v>
      </c>
      <c r="D99" s="15" t="s">
        <v>166</v>
      </c>
      <c r="E99" s="85">
        <v>390248.916666667</v>
      </c>
      <c r="F99" s="85"/>
      <c r="G99" s="220"/>
      <c r="H99" s="220">
        <f>70000</f>
        <v>70000</v>
      </c>
      <c r="I99" s="85">
        <v>0</v>
      </c>
      <c r="J99" s="509">
        <f>SUM(E99:I99)</f>
        <v>460248.916666667</v>
      </c>
      <c r="K99" s="85"/>
      <c r="L99" s="85">
        <v>40000</v>
      </c>
      <c r="M99" s="85">
        <v>87500</v>
      </c>
      <c r="N99" s="85">
        <v>5967.30625</v>
      </c>
      <c r="O99" s="85">
        <v>59711.1152554667</v>
      </c>
      <c r="P99" s="85">
        <f>31219.91</f>
        <v>31219.91</v>
      </c>
      <c r="Q99" s="510">
        <f>O99+N99+M99+L99+K99+P99</f>
        <v>224398.331505467</v>
      </c>
      <c r="R99" s="85">
        <v>245450.5851612</v>
      </c>
      <c r="S99" s="509">
        <f>J99-Q99</f>
        <v>235850.5851612</v>
      </c>
    </row>
    <row r="100" customHeight="1" spans="1:19">
      <c r="A100" s="10">
        <v>3</v>
      </c>
      <c r="B100" s="11" t="s">
        <v>180</v>
      </c>
      <c r="C100" s="4" t="s">
        <v>181</v>
      </c>
      <c r="D100" s="15" t="s">
        <v>62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>E100+F100+G100+H100+I100</f>
        <v>437895.166666667</v>
      </c>
      <c r="K100" s="85"/>
      <c r="L100" s="85">
        <f>5000</f>
        <v>5000</v>
      </c>
      <c r="M100" s="85">
        <v>52500</v>
      </c>
      <c r="N100" s="85"/>
      <c r="O100" s="85">
        <v>56938.0689066667</v>
      </c>
      <c r="P100" s="85">
        <v>30231.6133333333</v>
      </c>
      <c r="Q100" s="510">
        <f>O100+N100+M100+L100+K100+P100</f>
        <v>144669.68224</v>
      </c>
      <c r="R100" s="85">
        <v>293225.484426667</v>
      </c>
      <c r="S100" s="509">
        <f>J100-Q100</f>
        <v>293225.484426667</v>
      </c>
    </row>
    <row r="101" customHeight="1" spans="1:19">
      <c r="A101" s="10">
        <v>4</v>
      </c>
      <c r="B101" s="11" t="s">
        <v>182</v>
      </c>
      <c r="C101" s="4" t="s">
        <v>183</v>
      </c>
      <c r="D101" s="15" t="s">
        <v>104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>E101+F101+G101+H101+I101</f>
        <v>360965.583333333</v>
      </c>
      <c r="K101" s="85"/>
      <c r="L101" s="85">
        <f>10000+80000</f>
        <v>90000</v>
      </c>
      <c r="M101" s="85">
        <f>19583.33</f>
        <v>19583.33</v>
      </c>
      <c r="N101" s="85"/>
      <c r="O101" s="85">
        <v>43763.9072266667</v>
      </c>
      <c r="P101" s="85">
        <v>24077.2466666667</v>
      </c>
      <c r="Q101" s="510">
        <f>O101+N101+M101+L101+K101+P101</f>
        <v>177424.483893333</v>
      </c>
      <c r="R101" s="85">
        <v>183541.09944</v>
      </c>
      <c r="S101" s="509">
        <f>J101-Q101</f>
        <v>183541.09944</v>
      </c>
    </row>
    <row r="102" customHeight="1" spans="1:19">
      <c r="A102" s="4"/>
      <c r="B102" s="20" t="s">
        <v>96</v>
      </c>
      <c r="C102" s="21">
        <v>4</v>
      </c>
      <c r="D102" s="26"/>
      <c r="E102" s="93">
        <f>SUM(E97:E101)</f>
        <v>2877774.58333334</v>
      </c>
      <c r="F102" s="93">
        <f t="shared" ref="F102:S102" si="34">SUM(F97:F101)</f>
        <v>0</v>
      </c>
      <c r="G102" s="93">
        <f t="shared" si="34"/>
        <v>0</v>
      </c>
      <c r="H102" s="93">
        <f t="shared" si="34"/>
        <v>360000</v>
      </c>
      <c r="I102" s="93">
        <f t="shared" si="34"/>
        <v>0</v>
      </c>
      <c r="J102" s="93">
        <f t="shared" si="34"/>
        <v>3237774.58333334</v>
      </c>
      <c r="K102" s="93">
        <f t="shared" si="34"/>
        <v>0</v>
      </c>
      <c r="L102" s="93">
        <f t="shared" si="34"/>
        <v>645000</v>
      </c>
      <c r="M102" s="93">
        <f t="shared" si="34"/>
        <v>334583.33</v>
      </c>
      <c r="N102" s="93">
        <f t="shared" si="34"/>
        <v>24222.28125</v>
      </c>
      <c r="O102" s="93">
        <f t="shared" si="34"/>
        <v>469664.260974933</v>
      </c>
      <c r="P102" s="93">
        <f t="shared" si="34"/>
        <v>236916.15</v>
      </c>
      <c r="Q102" s="93">
        <f t="shared" si="34"/>
        <v>1710386.02222493</v>
      </c>
      <c r="R102" s="93">
        <v>1536988.5611084</v>
      </c>
      <c r="S102" s="93">
        <f t="shared" si="34"/>
        <v>1527388.5611084</v>
      </c>
    </row>
    <row r="103" customHeight="1" spans="1:19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146"/>
      <c r="L103" s="146"/>
      <c r="M103" s="146"/>
      <c r="N103" s="146"/>
      <c r="O103" s="146"/>
      <c r="P103" s="146"/>
      <c r="Q103" s="517"/>
      <c r="R103" s="146"/>
      <c r="S103" s="516"/>
    </row>
    <row r="104" customHeight="1" spans="1:19">
      <c r="A104" s="4"/>
      <c r="B104" s="20" t="s">
        <v>184</v>
      </c>
      <c r="C104" s="4"/>
      <c r="D104" s="4"/>
      <c r="E104" s="4"/>
      <c r="F104" s="4"/>
      <c r="G104" s="220"/>
      <c r="H104" s="220"/>
      <c r="I104" s="4"/>
      <c r="J104" s="520"/>
      <c r="K104" s="4"/>
      <c r="L104" s="4"/>
      <c r="M104" s="4"/>
      <c r="N104" s="4"/>
      <c r="O104" s="4"/>
      <c r="P104" s="4"/>
      <c r="Q104" s="521"/>
      <c r="R104" s="4"/>
      <c r="S104" s="520"/>
    </row>
    <row r="105" customHeight="1" spans="1:19">
      <c r="A105" s="4">
        <v>1</v>
      </c>
      <c r="B105" s="11" t="s">
        <v>185</v>
      </c>
      <c r="C105" s="12" t="s">
        <v>186</v>
      </c>
      <c r="D105" s="15" t="s">
        <v>100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SUM(E105:I105)</f>
        <v>1635720</v>
      </c>
      <c r="K105" s="85"/>
      <c r="L105" s="85">
        <f>100000</f>
        <v>100000</v>
      </c>
      <c r="M105" s="85">
        <v>0</v>
      </c>
      <c r="N105" s="85">
        <v>0</v>
      </c>
      <c r="O105" s="85">
        <v>270672.247466667</v>
      </c>
      <c r="P105" s="85">
        <v>114857.6</v>
      </c>
      <c r="Q105" s="510">
        <f>O105+N105+M105+L105+K105+P105</f>
        <v>485529.847466667</v>
      </c>
      <c r="R105" s="85">
        <v>1150190.15253333</v>
      </c>
      <c r="S105" s="509">
        <f t="shared" ref="S105:S111" si="35">J105-Q105</f>
        <v>1150190.15253333</v>
      </c>
    </row>
    <row r="106" customHeight="1" spans="1:19">
      <c r="A106" s="4">
        <v>2</v>
      </c>
      <c r="B106" s="11" t="s">
        <v>187</v>
      </c>
      <c r="C106" s="4" t="s">
        <v>188</v>
      </c>
      <c r="D106" s="16" t="s">
        <v>189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36">SUM(E106:I106)</f>
        <v>942373.166666667</v>
      </c>
      <c r="K106" s="85"/>
      <c r="L106" s="85">
        <v>110000</v>
      </c>
      <c r="M106" s="85"/>
      <c r="N106" s="85">
        <v>10293.3979166667</v>
      </c>
      <c r="O106" s="85">
        <v>147687.527610667</v>
      </c>
      <c r="P106" s="85">
        <v>60989.8533333333</v>
      </c>
      <c r="Q106" s="510">
        <f t="shared" ref="Q106:Q111" si="37">O106+N106+M106+L106+K106+P106</f>
        <v>328970.778860667</v>
      </c>
      <c r="R106" s="85">
        <v>613402.387806</v>
      </c>
      <c r="S106" s="509">
        <f t="shared" si="35"/>
        <v>613402.387806</v>
      </c>
    </row>
    <row r="107" customHeight="1" spans="1:19">
      <c r="A107" s="4">
        <v>3</v>
      </c>
      <c r="B107" s="11" t="s">
        <v>190</v>
      </c>
      <c r="C107" s="4" t="s">
        <v>191</v>
      </c>
      <c r="D107" s="10" t="s">
        <v>192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36"/>
        <v>603237.855191667</v>
      </c>
      <c r="K107" s="85"/>
      <c r="L107" s="85">
        <v>30000</v>
      </c>
      <c r="M107" s="85">
        <f>61111.11</f>
        <v>61111.11</v>
      </c>
      <c r="N107" s="85">
        <v>5954.61041666667</v>
      </c>
      <c r="O107" s="85">
        <v>87575.7827034667</v>
      </c>
      <c r="P107" s="85">
        <v>35344.3933333333</v>
      </c>
      <c r="Q107" s="510">
        <f t="shared" si="37"/>
        <v>219985.896453467</v>
      </c>
      <c r="R107" s="85">
        <v>383251.9587382</v>
      </c>
      <c r="S107" s="509">
        <f t="shared" si="35"/>
        <v>383251.9587382</v>
      </c>
    </row>
    <row r="108" customHeight="1" spans="1:19">
      <c r="A108" s="4">
        <v>4</v>
      </c>
      <c r="B108" s="11" t="s">
        <v>193</v>
      </c>
      <c r="C108" s="4" t="s">
        <v>191</v>
      </c>
      <c r="D108" s="10" t="s">
        <v>192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36"/>
        <v>601625.033321667</v>
      </c>
      <c r="K108" s="85"/>
      <c r="L108" s="85">
        <f>50000</f>
        <v>50000</v>
      </c>
      <c r="M108" s="85">
        <v>45833.33</v>
      </c>
      <c r="N108" s="85"/>
      <c r="O108" s="85">
        <v>87392.5495444267</v>
      </c>
      <c r="P108" s="85">
        <v>35344.3933333333</v>
      </c>
      <c r="Q108" s="510">
        <f t="shared" si="37"/>
        <v>218570.27287776</v>
      </c>
      <c r="R108" s="85">
        <v>383054.760443907</v>
      </c>
      <c r="S108" s="509">
        <f t="shared" si="35"/>
        <v>383054.760443907</v>
      </c>
    </row>
    <row r="109" customHeight="1" spans="1:19">
      <c r="A109" s="4">
        <v>5</v>
      </c>
      <c r="B109" s="11" t="s">
        <v>194</v>
      </c>
      <c r="C109" s="4" t="s">
        <v>195</v>
      </c>
      <c r="D109" s="15" t="s">
        <v>196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36"/>
        <v>374481.864146667</v>
      </c>
      <c r="K109" s="85"/>
      <c r="L109" s="85">
        <v>20000</v>
      </c>
      <c r="M109" s="85">
        <f>50000</f>
        <v>50000</v>
      </c>
      <c r="N109" s="85"/>
      <c r="O109" s="85">
        <v>46740.2649028267</v>
      </c>
      <c r="P109" s="85">
        <v>19931.8733333333</v>
      </c>
      <c r="Q109" s="510">
        <f t="shared" si="37"/>
        <v>136672.13823616</v>
      </c>
      <c r="R109" s="85">
        <v>237809.725910507</v>
      </c>
      <c r="S109" s="509">
        <f t="shared" si="35"/>
        <v>237809.725910507</v>
      </c>
    </row>
    <row r="110" customHeight="1" spans="1:19">
      <c r="A110" s="4">
        <v>6</v>
      </c>
      <c r="B110" s="18" t="s">
        <v>197</v>
      </c>
      <c r="C110" s="4" t="s">
        <v>195</v>
      </c>
      <c r="D110" s="10" t="s">
        <v>198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36"/>
        <v>367926.021</v>
      </c>
      <c r="K110" s="85"/>
      <c r="L110" s="85">
        <f>25000</f>
        <v>25000</v>
      </c>
      <c r="M110" s="85">
        <v>0</v>
      </c>
      <c r="N110" s="85"/>
      <c r="O110" s="85">
        <v>45712.6373946667</v>
      </c>
      <c r="P110" s="85">
        <v>19438.1</v>
      </c>
      <c r="Q110" s="510">
        <f t="shared" si="37"/>
        <v>90150.7373946667</v>
      </c>
      <c r="R110" s="85">
        <v>277775.283605333</v>
      </c>
      <c r="S110" s="509">
        <f t="shared" si="35"/>
        <v>277775.283605333</v>
      </c>
    </row>
    <row r="111" customHeight="1" spans="1:19">
      <c r="A111" s="4">
        <v>7</v>
      </c>
      <c r="B111" s="18" t="s">
        <v>199</v>
      </c>
      <c r="C111" s="4" t="s">
        <v>195</v>
      </c>
      <c r="D111" s="15" t="s">
        <v>171</v>
      </c>
      <c r="E111" s="220">
        <v>230631.916666667</v>
      </c>
      <c r="F111" s="85"/>
      <c r="G111" s="220">
        <f t="shared" ref="G111" si="38">100000</f>
        <v>100000</v>
      </c>
      <c r="H111" s="220"/>
      <c r="I111" s="85">
        <v>24566.195445</v>
      </c>
      <c r="J111" s="509">
        <f t="shared" si="36"/>
        <v>355198.112111667</v>
      </c>
      <c r="K111" s="85"/>
      <c r="L111" s="85">
        <f>30000</f>
        <v>30000</v>
      </c>
      <c r="M111" s="85"/>
      <c r="N111" s="85"/>
      <c r="O111" s="85">
        <v>43740.2565414267</v>
      </c>
      <c r="P111" s="85">
        <v>18450.5533333333</v>
      </c>
      <c r="Q111" s="510">
        <f t="shared" si="37"/>
        <v>92190.80987476</v>
      </c>
      <c r="R111" s="85">
        <v>263007.302236907</v>
      </c>
      <c r="S111" s="509">
        <f t="shared" si="35"/>
        <v>263007.302236907</v>
      </c>
    </row>
    <row r="112" ht="25.5" customHeight="1" spans="1:19">
      <c r="A112" s="4"/>
      <c r="B112" s="20" t="s">
        <v>96</v>
      </c>
      <c r="C112" s="21">
        <v>7</v>
      </c>
      <c r="D112" s="4"/>
      <c r="E112" s="223">
        <f>SUM(E105:E111)</f>
        <v>3804459.58333333</v>
      </c>
      <c r="F112" s="223">
        <f t="shared" ref="F112:S112" si="39">SUM(F105:F111)</f>
        <v>0</v>
      </c>
      <c r="G112" s="223">
        <f t="shared" si="39"/>
        <v>920000</v>
      </c>
      <c r="H112" s="223">
        <f t="shared" si="39"/>
        <v>0</v>
      </c>
      <c r="I112" s="223">
        <f t="shared" si="39"/>
        <v>156102.469105</v>
      </c>
      <c r="J112" s="223">
        <f t="shared" si="39"/>
        <v>4880562.05243834</v>
      </c>
      <c r="K112" s="223">
        <f t="shared" si="39"/>
        <v>0</v>
      </c>
      <c r="L112" s="223">
        <f t="shared" si="39"/>
        <v>365000</v>
      </c>
      <c r="M112" s="223">
        <f t="shared" si="39"/>
        <v>156944.44</v>
      </c>
      <c r="N112" s="223">
        <f t="shared" si="39"/>
        <v>16248.0083333334</v>
      </c>
      <c r="O112" s="223">
        <f t="shared" si="39"/>
        <v>729521.266164148</v>
      </c>
      <c r="P112" s="223">
        <f t="shared" si="39"/>
        <v>304356.766666666</v>
      </c>
      <c r="Q112" s="223">
        <f t="shared" si="39"/>
        <v>1572070.48116415</v>
      </c>
      <c r="R112" s="223">
        <v>3308491.57127419</v>
      </c>
      <c r="S112" s="223">
        <f t="shared" si="39"/>
        <v>3308491.57127419</v>
      </c>
    </row>
    <row r="113" customHeight="1" spans="1:19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223"/>
      <c r="L113" s="223"/>
      <c r="M113" s="223"/>
      <c r="N113" s="223"/>
      <c r="O113" s="223"/>
      <c r="P113" s="223"/>
      <c r="Q113" s="523"/>
      <c r="R113" s="223"/>
      <c r="S113" s="522"/>
    </row>
    <row r="114" customHeight="1" spans="1:19">
      <c r="A114" s="10"/>
      <c r="B114" s="20" t="s">
        <v>200</v>
      </c>
      <c r="C114" s="21"/>
      <c r="D114" s="21"/>
      <c r="E114" s="146"/>
      <c r="F114" s="146"/>
      <c r="G114" s="220"/>
      <c r="H114" s="220"/>
      <c r="I114" s="146"/>
      <c r="J114" s="516"/>
      <c r="K114" s="146"/>
      <c r="L114" s="146"/>
      <c r="M114" s="146"/>
      <c r="N114" s="146"/>
      <c r="O114" s="146"/>
      <c r="P114" s="146"/>
      <c r="Q114" s="517"/>
      <c r="R114" s="146"/>
      <c r="S114" s="516"/>
    </row>
    <row r="115" customHeight="1" spans="1:19">
      <c r="A115" s="10">
        <v>1</v>
      </c>
      <c r="B115" s="14" t="s">
        <v>201</v>
      </c>
      <c r="C115" s="4" t="s">
        <v>112</v>
      </c>
      <c r="D115" s="10" t="s">
        <v>131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SUM(E115:I115)</f>
        <v>761396.833333333</v>
      </c>
      <c r="K115" s="85"/>
      <c r="L115" s="85">
        <f>60000</f>
        <v>60000</v>
      </c>
      <c r="M115" s="85">
        <f>163103.59</f>
        <v>163103.59</v>
      </c>
      <c r="N115" s="85">
        <v>8119.92916666667</v>
      </c>
      <c r="O115" s="85">
        <v>115462.539946667</v>
      </c>
      <c r="P115" s="85">
        <v>48111.7466666667</v>
      </c>
      <c r="Q115" s="510">
        <f>O115+N115+M115+L115+K115+P115</f>
        <v>394797.80578</v>
      </c>
      <c r="R115" s="85">
        <v>366599.027553333</v>
      </c>
      <c r="S115" s="509">
        <f>J115-Q115</f>
        <v>366599.027553333</v>
      </c>
    </row>
    <row r="116" ht="18.75" customHeight="1" spans="1:19">
      <c r="A116" s="10">
        <v>2</v>
      </c>
      <c r="B116" s="11" t="s">
        <v>202</v>
      </c>
      <c r="C116" s="4" t="s">
        <v>203</v>
      </c>
      <c r="D116" s="15" t="s">
        <v>62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40">SUM(E116:I116)</f>
        <v>487895.166666667</v>
      </c>
      <c r="K116" s="85"/>
      <c r="L116" s="85">
        <f>20000</f>
        <v>20000</v>
      </c>
      <c r="M116" s="85">
        <f>102135.42</f>
        <v>102135.42</v>
      </c>
      <c r="N116" s="85">
        <v>0</v>
      </c>
      <c r="O116" s="85">
        <v>66538.0689066667</v>
      </c>
      <c r="P116" s="85">
        <v>30231.6133333333</v>
      </c>
      <c r="Q116" s="510">
        <f t="shared" ref="Q116:Q117" si="41">O116+N116+M116+L116+K116+P116</f>
        <v>218905.10224</v>
      </c>
      <c r="R116" s="85">
        <v>268990.064426667</v>
      </c>
      <c r="S116" s="509">
        <f>J116-Q116</f>
        <v>268990.064426667</v>
      </c>
    </row>
    <row r="117" customHeight="1" spans="1:19">
      <c r="A117" s="10">
        <v>3</v>
      </c>
      <c r="B117" s="11" t="s">
        <v>204</v>
      </c>
      <c r="C117" s="12" t="s">
        <v>205</v>
      </c>
      <c r="D117" s="15" t="s">
        <v>166</v>
      </c>
      <c r="E117" s="85">
        <v>390248.916666667</v>
      </c>
      <c r="F117" s="85"/>
      <c r="G117" s="220"/>
      <c r="H117" s="220">
        <f>70000</f>
        <v>70000</v>
      </c>
      <c r="I117" s="85"/>
      <c r="J117" s="509">
        <f t="shared" si="40"/>
        <v>460248.916666667</v>
      </c>
      <c r="K117" s="85"/>
      <c r="L117" s="85"/>
      <c r="M117" s="85"/>
      <c r="N117" s="85">
        <v>5967.30625</v>
      </c>
      <c r="O117" s="85">
        <v>59711.1152554667</v>
      </c>
      <c r="P117" s="85">
        <f>31219.91</f>
        <v>31219.91</v>
      </c>
      <c r="Q117" s="510">
        <f t="shared" si="41"/>
        <v>96898.3315054667</v>
      </c>
      <c r="R117" s="85">
        <v>372950.5851612</v>
      </c>
      <c r="S117" s="509">
        <f>J117-Q117</f>
        <v>363350.5851612</v>
      </c>
    </row>
    <row r="118" ht="24.75" customHeight="1" spans="1:19">
      <c r="A118" s="4"/>
      <c r="B118" s="20" t="s">
        <v>96</v>
      </c>
      <c r="C118" s="21">
        <v>2</v>
      </c>
      <c r="D118" s="26"/>
      <c r="E118" s="93">
        <f>SUM(E115:E117)</f>
        <v>1369540.91666667</v>
      </c>
      <c r="F118" s="93">
        <f t="shared" ref="F118:S118" si="42">SUM(F115:F117)</f>
        <v>0</v>
      </c>
      <c r="G118" s="93">
        <f t="shared" si="42"/>
        <v>270000</v>
      </c>
      <c r="H118" s="93">
        <f t="shared" si="42"/>
        <v>70000</v>
      </c>
      <c r="I118" s="93">
        <f t="shared" si="42"/>
        <v>0</v>
      </c>
      <c r="J118" s="93">
        <f t="shared" si="42"/>
        <v>1709540.91666667</v>
      </c>
      <c r="K118" s="93">
        <f t="shared" si="42"/>
        <v>0</v>
      </c>
      <c r="L118" s="93">
        <f t="shared" si="42"/>
        <v>80000</v>
      </c>
      <c r="M118" s="93">
        <f t="shared" si="42"/>
        <v>265239.01</v>
      </c>
      <c r="N118" s="93">
        <f t="shared" si="42"/>
        <v>14087.2354166667</v>
      </c>
      <c r="O118" s="93">
        <f t="shared" si="42"/>
        <v>241711.7241088</v>
      </c>
      <c r="P118" s="93">
        <f t="shared" si="42"/>
        <v>109563.27</v>
      </c>
      <c r="Q118" s="93">
        <f t="shared" si="42"/>
        <v>710601.239525467</v>
      </c>
      <c r="R118" s="93">
        <v>1008539.6771412</v>
      </c>
      <c r="S118" s="93">
        <f t="shared" si="42"/>
        <v>998939.6771412</v>
      </c>
    </row>
    <row r="119" ht="24.75" customHeight="1" spans="1:19">
      <c r="A119" s="4"/>
      <c r="B119" s="20"/>
      <c r="C119" s="21"/>
      <c r="D119" s="26"/>
      <c r="E119" s="93"/>
      <c r="F119" s="93"/>
      <c r="G119" s="93"/>
      <c r="H119" s="93"/>
      <c r="I119" s="93"/>
      <c r="J119" s="826"/>
      <c r="K119" s="93"/>
      <c r="L119" s="93"/>
      <c r="M119" s="93"/>
      <c r="N119" s="93"/>
      <c r="O119" s="93"/>
      <c r="P119" s="93"/>
      <c r="Q119" s="829"/>
      <c r="R119" s="93"/>
      <c r="S119" s="826"/>
    </row>
    <row r="120" ht="24.75" customHeight="1" spans="1:19">
      <c r="A120" s="10"/>
      <c r="B120" s="20" t="s">
        <v>206</v>
      </c>
      <c r="C120" s="21"/>
      <c r="D120" s="21"/>
      <c r="E120" s="146"/>
      <c r="F120" s="146"/>
      <c r="G120" s="220"/>
      <c r="H120" s="220"/>
      <c r="I120" s="146"/>
      <c r="J120" s="516"/>
      <c r="K120" s="146"/>
      <c r="L120" s="146"/>
      <c r="M120" s="146"/>
      <c r="N120" s="146"/>
      <c r="O120" s="146"/>
      <c r="P120" s="146"/>
      <c r="Q120" s="517"/>
      <c r="R120" s="146"/>
      <c r="S120" s="516"/>
    </row>
    <row r="121" ht="24.75" customHeight="1" spans="1:19">
      <c r="A121" s="10">
        <v>1</v>
      </c>
      <c r="B121" s="14" t="s">
        <v>207</v>
      </c>
      <c r="C121" s="4" t="s">
        <v>208</v>
      </c>
      <c r="D121" s="10" t="s">
        <v>95</v>
      </c>
      <c r="E121" s="85">
        <v>218287.583333333</v>
      </c>
      <c r="F121" s="85"/>
      <c r="G121" s="220"/>
      <c r="H121" s="220">
        <v>50000</v>
      </c>
      <c r="I121" s="85">
        <v>0</v>
      </c>
      <c r="J121" s="509">
        <f>SUM(E121:I121)</f>
        <v>268287.583333333</v>
      </c>
      <c r="K121" s="85"/>
      <c r="L121" s="85"/>
      <c r="M121" s="85"/>
      <c r="N121" s="85"/>
      <c r="O121" s="85">
        <v>29305.1955466667</v>
      </c>
      <c r="P121" s="85">
        <v>17463.0066666666</v>
      </c>
      <c r="Q121" s="510">
        <f>O121+N121+M121+L121+K121+P121</f>
        <v>46768.2022133333</v>
      </c>
      <c r="R121" s="85">
        <v>221519.38112</v>
      </c>
      <c r="S121" s="509">
        <f>J121-Q121</f>
        <v>221519.38112</v>
      </c>
    </row>
    <row r="122" ht="24.75" customHeight="1" spans="1:19">
      <c r="A122" s="10">
        <v>2</v>
      </c>
      <c r="B122" s="11" t="s">
        <v>209</v>
      </c>
      <c r="C122" s="4" t="s">
        <v>210</v>
      </c>
      <c r="D122" s="10" t="s">
        <v>95</v>
      </c>
      <c r="E122" s="85">
        <v>218287.583333333</v>
      </c>
      <c r="F122" s="85"/>
      <c r="G122" s="220"/>
      <c r="H122" s="220">
        <v>50000</v>
      </c>
      <c r="I122" s="85"/>
      <c r="J122" s="509">
        <f t="shared" ref="J122:J123" si="43">SUM(E122:I122)</f>
        <v>268287.583333333</v>
      </c>
      <c r="K122" s="85"/>
      <c r="L122" s="85"/>
      <c r="M122" s="85"/>
      <c r="N122" s="85"/>
      <c r="O122" s="85">
        <v>29305.1955466667</v>
      </c>
      <c r="P122" s="85">
        <v>17463.0066666666</v>
      </c>
      <c r="Q122" s="510">
        <f t="shared" ref="Q122:Q123" si="44">O122+N122+M122+L122+K122+P122</f>
        <v>46768.2022133333</v>
      </c>
      <c r="R122" s="85">
        <v>221519.38112</v>
      </c>
      <c r="S122" s="509">
        <f>J122-Q122</f>
        <v>221519.38112</v>
      </c>
    </row>
    <row r="123" ht="24.75" customHeight="1" spans="1:19">
      <c r="A123" s="10">
        <v>3</v>
      </c>
      <c r="B123" s="11" t="s">
        <v>211</v>
      </c>
      <c r="C123" s="4" t="s">
        <v>212</v>
      </c>
      <c r="D123" s="10" t="s">
        <v>95</v>
      </c>
      <c r="E123" s="85">
        <v>218287.583333333</v>
      </c>
      <c r="F123" s="85"/>
      <c r="G123" s="220"/>
      <c r="H123" s="220">
        <v>50000</v>
      </c>
      <c r="I123" s="85"/>
      <c r="J123" s="509">
        <f t="shared" si="43"/>
        <v>268287.583333333</v>
      </c>
      <c r="K123" s="85"/>
      <c r="L123" s="85"/>
      <c r="M123" s="85"/>
      <c r="N123" s="85"/>
      <c r="O123" s="85">
        <v>29305.1955466667</v>
      </c>
      <c r="P123" s="85">
        <v>17463.0066666666</v>
      </c>
      <c r="Q123" s="510">
        <f t="shared" si="44"/>
        <v>46768.2022133333</v>
      </c>
      <c r="R123" s="85">
        <v>221519.38112</v>
      </c>
      <c r="S123" s="509">
        <f>J123-Q123</f>
        <v>221519.38112</v>
      </c>
    </row>
    <row r="124" customHeight="1" spans="1:19">
      <c r="A124" s="4"/>
      <c r="B124" s="20" t="s">
        <v>96</v>
      </c>
      <c r="C124" s="21">
        <v>3</v>
      </c>
      <c r="D124" s="26"/>
      <c r="E124" s="93">
        <f t="shared" ref="E124:S124" si="45">SUM(E121:E123)</f>
        <v>654862.749999999</v>
      </c>
      <c r="F124" s="93">
        <f t="shared" si="45"/>
        <v>0</v>
      </c>
      <c r="G124" s="93">
        <f t="shared" si="45"/>
        <v>0</v>
      </c>
      <c r="H124" s="93">
        <f t="shared" si="45"/>
        <v>150000</v>
      </c>
      <c r="I124" s="93">
        <f t="shared" si="45"/>
        <v>0</v>
      </c>
      <c r="J124" s="93">
        <f t="shared" si="45"/>
        <v>804862.749999999</v>
      </c>
      <c r="K124" s="93">
        <f t="shared" si="45"/>
        <v>0</v>
      </c>
      <c r="L124" s="93">
        <f t="shared" si="45"/>
        <v>0</v>
      </c>
      <c r="M124" s="93">
        <f t="shared" si="45"/>
        <v>0</v>
      </c>
      <c r="N124" s="93">
        <f t="shared" si="45"/>
        <v>0</v>
      </c>
      <c r="O124" s="93">
        <f t="shared" si="45"/>
        <v>87915.5866400001</v>
      </c>
      <c r="P124" s="93">
        <f t="shared" si="45"/>
        <v>52389.0199999998</v>
      </c>
      <c r="Q124" s="93">
        <f t="shared" si="45"/>
        <v>140304.60664</v>
      </c>
      <c r="R124" s="93">
        <v>664558.143359999</v>
      </c>
      <c r="S124" s="93">
        <f t="shared" si="45"/>
        <v>664558.143359999</v>
      </c>
    </row>
    <row r="125" customHeight="1" spans="1:19">
      <c r="A125" s="4"/>
      <c r="B125" s="20"/>
      <c r="C125" s="21"/>
      <c r="D125" s="26"/>
      <c r="E125" s="93"/>
      <c r="F125" s="93"/>
      <c r="G125" s="93"/>
      <c r="H125" s="93"/>
      <c r="I125" s="93"/>
      <c r="J125" s="826"/>
      <c r="K125" s="93"/>
      <c r="L125" s="93"/>
      <c r="M125" s="93"/>
      <c r="N125" s="93"/>
      <c r="O125" s="93"/>
      <c r="P125" s="93"/>
      <c r="Q125" s="829"/>
      <c r="R125" s="93"/>
      <c r="S125" s="826"/>
    </row>
    <row r="126" customHeight="1" spans="1:19">
      <c r="A126" s="4"/>
      <c r="B126" s="20" t="s">
        <v>213</v>
      </c>
      <c r="C126" s="21"/>
      <c r="D126" s="21"/>
      <c r="E126" s="146"/>
      <c r="F126" s="146"/>
      <c r="G126" s="220"/>
      <c r="H126" s="220"/>
      <c r="I126" s="146"/>
      <c r="J126" s="516"/>
      <c r="K126" s="146"/>
      <c r="L126" s="146"/>
      <c r="M126" s="146"/>
      <c r="N126" s="146"/>
      <c r="O126" s="146"/>
      <c r="P126" s="146"/>
      <c r="Q126" s="510"/>
      <c r="R126" s="85"/>
      <c r="S126" s="509"/>
    </row>
    <row r="127" customHeight="1" spans="1:19">
      <c r="A127" s="4">
        <v>1</v>
      </c>
      <c r="B127" s="11" t="s">
        <v>214</v>
      </c>
      <c r="C127" s="12" t="s">
        <v>215</v>
      </c>
      <c r="D127" s="15" t="s">
        <v>100</v>
      </c>
      <c r="E127" s="85">
        <v>1435720</v>
      </c>
      <c r="F127" s="85"/>
      <c r="G127" s="220"/>
      <c r="H127" s="220">
        <f>100000</f>
        <v>100000</v>
      </c>
      <c r="I127" s="85">
        <v>100000</v>
      </c>
      <c r="J127" s="509">
        <f>SUM(E127:I127)</f>
        <v>1635720</v>
      </c>
      <c r="K127" s="85"/>
      <c r="L127" s="85">
        <f>100000</f>
        <v>100000</v>
      </c>
      <c r="M127" s="85">
        <f>327777.78+100000</f>
        <v>427777.78</v>
      </c>
      <c r="N127" s="85">
        <v>19384.7666666667</v>
      </c>
      <c r="O127" s="85">
        <v>270279.895370667</v>
      </c>
      <c r="P127" s="85">
        <v>114857.6</v>
      </c>
      <c r="Q127" s="510">
        <f>O127+N127+M127+L127+K127+P127</f>
        <v>932300.042037334</v>
      </c>
      <c r="R127" s="85">
        <v>703419.957962666</v>
      </c>
      <c r="S127" s="509">
        <f t="shared" ref="S127:S136" si="46">J127-Q127</f>
        <v>703419.957962666</v>
      </c>
    </row>
    <row r="128" customHeight="1" spans="1:19">
      <c r="A128" s="4">
        <v>2</v>
      </c>
      <c r="B128" s="11" t="s">
        <v>216</v>
      </c>
      <c r="C128" s="12" t="s">
        <v>217</v>
      </c>
      <c r="D128" s="15" t="s">
        <v>110</v>
      </c>
      <c r="E128" s="85">
        <v>739203.583333333</v>
      </c>
      <c r="F128" s="85"/>
      <c r="G128" s="220"/>
      <c r="H128" s="220">
        <f>90000</f>
        <v>90000</v>
      </c>
      <c r="I128" s="85">
        <v>100000</v>
      </c>
      <c r="J128" s="509">
        <f t="shared" ref="J128:J136" si="47">SUM(E128:I128)</f>
        <v>929203.583333333</v>
      </c>
      <c r="K128" s="85"/>
      <c r="L128" s="85">
        <v>0</v>
      </c>
      <c r="M128" s="85">
        <f>0</f>
        <v>0</v>
      </c>
      <c r="N128" s="85">
        <v>9980.56666666667</v>
      </c>
      <c r="O128" s="85">
        <v>145522.030714667</v>
      </c>
      <c r="P128" s="85">
        <v>59136.2866666667</v>
      </c>
      <c r="Q128" s="510">
        <f t="shared" ref="Q128:Q136" si="48">O128+N128+M128+L128+K128+P128</f>
        <v>214638.884048</v>
      </c>
      <c r="R128" s="85">
        <v>714564.699285333</v>
      </c>
      <c r="S128" s="509">
        <f t="shared" si="46"/>
        <v>714564.699285333</v>
      </c>
    </row>
    <row r="129" customHeight="1" spans="1:19">
      <c r="A129" s="4">
        <v>3</v>
      </c>
      <c r="B129" s="14" t="s">
        <v>218</v>
      </c>
      <c r="C129" s="12" t="s">
        <v>219</v>
      </c>
      <c r="D129" s="15" t="s">
        <v>36</v>
      </c>
      <c r="E129" s="85">
        <v>620675.583333333</v>
      </c>
      <c r="F129" s="85"/>
      <c r="G129" s="220"/>
      <c r="H129" s="220">
        <f>80000</f>
        <v>80000</v>
      </c>
      <c r="I129" s="85">
        <f>100000+30000</f>
        <v>130000</v>
      </c>
      <c r="J129" s="509">
        <f t="shared" si="47"/>
        <v>830675.583333333</v>
      </c>
      <c r="K129" s="85"/>
      <c r="L129" s="85">
        <f>100000+150000</f>
        <v>250000</v>
      </c>
      <c r="M129" s="85"/>
      <c r="N129" s="85">
        <v>8380.22708333333</v>
      </c>
      <c r="O129" s="85">
        <v>128461.965706667</v>
      </c>
      <c r="P129" s="85">
        <v>49654.0466666667</v>
      </c>
      <c r="Q129" s="510">
        <f t="shared" si="48"/>
        <v>436496.239456667</v>
      </c>
      <c r="R129" s="85">
        <v>394179.343876666</v>
      </c>
      <c r="S129" s="509">
        <f t="shared" si="46"/>
        <v>394179.343876666</v>
      </c>
    </row>
    <row r="130" customHeight="1" spans="1:19">
      <c r="A130" s="4">
        <v>4</v>
      </c>
      <c r="B130" s="11" t="s">
        <v>220</v>
      </c>
      <c r="C130" s="12" t="s">
        <v>221</v>
      </c>
      <c r="D130" s="15" t="s">
        <v>222</v>
      </c>
      <c r="E130" s="85">
        <v>470498</v>
      </c>
      <c r="F130" s="85"/>
      <c r="G130" s="220"/>
      <c r="H130" s="220">
        <f>70000</f>
        <v>70000</v>
      </c>
      <c r="I130" s="85">
        <v>0</v>
      </c>
      <c r="J130" s="509">
        <f t="shared" si="47"/>
        <v>540498</v>
      </c>
      <c r="K130" s="85"/>
      <c r="L130" s="85">
        <v>5000</v>
      </c>
      <c r="M130" s="85">
        <v>195000</v>
      </c>
      <c r="N130" s="85">
        <v>0</v>
      </c>
      <c r="O130" s="85">
        <v>75215.4333866667</v>
      </c>
      <c r="P130" s="85">
        <v>37639.84</v>
      </c>
      <c r="Q130" s="510">
        <f t="shared" si="48"/>
        <v>312855.273386667</v>
      </c>
      <c r="R130" s="85">
        <v>227642.726613333</v>
      </c>
      <c r="S130" s="509">
        <f t="shared" si="46"/>
        <v>227642.726613333</v>
      </c>
    </row>
    <row r="131" customHeight="1" spans="1:19">
      <c r="A131" s="4">
        <v>5</v>
      </c>
      <c r="B131" s="11" t="s">
        <v>223</v>
      </c>
      <c r="C131" s="12" t="s">
        <v>224</v>
      </c>
      <c r="D131" s="15" t="s">
        <v>47</v>
      </c>
      <c r="E131" s="85">
        <v>442746.5</v>
      </c>
      <c r="F131" s="85"/>
      <c r="G131" s="220"/>
      <c r="H131" s="220">
        <f t="shared" ref="H131:H132" si="49">70000</f>
        <v>70000</v>
      </c>
      <c r="I131" s="85">
        <v>0</v>
      </c>
      <c r="J131" s="509">
        <f t="shared" si="47"/>
        <v>512746.5</v>
      </c>
      <c r="K131" s="85"/>
      <c r="L131" s="85">
        <f>20000</f>
        <v>20000</v>
      </c>
      <c r="M131" s="85">
        <v>75694.44</v>
      </c>
      <c r="N131" s="85">
        <v>5967.30625</v>
      </c>
      <c r="O131" s="85">
        <v>70189.3087466667</v>
      </c>
      <c r="P131" s="85">
        <v>35419.72</v>
      </c>
      <c r="Q131" s="510">
        <f t="shared" si="48"/>
        <v>207270.774996667</v>
      </c>
      <c r="R131" s="85">
        <v>305475.725003333</v>
      </c>
      <c r="S131" s="509">
        <f t="shared" si="46"/>
        <v>305475.725003333</v>
      </c>
    </row>
    <row r="132" customHeight="1" spans="1:19">
      <c r="A132" s="4">
        <v>6</v>
      </c>
      <c r="B132" s="11" t="s">
        <v>225</v>
      </c>
      <c r="C132" s="12" t="s">
        <v>221</v>
      </c>
      <c r="D132" s="15" t="s">
        <v>148</v>
      </c>
      <c r="E132" s="85">
        <v>456622.25</v>
      </c>
      <c r="F132" s="85"/>
      <c r="G132" s="220"/>
      <c r="H132" s="220">
        <f t="shared" si="49"/>
        <v>70000</v>
      </c>
      <c r="I132" s="85"/>
      <c r="J132" s="509">
        <f t="shared" si="47"/>
        <v>526622.25</v>
      </c>
      <c r="K132" s="85"/>
      <c r="L132" s="85">
        <f>35000+25000</f>
        <v>60000</v>
      </c>
      <c r="M132" s="85">
        <f>55000</f>
        <v>55000</v>
      </c>
      <c r="N132" s="85">
        <v>6154.32291666667</v>
      </c>
      <c r="O132" s="85">
        <v>72636.1041866667</v>
      </c>
      <c r="P132" s="85">
        <v>36529.78</v>
      </c>
      <c r="Q132" s="510">
        <f t="shared" si="48"/>
        <v>230320.207103333</v>
      </c>
      <c r="R132" s="85">
        <v>296302.042896667</v>
      </c>
      <c r="S132" s="509">
        <f t="shared" si="46"/>
        <v>296302.042896667</v>
      </c>
    </row>
    <row r="133" customHeight="1" spans="1:19">
      <c r="A133" s="4">
        <v>7</v>
      </c>
      <c r="B133" s="11" t="s">
        <v>226</v>
      </c>
      <c r="C133" s="12" t="s">
        <v>227</v>
      </c>
      <c r="D133" s="10" t="s">
        <v>75</v>
      </c>
      <c r="E133" s="85">
        <v>270481.666666667</v>
      </c>
      <c r="F133" s="85"/>
      <c r="G133" s="220"/>
      <c r="H133" s="220">
        <f>60000</f>
        <v>60000</v>
      </c>
      <c r="I133" s="85"/>
      <c r="J133" s="509">
        <f t="shared" si="47"/>
        <v>330481.666666667</v>
      </c>
      <c r="K133" s="85"/>
      <c r="L133" s="85">
        <v>15000</v>
      </c>
      <c r="M133" s="85">
        <v>100000</v>
      </c>
      <c r="N133" s="85"/>
      <c r="O133" s="85">
        <v>39052.3130666667</v>
      </c>
      <c r="P133" s="85">
        <v>21638.5333333333</v>
      </c>
      <c r="Q133" s="510">
        <f t="shared" si="48"/>
        <v>175690.8464</v>
      </c>
      <c r="R133" s="85">
        <v>154790.820266667</v>
      </c>
      <c r="S133" s="509">
        <f t="shared" si="46"/>
        <v>154790.820266667</v>
      </c>
    </row>
    <row r="134" customHeight="1" spans="1:19">
      <c r="A134" s="4">
        <v>8</v>
      </c>
      <c r="B134" s="18" t="s">
        <v>228</v>
      </c>
      <c r="C134" s="12" t="s">
        <v>229</v>
      </c>
      <c r="D134" s="15" t="s">
        <v>92</v>
      </c>
      <c r="E134" s="85">
        <v>224459.75</v>
      </c>
      <c r="F134" s="85"/>
      <c r="G134" s="220"/>
      <c r="H134" s="220">
        <f>50000</f>
        <v>50000</v>
      </c>
      <c r="I134" s="85"/>
      <c r="J134" s="509">
        <f t="shared" si="47"/>
        <v>274459.75</v>
      </c>
      <c r="K134" s="85"/>
      <c r="L134" s="85">
        <f>10000</f>
        <v>10000</v>
      </c>
      <c r="M134" s="85">
        <f>100000</f>
        <v>100000</v>
      </c>
      <c r="N134" s="85">
        <v>0</v>
      </c>
      <c r="O134" s="85">
        <v>30259.1656266667</v>
      </c>
      <c r="P134" s="85">
        <v>17956.78</v>
      </c>
      <c r="Q134" s="510">
        <f t="shared" si="48"/>
        <v>158215.945626667</v>
      </c>
      <c r="R134" s="85">
        <v>116243.804373333</v>
      </c>
      <c r="S134" s="509">
        <f t="shared" si="46"/>
        <v>116243.804373333</v>
      </c>
    </row>
    <row r="135" customHeight="1" spans="1:19">
      <c r="A135" s="4">
        <v>9</v>
      </c>
      <c r="B135" s="18" t="s">
        <v>230</v>
      </c>
      <c r="C135" s="12" t="s">
        <v>231</v>
      </c>
      <c r="D135" s="15" t="s">
        <v>92</v>
      </c>
      <c r="E135" s="85">
        <v>224459.75</v>
      </c>
      <c r="F135" s="85"/>
      <c r="G135" s="220"/>
      <c r="H135" s="220">
        <v>50000</v>
      </c>
      <c r="I135" s="85"/>
      <c r="J135" s="509">
        <f t="shared" si="47"/>
        <v>274459.75</v>
      </c>
      <c r="K135" s="85"/>
      <c r="L135" s="85">
        <f>10000+10000</f>
        <v>20000</v>
      </c>
      <c r="M135" s="85">
        <v>63888.89</v>
      </c>
      <c r="N135" s="85">
        <v>0</v>
      </c>
      <c r="O135" s="85">
        <v>30259.1656266667</v>
      </c>
      <c r="P135" s="85">
        <v>17956.78</v>
      </c>
      <c r="Q135" s="510">
        <f t="shared" si="48"/>
        <v>132104.835626667</v>
      </c>
      <c r="R135" s="85">
        <v>142354.914373333</v>
      </c>
      <c r="S135" s="509">
        <f t="shared" si="46"/>
        <v>142354.914373333</v>
      </c>
    </row>
    <row r="136" customHeight="1" spans="1:19">
      <c r="A136" s="4">
        <v>10</v>
      </c>
      <c r="B136" s="18" t="s">
        <v>232</v>
      </c>
      <c r="C136" s="12" t="s">
        <v>229</v>
      </c>
      <c r="D136" s="15" t="s">
        <v>95</v>
      </c>
      <c r="E136" s="85">
        <v>218287.583333333</v>
      </c>
      <c r="F136" s="85"/>
      <c r="G136" s="220"/>
      <c r="H136" s="220">
        <v>50000</v>
      </c>
      <c r="I136" s="85"/>
      <c r="J136" s="509">
        <f t="shared" si="47"/>
        <v>268287.583333333</v>
      </c>
      <c r="K136" s="85"/>
      <c r="L136" s="684">
        <f>20000</f>
        <v>20000</v>
      </c>
      <c r="M136" s="684">
        <v>50000</v>
      </c>
      <c r="O136" s="684">
        <f>29305.1955466667</f>
        <v>29305.1955466667</v>
      </c>
      <c r="P136" s="685">
        <f>218287.583333333*0.08</f>
        <v>17463.0066666666</v>
      </c>
      <c r="Q136" s="510">
        <f t="shared" si="48"/>
        <v>116768.202213333</v>
      </c>
      <c r="R136" s="85">
        <v>151519.38112</v>
      </c>
      <c r="S136" s="509">
        <f t="shared" si="46"/>
        <v>151519.38112</v>
      </c>
    </row>
    <row r="137" ht="28.5" customHeight="1" spans="1:19">
      <c r="A137" s="4"/>
      <c r="B137" s="20" t="s">
        <v>96</v>
      </c>
      <c r="C137" s="26" t="s">
        <v>233</v>
      </c>
      <c r="D137" s="15"/>
      <c r="E137" s="146">
        <f t="shared" ref="E137:S137" si="50">SUM(E127:E136)</f>
        <v>5103154.66666667</v>
      </c>
      <c r="F137" s="146">
        <f t="shared" si="50"/>
        <v>0</v>
      </c>
      <c r="G137" s="146">
        <f t="shared" si="50"/>
        <v>0</v>
      </c>
      <c r="H137" s="146">
        <f t="shared" si="50"/>
        <v>690000</v>
      </c>
      <c r="I137" s="146">
        <f t="shared" si="50"/>
        <v>330000</v>
      </c>
      <c r="J137" s="146">
        <f t="shared" si="50"/>
        <v>6123154.66666667</v>
      </c>
      <c r="K137" s="146">
        <f t="shared" si="50"/>
        <v>0</v>
      </c>
      <c r="L137" s="146">
        <f t="shared" si="50"/>
        <v>500000</v>
      </c>
      <c r="M137" s="146">
        <f t="shared" si="50"/>
        <v>1067361.11</v>
      </c>
      <c r="N137" s="146">
        <f t="shared" si="50"/>
        <v>49867.1895833334</v>
      </c>
      <c r="O137" s="146">
        <f t="shared" si="50"/>
        <v>891180.577978668</v>
      </c>
      <c r="P137" s="146">
        <f t="shared" si="50"/>
        <v>408252.373333333</v>
      </c>
      <c r="Q137" s="146">
        <f t="shared" si="50"/>
        <v>2916661.25089534</v>
      </c>
      <c r="R137" s="146">
        <v>3206493.41577133</v>
      </c>
      <c r="S137" s="146">
        <f t="shared" si="50"/>
        <v>3206493.41577133</v>
      </c>
    </row>
    <row r="138" customHeight="1" spans="1:19">
      <c r="A138" s="4"/>
      <c r="B138" s="22"/>
      <c r="C138" s="26"/>
      <c r="D138" s="15"/>
      <c r="E138" s="146"/>
      <c r="F138" s="146"/>
      <c r="G138" s="220"/>
      <c r="H138" s="220"/>
      <c r="I138" s="146"/>
      <c r="J138" s="516"/>
      <c r="K138" s="146"/>
      <c r="L138" s="146"/>
      <c r="M138" s="146"/>
      <c r="N138" s="146"/>
      <c r="O138" s="146"/>
      <c r="P138" s="146"/>
      <c r="Q138" s="517"/>
      <c r="R138" s="146"/>
      <c r="S138" s="516"/>
    </row>
    <row r="139" customHeight="1" spans="1:19">
      <c r="A139" s="4"/>
      <c r="B139" s="20" t="s">
        <v>234</v>
      </c>
      <c r="C139" s="12"/>
      <c r="D139" s="15"/>
      <c r="E139" s="85"/>
      <c r="F139" s="85"/>
      <c r="G139" s="220"/>
      <c r="H139" s="220"/>
      <c r="I139" s="85"/>
      <c r="J139" s="509"/>
      <c r="K139" s="85"/>
      <c r="L139" s="85"/>
      <c r="M139" s="85"/>
      <c r="N139" s="85"/>
      <c r="O139" s="85"/>
      <c r="P139" s="85"/>
      <c r="Q139" s="510"/>
      <c r="R139" s="85"/>
      <c r="S139" s="509"/>
    </row>
    <row r="140" customHeight="1" spans="1:19">
      <c r="A140" s="27">
        <v>1</v>
      </c>
      <c r="B140" s="11" t="s">
        <v>235</v>
      </c>
      <c r="C140" s="12" t="s">
        <v>236</v>
      </c>
      <c r="D140" s="15" t="s">
        <v>100</v>
      </c>
      <c r="E140" s="85">
        <v>1435720</v>
      </c>
      <c r="F140" s="85"/>
      <c r="G140" s="220"/>
      <c r="H140" s="220">
        <f>100000</f>
        <v>100000</v>
      </c>
      <c r="I140" s="85">
        <v>0</v>
      </c>
      <c r="J140" s="509">
        <f>SUM(E140:I140)</f>
        <v>1535720</v>
      </c>
      <c r="K140" s="85"/>
      <c r="L140" s="85">
        <f>100000</f>
        <v>100000</v>
      </c>
      <c r="M140" s="85">
        <f>540625</f>
        <v>540625</v>
      </c>
      <c r="N140" s="85"/>
      <c r="O140" s="85">
        <v>251472.247466667</v>
      </c>
      <c r="P140" s="85">
        <v>114857.6</v>
      </c>
      <c r="Q140" s="510">
        <f>O140+N140+M140+L140+K140+P140</f>
        <v>1006954.84746667</v>
      </c>
      <c r="R140" s="85">
        <v>781890.152533333</v>
      </c>
      <c r="S140" s="509">
        <f>J140-Q140</f>
        <v>528765.152533333</v>
      </c>
    </row>
    <row r="141" customHeight="1" spans="1:19">
      <c r="A141" s="27">
        <v>2</v>
      </c>
      <c r="B141" s="14" t="s">
        <v>237</v>
      </c>
      <c r="C141" s="4" t="s">
        <v>238</v>
      </c>
      <c r="D141" s="16" t="s">
        <v>189</v>
      </c>
      <c r="E141" s="85">
        <v>762373.166666667</v>
      </c>
      <c r="F141" s="85"/>
      <c r="G141" s="220"/>
      <c r="H141" s="220">
        <f>80000+10000</f>
        <v>90000</v>
      </c>
      <c r="I141" s="85">
        <v>50000</v>
      </c>
      <c r="J141" s="509">
        <f>SUM(E141:I141)</f>
        <v>902373.166666667</v>
      </c>
      <c r="K141" s="85"/>
      <c r="L141" s="85">
        <f>37500</f>
        <v>37500</v>
      </c>
      <c r="M141" s="85"/>
      <c r="N141" s="85">
        <v>10293.3979166667</v>
      </c>
      <c r="O141" s="85">
        <v>140007.527610667</v>
      </c>
      <c r="P141" s="85">
        <v>60989.8533333333</v>
      </c>
      <c r="Q141" s="510">
        <f>O141+N141+M141+L141+K141+P141</f>
        <v>248790.778860667</v>
      </c>
      <c r="R141" s="85">
        <v>653582.387806</v>
      </c>
      <c r="S141" s="509">
        <f>J141-Q141</f>
        <v>653582.387806</v>
      </c>
    </row>
    <row r="142" customHeight="1" spans="1:19">
      <c r="A142" s="27">
        <v>3</v>
      </c>
      <c r="B142" s="11" t="s">
        <v>239</v>
      </c>
      <c r="C142" s="12" t="s">
        <v>240</v>
      </c>
      <c r="D142" s="15" t="s">
        <v>39</v>
      </c>
      <c r="E142" s="85">
        <v>582118.083333333</v>
      </c>
      <c r="F142" s="85"/>
      <c r="G142" s="220"/>
      <c r="H142" s="220">
        <v>80000</v>
      </c>
      <c r="I142" s="85"/>
      <c r="J142" s="509">
        <f>SUM(E142:I142)</f>
        <v>662118.083333333</v>
      </c>
      <c r="K142" s="85"/>
      <c r="L142" s="85">
        <f>30000+20000</f>
        <v>50000</v>
      </c>
      <c r="M142" s="85">
        <f>191666.67</f>
        <v>191666.67</v>
      </c>
      <c r="N142" s="85">
        <v>8380.22708333333</v>
      </c>
      <c r="O142" s="85">
        <v>95312.1873578667</v>
      </c>
      <c r="P142" s="85">
        <f t="shared" ref="P142:P144" si="51">46569.45</f>
        <v>46569.45</v>
      </c>
      <c r="Q142" s="510">
        <f>O142+N142+M142+L142+K142+P142</f>
        <v>391928.5344412</v>
      </c>
      <c r="R142" s="85">
        <v>270189.548892133</v>
      </c>
      <c r="S142" s="509">
        <f>J142-Q142</f>
        <v>270189.548892133</v>
      </c>
    </row>
    <row r="143" customHeight="1" spans="1:19">
      <c r="A143" s="27">
        <v>4</v>
      </c>
      <c r="B143" s="11" t="s">
        <v>241</v>
      </c>
      <c r="C143" s="4" t="s">
        <v>242</v>
      </c>
      <c r="D143" s="15" t="s">
        <v>39</v>
      </c>
      <c r="E143" s="85">
        <v>582119.083333333</v>
      </c>
      <c r="F143" s="85"/>
      <c r="G143" s="220"/>
      <c r="H143" s="220">
        <v>80000</v>
      </c>
      <c r="I143" s="85">
        <v>0</v>
      </c>
      <c r="J143" s="509">
        <f>SUM(E143:I143)</f>
        <v>662119.083333333</v>
      </c>
      <c r="K143" s="85"/>
      <c r="L143" s="85">
        <v>20000</v>
      </c>
      <c r="M143" s="85"/>
      <c r="N143" s="85">
        <v>8381.22708333333</v>
      </c>
      <c r="O143" s="85">
        <v>95312.1873578667</v>
      </c>
      <c r="P143" s="85">
        <f t="shared" si="51"/>
        <v>46569.45</v>
      </c>
      <c r="Q143" s="510">
        <f>O143+N143+M143+L143+K143+P143</f>
        <v>170262.8644412</v>
      </c>
      <c r="R143" s="85">
        <v>511856.218892133</v>
      </c>
      <c r="S143" s="509">
        <f>J143-Q143</f>
        <v>491856.218892133</v>
      </c>
    </row>
    <row r="144" customHeight="1" spans="1:19">
      <c r="A144" s="27">
        <v>5</v>
      </c>
      <c r="B144" s="11" t="s">
        <v>243</v>
      </c>
      <c r="C144" s="4" t="s">
        <v>242</v>
      </c>
      <c r="D144" s="15" t="s">
        <v>39</v>
      </c>
      <c r="E144" s="85">
        <v>582120.083333333</v>
      </c>
      <c r="F144" s="85"/>
      <c r="G144" s="220"/>
      <c r="H144" s="220">
        <v>80000</v>
      </c>
      <c r="I144" s="85">
        <v>0</v>
      </c>
      <c r="J144" s="509">
        <f>SUM(E144:I144)</f>
        <v>662120.083333333</v>
      </c>
      <c r="K144" s="85"/>
      <c r="L144" s="85">
        <f>0</f>
        <v>0</v>
      </c>
      <c r="M144" s="85">
        <v>0</v>
      </c>
      <c r="N144" s="85">
        <v>8382.22708333333</v>
      </c>
      <c r="O144" s="85">
        <v>95312.1873578667</v>
      </c>
      <c r="P144" s="85">
        <f t="shared" si="51"/>
        <v>46569.45</v>
      </c>
      <c r="Q144" s="510">
        <f>O144+N144+M144+L144+K144+P144</f>
        <v>150263.8644412</v>
      </c>
      <c r="R144" s="85">
        <v>511856.218892133</v>
      </c>
      <c r="S144" s="509">
        <f>J144-Q144</f>
        <v>511856.218892133</v>
      </c>
    </row>
    <row r="145" customHeight="1" spans="1:19">
      <c r="A145" s="27">
        <v>6</v>
      </c>
      <c r="B145" s="11" t="s">
        <v>244</v>
      </c>
      <c r="C145" s="12" t="s">
        <v>179</v>
      </c>
      <c r="D145" s="15" t="s">
        <v>166</v>
      </c>
      <c r="E145" s="85">
        <v>390248.916666667</v>
      </c>
      <c r="F145" s="85"/>
      <c r="G145" s="220"/>
      <c r="H145" s="220">
        <f>70000</f>
        <v>70000</v>
      </c>
      <c r="I145" s="85">
        <v>0</v>
      </c>
      <c r="J145" s="509">
        <f t="shared" ref="J145:J155" si="52">SUM(E145:I145)</f>
        <v>460248.916666667</v>
      </c>
      <c r="K145" s="85"/>
      <c r="L145" s="85"/>
      <c r="M145" s="85">
        <f>100000</f>
        <v>100000</v>
      </c>
      <c r="N145" s="85">
        <v>0</v>
      </c>
      <c r="O145" s="85">
        <v>61040.2352554667</v>
      </c>
      <c r="P145" s="85">
        <f>31219.91</f>
        <v>31219.91</v>
      </c>
      <c r="Q145" s="510">
        <f t="shared" ref="Q145:Q155" si="53">O145+N145+M145+L145+K145+P145</f>
        <v>192260.145255467</v>
      </c>
      <c r="R145" s="85">
        <v>267988.7714112</v>
      </c>
      <c r="S145" s="509">
        <f t="shared" ref="S145:S172" si="54">J145-Q145</f>
        <v>267988.7714112</v>
      </c>
    </row>
    <row r="146" customHeight="1" spans="1:19">
      <c r="A146" s="27">
        <v>7</v>
      </c>
      <c r="B146" s="11" t="s">
        <v>245</v>
      </c>
      <c r="C146" s="4" t="s">
        <v>246</v>
      </c>
      <c r="D146" s="15" t="s">
        <v>166</v>
      </c>
      <c r="E146" s="85">
        <v>390248.916666667</v>
      </c>
      <c r="F146" s="85"/>
      <c r="G146" s="220"/>
      <c r="H146" s="220">
        <f>70000</f>
        <v>70000</v>
      </c>
      <c r="I146" s="85"/>
      <c r="J146" s="509">
        <f t="shared" si="52"/>
        <v>460248.916666667</v>
      </c>
      <c r="K146" s="85"/>
      <c r="L146" s="85">
        <v>60000</v>
      </c>
      <c r="M146" s="85">
        <v>0</v>
      </c>
      <c r="N146" s="85">
        <v>0</v>
      </c>
      <c r="O146" s="85">
        <v>61040.2352554667</v>
      </c>
      <c r="P146" s="85">
        <f>31219.91</f>
        <v>31219.91</v>
      </c>
      <c r="Q146" s="510">
        <f t="shared" si="53"/>
        <v>152260.145255467</v>
      </c>
      <c r="R146" s="85">
        <v>307988.7714112</v>
      </c>
      <c r="S146" s="509">
        <f t="shared" si="54"/>
        <v>307988.7714112</v>
      </c>
    </row>
    <row r="147" customHeight="1" spans="1:19">
      <c r="A147" s="27">
        <v>8</v>
      </c>
      <c r="B147" s="11" t="s">
        <v>247</v>
      </c>
      <c r="C147" s="12" t="s">
        <v>248</v>
      </c>
      <c r="D147" s="15" t="s">
        <v>62</v>
      </c>
      <c r="E147" s="85">
        <v>377895.166666667</v>
      </c>
      <c r="F147" s="85"/>
      <c r="G147" s="220"/>
      <c r="H147" s="220">
        <f>60000</f>
        <v>60000</v>
      </c>
      <c r="I147" s="85"/>
      <c r="J147" s="509">
        <f t="shared" si="52"/>
        <v>437895.166666667</v>
      </c>
      <c r="K147" s="85"/>
      <c r="L147" s="85">
        <v>35000</v>
      </c>
      <c r="M147" s="85">
        <v>159722.22</v>
      </c>
      <c r="N147" s="85">
        <v>0</v>
      </c>
      <c r="O147" s="85">
        <v>56938.0689066667</v>
      </c>
      <c r="P147" s="85">
        <v>30231.6133333333</v>
      </c>
      <c r="Q147" s="510">
        <f t="shared" si="53"/>
        <v>281891.90224</v>
      </c>
      <c r="R147" s="85">
        <v>156003.264426667</v>
      </c>
      <c r="S147" s="509">
        <f t="shared" si="54"/>
        <v>156003.264426667</v>
      </c>
    </row>
    <row r="148" customHeight="1" spans="1:19">
      <c r="A148" s="27">
        <v>9</v>
      </c>
      <c r="B148" s="11" t="s">
        <v>249</v>
      </c>
      <c r="C148" s="12" t="s">
        <v>250</v>
      </c>
      <c r="D148" s="15" t="s">
        <v>135</v>
      </c>
      <c r="E148" s="85">
        <v>365703.833333333</v>
      </c>
      <c r="F148" s="85"/>
      <c r="G148" s="220"/>
      <c r="H148" s="220">
        <f>60000</f>
        <v>60000</v>
      </c>
      <c r="I148" s="85"/>
      <c r="J148" s="509">
        <f t="shared" si="52"/>
        <v>425703.833333333</v>
      </c>
      <c r="K148" s="85"/>
      <c r="L148" s="85">
        <f>10000</f>
        <v>10000</v>
      </c>
      <c r="M148" s="85">
        <v>200000</v>
      </c>
      <c r="N148" s="85">
        <v>4928.93333333333</v>
      </c>
      <c r="O148" s="85">
        <v>54681.2915626667</v>
      </c>
      <c r="P148" s="85">
        <v>29256.3066666667</v>
      </c>
      <c r="Q148" s="510">
        <f t="shared" si="53"/>
        <v>298866.531562667</v>
      </c>
      <c r="R148" s="85">
        <v>226837.301770666</v>
      </c>
      <c r="S148" s="509">
        <f t="shared" si="54"/>
        <v>126837.301770666</v>
      </c>
    </row>
    <row r="149" customHeight="1" spans="1:19">
      <c r="A149" s="27">
        <v>10</v>
      </c>
      <c r="B149" s="11" t="s">
        <v>251</v>
      </c>
      <c r="C149" s="12" t="s">
        <v>252</v>
      </c>
      <c r="D149" s="15" t="s">
        <v>253</v>
      </c>
      <c r="E149" s="85">
        <v>390086.5</v>
      </c>
      <c r="F149" s="85"/>
      <c r="G149" s="220"/>
      <c r="H149" s="220">
        <f>60000</f>
        <v>60000</v>
      </c>
      <c r="I149" s="85"/>
      <c r="J149" s="509">
        <f t="shared" si="52"/>
        <v>450086.5</v>
      </c>
      <c r="K149" s="85"/>
      <c r="L149" s="85">
        <v>20000</v>
      </c>
      <c r="M149" s="85">
        <f>68750</f>
        <v>68750</v>
      </c>
      <c r="N149" s="85">
        <v>5257.5625</v>
      </c>
      <c r="O149" s="85">
        <v>58980.8347466667</v>
      </c>
      <c r="P149" s="85">
        <v>31206.92</v>
      </c>
      <c r="Q149" s="510">
        <f t="shared" si="53"/>
        <v>184195.317246667</v>
      </c>
      <c r="R149" s="85">
        <v>265891.182753333</v>
      </c>
      <c r="S149" s="509">
        <f t="shared" si="54"/>
        <v>265891.182753333</v>
      </c>
    </row>
    <row r="150" customHeight="1" spans="1:19">
      <c r="A150" s="27">
        <v>11</v>
      </c>
      <c r="B150" s="18" t="s">
        <v>254</v>
      </c>
      <c r="C150" s="4" t="s">
        <v>255</v>
      </c>
      <c r="D150" s="15" t="s">
        <v>65</v>
      </c>
      <c r="E150" s="220">
        <v>353512.5</v>
      </c>
      <c r="F150" s="85"/>
      <c r="G150" s="220"/>
      <c r="H150" s="220">
        <v>60000</v>
      </c>
      <c r="I150" s="85"/>
      <c r="J150" s="509">
        <f t="shared" si="52"/>
        <v>413512.5</v>
      </c>
      <c r="K150" s="85"/>
      <c r="L150" s="85"/>
      <c r="M150" s="85"/>
      <c r="N150" s="85">
        <v>0</v>
      </c>
      <c r="O150" s="85">
        <v>52631.1146666667</v>
      </c>
      <c r="P150" s="85">
        <v>28281</v>
      </c>
      <c r="Q150" s="510">
        <f t="shared" si="53"/>
        <v>80912.1146666667</v>
      </c>
      <c r="R150" s="85">
        <v>332600.385333333</v>
      </c>
      <c r="S150" s="509">
        <f t="shared" si="54"/>
        <v>332600.385333333</v>
      </c>
    </row>
    <row r="151" customHeight="1" spans="1:19">
      <c r="A151" s="27">
        <v>12</v>
      </c>
      <c r="B151" s="11" t="s">
        <v>256</v>
      </c>
      <c r="C151" s="4" t="s">
        <v>255</v>
      </c>
      <c r="D151" s="15" t="s">
        <v>65</v>
      </c>
      <c r="E151" s="220">
        <v>353512.5</v>
      </c>
      <c r="F151" s="85"/>
      <c r="G151" s="220"/>
      <c r="H151" s="220">
        <f>60000</f>
        <v>60000</v>
      </c>
      <c r="I151" s="85"/>
      <c r="J151" s="509">
        <f t="shared" si="52"/>
        <v>413512.5</v>
      </c>
      <c r="K151" s="85"/>
      <c r="L151" s="85">
        <f>10000</f>
        <v>10000</v>
      </c>
      <c r="M151" s="85">
        <f>100000</f>
        <v>100000</v>
      </c>
      <c r="N151" s="85">
        <v>0</v>
      </c>
      <c r="O151" s="85">
        <v>52631.1146666667</v>
      </c>
      <c r="P151" s="85">
        <v>28281</v>
      </c>
      <c r="Q151" s="510">
        <f t="shared" si="53"/>
        <v>190912.114666667</v>
      </c>
      <c r="R151" s="85">
        <v>222600.385333333</v>
      </c>
      <c r="S151" s="509">
        <f t="shared" si="54"/>
        <v>222600.385333333</v>
      </c>
    </row>
    <row r="152" customHeight="1" spans="1:19">
      <c r="A152" s="27">
        <v>13</v>
      </c>
      <c r="B152" s="11" t="s">
        <v>257</v>
      </c>
      <c r="C152" s="4" t="s">
        <v>255</v>
      </c>
      <c r="D152" s="15" t="s">
        <v>65</v>
      </c>
      <c r="E152" s="220">
        <v>353512.5</v>
      </c>
      <c r="F152" s="85"/>
      <c r="G152" s="220"/>
      <c r="H152" s="220">
        <f>60000</f>
        <v>60000</v>
      </c>
      <c r="I152" s="85"/>
      <c r="J152" s="509">
        <f t="shared" si="52"/>
        <v>413512.5</v>
      </c>
      <c r="K152" s="85"/>
      <c r="L152" s="85">
        <f>10000</f>
        <v>10000</v>
      </c>
      <c r="M152" s="85">
        <v>70000</v>
      </c>
      <c r="N152" s="85">
        <v>4928.93333333333</v>
      </c>
      <c r="O152" s="85">
        <v>52631.1146666667</v>
      </c>
      <c r="P152" s="85">
        <v>28281</v>
      </c>
      <c r="Q152" s="510">
        <f t="shared" si="53"/>
        <v>165841.048</v>
      </c>
      <c r="R152" s="85">
        <v>247671.452</v>
      </c>
      <c r="S152" s="509">
        <f t="shared" si="54"/>
        <v>247671.452</v>
      </c>
    </row>
    <row r="153" customHeight="1" spans="1:19">
      <c r="A153" s="27">
        <v>14</v>
      </c>
      <c r="B153" s="11" t="s">
        <v>258</v>
      </c>
      <c r="C153" s="4" t="s">
        <v>255</v>
      </c>
      <c r="D153" s="15" t="s">
        <v>65</v>
      </c>
      <c r="E153" s="220">
        <v>353512.5</v>
      </c>
      <c r="F153" s="85"/>
      <c r="G153" s="220"/>
      <c r="H153" s="220">
        <f>60000</f>
        <v>60000</v>
      </c>
      <c r="I153" s="85"/>
      <c r="J153" s="509">
        <f t="shared" si="52"/>
        <v>413512.5</v>
      </c>
      <c r="K153" s="85"/>
      <c r="L153" s="85">
        <f>10000</f>
        <v>10000</v>
      </c>
      <c r="M153" s="85"/>
      <c r="N153" s="85">
        <v>0</v>
      </c>
      <c r="O153" s="85">
        <v>52631.1146666667</v>
      </c>
      <c r="P153" s="85">
        <v>28281</v>
      </c>
      <c r="Q153" s="510">
        <f t="shared" si="53"/>
        <v>90912.1146666667</v>
      </c>
      <c r="R153" s="85">
        <v>322600.385333333</v>
      </c>
      <c r="S153" s="509">
        <f t="shared" si="54"/>
        <v>322600.385333333</v>
      </c>
    </row>
    <row r="154" customHeight="1" spans="1:19">
      <c r="A154" s="27">
        <v>15</v>
      </c>
      <c r="B154" s="11" t="s">
        <v>259</v>
      </c>
      <c r="C154" s="12" t="s">
        <v>260</v>
      </c>
      <c r="D154" s="15" t="s">
        <v>104</v>
      </c>
      <c r="E154" s="220">
        <v>300965.583333333</v>
      </c>
      <c r="F154" s="85"/>
      <c r="G154" s="220"/>
      <c r="H154" s="220">
        <f>60000</f>
        <v>60000</v>
      </c>
      <c r="I154" s="85"/>
      <c r="J154" s="509">
        <f t="shared" si="52"/>
        <v>360965.583333333</v>
      </c>
      <c r="K154" s="85"/>
      <c r="L154" s="85">
        <f>30000</f>
        <v>30000</v>
      </c>
      <c r="M154" s="85"/>
      <c r="N154" s="85">
        <v>0</v>
      </c>
      <c r="O154" s="85">
        <v>43763.9072266667</v>
      </c>
      <c r="P154" s="85">
        <v>24077.2466666667</v>
      </c>
      <c r="Q154" s="510">
        <f t="shared" si="53"/>
        <v>97841.1538933334</v>
      </c>
      <c r="R154" s="85">
        <v>263124.42944</v>
      </c>
      <c r="S154" s="509">
        <f t="shared" si="54"/>
        <v>263124.42944</v>
      </c>
    </row>
    <row r="155" customHeight="1" spans="1:19">
      <c r="A155" s="27">
        <v>16</v>
      </c>
      <c r="B155" s="11" t="s">
        <v>261</v>
      </c>
      <c r="C155" s="12" t="s">
        <v>262</v>
      </c>
      <c r="D155" s="10" t="s">
        <v>80</v>
      </c>
      <c r="E155" s="85">
        <v>263165.333333333</v>
      </c>
      <c r="F155" s="85"/>
      <c r="G155" s="220"/>
      <c r="H155" s="220">
        <f>60000</f>
        <v>60000</v>
      </c>
      <c r="I155" s="85"/>
      <c r="J155" s="509">
        <f t="shared" si="52"/>
        <v>323165.333333333</v>
      </c>
      <c r="K155" s="85"/>
      <c r="L155" s="85">
        <f>30000</f>
        <v>30000</v>
      </c>
      <c r="M155" s="85"/>
      <c r="N155" s="85">
        <v>0</v>
      </c>
      <c r="O155" s="85">
        <v>37921.5005866667</v>
      </c>
      <c r="P155" s="85">
        <v>21053.2266666667</v>
      </c>
      <c r="Q155" s="510">
        <f t="shared" si="53"/>
        <v>88974.7272533334</v>
      </c>
      <c r="R155" s="85">
        <v>234190.60608</v>
      </c>
      <c r="S155" s="509">
        <f t="shared" si="54"/>
        <v>234190.60608</v>
      </c>
    </row>
    <row r="156" customHeight="1" spans="1:19">
      <c r="A156" s="27">
        <v>17</v>
      </c>
      <c r="B156" s="11" t="s">
        <v>263</v>
      </c>
      <c r="C156" s="12" t="s">
        <v>264</v>
      </c>
      <c r="D156" s="15" t="s">
        <v>265</v>
      </c>
      <c r="E156" s="220">
        <v>308901.5</v>
      </c>
      <c r="F156" s="85"/>
      <c r="G156" s="220"/>
      <c r="H156" s="220">
        <f>50000+10000</f>
        <v>60000</v>
      </c>
      <c r="I156" s="85"/>
      <c r="J156" s="509">
        <f t="shared" ref="J156:J161" si="55">SUM(E156:I156)</f>
        <v>368901.5</v>
      </c>
      <c r="K156" s="85"/>
      <c r="L156" s="85">
        <v>10000</v>
      </c>
      <c r="M156" s="85">
        <v>45833.33</v>
      </c>
      <c r="N156" s="85">
        <v>0</v>
      </c>
      <c r="O156" s="85">
        <v>44990.4825066667</v>
      </c>
      <c r="P156" s="85">
        <v>24712.12</v>
      </c>
      <c r="Q156" s="510">
        <f t="shared" ref="Q156:Q161" si="56">O156+N156+M156+L156+K156+P156</f>
        <v>125535.932506667</v>
      </c>
      <c r="R156" s="85">
        <v>243365.567493333</v>
      </c>
      <c r="S156" s="509">
        <f t="shared" si="54"/>
        <v>243365.567493333</v>
      </c>
    </row>
    <row r="157" customHeight="1" spans="1:19">
      <c r="A157" s="27">
        <v>18</v>
      </c>
      <c r="B157" s="11" t="s">
        <v>266</v>
      </c>
      <c r="C157" s="12" t="s">
        <v>267</v>
      </c>
      <c r="D157" s="15" t="s">
        <v>75</v>
      </c>
      <c r="E157" s="220">
        <v>270481.666666667</v>
      </c>
      <c r="F157" s="85"/>
      <c r="G157" s="220"/>
      <c r="H157" s="220">
        <f>50000+10000</f>
        <v>60000</v>
      </c>
      <c r="I157" s="85"/>
      <c r="J157" s="509">
        <f t="shared" si="55"/>
        <v>330481.666666667</v>
      </c>
      <c r="K157" s="85"/>
      <c r="L157" s="85">
        <v>90000</v>
      </c>
      <c r="M157" s="85">
        <f>70000+30000</f>
        <v>100000</v>
      </c>
      <c r="N157" s="85">
        <v>0</v>
      </c>
      <c r="O157" s="85">
        <v>39052.3130666667</v>
      </c>
      <c r="P157" s="85">
        <v>21638.5333333333</v>
      </c>
      <c r="Q157" s="510">
        <f t="shared" si="56"/>
        <v>250690.8464</v>
      </c>
      <c r="R157" s="85">
        <v>79790.820266667</v>
      </c>
      <c r="S157" s="509">
        <f t="shared" si="54"/>
        <v>79790.820266667</v>
      </c>
    </row>
    <row r="158" customHeight="1" spans="1:19">
      <c r="A158" s="27">
        <v>19</v>
      </c>
      <c r="B158" s="11" t="s">
        <v>268</v>
      </c>
      <c r="C158" s="12" t="s">
        <v>269</v>
      </c>
      <c r="D158" s="15" t="s">
        <v>265</v>
      </c>
      <c r="E158" s="220">
        <v>308901.5</v>
      </c>
      <c r="F158" s="85"/>
      <c r="G158" s="220"/>
      <c r="H158" s="220">
        <f>50000+10000</f>
        <v>60000</v>
      </c>
      <c r="I158" s="85"/>
      <c r="J158" s="509">
        <f t="shared" si="55"/>
        <v>368901.5</v>
      </c>
      <c r="K158" s="85"/>
      <c r="L158" s="85">
        <f>10000</f>
        <v>10000</v>
      </c>
      <c r="M158" s="85">
        <f>90000</f>
        <v>90000</v>
      </c>
      <c r="N158" s="85">
        <v>4123.42083333333</v>
      </c>
      <c r="O158" s="85">
        <v>44913.6996186667</v>
      </c>
      <c r="P158" s="85">
        <v>24712.12</v>
      </c>
      <c r="Q158" s="510">
        <f t="shared" si="56"/>
        <v>173749.240452</v>
      </c>
      <c r="R158" s="85">
        <v>195152.259548</v>
      </c>
      <c r="S158" s="509">
        <f t="shared" si="54"/>
        <v>195152.259548</v>
      </c>
    </row>
    <row r="159" customHeight="1" spans="1:19">
      <c r="A159" s="27">
        <v>20</v>
      </c>
      <c r="B159" s="11" t="s">
        <v>270</v>
      </c>
      <c r="C159" s="12" t="s">
        <v>271</v>
      </c>
      <c r="D159" s="15" t="s">
        <v>75</v>
      </c>
      <c r="E159" s="220">
        <v>270481.666666667</v>
      </c>
      <c r="F159" s="85"/>
      <c r="G159" s="220"/>
      <c r="H159" s="220">
        <f>50000+10000</f>
        <v>60000</v>
      </c>
      <c r="I159" s="85"/>
      <c r="J159" s="509">
        <f t="shared" si="55"/>
        <v>330481.666666667</v>
      </c>
      <c r="K159" s="85"/>
      <c r="L159" s="85"/>
      <c r="M159" s="85">
        <v>20000</v>
      </c>
      <c r="N159" s="85">
        <v>0</v>
      </c>
      <c r="O159" s="85">
        <v>39052.3130666667</v>
      </c>
      <c r="P159" s="85">
        <v>21638.5333333333</v>
      </c>
      <c r="Q159" s="510">
        <f t="shared" si="56"/>
        <v>80690.8464</v>
      </c>
      <c r="R159" s="85">
        <v>249790.820266667</v>
      </c>
      <c r="S159" s="509">
        <f t="shared" si="54"/>
        <v>249790.820266667</v>
      </c>
    </row>
    <row r="160" customHeight="1" spans="1:19">
      <c r="A160" s="27">
        <v>21</v>
      </c>
      <c r="B160" s="18" t="s">
        <v>272</v>
      </c>
      <c r="C160" s="12" t="s">
        <v>273</v>
      </c>
      <c r="D160" s="15" t="s">
        <v>83</v>
      </c>
      <c r="E160" s="220">
        <v>255849</v>
      </c>
      <c r="F160" s="85"/>
      <c r="G160" s="220"/>
      <c r="H160" s="220">
        <f>60000</f>
        <v>60000</v>
      </c>
      <c r="I160" s="4"/>
      <c r="J160" s="509">
        <f t="shared" si="55"/>
        <v>315849</v>
      </c>
      <c r="K160" s="85"/>
      <c r="L160" s="85">
        <v>30000</v>
      </c>
      <c r="M160" s="85">
        <f>80000</f>
        <v>80000</v>
      </c>
      <c r="N160" s="85">
        <v>0</v>
      </c>
      <c r="O160" s="85">
        <v>36790.6881066667</v>
      </c>
      <c r="P160" s="85">
        <v>20467.92</v>
      </c>
      <c r="Q160" s="510">
        <f t="shared" si="56"/>
        <v>167258.608106667</v>
      </c>
      <c r="R160" s="85">
        <v>148590.391893333</v>
      </c>
      <c r="S160" s="509">
        <f t="shared" si="54"/>
        <v>148590.391893333</v>
      </c>
    </row>
    <row r="161" customHeight="1" spans="1:19">
      <c r="A161" s="27">
        <v>22</v>
      </c>
      <c r="B161" s="18" t="s">
        <v>274</v>
      </c>
      <c r="C161" s="12" t="s">
        <v>273</v>
      </c>
      <c r="D161" s="15" t="s">
        <v>83</v>
      </c>
      <c r="E161" s="220">
        <v>255849</v>
      </c>
      <c r="F161" s="85"/>
      <c r="G161" s="220"/>
      <c r="H161" s="220">
        <f>60000</f>
        <v>60000</v>
      </c>
      <c r="I161" s="4"/>
      <c r="J161" s="509">
        <f t="shared" si="55"/>
        <v>315849</v>
      </c>
      <c r="K161" s="85"/>
      <c r="L161" s="85">
        <v>30000</v>
      </c>
      <c r="M161" s="85">
        <f>40000+50000</f>
        <v>90000</v>
      </c>
      <c r="N161" s="85">
        <v>0</v>
      </c>
      <c r="O161" s="85">
        <v>35110.6881066667</v>
      </c>
      <c r="P161" s="85">
        <v>20467.92</v>
      </c>
      <c r="Q161" s="510">
        <f t="shared" si="56"/>
        <v>175578.608106667</v>
      </c>
      <c r="R161" s="85">
        <v>190270.391893333</v>
      </c>
      <c r="S161" s="509">
        <f t="shared" si="54"/>
        <v>140270.391893333</v>
      </c>
    </row>
    <row r="162" customHeight="1" spans="1:19">
      <c r="A162" s="27">
        <v>23</v>
      </c>
      <c r="B162" s="18" t="s">
        <v>275</v>
      </c>
      <c r="C162" s="12" t="s">
        <v>276</v>
      </c>
      <c r="D162" s="15" t="s">
        <v>92</v>
      </c>
      <c r="E162" s="85">
        <v>224459.75</v>
      </c>
      <c r="F162" s="85"/>
      <c r="G162" s="220"/>
      <c r="H162" s="220">
        <f t="shared" ref="H162:H168" si="57">50000</f>
        <v>50000</v>
      </c>
      <c r="I162" s="85"/>
      <c r="J162" s="509">
        <f t="shared" ref="J162:J200" si="58">SUM(E162:I162)</f>
        <v>274459.75</v>
      </c>
      <c r="K162" s="85"/>
      <c r="L162" s="85">
        <f>20000</f>
        <v>20000</v>
      </c>
      <c r="M162" s="85">
        <v>100000</v>
      </c>
      <c r="N162" s="85">
        <v>0</v>
      </c>
      <c r="O162" s="85">
        <v>30259.1656266667</v>
      </c>
      <c r="P162" s="85">
        <v>17956.78</v>
      </c>
      <c r="Q162" s="510">
        <f t="shared" ref="Q162:Q200" si="59">O162+N162+M162+L162+K162+P162</f>
        <v>168215.945626667</v>
      </c>
      <c r="R162" s="85">
        <v>106243.804373333</v>
      </c>
      <c r="S162" s="509">
        <f t="shared" si="54"/>
        <v>106243.804373333</v>
      </c>
    </row>
    <row r="163" customHeight="1" spans="1:19">
      <c r="A163" s="27">
        <v>24</v>
      </c>
      <c r="B163" s="18" t="s">
        <v>277</v>
      </c>
      <c r="C163" s="12" t="s">
        <v>278</v>
      </c>
      <c r="D163" s="15" t="s">
        <v>92</v>
      </c>
      <c r="E163" s="85">
        <v>224459.75</v>
      </c>
      <c r="F163" s="85"/>
      <c r="G163" s="220"/>
      <c r="H163" s="220">
        <f t="shared" si="57"/>
        <v>50000</v>
      </c>
      <c r="I163" s="85"/>
      <c r="J163" s="509">
        <f t="shared" si="58"/>
        <v>274459.75</v>
      </c>
      <c r="K163" s="85"/>
      <c r="L163" s="85">
        <f>12000-2000</f>
        <v>10000</v>
      </c>
      <c r="M163" s="85">
        <v>42000</v>
      </c>
      <c r="N163" s="85">
        <v>0</v>
      </c>
      <c r="O163" s="85">
        <v>30259.1656266667</v>
      </c>
      <c r="P163" s="85">
        <v>17956.78</v>
      </c>
      <c r="Q163" s="510">
        <f t="shared" si="59"/>
        <v>100215.945626667</v>
      </c>
      <c r="R163" s="85">
        <v>174243.804373333</v>
      </c>
      <c r="S163" s="509">
        <f t="shared" si="54"/>
        <v>174243.804373333</v>
      </c>
    </row>
    <row r="164" customHeight="1" spans="1:19">
      <c r="A164" s="27">
        <v>25</v>
      </c>
      <c r="B164" s="18" t="s">
        <v>279</v>
      </c>
      <c r="C164" s="12" t="s">
        <v>280</v>
      </c>
      <c r="D164" s="15" t="s">
        <v>92</v>
      </c>
      <c r="E164" s="85">
        <v>224459.75</v>
      </c>
      <c r="F164" s="85"/>
      <c r="G164" s="220"/>
      <c r="H164" s="220">
        <f t="shared" si="57"/>
        <v>50000</v>
      </c>
      <c r="I164" s="85"/>
      <c r="J164" s="509">
        <f t="shared" si="58"/>
        <v>274459.75</v>
      </c>
      <c r="K164" s="85"/>
      <c r="L164" s="85">
        <v>20000</v>
      </c>
      <c r="M164" s="85">
        <v>20000</v>
      </c>
      <c r="N164" s="85">
        <v>0</v>
      </c>
      <c r="O164" s="85">
        <v>30259.1656266667</v>
      </c>
      <c r="P164" s="85">
        <v>17956.78</v>
      </c>
      <c r="Q164" s="510">
        <f t="shared" si="59"/>
        <v>88215.9456266667</v>
      </c>
      <c r="R164" s="85">
        <v>186243.804373333</v>
      </c>
      <c r="S164" s="509">
        <f t="shared" si="54"/>
        <v>186243.804373333</v>
      </c>
    </row>
    <row r="165" customHeight="1" spans="1:19">
      <c r="A165" s="27">
        <v>26</v>
      </c>
      <c r="B165" s="18" t="s">
        <v>281</v>
      </c>
      <c r="C165" s="12" t="s">
        <v>282</v>
      </c>
      <c r="D165" s="15" t="s">
        <v>171</v>
      </c>
      <c r="E165" s="85">
        <v>230631.916666667</v>
      </c>
      <c r="F165" s="85"/>
      <c r="G165" s="220"/>
      <c r="H165" s="220">
        <f t="shared" si="57"/>
        <v>50000</v>
      </c>
      <c r="I165" s="85"/>
      <c r="J165" s="509">
        <f t="shared" si="58"/>
        <v>280631.916666667</v>
      </c>
      <c r="K165" s="85"/>
      <c r="L165" s="85">
        <v>30000</v>
      </c>
      <c r="M165" s="85">
        <f>32000</f>
        <v>32000</v>
      </c>
      <c r="N165" s="85">
        <v>0</v>
      </c>
      <c r="O165" s="85">
        <v>31213.1357066667</v>
      </c>
      <c r="P165" s="85">
        <v>18450.5533333333</v>
      </c>
      <c r="Q165" s="510">
        <f t="shared" si="59"/>
        <v>111663.68904</v>
      </c>
      <c r="R165" s="85">
        <v>168968.227626667</v>
      </c>
      <c r="S165" s="509">
        <f t="shared" si="54"/>
        <v>168968.227626667</v>
      </c>
    </row>
    <row r="166" customHeight="1" spans="1:19">
      <c r="A166" s="27">
        <v>27</v>
      </c>
      <c r="B166" s="18" t="s">
        <v>283</v>
      </c>
      <c r="C166" s="12" t="s">
        <v>278</v>
      </c>
      <c r="D166" s="15" t="s">
        <v>92</v>
      </c>
      <c r="E166" s="85">
        <v>224459.75</v>
      </c>
      <c r="F166" s="85"/>
      <c r="G166" s="220"/>
      <c r="H166" s="220">
        <f t="shared" si="57"/>
        <v>50000</v>
      </c>
      <c r="I166" s="85"/>
      <c r="J166" s="509">
        <f t="shared" si="58"/>
        <v>274459.75</v>
      </c>
      <c r="K166" s="85"/>
      <c r="L166" s="85">
        <v>30000</v>
      </c>
      <c r="M166" s="85">
        <v>0</v>
      </c>
      <c r="N166" s="85">
        <v>0</v>
      </c>
      <c r="O166" s="85">
        <v>30259.1656266667</v>
      </c>
      <c r="P166" s="85">
        <v>17956.78</v>
      </c>
      <c r="Q166" s="510">
        <f t="shared" si="59"/>
        <v>78215.9456266667</v>
      </c>
      <c r="R166" s="85">
        <v>196243.804373333</v>
      </c>
      <c r="S166" s="509">
        <f t="shared" si="54"/>
        <v>196243.804373333</v>
      </c>
    </row>
    <row r="167" customHeight="1" spans="1:19">
      <c r="A167" s="27">
        <v>28</v>
      </c>
      <c r="B167" s="18" t="s">
        <v>284</v>
      </c>
      <c r="C167" s="12" t="s">
        <v>285</v>
      </c>
      <c r="D167" s="15" t="s">
        <v>95</v>
      </c>
      <c r="E167" s="674">
        <f>218287.583333333</f>
        <v>218287.583333333</v>
      </c>
      <c r="F167" s="85"/>
      <c r="G167" s="220"/>
      <c r="H167" s="220">
        <f t="shared" si="57"/>
        <v>50000</v>
      </c>
      <c r="I167" s="85"/>
      <c r="J167" s="509">
        <f t="shared" si="58"/>
        <v>268287.583333333</v>
      </c>
      <c r="K167" s="85"/>
      <c r="L167" s="85">
        <v>15000</v>
      </c>
      <c r="M167" s="85"/>
      <c r="N167" s="85"/>
      <c r="O167" s="684">
        <f>29305.1955466666</f>
        <v>29305.1955466666</v>
      </c>
      <c r="P167" s="685">
        <f t="shared" ref="P167:P168" si="60">218287.583333333*0.08</f>
        <v>17463.0066666666</v>
      </c>
      <c r="Q167" s="510">
        <f t="shared" si="59"/>
        <v>61768.2022133332</v>
      </c>
      <c r="R167" s="85">
        <v>206519.38112</v>
      </c>
      <c r="S167" s="509">
        <f t="shared" si="54"/>
        <v>206519.38112</v>
      </c>
    </row>
    <row r="168" customHeight="1" spans="1:19">
      <c r="A168" s="27">
        <v>29</v>
      </c>
      <c r="B168" s="18" t="s">
        <v>286</v>
      </c>
      <c r="C168" s="12" t="s">
        <v>285</v>
      </c>
      <c r="D168" s="15" t="s">
        <v>95</v>
      </c>
      <c r="E168" s="674">
        <f>218287.583333333</f>
        <v>218287.583333333</v>
      </c>
      <c r="F168" s="85"/>
      <c r="G168" s="220"/>
      <c r="H168" s="220">
        <f t="shared" si="57"/>
        <v>50000</v>
      </c>
      <c r="I168" s="85"/>
      <c r="J168" s="509">
        <f t="shared" si="58"/>
        <v>268287.583333333</v>
      </c>
      <c r="K168" s="85"/>
      <c r="L168" s="85"/>
      <c r="M168" s="85"/>
      <c r="N168" s="85"/>
      <c r="O168" s="684">
        <f>29305.1955466666</f>
        <v>29305.1955466666</v>
      </c>
      <c r="P168" s="685">
        <f t="shared" si="60"/>
        <v>17463.0066666666</v>
      </c>
      <c r="Q168" s="510">
        <f t="shared" si="59"/>
        <v>46768.2022133332</v>
      </c>
      <c r="R168" s="85">
        <v>221519.38112</v>
      </c>
      <c r="S168" s="509">
        <f t="shared" si="54"/>
        <v>221519.38112</v>
      </c>
    </row>
    <row r="169" customHeight="1" spans="1:19">
      <c r="A169" s="27">
        <v>30</v>
      </c>
      <c r="B169" s="11" t="s">
        <v>287</v>
      </c>
      <c r="C169" s="12" t="s">
        <v>288</v>
      </c>
      <c r="D169" s="15" t="s">
        <v>289</v>
      </c>
      <c r="E169" s="226">
        <v>168598.166666667</v>
      </c>
      <c r="F169" s="220"/>
      <c r="G169" s="220"/>
      <c r="H169" s="220">
        <f>30000</f>
        <v>30000</v>
      </c>
      <c r="I169" s="85">
        <f>4000</f>
        <v>4000</v>
      </c>
      <c r="J169" s="509">
        <f t="shared" si="58"/>
        <v>202598.166666667</v>
      </c>
      <c r="K169" s="85"/>
      <c r="L169" s="85">
        <v>50000</v>
      </c>
      <c r="M169" s="85">
        <f>47916.66+20000</f>
        <v>67916.66</v>
      </c>
      <c r="N169" s="85">
        <v>2313.575</v>
      </c>
      <c r="O169" s="85">
        <v>18892.9833866667</v>
      </c>
      <c r="P169" s="85">
        <v>13487.8533333333</v>
      </c>
      <c r="Q169" s="510">
        <f t="shared" si="59"/>
        <v>152611.07172</v>
      </c>
      <c r="R169" s="85">
        <v>49987.094946667</v>
      </c>
      <c r="S169" s="509">
        <f t="shared" si="54"/>
        <v>49987.094946667</v>
      </c>
    </row>
    <row r="170" customHeight="1" spans="1:19">
      <c r="A170" s="27">
        <v>31</v>
      </c>
      <c r="B170" s="11" t="s">
        <v>290</v>
      </c>
      <c r="C170" s="12" t="s">
        <v>288</v>
      </c>
      <c r="D170" s="15" t="s">
        <v>289</v>
      </c>
      <c r="E170" s="226">
        <v>168598.166666667</v>
      </c>
      <c r="F170" s="220"/>
      <c r="G170" s="220"/>
      <c r="H170" s="220">
        <f>30000</f>
        <v>30000</v>
      </c>
      <c r="I170" s="85">
        <f>7000</f>
        <v>7000</v>
      </c>
      <c r="J170" s="509">
        <f t="shared" si="58"/>
        <v>205598.166666667</v>
      </c>
      <c r="K170" s="85"/>
      <c r="L170" s="85">
        <v>25000</v>
      </c>
      <c r="M170" s="85">
        <f>14524.11</f>
        <v>14524.11</v>
      </c>
      <c r="N170" s="85">
        <v>0</v>
      </c>
      <c r="O170" s="85">
        <v>19441.1993066667</v>
      </c>
      <c r="P170" s="85">
        <v>13487.8533333333</v>
      </c>
      <c r="Q170" s="510">
        <f t="shared" si="59"/>
        <v>72453.16264</v>
      </c>
      <c r="R170" s="85">
        <v>133145.004026667</v>
      </c>
      <c r="S170" s="509">
        <f t="shared" si="54"/>
        <v>133145.004026667</v>
      </c>
    </row>
    <row r="171" customHeight="1" spans="1:19">
      <c r="A171" s="27">
        <v>32</v>
      </c>
      <c r="B171" s="11" t="s">
        <v>291</v>
      </c>
      <c r="C171" s="12" t="s">
        <v>288</v>
      </c>
      <c r="D171" s="15" t="s">
        <v>289</v>
      </c>
      <c r="E171" s="226">
        <v>168598.166666667</v>
      </c>
      <c r="F171" s="220"/>
      <c r="G171" s="220"/>
      <c r="H171" s="220">
        <f>30000</f>
        <v>30000</v>
      </c>
      <c r="I171" s="85">
        <f>4000</f>
        <v>4000</v>
      </c>
      <c r="J171" s="509">
        <f t="shared" si="58"/>
        <v>202598.166666667</v>
      </c>
      <c r="K171" s="85"/>
      <c r="L171" s="85">
        <v>20000</v>
      </c>
      <c r="M171" s="85"/>
      <c r="N171" s="85">
        <v>0</v>
      </c>
      <c r="O171" s="85">
        <v>18937.1993066667</v>
      </c>
      <c r="P171" s="85">
        <v>13487.8533333333</v>
      </c>
      <c r="Q171" s="510">
        <f t="shared" si="59"/>
        <v>52425.05264</v>
      </c>
      <c r="R171" s="85">
        <v>150173.114026667</v>
      </c>
      <c r="S171" s="509">
        <f t="shared" si="54"/>
        <v>150173.114026667</v>
      </c>
    </row>
    <row r="172" customHeight="1" spans="1:19">
      <c r="A172" s="27">
        <v>33</v>
      </c>
      <c r="B172" s="11" t="s">
        <v>292</v>
      </c>
      <c r="C172" s="12" t="s">
        <v>288</v>
      </c>
      <c r="D172" s="15" t="s">
        <v>289</v>
      </c>
      <c r="E172" s="226">
        <v>168598.166666667</v>
      </c>
      <c r="F172" s="220"/>
      <c r="G172" s="220"/>
      <c r="H172" s="220">
        <f>30000</f>
        <v>30000</v>
      </c>
      <c r="I172" s="85">
        <f>4000</f>
        <v>4000</v>
      </c>
      <c r="J172" s="509">
        <f t="shared" si="58"/>
        <v>202598.166666667</v>
      </c>
      <c r="K172" s="85"/>
      <c r="L172" s="85">
        <v>25000</v>
      </c>
      <c r="M172" s="85">
        <f>35704.84+30000+35000</f>
        <v>100704.84</v>
      </c>
      <c r="N172" s="85">
        <v>2313.575</v>
      </c>
      <c r="O172" s="85">
        <v>18892.9833866667</v>
      </c>
      <c r="P172" s="85">
        <v>13487.8533333333</v>
      </c>
      <c r="Q172" s="510">
        <f t="shared" si="59"/>
        <v>160399.25172</v>
      </c>
      <c r="R172" s="85">
        <v>77198.914946667</v>
      </c>
      <c r="S172" s="509">
        <f t="shared" si="54"/>
        <v>42198.914946667</v>
      </c>
    </row>
    <row r="173" customHeight="1" spans="1:19">
      <c r="A173" s="27">
        <v>34</v>
      </c>
      <c r="B173" s="11" t="s">
        <v>293</v>
      </c>
      <c r="C173" s="12" t="s">
        <v>288</v>
      </c>
      <c r="D173" s="15" t="s">
        <v>289</v>
      </c>
      <c r="E173" s="226">
        <v>168598.166666667</v>
      </c>
      <c r="F173" s="220"/>
      <c r="G173" s="220"/>
      <c r="H173" s="220">
        <f>30000</f>
        <v>30000</v>
      </c>
      <c r="I173" s="85">
        <f>4000</f>
        <v>4000</v>
      </c>
      <c r="J173" s="509">
        <f t="shared" si="58"/>
        <v>202598.166666667</v>
      </c>
      <c r="K173" s="85"/>
      <c r="L173" s="85">
        <v>30000</v>
      </c>
      <c r="M173" s="85">
        <f>15112.49+30000+40000</f>
        <v>85112.49</v>
      </c>
      <c r="N173" s="85"/>
      <c r="O173" s="85">
        <v>18937.1993066667</v>
      </c>
      <c r="P173" s="85">
        <v>13487.8533333333</v>
      </c>
      <c r="Q173" s="510">
        <f t="shared" si="59"/>
        <v>147537.54264</v>
      </c>
      <c r="R173" s="85">
        <v>95060.624026667</v>
      </c>
      <c r="S173" s="509">
        <f t="shared" ref="S173:S200" si="61">J173-Q173</f>
        <v>55060.624026667</v>
      </c>
    </row>
    <row r="174" customHeight="1" spans="1:19">
      <c r="A174" s="27">
        <v>35</v>
      </c>
      <c r="B174" s="11" t="s">
        <v>294</v>
      </c>
      <c r="C174" s="12" t="s">
        <v>288</v>
      </c>
      <c r="D174" s="15" t="s">
        <v>295</v>
      </c>
      <c r="E174" s="226">
        <v>163336.833333333</v>
      </c>
      <c r="F174" s="220"/>
      <c r="G174" s="220"/>
      <c r="H174" s="220">
        <f>20000+10000</f>
        <v>30000</v>
      </c>
      <c r="I174" s="85">
        <f>7000</f>
        <v>7000</v>
      </c>
      <c r="J174" s="509">
        <f t="shared" si="58"/>
        <v>200336.833333333</v>
      </c>
      <c r="K174" s="85"/>
      <c r="L174" s="85">
        <v>40000</v>
      </c>
      <c r="M174" s="85">
        <f>26430.62</f>
        <v>26430.62</v>
      </c>
      <c r="N174" s="85"/>
      <c r="O174" s="85">
        <v>18631.68944</v>
      </c>
      <c r="P174" s="85">
        <v>13066.9466666667</v>
      </c>
      <c r="Q174" s="510">
        <f t="shared" si="59"/>
        <v>98129.2561066667</v>
      </c>
      <c r="R174" s="85">
        <v>102207.577226666</v>
      </c>
      <c r="S174" s="509">
        <f t="shared" si="61"/>
        <v>102207.577226666</v>
      </c>
    </row>
    <row r="175" customHeight="1" spans="1:19">
      <c r="A175" s="27">
        <v>36</v>
      </c>
      <c r="B175" s="11" t="s">
        <v>296</v>
      </c>
      <c r="C175" s="12" t="s">
        <v>288</v>
      </c>
      <c r="D175" s="15" t="s">
        <v>295</v>
      </c>
      <c r="E175" s="226">
        <v>163336.833333333</v>
      </c>
      <c r="F175" s="220"/>
      <c r="G175" s="220"/>
      <c r="H175" s="220">
        <f t="shared" ref="H175:H179" si="62">20000+10000</f>
        <v>30000</v>
      </c>
      <c r="I175" s="85">
        <f>4000</f>
        <v>4000</v>
      </c>
      <c r="J175" s="509">
        <f t="shared" si="58"/>
        <v>197336.833333333</v>
      </c>
      <c r="K175" s="85"/>
      <c r="L175" s="85">
        <v>40000</v>
      </c>
      <c r="M175" s="85">
        <f>25555.56+50000</f>
        <v>75555.56</v>
      </c>
      <c r="N175" s="85"/>
      <c r="O175" s="85">
        <v>18175.68944</v>
      </c>
      <c r="P175" s="85">
        <v>13066.9466666667</v>
      </c>
      <c r="Q175" s="510">
        <f t="shared" si="59"/>
        <v>146798.196106667</v>
      </c>
      <c r="R175" s="85">
        <v>100538.637226666</v>
      </c>
      <c r="S175" s="509">
        <f t="shared" si="61"/>
        <v>50538.6372266663</v>
      </c>
    </row>
    <row r="176" customHeight="1" spans="1:19">
      <c r="A176" s="27">
        <v>37</v>
      </c>
      <c r="B176" s="14" t="s">
        <v>297</v>
      </c>
      <c r="C176" s="12" t="s">
        <v>288</v>
      </c>
      <c r="D176" s="15" t="s">
        <v>295</v>
      </c>
      <c r="E176" s="226">
        <v>163336.833333333</v>
      </c>
      <c r="F176" s="220"/>
      <c r="G176" s="220"/>
      <c r="H176" s="220">
        <f t="shared" si="62"/>
        <v>30000</v>
      </c>
      <c r="I176" s="85">
        <f>7000</f>
        <v>7000</v>
      </c>
      <c r="J176" s="509">
        <f t="shared" si="58"/>
        <v>200336.833333333</v>
      </c>
      <c r="K176" s="85"/>
      <c r="L176" s="85">
        <v>30000</v>
      </c>
      <c r="M176" s="85">
        <f>31719.9</f>
        <v>31719.9</v>
      </c>
      <c r="N176" s="85"/>
      <c r="O176" s="85">
        <v>18631.68944</v>
      </c>
      <c r="P176" s="85">
        <v>13066.9466666667</v>
      </c>
      <c r="Q176" s="510">
        <f t="shared" si="59"/>
        <v>93418.5361066667</v>
      </c>
      <c r="R176" s="85">
        <v>106918.297226666</v>
      </c>
      <c r="S176" s="509">
        <f t="shared" si="61"/>
        <v>106918.297226666</v>
      </c>
    </row>
    <row r="177" customHeight="1" spans="1:19">
      <c r="A177" s="27">
        <v>38</v>
      </c>
      <c r="B177" s="11" t="s">
        <v>298</v>
      </c>
      <c r="C177" s="12" t="s">
        <v>288</v>
      </c>
      <c r="D177" s="15" t="s">
        <v>295</v>
      </c>
      <c r="E177" s="226">
        <v>163336.833333333</v>
      </c>
      <c r="F177" s="220"/>
      <c r="G177" s="220"/>
      <c r="H177" s="220">
        <f t="shared" si="62"/>
        <v>30000</v>
      </c>
      <c r="I177" s="85">
        <f>4000</f>
        <v>4000</v>
      </c>
      <c r="J177" s="509">
        <f t="shared" si="58"/>
        <v>197336.833333333</v>
      </c>
      <c r="K177" s="85"/>
      <c r="L177" s="85">
        <v>30000</v>
      </c>
      <c r="M177" s="85">
        <f>13750+30000</f>
        <v>43750</v>
      </c>
      <c r="N177" s="85"/>
      <c r="O177" s="85">
        <v>18175.68944</v>
      </c>
      <c r="P177" s="85">
        <v>13066.9466666667</v>
      </c>
      <c r="Q177" s="510">
        <f t="shared" si="59"/>
        <v>104992.636106667</v>
      </c>
      <c r="R177" s="85">
        <v>122344.197226666</v>
      </c>
      <c r="S177" s="509">
        <f t="shared" si="61"/>
        <v>92344.1972266663</v>
      </c>
    </row>
    <row r="178" customHeight="1" spans="1:19">
      <c r="A178" s="27">
        <v>39</v>
      </c>
      <c r="B178" s="18" t="s">
        <v>299</v>
      </c>
      <c r="C178" s="12" t="s">
        <v>288</v>
      </c>
      <c r="D178" s="15" t="s">
        <v>295</v>
      </c>
      <c r="E178" s="226">
        <v>163336.833333333</v>
      </c>
      <c r="F178" s="220"/>
      <c r="G178" s="220"/>
      <c r="H178" s="220">
        <f t="shared" si="62"/>
        <v>30000</v>
      </c>
      <c r="I178" s="85">
        <f>4000</f>
        <v>4000</v>
      </c>
      <c r="J178" s="509">
        <f t="shared" si="58"/>
        <v>197336.833333333</v>
      </c>
      <c r="K178" s="85"/>
      <c r="L178" s="85">
        <v>30000</v>
      </c>
      <c r="M178" s="85">
        <f>25708.34+40000</f>
        <v>65708.34</v>
      </c>
      <c r="N178" s="85"/>
      <c r="O178" s="85">
        <v>18175.68944</v>
      </c>
      <c r="P178" s="85">
        <v>13066.9466666667</v>
      </c>
      <c r="Q178" s="510">
        <f t="shared" si="59"/>
        <v>126950.976106667</v>
      </c>
      <c r="R178" s="85">
        <v>110385.857226666</v>
      </c>
      <c r="S178" s="509">
        <f t="shared" si="61"/>
        <v>70385.8572266663</v>
      </c>
    </row>
    <row r="179" customHeight="1" spans="1:19">
      <c r="A179" s="27">
        <v>40</v>
      </c>
      <c r="B179" s="18" t="s">
        <v>300</v>
      </c>
      <c r="C179" s="12" t="s">
        <v>288</v>
      </c>
      <c r="D179" s="15" t="s">
        <v>295</v>
      </c>
      <c r="E179" s="226">
        <v>163336.833333333</v>
      </c>
      <c r="F179" s="220"/>
      <c r="G179" s="220"/>
      <c r="H179" s="220">
        <f t="shared" si="62"/>
        <v>30000</v>
      </c>
      <c r="I179" s="85">
        <f t="shared" ref="I179:I184" si="63">7000</f>
        <v>7000</v>
      </c>
      <c r="J179" s="509">
        <f t="shared" si="58"/>
        <v>200336.833333333</v>
      </c>
      <c r="K179" s="85"/>
      <c r="L179" s="85">
        <v>30000</v>
      </c>
      <c r="M179" s="85">
        <f>22361.11</f>
        <v>22361.11</v>
      </c>
      <c r="N179" s="85"/>
      <c r="O179" s="85">
        <v>18631.68944</v>
      </c>
      <c r="P179" s="85">
        <v>13066.9466666667</v>
      </c>
      <c r="Q179" s="510">
        <f t="shared" si="59"/>
        <v>84059.7461066667</v>
      </c>
      <c r="R179" s="85">
        <v>116277.087226666</v>
      </c>
      <c r="S179" s="509">
        <f t="shared" si="61"/>
        <v>116277.087226666</v>
      </c>
    </row>
    <row r="180" customHeight="1" spans="1:19">
      <c r="A180" s="27">
        <v>41</v>
      </c>
      <c r="B180" s="11" t="s">
        <v>301</v>
      </c>
      <c r="C180" s="12" t="s">
        <v>302</v>
      </c>
      <c r="D180" s="15" t="s">
        <v>303</v>
      </c>
      <c r="E180" s="85">
        <v>152814.166666667</v>
      </c>
      <c r="F180" s="220"/>
      <c r="G180" s="220"/>
      <c r="H180" s="220">
        <f>30000</f>
        <v>30000</v>
      </c>
      <c r="I180" s="85">
        <f t="shared" si="63"/>
        <v>7000</v>
      </c>
      <c r="J180" s="509">
        <f t="shared" si="58"/>
        <v>189814.166666667</v>
      </c>
      <c r="K180" s="85"/>
      <c r="L180" s="85">
        <v>30000</v>
      </c>
      <c r="M180" s="85">
        <v>28524.31</v>
      </c>
      <c r="N180" s="85"/>
      <c r="O180" s="85">
        <v>17160.1997333333</v>
      </c>
      <c r="P180" s="85">
        <v>12225.1333333333</v>
      </c>
      <c r="Q180" s="510">
        <f t="shared" si="59"/>
        <v>87909.6430666666</v>
      </c>
      <c r="R180" s="85">
        <v>101904.5236</v>
      </c>
      <c r="S180" s="509">
        <f t="shared" si="61"/>
        <v>101904.5236</v>
      </c>
    </row>
    <row r="181" customHeight="1" spans="1:19">
      <c r="A181" s="27">
        <v>42</v>
      </c>
      <c r="B181" s="11" t="s">
        <v>304</v>
      </c>
      <c r="C181" s="12" t="s">
        <v>302</v>
      </c>
      <c r="D181" s="15" t="s">
        <v>303</v>
      </c>
      <c r="E181" s="85">
        <v>152814.166666667</v>
      </c>
      <c r="F181" s="220"/>
      <c r="G181" s="220"/>
      <c r="H181" s="220">
        <f>30000</f>
        <v>30000</v>
      </c>
      <c r="I181" s="85">
        <f t="shared" si="63"/>
        <v>7000</v>
      </c>
      <c r="J181" s="509">
        <f t="shared" si="58"/>
        <v>189814.166666667</v>
      </c>
      <c r="K181" s="85"/>
      <c r="L181" s="85">
        <v>30000</v>
      </c>
      <c r="M181" s="85">
        <v>43885.11</v>
      </c>
      <c r="N181" s="85"/>
      <c r="O181" s="85">
        <v>17160.1997333333</v>
      </c>
      <c r="P181" s="85">
        <v>12225.1333333333</v>
      </c>
      <c r="Q181" s="510">
        <f t="shared" si="59"/>
        <v>103270.443066667</v>
      </c>
      <c r="R181" s="85">
        <v>86543.7236000004</v>
      </c>
      <c r="S181" s="509">
        <f t="shared" si="61"/>
        <v>86543.7236000004</v>
      </c>
    </row>
    <row r="182" customHeight="1" spans="1:19">
      <c r="A182" s="27">
        <v>43</v>
      </c>
      <c r="B182" s="18" t="s">
        <v>305</v>
      </c>
      <c r="C182" s="12" t="s">
        <v>302</v>
      </c>
      <c r="D182" s="15" t="s">
        <v>306</v>
      </c>
      <c r="E182" s="85">
        <v>158075.5</v>
      </c>
      <c r="F182" s="220"/>
      <c r="G182" s="220"/>
      <c r="H182" s="220">
        <f>30000</f>
        <v>30000</v>
      </c>
      <c r="I182" s="85">
        <f t="shared" si="63"/>
        <v>7000</v>
      </c>
      <c r="J182" s="509">
        <f t="shared" si="58"/>
        <v>195075.5</v>
      </c>
      <c r="K182" s="85"/>
      <c r="L182" s="85">
        <v>23000</v>
      </c>
      <c r="M182" s="85">
        <f>44000</f>
        <v>44000</v>
      </c>
      <c r="N182" s="85"/>
      <c r="O182" s="85">
        <v>17895.9445866667</v>
      </c>
      <c r="P182" s="85">
        <v>12646.04</v>
      </c>
      <c r="Q182" s="510">
        <f t="shared" si="59"/>
        <v>97541.9845866667</v>
      </c>
      <c r="R182" s="85">
        <v>97533.5154133333</v>
      </c>
      <c r="S182" s="509">
        <f t="shared" si="61"/>
        <v>97533.5154133333</v>
      </c>
    </row>
    <row r="183" customHeight="1" spans="1:19">
      <c r="A183" s="27">
        <v>44</v>
      </c>
      <c r="B183" s="11" t="s">
        <v>307</v>
      </c>
      <c r="C183" s="12" t="s">
        <v>308</v>
      </c>
      <c r="D183" s="15" t="s">
        <v>303</v>
      </c>
      <c r="E183" s="85">
        <v>152814.166666667</v>
      </c>
      <c r="F183" s="220"/>
      <c r="G183" s="220"/>
      <c r="H183" s="220">
        <f>20000</f>
        <v>20000</v>
      </c>
      <c r="I183" s="85">
        <f t="shared" si="63"/>
        <v>7000</v>
      </c>
      <c r="J183" s="509">
        <f t="shared" si="58"/>
        <v>179814.166666667</v>
      </c>
      <c r="K183" s="85"/>
      <c r="L183" s="85">
        <f>25000</f>
        <v>25000</v>
      </c>
      <c r="M183" s="85">
        <f>40000+20000</f>
        <v>60000</v>
      </c>
      <c r="N183" s="85"/>
      <c r="O183" s="85">
        <v>17160.1997333333</v>
      </c>
      <c r="P183" s="85">
        <v>12225.1333333333</v>
      </c>
      <c r="Q183" s="510">
        <f t="shared" si="59"/>
        <v>114385.333066667</v>
      </c>
      <c r="R183" s="85">
        <v>85428.8336000004</v>
      </c>
      <c r="S183" s="509">
        <f t="shared" si="61"/>
        <v>65428.8336000004</v>
      </c>
    </row>
    <row r="184" customHeight="1" spans="1:19">
      <c r="A184" s="27">
        <v>45</v>
      </c>
      <c r="B184" s="11" t="s">
        <v>309</v>
      </c>
      <c r="C184" s="12" t="s">
        <v>310</v>
      </c>
      <c r="D184" s="15" t="s">
        <v>311</v>
      </c>
      <c r="E184" s="85">
        <v>91598</v>
      </c>
      <c r="F184" s="220"/>
      <c r="G184" s="220"/>
      <c r="H184" s="220">
        <f t="shared" ref="H184:H190" si="64">20000</f>
        <v>20000</v>
      </c>
      <c r="I184" s="85">
        <f t="shared" si="63"/>
        <v>7000</v>
      </c>
      <c r="J184" s="509">
        <f t="shared" si="58"/>
        <v>118598</v>
      </c>
      <c r="K184" s="85"/>
      <c r="L184" s="85">
        <v>25000</v>
      </c>
      <c r="M184" s="85">
        <f>33000+20000</f>
        <v>53000</v>
      </c>
      <c r="N184" s="85"/>
      <c r="O184" s="85">
        <v>7852.4192</v>
      </c>
      <c r="P184" s="85">
        <v>7327.84</v>
      </c>
      <c r="Q184" s="510">
        <f t="shared" si="59"/>
        <v>93180.2592</v>
      </c>
      <c r="R184" s="85">
        <v>45417.7408</v>
      </c>
      <c r="S184" s="509">
        <f t="shared" si="61"/>
        <v>25417.7408</v>
      </c>
    </row>
    <row r="185" customHeight="1" spans="1:19">
      <c r="A185" s="27">
        <v>46</v>
      </c>
      <c r="B185" s="11" t="s">
        <v>312</v>
      </c>
      <c r="C185" s="12" t="s">
        <v>310</v>
      </c>
      <c r="D185" s="15" t="s">
        <v>311</v>
      </c>
      <c r="E185" s="85">
        <v>91598</v>
      </c>
      <c r="F185" s="220"/>
      <c r="G185" s="220"/>
      <c r="H185" s="220">
        <f t="shared" si="64"/>
        <v>20000</v>
      </c>
      <c r="I185" s="85">
        <f>4000</f>
        <v>4000</v>
      </c>
      <c r="J185" s="509">
        <f t="shared" si="58"/>
        <v>115598</v>
      </c>
      <c r="K185" s="85"/>
      <c r="L185" s="85">
        <v>40000</v>
      </c>
      <c r="M185" s="85">
        <f>25555.56</f>
        <v>25555.56</v>
      </c>
      <c r="N185" s="85"/>
      <c r="O185" s="85">
        <v>7492.4192</v>
      </c>
      <c r="P185" s="85">
        <v>7327.84</v>
      </c>
      <c r="Q185" s="510">
        <f t="shared" si="59"/>
        <v>80375.8192</v>
      </c>
      <c r="R185" s="85">
        <v>35222.1808</v>
      </c>
      <c r="S185" s="509">
        <f t="shared" si="61"/>
        <v>35222.1808</v>
      </c>
    </row>
    <row r="186" customHeight="1" spans="1:19">
      <c r="A186" s="27">
        <v>47</v>
      </c>
      <c r="B186" s="11" t="s">
        <v>313</v>
      </c>
      <c r="C186" s="12" t="s">
        <v>310</v>
      </c>
      <c r="D186" s="15" t="s">
        <v>311</v>
      </c>
      <c r="E186" s="85">
        <v>91598</v>
      </c>
      <c r="F186" s="220"/>
      <c r="G186" s="220"/>
      <c r="H186" s="220">
        <f t="shared" si="64"/>
        <v>20000</v>
      </c>
      <c r="I186" s="85">
        <f>7000</f>
        <v>7000</v>
      </c>
      <c r="J186" s="509">
        <f t="shared" si="58"/>
        <v>118598</v>
      </c>
      <c r="K186" s="85"/>
      <c r="L186" s="85">
        <v>25000</v>
      </c>
      <c r="M186" s="85">
        <f>15972.22+30000</f>
        <v>45972.22</v>
      </c>
      <c r="N186" s="85"/>
      <c r="O186" s="85">
        <v>7852.4192</v>
      </c>
      <c r="P186" s="85">
        <v>7327.84</v>
      </c>
      <c r="Q186" s="510">
        <f t="shared" si="59"/>
        <v>86152.4792</v>
      </c>
      <c r="R186" s="85">
        <v>62445.5208</v>
      </c>
      <c r="S186" s="509">
        <f t="shared" si="61"/>
        <v>32445.5208</v>
      </c>
    </row>
    <row r="187" customHeight="1" spans="1:19">
      <c r="A187" s="27">
        <v>48</v>
      </c>
      <c r="B187" s="11" t="s">
        <v>314</v>
      </c>
      <c r="C187" s="12" t="s">
        <v>310</v>
      </c>
      <c r="D187" s="15" t="s">
        <v>311</v>
      </c>
      <c r="E187" s="85">
        <v>91598</v>
      </c>
      <c r="F187" s="220"/>
      <c r="G187" s="220"/>
      <c r="H187" s="220">
        <f t="shared" si="64"/>
        <v>20000</v>
      </c>
      <c r="I187" s="85">
        <f>4000</f>
        <v>4000</v>
      </c>
      <c r="J187" s="509">
        <f t="shared" si="58"/>
        <v>115598</v>
      </c>
      <c r="K187" s="85"/>
      <c r="L187" s="85">
        <v>30000</v>
      </c>
      <c r="M187" s="85">
        <f>17999.67+40000</f>
        <v>57999.67</v>
      </c>
      <c r="N187" s="85"/>
      <c r="O187" s="85">
        <v>7492.4192</v>
      </c>
      <c r="P187" s="85">
        <v>7327.84</v>
      </c>
      <c r="Q187" s="510">
        <f t="shared" si="59"/>
        <v>102819.9292</v>
      </c>
      <c r="R187" s="85">
        <v>52778.0708</v>
      </c>
      <c r="S187" s="509">
        <f t="shared" si="61"/>
        <v>12778.0708</v>
      </c>
    </row>
    <row r="188" customHeight="1" spans="1:19">
      <c r="A188" s="27">
        <v>49</v>
      </c>
      <c r="B188" s="11" t="s">
        <v>315</v>
      </c>
      <c r="C188" s="12" t="s">
        <v>310</v>
      </c>
      <c r="D188" s="15" t="s">
        <v>311</v>
      </c>
      <c r="E188" s="85">
        <v>91598</v>
      </c>
      <c r="F188" s="220"/>
      <c r="G188" s="220"/>
      <c r="H188" s="220">
        <f t="shared" si="64"/>
        <v>20000</v>
      </c>
      <c r="I188" s="85">
        <f>7000</f>
        <v>7000</v>
      </c>
      <c r="J188" s="509">
        <f t="shared" si="58"/>
        <v>118598</v>
      </c>
      <c r="K188" s="85"/>
      <c r="L188" s="85">
        <v>30000</v>
      </c>
      <c r="M188" s="85">
        <f>30000</f>
        <v>30000</v>
      </c>
      <c r="N188" s="85"/>
      <c r="O188" s="85">
        <v>7852.4192</v>
      </c>
      <c r="P188" s="85">
        <v>7327.84</v>
      </c>
      <c r="Q188" s="510">
        <f t="shared" si="59"/>
        <v>75180.2592</v>
      </c>
      <c r="R188" s="85">
        <v>43417.7408</v>
      </c>
      <c r="S188" s="509">
        <f t="shared" si="61"/>
        <v>43417.7408</v>
      </c>
    </row>
    <row r="189" customHeight="1" spans="1:19">
      <c r="A189" s="27">
        <v>50</v>
      </c>
      <c r="B189" s="18" t="s">
        <v>316</v>
      </c>
      <c r="C189" s="12" t="s">
        <v>310</v>
      </c>
      <c r="D189" s="15" t="s">
        <v>311</v>
      </c>
      <c r="E189" s="85">
        <v>91598</v>
      </c>
      <c r="F189" s="220"/>
      <c r="G189" s="220"/>
      <c r="H189" s="220">
        <f t="shared" si="64"/>
        <v>20000</v>
      </c>
      <c r="I189" s="85">
        <f>4000</f>
        <v>4000</v>
      </c>
      <c r="J189" s="509">
        <f t="shared" si="58"/>
        <v>115598</v>
      </c>
      <c r="K189" s="85"/>
      <c r="L189" s="85">
        <v>25000</v>
      </c>
      <c r="M189" s="85"/>
      <c r="N189" s="85"/>
      <c r="O189" s="85">
        <v>7492.4192</v>
      </c>
      <c r="P189" s="85">
        <v>7327.84</v>
      </c>
      <c r="Q189" s="510">
        <f t="shared" si="59"/>
        <v>39820.2592</v>
      </c>
      <c r="R189" s="85">
        <v>75777.7408</v>
      </c>
      <c r="S189" s="509">
        <f t="shared" si="61"/>
        <v>75777.7408</v>
      </c>
    </row>
    <row r="190" customHeight="1" spans="1:19">
      <c r="A190" s="27">
        <v>51</v>
      </c>
      <c r="B190" s="18" t="s">
        <v>317</v>
      </c>
      <c r="C190" s="12" t="s">
        <v>310</v>
      </c>
      <c r="D190" s="15" t="s">
        <v>311</v>
      </c>
      <c r="E190" s="85">
        <v>91598</v>
      </c>
      <c r="F190" s="220"/>
      <c r="G190" s="220"/>
      <c r="H190" s="220">
        <f t="shared" si="64"/>
        <v>20000</v>
      </c>
      <c r="I190" s="85">
        <f>7000</f>
        <v>7000</v>
      </c>
      <c r="J190" s="509">
        <f t="shared" si="58"/>
        <v>118598</v>
      </c>
      <c r="K190" s="85"/>
      <c r="L190" s="85">
        <v>30000</v>
      </c>
      <c r="M190" s="85">
        <f>0</f>
        <v>0</v>
      </c>
      <c r="N190" s="85"/>
      <c r="O190" s="85">
        <v>7852.4192</v>
      </c>
      <c r="P190" s="85">
        <v>7327.84</v>
      </c>
      <c r="Q190" s="510">
        <f t="shared" si="59"/>
        <v>45180.2592</v>
      </c>
      <c r="R190" s="85">
        <v>73417.7408</v>
      </c>
      <c r="S190" s="509">
        <f t="shared" si="61"/>
        <v>73417.7408</v>
      </c>
    </row>
    <row r="191" customHeight="1" spans="1:19">
      <c r="A191" s="27">
        <v>52</v>
      </c>
      <c r="B191" s="11" t="s">
        <v>318</v>
      </c>
      <c r="C191" s="12" t="s">
        <v>308</v>
      </c>
      <c r="D191" s="15" t="s">
        <v>311</v>
      </c>
      <c r="E191" s="85">
        <v>91598</v>
      </c>
      <c r="F191" s="220"/>
      <c r="G191" s="220"/>
      <c r="H191" s="220">
        <v>20000</v>
      </c>
      <c r="I191" s="85">
        <v>7000</v>
      </c>
      <c r="J191" s="509"/>
      <c r="K191" s="85"/>
      <c r="L191" s="85"/>
      <c r="M191" s="85"/>
      <c r="N191" s="85"/>
      <c r="O191" s="85"/>
      <c r="P191" s="85"/>
      <c r="Q191" s="510">
        <f t="shared" si="59"/>
        <v>0</v>
      </c>
      <c r="R191" s="85">
        <v>0</v>
      </c>
      <c r="S191" s="509">
        <f t="shared" si="61"/>
        <v>0</v>
      </c>
    </row>
    <row r="192" customHeight="1" spans="1:19">
      <c r="A192" s="27">
        <v>53</v>
      </c>
      <c r="B192" s="11" t="s">
        <v>319</v>
      </c>
      <c r="C192" s="12" t="s">
        <v>308</v>
      </c>
      <c r="D192" s="15" t="s">
        <v>311</v>
      </c>
      <c r="E192" s="85">
        <v>91598</v>
      </c>
      <c r="F192" s="220"/>
      <c r="G192" s="220"/>
      <c r="H192" s="220">
        <v>20000</v>
      </c>
      <c r="I192" s="85">
        <f>7000</f>
        <v>7000</v>
      </c>
      <c r="J192" s="509">
        <f t="shared" si="58"/>
        <v>118598</v>
      </c>
      <c r="K192" s="85"/>
      <c r="L192" s="85">
        <v>30000</v>
      </c>
      <c r="M192" s="85">
        <f>26222.06</f>
        <v>26222.06</v>
      </c>
      <c r="N192" s="85"/>
      <c r="O192" s="85">
        <v>7852.4192</v>
      </c>
      <c r="P192" s="85">
        <v>7327.84</v>
      </c>
      <c r="Q192" s="510">
        <f t="shared" si="59"/>
        <v>71402.3192</v>
      </c>
      <c r="R192" s="85">
        <v>47195.6808</v>
      </c>
      <c r="S192" s="509">
        <f t="shared" si="61"/>
        <v>47195.6808</v>
      </c>
    </row>
    <row r="193" customHeight="1" spans="1:19">
      <c r="A193" s="27">
        <v>54</v>
      </c>
      <c r="B193" s="18" t="s">
        <v>320</v>
      </c>
      <c r="C193" s="12" t="s">
        <v>321</v>
      </c>
      <c r="D193" s="15" t="s">
        <v>322</v>
      </c>
      <c r="E193" s="85">
        <v>89050.25</v>
      </c>
      <c r="F193" s="220"/>
      <c r="G193" s="220"/>
      <c r="H193" s="220">
        <f>20000</f>
        <v>20000</v>
      </c>
      <c r="I193" s="85">
        <f>4000+3000</f>
        <v>7000</v>
      </c>
      <c r="J193" s="509">
        <f t="shared" si="58"/>
        <v>116050.25</v>
      </c>
      <c r="K193" s="85"/>
      <c r="L193" s="85">
        <v>30000</v>
      </c>
      <c r="M193" s="85">
        <f>32916.67</f>
        <v>32916.67</v>
      </c>
      <c r="N193" s="85"/>
      <c r="O193" s="85">
        <v>7571.1476</v>
      </c>
      <c r="P193" s="85">
        <v>7124.02</v>
      </c>
      <c r="Q193" s="510">
        <f t="shared" si="59"/>
        <v>77611.8376</v>
      </c>
      <c r="R193" s="85">
        <v>38438.4124</v>
      </c>
      <c r="S193" s="509">
        <f t="shared" si="61"/>
        <v>38438.4124</v>
      </c>
    </row>
    <row r="194" customHeight="1" spans="1:19">
      <c r="A194" s="27">
        <v>55</v>
      </c>
      <c r="B194" s="18" t="s">
        <v>323</v>
      </c>
      <c r="C194" s="12" t="s">
        <v>321</v>
      </c>
      <c r="D194" s="15" t="s">
        <v>324</v>
      </c>
      <c r="E194" s="85">
        <v>83955</v>
      </c>
      <c r="F194" s="220"/>
      <c r="G194" s="220"/>
      <c r="H194" s="220">
        <v>20000</v>
      </c>
      <c r="I194" s="85">
        <v>7000</v>
      </c>
      <c r="J194" s="509">
        <f>SUM(E194:I194)-46138.61</f>
        <v>64816.39</v>
      </c>
      <c r="K194" s="85"/>
      <c r="L194" s="85">
        <v>3000</v>
      </c>
      <c r="M194" s="85"/>
      <c r="N194" s="85"/>
      <c r="O194" s="85">
        <v>7814.6</v>
      </c>
      <c r="P194" s="85"/>
      <c r="Q194" s="510">
        <f t="shared" si="59"/>
        <v>10814.6</v>
      </c>
      <c r="R194" s="85">
        <v>258549.702580645</v>
      </c>
      <c r="S194" s="509">
        <f t="shared" si="61"/>
        <v>54001.79</v>
      </c>
    </row>
    <row r="195" customHeight="1" spans="1:19">
      <c r="A195" s="27">
        <v>56</v>
      </c>
      <c r="B195" s="18" t="s">
        <v>325</v>
      </c>
      <c r="C195" s="12" t="s">
        <v>302</v>
      </c>
      <c r="D195" s="15" t="s">
        <v>303</v>
      </c>
      <c r="E195" s="85">
        <v>152814.166666667</v>
      </c>
      <c r="F195" s="220"/>
      <c r="G195" s="220"/>
      <c r="H195" s="220">
        <f>15000</f>
        <v>15000</v>
      </c>
      <c r="I195" s="85">
        <f>7000</f>
        <v>7000</v>
      </c>
      <c r="J195" s="509">
        <f t="shared" si="58"/>
        <v>174814.166666667</v>
      </c>
      <c r="K195" s="85"/>
      <c r="L195" s="85">
        <v>30000</v>
      </c>
      <c r="M195" s="85">
        <v>18333.33</v>
      </c>
      <c r="N195" s="85"/>
      <c r="O195" s="85">
        <v>17160.1996928001</v>
      </c>
      <c r="P195" s="85">
        <f>12225.13</f>
        <v>12225.13</v>
      </c>
      <c r="Q195" s="510">
        <f t="shared" si="59"/>
        <v>77718.6596928001</v>
      </c>
      <c r="R195" s="85">
        <v>97095.5069738669</v>
      </c>
      <c r="S195" s="509">
        <f t="shared" si="61"/>
        <v>97095.5069738669</v>
      </c>
    </row>
    <row r="196" customHeight="1" spans="1:19">
      <c r="A196" s="27">
        <v>57</v>
      </c>
      <c r="B196" s="18" t="s">
        <v>326</v>
      </c>
      <c r="C196" s="12" t="s">
        <v>327</v>
      </c>
      <c r="D196" s="15" t="s">
        <v>328</v>
      </c>
      <c r="E196" s="85">
        <v>76540.75</v>
      </c>
      <c r="F196" s="118"/>
      <c r="G196" s="4"/>
      <c r="H196" s="118">
        <v>15000</v>
      </c>
      <c r="I196" s="118">
        <v>4000</v>
      </c>
      <c r="J196" s="509">
        <f t="shared" si="58"/>
        <v>95540.75</v>
      </c>
      <c r="K196" s="85"/>
      <c r="L196" s="85">
        <v>10000</v>
      </c>
      <c r="M196" s="85"/>
      <c r="N196" s="85"/>
      <c r="O196" s="85">
        <v>5230.0988</v>
      </c>
      <c r="P196" s="85">
        <v>6123.26</v>
      </c>
      <c r="Q196" s="510">
        <f t="shared" si="59"/>
        <v>21353.3588</v>
      </c>
      <c r="R196" s="85">
        <v>74187.3912</v>
      </c>
      <c r="S196" s="509">
        <f t="shared" si="61"/>
        <v>74187.3912</v>
      </c>
    </row>
    <row r="197" customHeight="1" spans="1:19">
      <c r="A197" s="27">
        <v>58</v>
      </c>
      <c r="B197" s="18" t="s">
        <v>329</v>
      </c>
      <c r="C197" s="12" t="s">
        <v>327</v>
      </c>
      <c r="D197" s="15" t="s">
        <v>328</v>
      </c>
      <c r="E197" s="85">
        <v>76540.75</v>
      </c>
      <c r="F197" s="118"/>
      <c r="G197" s="4"/>
      <c r="H197" s="118">
        <v>15000</v>
      </c>
      <c r="I197" s="118">
        <v>4000</v>
      </c>
      <c r="J197" s="509">
        <f t="shared" si="58"/>
        <v>95540.75</v>
      </c>
      <c r="K197" s="85"/>
      <c r="L197" s="85">
        <v>10000</v>
      </c>
      <c r="M197" s="85"/>
      <c r="N197" s="85"/>
      <c r="O197" s="85">
        <v>5230.0988</v>
      </c>
      <c r="P197" s="85">
        <v>6123.26</v>
      </c>
      <c r="Q197" s="510">
        <f t="shared" si="59"/>
        <v>21353.3588</v>
      </c>
      <c r="R197" s="85">
        <v>74187.3912</v>
      </c>
      <c r="S197" s="509">
        <f t="shared" si="61"/>
        <v>74187.3912</v>
      </c>
    </row>
    <row r="198" customHeight="1" spans="1:19">
      <c r="A198" s="27">
        <v>59</v>
      </c>
      <c r="B198" s="18" t="s">
        <v>330</v>
      </c>
      <c r="C198" s="12" t="s">
        <v>327</v>
      </c>
      <c r="D198" s="15" t="s">
        <v>328</v>
      </c>
      <c r="E198" s="85">
        <v>76540.75</v>
      </c>
      <c r="F198" s="118"/>
      <c r="G198" s="4"/>
      <c r="H198" s="118">
        <v>15000</v>
      </c>
      <c r="I198" s="118">
        <v>4000</v>
      </c>
      <c r="J198" s="509">
        <f t="shared" si="58"/>
        <v>95540.75</v>
      </c>
      <c r="K198" s="85"/>
      <c r="L198" s="85">
        <v>10000</v>
      </c>
      <c r="M198" s="85">
        <f>8750+30000</f>
        <v>38750</v>
      </c>
      <c r="N198" s="85"/>
      <c r="O198" s="85">
        <v>5230.0988</v>
      </c>
      <c r="P198" s="85">
        <v>6123.26</v>
      </c>
      <c r="Q198" s="510">
        <f t="shared" si="59"/>
        <v>60103.3588</v>
      </c>
      <c r="R198" s="85">
        <v>65437.3912</v>
      </c>
      <c r="S198" s="509">
        <f t="shared" si="61"/>
        <v>35437.3912</v>
      </c>
    </row>
    <row r="199" customHeight="1" spans="1:19">
      <c r="A199" s="27">
        <v>60</v>
      </c>
      <c r="B199" s="18" t="s">
        <v>331</v>
      </c>
      <c r="C199" s="12" t="s">
        <v>332</v>
      </c>
      <c r="D199" s="15" t="s">
        <v>333</v>
      </c>
      <c r="E199" s="85">
        <v>86502.5</v>
      </c>
      <c r="F199" s="118"/>
      <c r="G199" s="220"/>
      <c r="H199" s="220">
        <f>15000</f>
        <v>15000</v>
      </c>
      <c r="I199" s="85">
        <v>7000</v>
      </c>
      <c r="J199" s="509">
        <f t="shared" si="58"/>
        <v>108502.5</v>
      </c>
      <c r="K199" s="85"/>
      <c r="L199" s="85">
        <v>30000</v>
      </c>
      <c r="M199" s="85">
        <v>8750</v>
      </c>
      <c r="N199" s="85"/>
      <c r="O199" s="85">
        <v>6689.876</v>
      </c>
      <c r="P199" s="85">
        <v>6920.2</v>
      </c>
      <c r="Q199" s="510">
        <f t="shared" si="59"/>
        <v>52360.076</v>
      </c>
      <c r="R199" s="85">
        <v>56142.424</v>
      </c>
      <c r="S199" s="509">
        <f t="shared" si="61"/>
        <v>56142.424</v>
      </c>
    </row>
    <row r="200" customHeight="1" spans="1:19">
      <c r="A200" s="27">
        <v>61</v>
      </c>
      <c r="B200" s="18" t="s">
        <v>334</v>
      </c>
      <c r="C200" s="12" t="s">
        <v>332</v>
      </c>
      <c r="D200" s="15" t="s">
        <v>333</v>
      </c>
      <c r="E200" s="85">
        <v>86502.5</v>
      </c>
      <c r="F200" s="118"/>
      <c r="G200" s="220"/>
      <c r="H200" s="220">
        <f>15000</f>
        <v>15000</v>
      </c>
      <c r="I200" s="85">
        <v>7000</v>
      </c>
      <c r="J200" s="509">
        <f t="shared" si="58"/>
        <v>108502.5</v>
      </c>
      <c r="K200" s="85"/>
      <c r="L200" s="85">
        <v>25000</v>
      </c>
      <c r="M200" s="85">
        <v>6125</v>
      </c>
      <c r="N200" s="85"/>
      <c r="O200" s="85">
        <v>6689.876</v>
      </c>
      <c r="P200" s="85">
        <v>6920.2</v>
      </c>
      <c r="Q200" s="510">
        <f t="shared" si="59"/>
        <v>44735.076</v>
      </c>
      <c r="R200" s="85">
        <v>63767.424</v>
      </c>
      <c r="S200" s="509">
        <f t="shared" si="61"/>
        <v>63767.424</v>
      </c>
    </row>
    <row r="201" ht="30.75" customHeight="1" spans="1:19">
      <c r="A201" s="27"/>
      <c r="B201" s="8" t="s">
        <v>96</v>
      </c>
      <c r="C201" s="28" t="s">
        <v>335</v>
      </c>
      <c r="D201" s="29"/>
      <c r="E201" s="93">
        <f>SUM(E140:E200)</f>
        <v>15064683.5833333</v>
      </c>
      <c r="F201" s="93">
        <f t="shared" ref="F201:S201" si="65">SUM(F140:F200)</f>
        <v>0</v>
      </c>
      <c r="G201" s="93">
        <f t="shared" si="65"/>
        <v>0</v>
      </c>
      <c r="H201" s="93">
        <f t="shared" si="65"/>
        <v>2570000</v>
      </c>
      <c r="I201" s="93">
        <f t="shared" si="65"/>
        <v>235000</v>
      </c>
      <c r="J201" s="93">
        <f t="shared" si="65"/>
        <v>17704946.9733333</v>
      </c>
      <c r="K201" s="93">
        <f t="shared" si="65"/>
        <v>0</v>
      </c>
      <c r="L201" s="93">
        <f t="shared" si="65"/>
        <v>1558500</v>
      </c>
      <c r="M201" s="93">
        <f t="shared" si="65"/>
        <v>3104414.78</v>
      </c>
      <c r="N201" s="93">
        <f t="shared" si="65"/>
        <v>59303.0791666667</v>
      </c>
      <c r="O201" s="93">
        <f t="shared" si="65"/>
        <v>2111332.83754933</v>
      </c>
      <c r="P201" s="93">
        <f t="shared" si="65"/>
        <v>1191130.20666667</v>
      </c>
      <c r="Q201" s="93">
        <f t="shared" si="65"/>
        <v>8024680.90338267</v>
      </c>
      <c r="R201" s="93">
        <v>10642938.9825313</v>
      </c>
      <c r="S201" s="93">
        <f t="shared" si="65"/>
        <v>9680266.06995067</v>
      </c>
    </row>
    <row r="202" ht="30" customHeight="1" spans="1:19">
      <c r="A202" s="4"/>
      <c r="B202" s="30" t="s">
        <v>336</v>
      </c>
      <c r="C202" s="31">
        <f>C38+C45+C56+C61+C72+C81+C94+C102+C112+C124+C137+C201</f>
        <v>155</v>
      </c>
      <c r="D202" s="32"/>
      <c r="E202" s="227">
        <f t="shared" ref="E202:Q202" si="66">E201+E137+E124+E118+E112+E102+E94+E81+E72+E61+E56+E45+E38</f>
        <v>62323804.7342043</v>
      </c>
      <c r="F202" s="227">
        <f t="shared" si="66"/>
        <v>0</v>
      </c>
      <c r="G202" s="227">
        <f t="shared" si="66"/>
        <v>7114516.12903226</v>
      </c>
      <c r="H202" s="227">
        <f t="shared" si="66"/>
        <v>5530000</v>
      </c>
      <c r="I202" s="227">
        <f t="shared" si="66"/>
        <v>3046337.469105</v>
      </c>
      <c r="J202" s="227">
        <f t="shared" si="66"/>
        <v>77088524.8890082</v>
      </c>
      <c r="K202" s="227">
        <f t="shared" si="66"/>
        <v>0</v>
      </c>
      <c r="L202" s="227">
        <f t="shared" si="66"/>
        <v>6251500</v>
      </c>
      <c r="M202" s="227">
        <f t="shared" si="66"/>
        <v>8553215.39</v>
      </c>
      <c r="N202" s="227">
        <f t="shared" si="66"/>
        <v>237989.645833333</v>
      </c>
      <c r="O202" s="227">
        <f t="shared" si="66"/>
        <v>10821559.6989796</v>
      </c>
      <c r="P202" s="227">
        <f t="shared" si="66"/>
        <v>4699546.23</v>
      </c>
      <c r="Q202" s="227">
        <f t="shared" si="66"/>
        <v>30563810.964813</v>
      </c>
      <c r="R202" s="227">
        <v>48377702.310566</v>
      </c>
      <c r="S202" s="227">
        <f>S201+S137+S124+S118+S112+S102+S94+S81+S72+S61+S56+S45+S38</f>
        <v>46524713.9241953</v>
      </c>
    </row>
    <row r="203" ht="38.25" customHeight="1" spans="2:19">
      <c r="B203" s="33"/>
      <c r="D203" s="34"/>
      <c r="E203" s="34"/>
      <c r="F203" s="34"/>
      <c r="G203" s="228"/>
      <c r="H203" s="228"/>
      <c r="I203" s="228"/>
      <c r="J203" s="228"/>
      <c r="K203" s="228"/>
      <c r="L203" s="228"/>
      <c r="M203" s="228"/>
      <c r="N203" s="228"/>
      <c r="O203" s="229"/>
      <c r="P203" s="229"/>
      <c r="Q203" s="229"/>
      <c r="R203" s="229"/>
      <c r="S203" s="229"/>
    </row>
    <row r="204" ht="36.75" customHeight="1" spans="2:19">
      <c r="B204" s="33"/>
      <c r="C204" s="34"/>
      <c r="D204" s="34"/>
      <c r="E204" s="34"/>
      <c r="F204" s="34"/>
      <c r="G204" s="228"/>
      <c r="H204" s="228"/>
      <c r="J204" s="228" t="s">
        <v>337</v>
      </c>
      <c r="K204" s="228"/>
      <c r="L204" s="228"/>
      <c r="M204" s="228"/>
      <c r="N204" s="228"/>
      <c r="O204" s="229"/>
      <c r="P204" s="229"/>
      <c r="Q204" s="229"/>
      <c r="R204" s="229"/>
      <c r="S204" s="35"/>
    </row>
    <row r="205" customHeight="1" spans="9:19">
      <c r="I205" s="830"/>
      <c r="Q205" s="35"/>
      <c r="S205" s="335"/>
    </row>
    <row r="206" customHeight="1" spans="19:19">
      <c r="S206" s="35"/>
    </row>
    <row r="207" customHeight="1" spans="10:10">
      <c r="J207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48" max="24" man="1"/>
    <brk id="81" max="24" man="1"/>
    <brk id="125" max="24" man="1"/>
    <brk id="163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6"/>
  <sheetViews>
    <sheetView tabSelected="1" zoomScale="91" zoomScaleNormal="91" topLeftCell="A49" workbookViewId="0">
      <selection activeCell="I58" sqref="I58"/>
    </sheetView>
  </sheetViews>
  <sheetFormatPr defaultColWidth="9" defaultRowHeight="12.5"/>
  <cols>
    <col min="1" max="1" width="4.57272727272727" customWidth="1"/>
    <col min="4" max="4" width="20.4272727272727" customWidth="1"/>
    <col min="5" max="5" width="15.8545454545455" customWidth="1"/>
    <col min="6" max="6" width="29.8545454545455" customWidth="1"/>
    <col min="7" max="7" width="25.4272727272727" customWidth="1"/>
    <col min="8" max="8" width="24.7090909090909" customWidth="1"/>
    <col min="9" max="9" width="27.4272727272727" customWidth="1"/>
    <col min="10" max="10" width="18.1363636363636" customWidth="1"/>
    <col min="11" max="11" width="17" customWidth="1"/>
    <col min="12" max="12" width="13.8545454545455" customWidth="1"/>
    <col min="13" max="13" width="11" customWidth="1"/>
    <col min="14" max="14" width="15.2818181818182" customWidth="1"/>
    <col min="15" max="15" width="16.8545454545455" customWidth="1"/>
    <col min="16" max="16" width="13.7090909090909" customWidth="1"/>
    <col min="17" max="17" width="19.2818181818182" customWidth="1"/>
  </cols>
  <sheetData>
    <row r="1" ht="39" customHeight="1" spans="2:8">
      <c r="B1" s="801"/>
      <c r="C1" s="801"/>
      <c r="D1" s="801"/>
      <c r="E1" s="801"/>
      <c r="F1" s="801"/>
      <c r="G1" s="801"/>
      <c r="H1" s="801"/>
    </row>
    <row r="2" ht="29.25" customHeight="1" spans="1:8">
      <c r="A2" s="802" t="s">
        <v>0</v>
      </c>
      <c r="B2" s="802"/>
      <c r="C2" s="802"/>
      <c r="D2" s="802"/>
      <c r="E2" s="802"/>
      <c r="F2" s="802"/>
      <c r="G2" s="802"/>
      <c r="H2" s="802"/>
    </row>
    <row r="3" ht="27" customHeight="1" spans="1:8">
      <c r="A3" s="802" t="s">
        <v>338</v>
      </c>
      <c r="B3" s="802"/>
      <c r="C3" s="802"/>
      <c r="D3" s="802"/>
      <c r="E3" s="802"/>
      <c r="F3" s="802"/>
      <c r="G3" s="802"/>
      <c r="H3" s="802"/>
    </row>
    <row r="4" ht="15.6" hidden="1" customHeight="1" spans="1:8">
      <c r="A4" s="803" t="s">
        <v>339</v>
      </c>
      <c r="B4" s="803"/>
      <c r="C4" s="803"/>
      <c r="D4" s="803"/>
      <c r="E4" s="803"/>
      <c r="F4" s="803"/>
      <c r="G4" s="804"/>
      <c r="H4" s="804"/>
    </row>
    <row r="5" ht="9.6" hidden="1" customHeight="1" spans="1:8">
      <c r="A5" s="803" t="s">
        <v>340</v>
      </c>
      <c r="B5" s="803"/>
      <c r="C5" s="803"/>
      <c r="D5" s="803"/>
      <c r="E5" s="803"/>
      <c r="F5" s="803"/>
      <c r="G5" s="804"/>
      <c r="H5" s="804"/>
    </row>
    <row r="6" ht="29.25" hidden="1" customHeight="1" spans="1:8">
      <c r="A6" s="803" t="s">
        <v>341</v>
      </c>
      <c r="B6" s="803"/>
      <c r="C6" s="803"/>
      <c r="D6" s="803"/>
      <c r="E6" s="803"/>
      <c r="F6" s="803"/>
      <c r="G6" s="804"/>
      <c r="H6" s="804"/>
    </row>
    <row r="7" ht="25.15" hidden="1" customHeight="1" spans="1:8">
      <c r="A7" s="803" t="s">
        <v>342</v>
      </c>
      <c r="B7" s="803"/>
      <c r="C7" s="803"/>
      <c r="D7" s="803"/>
      <c r="E7" s="803"/>
      <c r="F7" s="804"/>
      <c r="G7" s="804"/>
      <c r="H7" s="804"/>
    </row>
    <row r="8" ht="24.75" hidden="1" customHeight="1" spans="1:8">
      <c r="A8" s="804"/>
      <c r="B8" s="804"/>
      <c r="C8" s="804"/>
      <c r="D8" s="804"/>
      <c r="E8" s="804"/>
      <c r="F8" s="804"/>
      <c r="G8" s="804"/>
      <c r="H8" s="804"/>
    </row>
    <row r="9" ht="24" hidden="1" customHeight="1" spans="1:8">
      <c r="A9" s="805" t="s">
        <v>343</v>
      </c>
      <c r="B9" s="805"/>
      <c r="C9" s="805"/>
      <c r="D9" s="805"/>
      <c r="E9" s="805"/>
      <c r="F9" s="805"/>
      <c r="G9" s="804"/>
      <c r="H9" s="804"/>
    </row>
    <row r="10" ht="13.15" hidden="1" customHeight="1" spans="1:8">
      <c r="A10" s="803" t="s">
        <v>344</v>
      </c>
      <c r="B10" s="803"/>
      <c r="C10" s="803"/>
      <c r="D10" s="803"/>
      <c r="E10" s="803"/>
      <c r="F10" s="803"/>
      <c r="G10" s="803"/>
      <c r="H10" s="803"/>
    </row>
    <row r="11" ht="18" hidden="1" customHeight="1" spans="1:8">
      <c r="A11" s="806"/>
      <c r="B11" s="804"/>
      <c r="C11" s="804"/>
      <c r="D11" s="804"/>
      <c r="E11" s="804"/>
      <c r="F11" s="804"/>
      <c r="G11" s="804"/>
      <c r="H11" s="804"/>
    </row>
    <row r="12" ht="18.75" hidden="1" customHeight="1" spans="1:8">
      <c r="A12" s="806"/>
      <c r="B12" s="804"/>
      <c r="C12" s="804"/>
      <c r="D12" s="804"/>
      <c r="E12" s="804"/>
      <c r="F12" s="804"/>
      <c r="G12" s="804"/>
      <c r="H12" s="804"/>
    </row>
    <row r="13" ht="19.5" customHeight="1" spans="1:8">
      <c r="A13" s="181" t="s">
        <v>345</v>
      </c>
      <c r="B13" s="181"/>
      <c r="C13" s="181" t="s">
        <v>346</v>
      </c>
      <c r="D13" s="181"/>
      <c r="E13" s="181"/>
      <c r="F13" s="807"/>
      <c r="G13" s="808"/>
      <c r="H13" s="804"/>
    </row>
    <row r="14" ht="20.25" customHeight="1" spans="1:8">
      <c r="A14" s="181" t="s">
        <v>347</v>
      </c>
      <c r="B14" s="807"/>
      <c r="C14" s="181" t="s">
        <v>348</v>
      </c>
      <c r="D14" s="181"/>
      <c r="E14" s="181"/>
      <c r="F14" s="181"/>
      <c r="G14" s="46"/>
      <c r="H14" s="804"/>
    </row>
    <row r="15" ht="21" customHeight="1" spans="1:8">
      <c r="A15" s="181" t="s">
        <v>349</v>
      </c>
      <c r="B15" s="181"/>
      <c r="C15" s="181" t="s">
        <v>350</v>
      </c>
      <c r="D15" s="181"/>
      <c r="E15" s="181"/>
      <c r="F15" s="181"/>
      <c r="G15" s="46"/>
      <c r="H15" s="804"/>
    </row>
    <row r="16" ht="21" customHeight="1" spans="1:8">
      <c r="A16" s="181" t="s">
        <v>351</v>
      </c>
      <c r="B16" s="181"/>
      <c r="C16" s="181" t="s">
        <v>352</v>
      </c>
      <c r="D16" s="181"/>
      <c r="E16" s="807"/>
      <c r="F16" s="807"/>
      <c r="G16" s="808"/>
      <c r="H16" s="804"/>
    </row>
    <row r="17" ht="14.25" customHeight="1" spans="1:8">
      <c r="A17" s="46"/>
      <c r="B17" s="46"/>
      <c r="C17" s="46"/>
      <c r="D17" s="46"/>
      <c r="E17" s="808"/>
      <c r="F17" s="808"/>
      <c r="G17" s="808"/>
      <c r="H17" s="804"/>
    </row>
    <row r="18" ht="24" customHeight="1" spans="1:8">
      <c r="A18" s="258" t="s">
        <v>353</v>
      </c>
      <c r="B18" s="258"/>
      <c r="C18" s="809"/>
      <c r="D18" s="809"/>
      <c r="E18" s="809"/>
      <c r="F18" s="809"/>
      <c r="G18" s="808"/>
      <c r="H18" s="804"/>
    </row>
    <row r="19" ht="30.75" customHeight="1" spans="1:8">
      <c r="A19" s="46" t="s">
        <v>354</v>
      </c>
      <c r="B19" s="46"/>
      <c r="C19" s="808"/>
      <c r="D19" s="808"/>
      <c r="E19" s="808"/>
      <c r="F19" s="808"/>
      <c r="G19" s="621" t="s">
        <v>355</v>
      </c>
      <c r="H19" s="621" t="s">
        <v>355</v>
      </c>
    </row>
    <row r="20" ht="21" customHeight="1" spans="1:10">
      <c r="A20" s="810" t="s">
        <v>356</v>
      </c>
      <c r="B20" s="810"/>
      <c r="C20" s="810"/>
      <c r="D20" s="810"/>
      <c r="E20" s="810"/>
      <c r="F20" s="810"/>
      <c r="G20" s="810"/>
      <c r="H20" s="811">
        <f>'MARCH 2025'!J202</f>
        <v>77088524.8890082</v>
      </c>
      <c r="J20" s="409"/>
    </row>
    <row r="21" ht="6.75" customHeight="1" spans="1:10">
      <c r="A21" s="810"/>
      <c r="B21" s="810"/>
      <c r="C21" s="810"/>
      <c r="D21" s="810"/>
      <c r="E21" s="810"/>
      <c r="F21" s="810"/>
      <c r="G21" s="810"/>
      <c r="H21" s="811"/>
      <c r="J21" s="409"/>
    </row>
    <row r="22" ht="21.75" customHeight="1" spans="1:9">
      <c r="A22" s="106" t="s">
        <v>357</v>
      </c>
      <c r="B22" s="106"/>
      <c r="C22" s="106"/>
      <c r="D22" s="106"/>
      <c r="E22" s="106"/>
      <c r="F22" s="106"/>
      <c r="G22" s="812"/>
      <c r="H22" s="46"/>
      <c r="I22" s="409"/>
    </row>
    <row r="23" ht="18.75" customHeight="1" spans="1:10">
      <c r="A23" s="813" t="s">
        <v>358</v>
      </c>
      <c r="B23" s="813"/>
      <c r="C23" s="813"/>
      <c r="D23" s="813"/>
      <c r="E23" s="813"/>
      <c r="F23" s="813"/>
      <c r="G23" s="156">
        <f>'MARCH 2025'!L202</f>
        <v>6251500</v>
      </c>
      <c r="H23" s="46"/>
      <c r="J23" s="409"/>
    </row>
    <row r="24" ht="19.5" customHeight="1" spans="1:8">
      <c r="A24" s="813" t="s">
        <v>359</v>
      </c>
      <c r="B24" s="813"/>
      <c r="C24" s="813"/>
      <c r="D24" s="813"/>
      <c r="E24" s="813"/>
      <c r="F24" s="813"/>
      <c r="G24" s="156">
        <f>'MARCH 2025'!M202</f>
        <v>8553215.39</v>
      </c>
      <c r="H24" s="46"/>
    </row>
    <row r="25" ht="20.25" customHeight="1" spans="1:8">
      <c r="A25" s="814" t="s">
        <v>360</v>
      </c>
      <c r="B25" s="814"/>
      <c r="C25" s="814"/>
      <c r="D25" s="814"/>
      <c r="E25" s="814"/>
      <c r="F25" s="814"/>
      <c r="G25" s="156">
        <f>'MARCH 2025'!N202</f>
        <v>237989.645833333</v>
      </c>
      <c r="H25" s="46"/>
    </row>
    <row r="26" ht="20.25" customHeight="1" spans="1:8">
      <c r="A26" s="813" t="s">
        <v>361</v>
      </c>
      <c r="B26" s="813"/>
      <c r="C26" s="813"/>
      <c r="D26" s="813"/>
      <c r="E26" s="813"/>
      <c r="F26" s="813"/>
      <c r="G26" s="156">
        <f>'MARCH 2025'!O202</f>
        <v>10821559.6989796</v>
      </c>
      <c r="H26" s="46"/>
    </row>
    <row r="27" ht="21" customHeight="1" spans="1:8">
      <c r="A27" s="813" t="s">
        <v>362</v>
      </c>
      <c r="B27" s="813"/>
      <c r="C27" s="813"/>
      <c r="D27" s="813"/>
      <c r="E27" s="813"/>
      <c r="F27" s="813"/>
      <c r="G27" s="815">
        <f>'MARCH 2025'!P202</f>
        <v>4699546.23</v>
      </c>
      <c r="H27" s="46"/>
    </row>
    <row r="28" ht="28.5" customHeight="1" spans="1:9">
      <c r="A28" s="813" t="s">
        <v>363</v>
      </c>
      <c r="B28" s="813"/>
      <c r="C28" s="813"/>
      <c r="D28" s="813"/>
      <c r="E28" s="813"/>
      <c r="F28" s="813"/>
      <c r="G28" s="156"/>
      <c r="H28" s="816">
        <f>G23+G24+G26+G25+G27</f>
        <v>30563810.964813</v>
      </c>
      <c r="I28" s="411"/>
    </row>
    <row r="29" ht="20.25" customHeight="1" spans="1:10">
      <c r="A29" s="813" t="s">
        <v>364</v>
      </c>
      <c r="B29" s="813"/>
      <c r="C29" s="813"/>
      <c r="D29" s="813"/>
      <c r="E29" s="813"/>
      <c r="F29" s="813"/>
      <c r="G29" s="258"/>
      <c r="H29" s="150">
        <f>H20-H28</f>
        <v>46524713.9241953</v>
      </c>
      <c r="I29" s="213"/>
      <c r="J29" s="213"/>
    </row>
    <row r="30" ht="21" customHeight="1" spans="1:8">
      <c r="A30" s="813" t="s">
        <v>365</v>
      </c>
      <c r="B30" s="813"/>
      <c r="C30" s="813"/>
      <c r="D30" s="813"/>
      <c r="E30" s="813"/>
      <c r="F30" s="813"/>
      <c r="G30" s="258"/>
      <c r="H30" s="695">
        <f>'MARCH 2025'!R202</f>
        <v>48377702.310566</v>
      </c>
    </row>
    <row r="31" ht="21" customHeight="1" spans="1:8">
      <c r="A31" s="813" t="s">
        <v>366</v>
      </c>
      <c r="B31" s="813"/>
      <c r="C31" s="813"/>
      <c r="D31" s="813"/>
      <c r="E31" s="813"/>
      <c r="F31" s="813"/>
      <c r="G31" s="258"/>
      <c r="H31" s="817">
        <f>H29-H30</f>
        <v>-1852988.38637074</v>
      </c>
    </row>
    <row r="32" ht="29.25" customHeight="1" spans="1:8">
      <c r="A32" s="810" t="s">
        <v>367</v>
      </c>
      <c r="B32" s="810"/>
      <c r="C32" s="810"/>
      <c r="D32" s="810"/>
      <c r="E32" s="810"/>
      <c r="F32" s="810"/>
      <c r="G32" s="810"/>
      <c r="H32" s="46"/>
    </row>
    <row r="33" ht="21.75" customHeight="1" spans="1:10">
      <c r="A33" s="813" t="s">
        <v>368</v>
      </c>
      <c r="B33" s="813"/>
      <c r="C33" s="813"/>
      <c r="D33" s="813"/>
      <c r="E33" s="813"/>
      <c r="F33" s="813"/>
      <c r="G33" s="813"/>
      <c r="H33" s="818">
        <f>919105.44</f>
        <v>919105.44</v>
      </c>
      <c r="I33" s="407"/>
      <c r="J33" s="411"/>
    </row>
    <row r="34" ht="21.75" customHeight="1" spans="1:10">
      <c r="A34" s="813" t="s">
        <v>369</v>
      </c>
      <c r="B34" s="813"/>
      <c r="C34" s="813"/>
      <c r="D34" s="813"/>
      <c r="E34" s="813"/>
      <c r="F34" s="813"/>
      <c r="G34" s="813"/>
      <c r="H34" s="818">
        <f>19200</f>
        <v>19200</v>
      </c>
      <c r="J34" s="411"/>
    </row>
    <row r="35" ht="21.75" customHeight="1" spans="1:10">
      <c r="A35" s="813" t="s">
        <v>370</v>
      </c>
      <c r="B35" s="813"/>
      <c r="C35" s="813"/>
      <c r="D35" s="813"/>
      <c r="E35" s="813"/>
      <c r="F35" s="813"/>
      <c r="G35" s="813"/>
      <c r="H35" s="818">
        <f>267139.95</f>
        <v>267139.95</v>
      </c>
      <c r="J35" s="411"/>
    </row>
    <row r="36" ht="21.75" customHeight="1" spans="1:10">
      <c r="A36" s="813" t="s">
        <v>371</v>
      </c>
      <c r="B36" s="813"/>
      <c r="C36" s="813"/>
      <c r="D36" s="813"/>
      <c r="E36" s="813"/>
      <c r="F36" s="813"/>
      <c r="G36" s="813"/>
      <c r="H36" s="818">
        <f>442995.09</f>
        <v>442995.09</v>
      </c>
      <c r="J36" s="411"/>
    </row>
    <row r="37" ht="21.75" customHeight="1" spans="1:10">
      <c r="A37" s="813" t="s">
        <v>372</v>
      </c>
      <c r="B37" s="813"/>
      <c r="C37" s="813"/>
      <c r="D37" s="813"/>
      <c r="E37" s="813"/>
      <c r="F37" s="813"/>
      <c r="G37" s="813"/>
      <c r="H37" s="819">
        <f>204547.91</f>
        <v>204547.91</v>
      </c>
      <c r="J37" s="411"/>
    </row>
    <row r="38" ht="24" customHeight="1" spans="8:17">
      <c r="H38" s="820">
        <f>SUM(H33:H37)</f>
        <v>1852988.39</v>
      </c>
      <c r="I38" s="411"/>
      <c r="J38" s="407"/>
      <c r="K38" s="409"/>
      <c r="L38" s="407"/>
      <c r="M38" s="407"/>
      <c r="N38" s="409"/>
      <c r="P38" s="824"/>
      <c r="Q38" s="409"/>
    </row>
    <row r="39" ht="21" customHeight="1" spans="8:17">
      <c r="H39" s="821"/>
      <c r="I39" s="411"/>
      <c r="J39" s="407"/>
      <c r="K39" s="409"/>
      <c r="L39" s="407"/>
      <c r="M39" s="407"/>
      <c r="N39" s="409"/>
      <c r="P39" s="824"/>
      <c r="Q39" s="409"/>
    </row>
    <row r="40" ht="18.75" customHeight="1" spans="1:17">
      <c r="A40" s="813"/>
      <c r="B40" s="813"/>
      <c r="C40" s="813"/>
      <c r="D40" s="813"/>
      <c r="E40" s="813"/>
      <c r="F40" s="813"/>
      <c r="G40" s="813"/>
      <c r="H40" s="821"/>
      <c r="I40" s="411"/>
      <c r="J40" s="407"/>
      <c r="K40" s="409"/>
      <c r="L40" s="407"/>
      <c r="M40" s="407"/>
      <c r="N40" s="409"/>
      <c r="P40" s="824"/>
      <c r="Q40" s="409"/>
    </row>
    <row r="41" ht="28.5" customHeight="1" spans="1:11">
      <c r="A41" s="46"/>
      <c r="B41" s="46"/>
      <c r="C41" s="46"/>
      <c r="D41" s="46"/>
      <c r="E41" s="68" t="s">
        <v>373</v>
      </c>
      <c r="F41" s="68"/>
      <c r="G41" s="68" t="s">
        <v>17</v>
      </c>
      <c r="H41" s="68"/>
      <c r="I41" s="411"/>
      <c r="J41" s="411"/>
      <c r="K41" s="409"/>
    </row>
    <row r="42" ht="18.6" customHeight="1" spans="1:10">
      <c r="A42" s="46"/>
      <c r="B42" s="46"/>
      <c r="C42" s="46"/>
      <c r="D42" s="46"/>
      <c r="E42" s="68" t="s">
        <v>374</v>
      </c>
      <c r="F42" s="114" t="s">
        <v>19</v>
      </c>
      <c r="G42" s="68" t="s">
        <v>374</v>
      </c>
      <c r="H42" s="114" t="s">
        <v>19</v>
      </c>
      <c r="I42" s="411"/>
      <c r="J42" s="411"/>
    </row>
    <row r="43" ht="28.5" customHeight="1" spans="1:10">
      <c r="A43" s="50">
        <v>1</v>
      </c>
      <c r="B43" s="171" t="s">
        <v>375</v>
      </c>
      <c r="C43" s="813"/>
      <c r="D43" s="813"/>
      <c r="E43" s="49">
        <v>32</v>
      </c>
      <c r="F43" s="51">
        <f>'MARCH 2025'!R38</f>
        <v>13048225.8224455</v>
      </c>
      <c r="G43" s="49">
        <f>'MARCH 2025'!C38</f>
        <v>31</v>
      </c>
      <c r="H43" s="51">
        <f>'MARCH 2025'!S38</f>
        <v>12887245.3824455</v>
      </c>
      <c r="I43" s="411"/>
      <c r="J43" s="411"/>
    </row>
    <row r="44" ht="21.75" customHeight="1" spans="1:10">
      <c r="A44" s="50">
        <v>2</v>
      </c>
      <c r="B44" s="171" t="s">
        <v>376</v>
      </c>
      <c r="C44" s="813"/>
      <c r="D44" s="813"/>
      <c r="E44" s="49">
        <v>3</v>
      </c>
      <c r="F44" s="51">
        <f>'MARCH 2025'!R45</f>
        <v>1123988.27525333</v>
      </c>
      <c r="G44" s="49">
        <f>'MARCH 2025'!C45</f>
        <v>4</v>
      </c>
      <c r="H44" s="51">
        <f>'MARCH 2025'!S45</f>
        <v>1123988.27525333</v>
      </c>
      <c r="I44" s="411"/>
      <c r="J44" s="411"/>
    </row>
    <row r="45" ht="24.75" customHeight="1" spans="1:10">
      <c r="A45" s="50">
        <v>3</v>
      </c>
      <c r="B45" s="813" t="s">
        <v>377</v>
      </c>
      <c r="C45" s="813"/>
      <c r="D45" s="813"/>
      <c r="E45" s="49">
        <v>11</v>
      </c>
      <c r="F45" s="51">
        <f>'MARCH 2025'!R56</f>
        <v>3302553.54553213</v>
      </c>
      <c r="G45" s="49">
        <f>'MARCH 2025'!C56</f>
        <v>9</v>
      </c>
      <c r="H45" s="51">
        <f>'MARCH 2025'!S56</f>
        <v>3302553.54553213</v>
      </c>
      <c r="I45" s="411"/>
      <c r="J45" s="411"/>
    </row>
    <row r="46" ht="23.25" customHeight="1" spans="1:10">
      <c r="A46" s="50">
        <v>4</v>
      </c>
      <c r="B46" s="813" t="s">
        <v>378</v>
      </c>
      <c r="C46" s="813"/>
      <c r="D46" s="822"/>
      <c r="E46" s="49">
        <v>2</v>
      </c>
      <c r="F46" s="51">
        <f>'MARCH 2025'!R61</f>
        <v>1352548.88749333</v>
      </c>
      <c r="G46" s="49">
        <f>'MARCH 2025'!C61</f>
        <v>2</v>
      </c>
      <c r="H46" s="51">
        <f>'MARCH 2025'!S61</f>
        <v>1352548.88749333</v>
      </c>
      <c r="I46" s="411"/>
      <c r="J46" s="411"/>
    </row>
    <row r="47" ht="24" customHeight="1" spans="1:10">
      <c r="A47" s="50">
        <v>5</v>
      </c>
      <c r="B47" s="813" t="s">
        <v>379</v>
      </c>
      <c r="C47" s="813"/>
      <c r="D47" s="822"/>
      <c r="E47" s="49">
        <v>12</v>
      </c>
      <c r="F47" s="51">
        <f>'MARCH 2025'!R72</f>
        <v>2448685.13669333</v>
      </c>
      <c r="G47" s="49">
        <f>'MARCH 2025'!C72</f>
        <v>8</v>
      </c>
      <c r="H47" s="51">
        <f>'MARCH 2025'!S72</f>
        <v>1738550.10290322</v>
      </c>
      <c r="I47" s="411"/>
      <c r="J47" s="411"/>
    </row>
    <row r="48" ht="21" customHeight="1" spans="1:10">
      <c r="A48" s="50">
        <v>6</v>
      </c>
      <c r="B48" s="813" t="s">
        <v>380</v>
      </c>
      <c r="C48" s="813"/>
      <c r="D48" s="822"/>
      <c r="E48" s="49">
        <v>6</v>
      </c>
      <c r="F48" s="51">
        <f>'MARCH 2025'!R81</f>
        <v>2478918.11297666</v>
      </c>
      <c r="G48" s="49">
        <f>'MARCH 2025'!C81</f>
        <v>6</v>
      </c>
      <c r="H48" s="51">
        <f>'MARCH 2025'!S81</f>
        <v>2478918.11297666</v>
      </c>
      <c r="I48" s="411"/>
      <c r="J48" s="411"/>
    </row>
    <row r="49" ht="23.25" customHeight="1" spans="1:10">
      <c r="A49" s="50">
        <v>7</v>
      </c>
      <c r="B49" s="813" t="s">
        <v>381</v>
      </c>
      <c r="C49" s="813"/>
      <c r="D49" s="813"/>
      <c r="E49" s="49">
        <v>11</v>
      </c>
      <c r="F49" s="51">
        <f>'MARCH 2025'!R94</f>
        <v>4254772.17898533</v>
      </c>
      <c r="G49" s="49">
        <f>'MARCH 2025'!C94</f>
        <v>10</v>
      </c>
      <c r="H49" s="51">
        <f>'MARCH 2025'!S94</f>
        <v>4254772.17898533</v>
      </c>
      <c r="I49" s="411"/>
      <c r="J49" s="411"/>
    </row>
    <row r="50" ht="25.5" customHeight="1" spans="1:10">
      <c r="A50" s="50">
        <v>8</v>
      </c>
      <c r="B50" s="813" t="s">
        <v>382</v>
      </c>
      <c r="C50" s="813"/>
      <c r="D50" s="813"/>
      <c r="E50" s="49">
        <v>4</v>
      </c>
      <c r="F50" s="51">
        <f>'MARCH 2025'!R102</f>
        <v>1536988.5611084</v>
      </c>
      <c r="G50" s="49">
        <f>'MARCH 2025'!C102</f>
        <v>4</v>
      </c>
      <c r="H50" s="51">
        <f>'MARCH 2025'!S102</f>
        <v>1527388.5611084</v>
      </c>
      <c r="I50" s="411"/>
      <c r="J50" s="411"/>
    </row>
    <row r="51" ht="21.75" customHeight="1" spans="1:10">
      <c r="A51" s="50">
        <v>9</v>
      </c>
      <c r="B51" s="813" t="s">
        <v>383</v>
      </c>
      <c r="C51" s="813"/>
      <c r="D51" s="813"/>
      <c r="E51" s="49">
        <v>7</v>
      </c>
      <c r="F51" s="51">
        <f>'MARCH 2025'!R112</f>
        <v>3308491.57127419</v>
      </c>
      <c r="G51" s="49">
        <f>'MARCH 2025'!C112</f>
        <v>7</v>
      </c>
      <c r="H51" s="51">
        <f>'MARCH 2025'!S112</f>
        <v>3308491.57127419</v>
      </c>
      <c r="I51" s="411"/>
      <c r="J51" s="411"/>
    </row>
    <row r="52" ht="21.75" customHeight="1" spans="1:10">
      <c r="A52" s="50">
        <v>10</v>
      </c>
      <c r="B52" s="813" t="s">
        <v>384</v>
      </c>
      <c r="C52" s="813"/>
      <c r="D52" s="813"/>
      <c r="E52" s="49">
        <v>2</v>
      </c>
      <c r="F52" s="51">
        <f>'MARCH 2025'!R118</f>
        <v>1008539.6771412</v>
      </c>
      <c r="G52" s="49">
        <f>'MARCH 2025'!C118</f>
        <v>2</v>
      </c>
      <c r="H52" s="51">
        <f>'MARCH 2025'!S118</f>
        <v>998939.6771412</v>
      </c>
      <c r="I52" s="411"/>
      <c r="J52" s="411"/>
    </row>
    <row r="53" ht="21.75" customHeight="1" spans="1:10">
      <c r="A53" s="50">
        <v>11</v>
      </c>
      <c r="B53" s="813" t="s">
        <v>385</v>
      </c>
      <c r="C53" s="813"/>
      <c r="D53" s="813"/>
      <c r="E53" s="49">
        <v>3</v>
      </c>
      <c r="F53" s="51">
        <f>'MARCH 2025'!R124</f>
        <v>664558.143359999</v>
      </c>
      <c r="G53" s="49">
        <v>3</v>
      </c>
      <c r="H53" s="51">
        <f>'MARCH 2025'!S124</f>
        <v>664558.143359999</v>
      </c>
      <c r="I53" s="411"/>
      <c r="J53" s="411"/>
    </row>
    <row r="54" ht="24.75" customHeight="1" spans="1:10">
      <c r="A54" s="50">
        <v>12</v>
      </c>
      <c r="B54" s="813" t="s">
        <v>386</v>
      </c>
      <c r="C54" s="813"/>
      <c r="D54" s="813"/>
      <c r="E54" s="49">
        <v>10</v>
      </c>
      <c r="F54" s="51">
        <f>'MARCH 2025'!R137</f>
        <v>3206493.41577133</v>
      </c>
      <c r="G54" s="823" t="str">
        <f>'MARCH 2025'!C137</f>
        <v>10</v>
      </c>
      <c r="H54" s="51">
        <f>'MARCH 2025'!S137</f>
        <v>3206493.41577133</v>
      </c>
      <c r="I54" s="411"/>
      <c r="J54" s="411"/>
    </row>
    <row r="55" ht="24.75" customHeight="1" spans="1:10">
      <c r="A55" s="50">
        <v>13</v>
      </c>
      <c r="B55" s="813" t="s">
        <v>387</v>
      </c>
      <c r="C55" s="813"/>
      <c r="D55" s="813"/>
      <c r="E55" s="49">
        <v>61</v>
      </c>
      <c r="F55" s="51">
        <f>'MARCH 2025'!R201</f>
        <v>10642938.9825313</v>
      </c>
      <c r="G55" s="823" t="str">
        <f>'MARCH 2025'!C201</f>
        <v>61</v>
      </c>
      <c r="H55" s="51">
        <f>'MARCH 2025'!S201</f>
        <v>9680266.06995067</v>
      </c>
      <c r="I55" s="411"/>
      <c r="J55" s="411"/>
    </row>
    <row r="56" ht="24" customHeight="1" spans="1:10">
      <c r="A56" s="46"/>
      <c r="B56" s="46"/>
      <c r="C56" s="46"/>
      <c r="D56" s="46"/>
      <c r="E56" s="68">
        <f>SUM(E43:E55)</f>
        <v>164</v>
      </c>
      <c r="F56" s="56">
        <f>SUM(F43:F55)</f>
        <v>48377702.310566</v>
      </c>
      <c r="G56" s="68">
        <v>155</v>
      </c>
      <c r="H56" s="56">
        <f>SUM(H43:H55)</f>
        <v>46524713.9241953</v>
      </c>
      <c r="I56" s="411"/>
      <c r="J56" s="411"/>
    </row>
    <row r="57" ht="0.75" customHeight="1" spans="1:10">
      <c r="A57" s="46"/>
      <c r="B57" s="46"/>
      <c r="C57" s="46"/>
      <c r="D57" s="46"/>
      <c r="E57" s="41"/>
      <c r="F57" s="811"/>
      <c r="G57" s="41"/>
      <c r="H57" s="811"/>
      <c r="I57" s="411"/>
      <c r="J57" s="411"/>
    </row>
    <row r="58" ht="78.75" customHeight="1" spans="1:14">
      <c r="A58" s="814" t="s">
        <v>388</v>
      </c>
      <c r="B58" s="814"/>
      <c r="C58" s="814"/>
      <c r="D58" s="814"/>
      <c r="E58" s="814"/>
      <c r="F58" s="814"/>
      <c r="G58" s="814"/>
      <c r="H58" s="814"/>
      <c r="I58" s="46"/>
      <c r="J58" s="156"/>
      <c r="K58" s="156"/>
      <c r="L58" s="46"/>
      <c r="M58" s="46"/>
      <c r="N58" s="46"/>
    </row>
    <row r="59" ht="4.5" customHeight="1" spans="1:14">
      <c r="A59" s="814"/>
      <c r="B59" s="814"/>
      <c r="C59" s="814"/>
      <c r="D59" s="814"/>
      <c r="E59" s="814"/>
      <c r="F59" s="814"/>
      <c r="G59" s="814"/>
      <c r="H59" s="814"/>
      <c r="I59" s="46"/>
      <c r="J59" s="46"/>
      <c r="K59" s="46"/>
      <c r="L59" s="46"/>
      <c r="M59" s="46"/>
      <c r="N59" s="46"/>
    </row>
    <row r="60" ht="2.25" hidden="1" customHeight="1" spans="1:14">
      <c r="A60" s="814"/>
      <c r="B60" s="814"/>
      <c r="C60" s="814"/>
      <c r="D60" s="814"/>
      <c r="E60" s="814"/>
      <c r="F60" s="814"/>
      <c r="G60" s="814"/>
      <c r="H60" s="814"/>
      <c r="I60" s="46"/>
      <c r="J60" s="46"/>
      <c r="K60" s="46"/>
      <c r="L60" s="46"/>
      <c r="M60" s="46"/>
      <c r="N60" s="46"/>
    </row>
    <row r="61" ht="63" customHeight="1" spans="6:8">
      <c r="F61" s="46"/>
      <c r="G61" s="46"/>
      <c r="H61" s="46"/>
    </row>
    <row r="62" ht="17.25" customHeight="1" spans="1:11">
      <c r="A62" s="810" t="s">
        <v>216</v>
      </c>
      <c r="B62" s="810"/>
      <c r="C62" s="810"/>
      <c r="D62" s="810"/>
      <c r="E62" s="810"/>
      <c r="F62" s="46"/>
      <c r="G62" s="46"/>
      <c r="H62" s="46"/>
      <c r="I62" s="213"/>
      <c r="K62" s="407"/>
    </row>
    <row r="63" ht="13" spans="1:11">
      <c r="A63" s="263"/>
      <c r="B63" s="263"/>
      <c r="C63" s="263"/>
      <c r="D63" s="263" t="s">
        <v>389</v>
      </c>
      <c r="E63" s="263"/>
      <c r="F63" s="263"/>
      <c r="G63" s="263"/>
      <c r="H63" s="263"/>
      <c r="I63" s="213"/>
      <c r="K63" s="407"/>
    </row>
    <row r="64" spans="11:11">
      <c r="K64" s="407"/>
    </row>
    <row r="65" spans="11:11">
      <c r="K65" s="407"/>
    </row>
    <row r="68" spans="3:3">
      <c r="C68" t="s">
        <v>390</v>
      </c>
    </row>
    <row r="166" spans="3:3">
      <c r="C166">
        <f>10000</f>
        <v>10000</v>
      </c>
    </row>
  </sheetData>
  <mergeCells count="29">
    <mergeCell ref="A2:H2"/>
    <mergeCell ref="A3:H3"/>
    <mergeCell ref="A5:F5"/>
    <mergeCell ref="A6:F6"/>
    <mergeCell ref="A7:E7"/>
    <mergeCell ref="A9:F9"/>
    <mergeCell ref="A10:H10"/>
    <mergeCell ref="A20:G20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G32"/>
    <mergeCell ref="E41:F41"/>
    <mergeCell ref="G41:H41"/>
    <mergeCell ref="B43:D43"/>
    <mergeCell ref="B45:D45"/>
    <mergeCell ref="B46:D46"/>
    <mergeCell ref="B47:D47"/>
    <mergeCell ref="B48:D48"/>
    <mergeCell ref="B55:D55"/>
    <mergeCell ref="A58:H58"/>
    <mergeCell ref="A62:E62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view="pageBreakPreview" zoomScaleNormal="100" topLeftCell="A15" workbookViewId="0">
      <selection activeCell="K21" sqref="K21"/>
    </sheetView>
  </sheetViews>
  <sheetFormatPr defaultColWidth="8.70909090909091" defaultRowHeight="12.5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0">
      <c r="A1" s="750" t="s">
        <v>391</v>
      </c>
      <c r="B1" s="750"/>
      <c r="C1" s="750"/>
      <c r="D1" s="750"/>
      <c r="E1" s="750"/>
      <c r="F1" s="750"/>
      <c r="G1" s="750"/>
      <c r="H1" s="750"/>
      <c r="I1" s="750"/>
      <c r="J1" s="750"/>
    </row>
    <row r="2" ht="20" spans="1:10">
      <c r="A2" s="750" t="s">
        <v>392</v>
      </c>
      <c r="B2" s="750"/>
      <c r="C2" s="750"/>
      <c r="D2" s="750"/>
      <c r="E2" s="750"/>
      <c r="F2" s="750"/>
      <c r="G2" s="750"/>
      <c r="H2" s="750"/>
      <c r="I2" s="750"/>
      <c r="J2" s="750"/>
    </row>
    <row r="3" ht="14.5" spans="1:10">
      <c r="A3" s="751"/>
      <c r="B3" s="751"/>
      <c r="C3" s="751"/>
      <c r="D3" s="751"/>
      <c r="E3" s="751"/>
      <c r="F3" s="751"/>
      <c r="G3" s="751"/>
      <c r="H3" s="751"/>
      <c r="I3" s="795"/>
      <c r="J3" s="795"/>
    </row>
    <row r="4" ht="56" spans="1:10">
      <c r="A4" s="752" t="s">
        <v>393</v>
      </c>
      <c r="B4" s="752" t="s">
        <v>394</v>
      </c>
      <c r="C4" s="752" t="s">
        <v>395</v>
      </c>
      <c r="D4" s="752" t="s">
        <v>396</v>
      </c>
      <c r="E4" s="752" t="s">
        <v>397</v>
      </c>
      <c r="F4" s="752" t="s">
        <v>398</v>
      </c>
      <c r="G4" s="752" t="s">
        <v>399</v>
      </c>
      <c r="H4" s="753" t="s">
        <v>400</v>
      </c>
      <c r="I4" s="796" t="s">
        <v>401</v>
      </c>
      <c r="J4" s="752" t="s">
        <v>402</v>
      </c>
    </row>
    <row r="5" ht="14" spans="1:10">
      <c r="A5" s="752"/>
      <c r="B5" s="752"/>
      <c r="C5" s="752"/>
      <c r="D5" s="752"/>
      <c r="E5" s="752"/>
      <c r="F5" s="754" t="s">
        <v>19</v>
      </c>
      <c r="G5" s="754" t="s">
        <v>19</v>
      </c>
      <c r="H5" s="754" t="s">
        <v>19</v>
      </c>
      <c r="I5" s="754"/>
      <c r="J5" s="754" t="s">
        <v>19</v>
      </c>
    </row>
    <row r="6" ht="35.1" customHeight="1" spans="1:10">
      <c r="A6" s="755">
        <v>1</v>
      </c>
      <c r="B6" s="756" t="s">
        <v>403</v>
      </c>
      <c r="C6" s="757" t="s">
        <v>404</v>
      </c>
      <c r="D6" s="831" t="s">
        <v>405</v>
      </c>
      <c r="E6" s="832" t="s">
        <v>406</v>
      </c>
      <c r="F6" s="760">
        <f>511804.92</f>
        <v>511804.92</v>
      </c>
      <c r="G6" s="783">
        <f t="shared" ref="G6:G9" si="0">582118+80000</f>
        <v>662118</v>
      </c>
      <c r="H6" s="784">
        <f t="shared" ref="H6:H23" si="1">G6-F6</f>
        <v>150313.08</v>
      </c>
      <c r="I6" s="763">
        <v>1</v>
      </c>
      <c r="J6" s="766">
        <f t="shared" ref="J6:J23" si="2">H6*I6</f>
        <v>150313.08</v>
      </c>
    </row>
    <row r="7" ht="35.1" customHeight="1" spans="1:10">
      <c r="A7" s="755">
        <v>2</v>
      </c>
      <c r="B7" s="756" t="s">
        <v>407</v>
      </c>
      <c r="C7" s="763" t="s">
        <v>404</v>
      </c>
      <c r="D7" s="832" t="s">
        <v>408</v>
      </c>
      <c r="E7" s="832" t="s">
        <v>409</v>
      </c>
      <c r="F7" s="760">
        <v>610498</v>
      </c>
      <c r="G7" s="783">
        <f>582118+160000</f>
        <v>742118</v>
      </c>
      <c r="H7" s="784">
        <f t="shared" si="1"/>
        <v>131620</v>
      </c>
      <c r="I7" s="763">
        <v>4</v>
      </c>
      <c r="J7" s="766">
        <f t="shared" si="2"/>
        <v>526480</v>
      </c>
    </row>
    <row r="8" ht="35.1" customHeight="1" spans="1:10">
      <c r="A8" s="755">
        <v>3</v>
      </c>
      <c r="B8" s="756" t="s">
        <v>410</v>
      </c>
      <c r="C8" s="763" t="s">
        <v>404</v>
      </c>
      <c r="D8" s="832" t="s">
        <v>411</v>
      </c>
      <c r="E8" s="832" t="s">
        <v>409</v>
      </c>
      <c r="F8" s="760">
        <v>554373.75</v>
      </c>
      <c r="G8" s="783">
        <f t="shared" si="0"/>
        <v>662118</v>
      </c>
      <c r="H8" s="784">
        <f t="shared" si="1"/>
        <v>107744.25</v>
      </c>
      <c r="I8" s="763">
        <f>2.71</f>
        <v>2.71</v>
      </c>
      <c r="J8" s="766">
        <f t="shared" si="2"/>
        <v>291986.9175</v>
      </c>
    </row>
    <row r="9" ht="35.1" customHeight="1" spans="1:10">
      <c r="A9" s="755">
        <v>4</v>
      </c>
      <c r="B9" s="756" t="s">
        <v>412</v>
      </c>
      <c r="C9" s="763" t="s">
        <v>413</v>
      </c>
      <c r="D9" s="832" t="s">
        <v>411</v>
      </c>
      <c r="E9" s="832" t="s">
        <v>409</v>
      </c>
      <c r="F9" s="760">
        <v>554374.75</v>
      </c>
      <c r="G9" s="783">
        <f t="shared" si="0"/>
        <v>662118</v>
      </c>
      <c r="H9" s="784">
        <f t="shared" si="1"/>
        <v>107743.25</v>
      </c>
      <c r="I9" s="763">
        <f>2.71</f>
        <v>2.71</v>
      </c>
      <c r="J9" s="766">
        <f t="shared" si="2"/>
        <v>291984.2075</v>
      </c>
    </row>
    <row r="10" ht="35.1" customHeight="1" spans="1:11">
      <c r="A10" s="755">
        <v>5</v>
      </c>
      <c r="B10" s="756" t="s">
        <v>414</v>
      </c>
      <c r="C10" s="763" t="s">
        <v>413</v>
      </c>
      <c r="D10" s="832" t="s">
        <v>415</v>
      </c>
      <c r="E10" s="832" t="s">
        <v>416</v>
      </c>
      <c r="F10" s="760">
        <v>121145.75</v>
      </c>
      <c r="G10" s="785">
        <v>189814.166666667</v>
      </c>
      <c r="H10" s="784">
        <f t="shared" si="1"/>
        <v>68668.416666667</v>
      </c>
      <c r="I10" s="763">
        <v>0</v>
      </c>
      <c r="J10" s="766">
        <f t="shared" si="2"/>
        <v>0</v>
      </c>
      <c r="K10" s="797" t="s">
        <v>417</v>
      </c>
    </row>
    <row r="11" ht="35.1" customHeight="1" spans="1:10">
      <c r="A11" s="755">
        <v>6</v>
      </c>
      <c r="B11" s="756" t="s">
        <v>274</v>
      </c>
      <c r="C11" s="763" t="s">
        <v>413</v>
      </c>
      <c r="D11" s="758" t="s">
        <v>418</v>
      </c>
      <c r="E11" s="832" t="s">
        <v>419</v>
      </c>
      <c r="F11" s="760">
        <v>120000</v>
      </c>
      <c r="G11" s="785">
        <f>255849+60000</f>
        <v>315849</v>
      </c>
      <c r="H11" s="784">
        <f t="shared" si="1"/>
        <v>195849</v>
      </c>
      <c r="I11" s="763">
        <v>8</v>
      </c>
      <c r="J11" s="766">
        <f t="shared" si="2"/>
        <v>1566792</v>
      </c>
    </row>
    <row r="12" ht="35.1" customHeight="1" spans="1:10">
      <c r="A12" s="755">
        <v>7</v>
      </c>
      <c r="B12" s="756" t="s">
        <v>420</v>
      </c>
      <c r="C12" s="763" t="s">
        <v>413</v>
      </c>
      <c r="D12" s="832" t="s">
        <v>421</v>
      </c>
      <c r="E12" s="832" t="s">
        <v>422</v>
      </c>
      <c r="F12" s="760">
        <v>368901.5</v>
      </c>
      <c r="G12" s="783">
        <v>413512.5</v>
      </c>
      <c r="H12" s="784">
        <f t="shared" si="1"/>
        <v>44611</v>
      </c>
      <c r="I12" s="763">
        <v>2.71</v>
      </c>
      <c r="J12" s="766">
        <f t="shared" si="2"/>
        <v>120895.81</v>
      </c>
    </row>
    <row r="13" ht="35.1" customHeight="1" spans="1:10">
      <c r="A13" s="755">
        <v>8</v>
      </c>
      <c r="B13" s="756" t="s">
        <v>423</v>
      </c>
      <c r="C13" s="763" t="s">
        <v>413</v>
      </c>
      <c r="D13" s="832" t="s">
        <v>424</v>
      </c>
      <c r="E13" s="832" t="s">
        <v>422</v>
      </c>
      <c r="F13" s="760">
        <v>376837.416666667</v>
      </c>
      <c r="G13" s="783">
        <v>413512.5</v>
      </c>
      <c r="H13" s="784">
        <f t="shared" si="1"/>
        <v>36675.083333333</v>
      </c>
      <c r="I13" s="763">
        <v>2.71</v>
      </c>
      <c r="J13" s="766">
        <f t="shared" si="2"/>
        <v>99389.4758333325</v>
      </c>
    </row>
    <row r="14" ht="35.1" customHeight="1" spans="1:10">
      <c r="A14" s="755">
        <v>9</v>
      </c>
      <c r="B14" s="757" t="s">
        <v>425</v>
      </c>
      <c r="C14" s="763" t="s">
        <v>413</v>
      </c>
      <c r="D14" s="832" t="s">
        <v>426</v>
      </c>
      <c r="E14" s="832" t="s">
        <v>427</v>
      </c>
      <c r="F14" s="760">
        <v>450086.5</v>
      </c>
      <c r="G14" s="783">
        <v>510248.916666667</v>
      </c>
      <c r="H14" s="784">
        <f t="shared" si="1"/>
        <v>60162.416666667</v>
      </c>
      <c r="I14" s="763">
        <v>8</v>
      </c>
      <c r="J14" s="766">
        <f t="shared" si="2"/>
        <v>481299.333333336</v>
      </c>
    </row>
    <row r="15" ht="35.1" customHeight="1" spans="1:10">
      <c r="A15" s="755">
        <v>10</v>
      </c>
      <c r="B15" s="756" t="s">
        <v>428</v>
      </c>
      <c r="C15" s="763" t="s">
        <v>413</v>
      </c>
      <c r="D15" s="832" t="s">
        <v>426</v>
      </c>
      <c r="E15" s="832" t="s">
        <v>427</v>
      </c>
      <c r="F15" s="786">
        <v>450086.5</v>
      </c>
      <c r="G15" s="787">
        <v>510248.916666667</v>
      </c>
      <c r="H15" s="784">
        <f t="shared" si="1"/>
        <v>60162.416666667</v>
      </c>
      <c r="I15" s="763">
        <v>2.71</v>
      </c>
      <c r="J15" s="766">
        <f t="shared" si="2"/>
        <v>163040.149166668</v>
      </c>
    </row>
    <row r="16" ht="35.1" customHeight="1" spans="1:10">
      <c r="A16" s="755">
        <v>11</v>
      </c>
      <c r="B16" s="756" t="s">
        <v>429</v>
      </c>
      <c r="C16" s="763" t="s">
        <v>430</v>
      </c>
      <c r="D16" s="832" t="s">
        <v>408</v>
      </c>
      <c r="E16" s="832" t="s">
        <v>409</v>
      </c>
      <c r="F16" s="760">
        <v>610498</v>
      </c>
      <c r="G16" s="783">
        <v>742118</v>
      </c>
      <c r="H16" s="784">
        <f t="shared" si="1"/>
        <v>131620</v>
      </c>
      <c r="I16" s="763">
        <v>3</v>
      </c>
      <c r="J16" s="766">
        <f t="shared" si="2"/>
        <v>394860</v>
      </c>
    </row>
    <row r="17" ht="35.1" customHeight="1" spans="1:10">
      <c r="A17" s="755">
        <v>12</v>
      </c>
      <c r="B17" s="756" t="s">
        <v>241</v>
      </c>
      <c r="C17" s="763" t="s">
        <v>430</v>
      </c>
      <c r="D17" s="832" t="s">
        <v>411</v>
      </c>
      <c r="E17" s="832" t="s">
        <v>409</v>
      </c>
      <c r="F17" s="760">
        <v>554373.75</v>
      </c>
      <c r="G17" s="783">
        <v>662118</v>
      </c>
      <c r="H17" s="784">
        <f t="shared" si="1"/>
        <v>107744.25</v>
      </c>
      <c r="I17" s="763">
        <v>3</v>
      </c>
      <c r="J17" s="766">
        <f t="shared" si="2"/>
        <v>323232.75</v>
      </c>
    </row>
    <row r="18" ht="35.1" customHeight="1" spans="1:10">
      <c r="A18" s="755">
        <v>13</v>
      </c>
      <c r="B18" s="756" t="s">
        <v>431</v>
      </c>
      <c r="C18" s="763" t="s">
        <v>430</v>
      </c>
      <c r="D18" s="832" t="s">
        <v>426</v>
      </c>
      <c r="E18" s="832" t="s">
        <v>427</v>
      </c>
      <c r="F18" s="760">
        <v>450086.5</v>
      </c>
      <c r="G18" s="783">
        <v>510248.916666667</v>
      </c>
      <c r="H18" s="784">
        <f t="shared" si="1"/>
        <v>60162.416666667</v>
      </c>
      <c r="I18" s="763">
        <v>3</v>
      </c>
      <c r="J18" s="766">
        <f t="shared" si="2"/>
        <v>180487.250000001</v>
      </c>
    </row>
    <row r="19" ht="35.1" customHeight="1" spans="1:10">
      <c r="A19" s="755">
        <v>14</v>
      </c>
      <c r="B19" s="756" t="s">
        <v>432</v>
      </c>
      <c r="C19" s="763" t="s">
        <v>433</v>
      </c>
      <c r="D19" s="832" t="s">
        <v>434</v>
      </c>
      <c r="E19" s="832" t="s">
        <v>435</v>
      </c>
      <c r="F19" s="760">
        <v>548915.916666667</v>
      </c>
      <c r="G19" s="783">
        <v>582746.5</v>
      </c>
      <c r="H19" s="784">
        <f t="shared" si="1"/>
        <v>33830.583333333</v>
      </c>
      <c r="I19" s="763">
        <v>20</v>
      </c>
      <c r="J19" s="766">
        <f t="shared" si="2"/>
        <v>676611.66666666</v>
      </c>
    </row>
    <row r="20" ht="35.1" customHeight="1" spans="1:10">
      <c r="A20" s="755">
        <v>15</v>
      </c>
      <c r="B20" s="756" t="s">
        <v>436</v>
      </c>
      <c r="C20" s="763" t="s">
        <v>433</v>
      </c>
      <c r="D20" s="832" t="s">
        <v>421</v>
      </c>
      <c r="E20" s="832" t="s">
        <v>422</v>
      </c>
      <c r="F20" s="760">
        <v>368901.5</v>
      </c>
      <c r="G20" s="783">
        <v>413512.5</v>
      </c>
      <c r="H20" s="784">
        <f t="shared" si="1"/>
        <v>44611</v>
      </c>
      <c r="I20" s="763">
        <v>9</v>
      </c>
      <c r="J20" s="766">
        <f t="shared" si="2"/>
        <v>401499</v>
      </c>
    </row>
    <row r="21" ht="35.1" customHeight="1" spans="1:10">
      <c r="A21" s="788">
        <v>16</v>
      </c>
      <c r="B21" s="788" t="s">
        <v>437</v>
      </c>
      <c r="C21" s="789" t="s">
        <v>438</v>
      </c>
      <c r="D21" s="833" t="s">
        <v>421</v>
      </c>
      <c r="E21" s="833" t="s">
        <v>422</v>
      </c>
      <c r="F21" s="791">
        <v>408901.5</v>
      </c>
      <c r="G21" s="792">
        <f>353512.5+110000</f>
        <v>463512.5</v>
      </c>
      <c r="H21" s="793">
        <f t="shared" si="1"/>
        <v>54611</v>
      </c>
      <c r="I21" s="789">
        <v>12</v>
      </c>
      <c r="J21" s="798">
        <f t="shared" si="2"/>
        <v>655332</v>
      </c>
    </row>
    <row r="22" ht="35.1" customHeight="1" spans="1:10">
      <c r="A22" s="755">
        <v>17</v>
      </c>
      <c r="B22" s="756" t="s">
        <v>439</v>
      </c>
      <c r="C22" s="763" t="s">
        <v>440</v>
      </c>
      <c r="D22" s="832" t="s">
        <v>441</v>
      </c>
      <c r="E22" s="832" t="s">
        <v>416</v>
      </c>
      <c r="F22" s="760">
        <v>102926.916666667</v>
      </c>
      <c r="G22" s="783">
        <v>189814.166666667</v>
      </c>
      <c r="H22" s="784">
        <f t="shared" si="1"/>
        <v>86887.25</v>
      </c>
      <c r="I22" s="763">
        <v>1</v>
      </c>
      <c r="J22" s="766">
        <f t="shared" si="2"/>
        <v>86887.25</v>
      </c>
    </row>
    <row r="23" ht="35.1" customHeight="1" spans="1:10">
      <c r="A23" s="755">
        <v>18</v>
      </c>
      <c r="B23" s="756" t="s">
        <v>204</v>
      </c>
      <c r="C23" s="763" t="s">
        <v>442</v>
      </c>
      <c r="D23" s="832" t="s">
        <v>426</v>
      </c>
      <c r="E23" s="832" t="s">
        <v>427</v>
      </c>
      <c r="F23" s="760">
        <v>450086.5</v>
      </c>
      <c r="G23" s="783">
        <v>510248.916666667</v>
      </c>
      <c r="H23" s="784">
        <f t="shared" si="1"/>
        <v>60162.416666667</v>
      </c>
      <c r="I23" s="762">
        <v>3</v>
      </c>
      <c r="J23" s="766">
        <f t="shared" si="2"/>
        <v>180487.250000001</v>
      </c>
    </row>
    <row r="24" ht="35.1" customHeight="1" spans="1:10">
      <c r="A24" s="755"/>
      <c r="B24" s="794" t="s">
        <v>96</v>
      </c>
      <c r="C24" s="763"/>
      <c r="D24" s="763"/>
      <c r="E24" s="763"/>
      <c r="F24" s="766"/>
      <c r="G24" s="766"/>
      <c r="H24" s="766"/>
      <c r="I24" s="755"/>
      <c r="J24" s="799">
        <f>SUM(J6:J23)</f>
        <v>6591578.14</v>
      </c>
    </row>
    <row r="29" spans="10:10">
      <c r="J29" s="800"/>
    </row>
    <row r="30" spans="10:10">
      <c r="J30" s="800"/>
    </row>
    <row r="32" spans="10:10">
      <c r="J32" s="411"/>
    </row>
    <row r="34" spans="10:10">
      <c r="J34" s="800"/>
    </row>
  </sheetData>
  <mergeCells count="2">
    <mergeCell ref="A1:J1"/>
    <mergeCell ref="A2:J2"/>
  </mergeCells>
  <pageMargins left="0.75" right="0.75" top="1" bottom="1" header="0.5" footer="0.5"/>
  <pageSetup paperSize="256" scale="6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"/>
  <sheetViews>
    <sheetView topLeftCell="L4" workbookViewId="0">
      <selection activeCell="X8" sqref="X8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2.1363636363636" style="296" customWidth="1"/>
    <col min="27" max="27" width="16.2818181818182" style="296" customWidth="1"/>
    <col min="28" max="29" width="11" style="296" customWidth="1"/>
    <col min="30" max="30" width="27.4272727272727" style="296" customWidth="1"/>
    <col min="31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443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444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9">
      <c r="A4" s="461" t="s">
        <v>445</v>
      </c>
      <c r="B4" s="462" t="s">
        <v>446</v>
      </c>
      <c r="C4" s="463" t="s">
        <v>447</v>
      </c>
      <c r="D4" s="462" t="s">
        <v>448</v>
      </c>
      <c r="E4" s="463" t="s">
        <v>449</v>
      </c>
      <c r="F4" s="463" t="s">
        <v>450</v>
      </c>
      <c r="G4" s="463" t="s">
        <v>451</v>
      </c>
      <c r="H4" s="463" t="s">
        <v>452</v>
      </c>
      <c r="I4" s="463" t="s">
        <v>453</v>
      </c>
      <c r="J4" s="463"/>
      <c r="K4" s="463"/>
      <c r="L4" s="463"/>
      <c r="M4" s="463" t="s">
        <v>454</v>
      </c>
      <c r="N4" s="463" t="s">
        <v>455</v>
      </c>
      <c r="O4" s="463" t="s">
        <v>456</v>
      </c>
      <c r="P4" s="463" t="s">
        <v>457</v>
      </c>
      <c r="Q4" s="463" t="s">
        <v>458</v>
      </c>
      <c r="R4" s="463" t="s">
        <v>459</v>
      </c>
      <c r="S4" s="463" t="s">
        <v>460</v>
      </c>
      <c r="T4" s="463" t="s">
        <v>461</v>
      </c>
      <c r="U4" s="463" t="s">
        <v>462</v>
      </c>
      <c r="V4" s="463" t="s">
        <v>463</v>
      </c>
      <c r="W4" s="463"/>
      <c r="X4" s="463" t="s">
        <v>464</v>
      </c>
      <c r="Y4" s="463" t="s">
        <v>465</v>
      </c>
      <c r="Z4" s="463" t="s">
        <v>466</v>
      </c>
      <c r="AA4" s="463" t="s">
        <v>467</v>
      </c>
      <c r="AB4" s="463" t="s">
        <v>468</v>
      </c>
      <c r="AC4" s="780"/>
    </row>
    <row r="5" ht="28" spans="1:32">
      <c r="A5" s="755">
        <v>1</v>
      </c>
      <c r="B5" s="763" t="s">
        <v>425</v>
      </c>
      <c r="C5" s="473">
        <v>460248.916666667</v>
      </c>
      <c r="D5" s="466">
        <v>12</v>
      </c>
      <c r="E5" s="467">
        <f>C5*D5</f>
        <v>5522987</v>
      </c>
      <c r="F5" s="467">
        <f>6922.5*12</f>
        <v>83070</v>
      </c>
      <c r="G5" s="468">
        <v>374638.9632</v>
      </c>
      <c r="H5" s="467"/>
      <c r="I5" s="467">
        <f>E5-F5-G5-H5</f>
        <v>5065278.0368</v>
      </c>
      <c r="J5" s="467">
        <v>200000</v>
      </c>
      <c r="K5" s="467">
        <v>0.2</v>
      </c>
      <c r="L5" s="467">
        <f>I5*K5</f>
        <v>1013055.60736</v>
      </c>
      <c r="M5" s="467">
        <f>J5+L5</f>
        <v>1213055.60736</v>
      </c>
      <c r="N5" s="467">
        <f>F5+G5+H5+M5</f>
        <v>1670764.57056</v>
      </c>
      <c r="O5" s="467">
        <f>E5-N5</f>
        <v>3852222.42944</v>
      </c>
      <c r="P5" s="467">
        <f>IF(O5&lt;300000,0.07*O5,21000)</f>
        <v>21000</v>
      </c>
      <c r="Q5" s="467">
        <f>IF((O5-300000)&lt;0,0,IF((O5-300000)&lt;300000,0.11*(O5-300000),33000))</f>
        <v>33000</v>
      </c>
      <c r="R5" s="467">
        <f>IF((O5-600000)&lt;0,0,IF((O5-600000)&lt;500000,0.15*(O5-600000),75000))</f>
        <v>75000</v>
      </c>
      <c r="S5" s="467">
        <f>IF((O5-1100000)&lt;0,0,IF((O5-1100000)&lt;500000,0.19*(O5-1100000),95000))</f>
        <v>95000</v>
      </c>
      <c r="T5" s="467">
        <f>IF((O5-1600000)&lt;0,0,IF((O5-1600000)&lt;1600000,0.21*(O5-1600000),336000))</f>
        <v>336000</v>
      </c>
      <c r="U5" s="467">
        <f>24%*(O5-3200000)</f>
        <v>156533.383065601</v>
      </c>
      <c r="V5" s="467">
        <f>P5+Q5+R5+S5+T5+U5</f>
        <v>716533.383065601</v>
      </c>
      <c r="W5" s="474">
        <v>12</v>
      </c>
      <c r="X5" s="467">
        <f>V5/W5</f>
        <v>59711.1152554667</v>
      </c>
      <c r="Y5" s="467"/>
      <c r="Z5" s="467">
        <f>X5</f>
        <v>59711.1152554667</v>
      </c>
      <c r="AA5" s="467">
        <v>69311.1152554667</v>
      </c>
      <c r="AB5" s="467">
        <f>AA5-Z5</f>
        <v>9599.99999999999</v>
      </c>
      <c r="AC5" s="467"/>
      <c r="AD5" s="763" t="s">
        <v>425</v>
      </c>
      <c r="AE5" s="479"/>
      <c r="AF5" s="479"/>
    </row>
    <row r="6" ht="14" spans="1:32">
      <c r="A6" s="755">
        <v>2</v>
      </c>
      <c r="B6" s="755" t="s">
        <v>428</v>
      </c>
      <c r="C6" s="473">
        <v>460248.916666667</v>
      </c>
      <c r="D6" s="466">
        <v>12</v>
      </c>
      <c r="E6" s="467">
        <f>C6*D6</f>
        <v>5522987</v>
      </c>
      <c r="F6" s="467"/>
      <c r="G6" s="467">
        <v>374638.9632</v>
      </c>
      <c r="H6" s="467"/>
      <c r="I6" s="467">
        <f>E6-F6-G6-H6</f>
        <v>5148348.0368</v>
      </c>
      <c r="J6" s="467">
        <v>200000</v>
      </c>
      <c r="K6" s="467">
        <v>0.2</v>
      </c>
      <c r="L6" s="467">
        <f>I6*K6</f>
        <v>1029669.60736</v>
      </c>
      <c r="M6" s="467">
        <f>J6+L6</f>
        <v>1229669.60736</v>
      </c>
      <c r="N6" s="467">
        <f>F6+G6+H6+M6</f>
        <v>1604308.57056</v>
      </c>
      <c r="O6" s="467">
        <f>E6-N6</f>
        <v>3918678.42944</v>
      </c>
      <c r="P6" s="467">
        <f>IF(O6&lt;300000,0.07*O6,21000)</f>
        <v>21000</v>
      </c>
      <c r="Q6" s="467">
        <f>IF((O6-300000)&lt;0,0,IF((O6-300000)&lt;300000,0.11*(O6-300000),33000))</f>
        <v>33000</v>
      </c>
      <c r="R6" s="467">
        <f>IF((O6-600000)&lt;0,0,IF((O6-600000)&lt;500000,0.15*(O6-600000),75000))</f>
        <v>75000</v>
      </c>
      <c r="S6" s="467">
        <f>IF((O6-1100000)&lt;0,0,IF((O6-1100000)&lt;500000,0.19*(O6-1100000),95000))</f>
        <v>95000</v>
      </c>
      <c r="T6" s="467">
        <f>IF((O6-1600000)&lt;0,0,IF((O6-1600000)&lt;1600000,0.21*(O6-1600000),336000))</f>
        <v>336000</v>
      </c>
      <c r="U6" s="467">
        <f>24%*(O6-3200000)</f>
        <v>172482.823065601</v>
      </c>
      <c r="V6" s="467">
        <f>P6+Q6+R6+S6+T6+U6</f>
        <v>732482.823065601</v>
      </c>
      <c r="W6" s="474">
        <v>12</v>
      </c>
      <c r="X6" s="467">
        <f>V6/W6</f>
        <v>61040.2352554667</v>
      </c>
      <c r="Y6" s="467"/>
      <c r="Z6" s="467">
        <f>X6</f>
        <v>61040.2352554667</v>
      </c>
      <c r="AA6" s="467">
        <v>70640.2352554667</v>
      </c>
      <c r="AB6" s="467">
        <f>AA6-Z6</f>
        <v>9599.99999999998</v>
      </c>
      <c r="AC6" s="467"/>
      <c r="AD6" s="755" t="s">
        <v>428</v>
      </c>
      <c r="AE6" s="479"/>
      <c r="AF6" s="479"/>
    </row>
    <row r="7" ht="14" spans="1:32">
      <c r="A7" s="755">
        <v>3</v>
      </c>
      <c r="B7" s="755" t="s">
        <v>431</v>
      </c>
      <c r="C7" s="473">
        <v>460248.916666667</v>
      </c>
      <c r="D7" s="466">
        <v>12</v>
      </c>
      <c r="E7" s="467">
        <f>C7*D7</f>
        <v>5522987</v>
      </c>
      <c r="F7" s="467"/>
      <c r="G7" s="467">
        <v>374638.9632</v>
      </c>
      <c r="H7" s="467"/>
      <c r="I7" s="467">
        <f>E7-F7-G7-H7</f>
        <v>5148348.0368</v>
      </c>
      <c r="J7" s="467">
        <v>200000</v>
      </c>
      <c r="K7" s="467">
        <v>0.2</v>
      </c>
      <c r="L7" s="467">
        <f>I7*K7</f>
        <v>1029669.60736</v>
      </c>
      <c r="M7" s="467">
        <f>J7+L7</f>
        <v>1229669.60736</v>
      </c>
      <c r="N7" s="467">
        <f>F7+G7+H7+M7</f>
        <v>1604308.57056</v>
      </c>
      <c r="O7" s="467">
        <f>E7-N7</f>
        <v>3918678.42944</v>
      </c>
      <c r="P7" s="467">
        <f>IF(O7&lt;300000,0.07*O7,21000)</f>
        <v>21000</v>
      </c>
      <c r="Q7" s="467">
        <f>IF((O7-300000)&lt;0,0,IF((O7-300000)&lt;300000,0.11*(O7-300000),33000))</f>
        <v>33000</v>
      </c>
      <c r="R7" s="467">
        <f>IF((O7-600000)&lt;0,0,IF((O7-600000)&lt;500000,0.15*(O7-600000),75000))</f>
        <v>75000</v>
      </c>
      <c r="S7" s="467">
        <f>IF((O7-1100000)&lt;0,0,IF((O7-1100000)&lt;500000,0.19*(O7-1100000),95000))</f>
        <v>95000</v>
      </c>
      <c r="T7" s="467">
        <f>IF((O7-1600000)&lt;0,0,IF((O7-1600000)&lt;1600000,0.21*(O7-1600000),336000))</f>
        <v>336000</v>
      </c>
      <c r="U7" s="467">
        <f>24%*(O7-3200000)</f>
        <v>172482.823065601</v>
      </c>
      <c r="V7" s="467">
        <f>P7+Q7+R7+S7+T7+U7</f>
        <v>732482.823065601</v>
      </c>
      <c r="W7" s="474">
        <v>12</v>
      </c>
      <c r="X7" s="467">
        <f>V7/W7</f>
        <v>61040.2352554667</v>
      </c>
      <c r="Y7" s="467"/>
      <c r="Z7" s="467">
        <f>X7</f>
        <v>61040.2352554667</v>
      </c>
      <c r="AA7" s="467">
        <v>70640.2352554667</v>
      </c>
      <c r="AB7" s="467">
        <f>AA7-Z7</f>
        <v>9599.99999999998</v>
      </c>
      <c r="AC7" s="467"/>
      <c r="AD7" s="755" t="s">
        <v>431</v>
      </c>
      <c r="AE7" s="479"/>
      <c r="AF7" s="479"/>
    </row>
    <row r="8" ht="14" spans="1:32">
      <c r="A8" s="755">
        <v>4</v>
      </c>
      <c r="B8" s="755" t="s">
        <v>204</v>
      </c>
      <c r="C8" s="473">
        <v>110955</v>
      </c>
      <c r="D8" s="466">
        <v>12</v>
      </c>
      <c r="E8" s="467">
        <f t="shared" ref="E8" si="0">C8*D8</f>
        <v>1331460</v>
      </c>
      <c r="F8" s="467"/>
      <c r="G8" s="467"/>
      <c r="H8" s="467"/>
      <c r="I8" s="467">
        <f t="shared" ref="I8" si="1">E8-F8-G8-H8</f>
        <v>1331460</v>
      </c>
      <c r="J8" s="467">
        <v>200000</v>
      </c>
      <c r="K8" s="467">
        <v>0.2</v>
      </c>
      <c r="L8" s="467">
        <f t="shared" ref="L8" si="2">I8*K8</f>
        <v>266292</v>
      </c>
      <c r="M8" s="467">
        <f t="shared" ref="M8" si="3">J8+L8</f>
        <v>466292</v>
      </c>
      <c r="N8" s="467">
        <f t="shared" ref="N8" si="4">F8+G8+H8+M8</f>
        <v>466292</v>
      </c>
      <c r="O8" s="467">
        <f t="shared" ref="O8" si="5">E8-N8</f>
        <v>865168</v>
      </c>
      <c r="P8" s="467">
        <f t="shared" ref="P8" si="6">IF(O8&lt;300000,0.07*O8,21000)</f>
        <v>21000</v>
      </c>
      <c r="Q8" s="467">
        <f t="shared" ref="Q8" si="7">IF((O8-300000)&lt;0,0,IF((O8-300000)&lt;300000,0.11*(O8-300000),33000))</f>
        <v>33000</v>
      </c>
      <c r="R8" s="467">
        <f t="shared" ref="R8" si="8">IF((O8-600000)&lt;0,0,IF((O8-600000)&lt;500000,0.15*(O8-600000),75000))</f>
        <v>39775.2</v>
      </c>
      <c r="S8" s="467">
        <f t="shared" ref="S8" si="9">IF((O8-1100000)&lt;0,0,IF((O8-1100000)&lt;500000,0.19*(O8-1100000),95000))</f>
        <v>0</v>
      </c>
      <c r="T8" s="467">
        <f t="shared" ref="T8" si="10">IF((O8-1600000)&lt;0,0,IF((O8-1600000)&lt;1600000,0.21*(O8-1600000),336000))</f>
        <v>0</v>
      </c>
      <c r="U8" s="467"/>
      <c r="V8" s="467">
        <f t="shared" ref="V8" si="11">P8+Q8+R8+S8+T8+U8</f>
        <v>93775.2</v>
      </c>
      <c r="W8" s="474">
        <v>12</v>
      </c>
      <c r="X8" s="467">
        <f t="shared" ref="X8" si="12">V8/W8</f>
        <v>7814.6</v>
      </c>
      <c r="Y8" s="467"/>
      <c r="Z8" s="467">
        <f t="shared" ref="Z8" si="13">X8</f>
        <v>7814.6</v>
      </c>
      <c r="AA8" s="467">
        <v>69311.1152554667</v>
      </c>
      <c r="AB8" s="467">
        <f>AA8-Z8</f>
        <v>61496.5152554667</v>
      </c>
      <c r="AC8" s="467"/>
      <c r="AD8" s="755" t="s">
        <v>204</v>
      </c>
      <c r="AE8" s="479"/>
      <c r="AF8" s="479"/>
    </row>
    <row r="9" ht="35.25" customHeight="1" spans="2:29">
      <c r="B9" s="8" t="s">
        <v>469</v>
      </c>
      <c r="C9" s="615">
        <f>SUM(C5:C8)</f>
        <v>1491701.75</v>
      </c>
      <c r="D9" s="616"/>
      <c r="E9" s="469"/>
      <c r="F9" s="617">
        <f>SUM(F5:F8)</f>
        <v>83070</v>
      </c>
      <c r="G9" s="617">
        <f>SUM(G5:G8)</f>
        <v>1123916.8896</v>
      </c>
      <c r="H9" s="618"/>
      <c r="I9" s="618"/>
      <c r="J9" s="618"/>
      <c r="K9" s="618"/>
      <c r="L9" s="618"/>
      <c r="M9" s="618"/>
      <c r="N9" s="618"/>
      <c r="O9" s="618"/>
      <c r="P9" s="618"/>
      <c r="Q9" s="618"/>
      <c r="R9" s="618"/>
      <c r="S9" s="618"/>
      <c r="T9" s="618"/>
      <c r="U9" s="618"/>
      <c r="V9" s="617"/>
      <c r="W9" s="617"/>
      <c r="X9" s="617"/>
      <c r="Y9" s="617"/>
      <c r="Z9" s="617"/>
      <c r="AA9" s="617"/>
      <c r="AB9" s="617">
        <f>SUM(AB5:AB8)</f>
        <v>90296.5152554667</v>
      </c>
      <c r="AC9" s="781"/>
    </row>
    <row r="10" ht="26.25" customHeight="1" spans="2:26">
      <c r="B10" s="30" t="s">
        <v>470</v>
      </c>
      <c r="C10" s="615"/>
      <c r="D10" s="616"/>
      <c r="E10" s="616"/>
      <c r="F10" s="619">
        <f>F9/12</f>
        <v>6922.5</v>
      </c>
      <c r="G10" s="619">
        <f>G9/12</f>
        <v>93659.7408</v>
      </c>
      <c r="H10" s="618"/>
      <c r="I10" s="618"/>
      <c r="J10" s="618"/>
      <c r="K10" s="618"/>
      <c r="L10" s="618"/>
      <c r="M10" s="618"/>
      <c r="N10" s="618"/>
      <c r="O10" s="618"/>
      <c r="P10" s="618"/>
      <c r="Q10" s="618"/>
      <c r="R10" s="618"/>
      <c r="S10" s="618"/>
      <c r="T10" s="618"/>
      <c r="U10" s="618"/>
      <c r="V10" s="619"/>
      <c r="W10" s="616"/>
      <c r="X10" s="616"/>
      <c r="Y10" s="616"/>
      <c r="Z10" s="616"/>
    </row>
    <row r="11" ht="17.5" spans="2:6">
      <c r="B11" s="33"/>
      <c r="C11" s="479"/>
      <c r="F11" s="498"/>
    </row>
    <row r="12" ht="13" spans="6:26">
      <c r="F12" s="499"/>
      <c r="Z12" s="617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zoomScaleSheetLayoutView="50" workbookViewId="0">
      <pane xSplit="3" ySplit="6" topLeftCell="S7" activePane="bottomRight" state="frozen"/>
      <selection/>
      <selection pane="topRight"/>
      <selection pane="bottomLeft"/>
      <selection pane="bottomRight" activeCell="S11" sqref="S11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3" width="19.2818181818182" style="1" customWidth="1"/>
    <col min="14" max="14" width="14.8545454545455" style="1" customWidth="1"/>
    <col min="15" max="15" width="13.5727272727273" style="1" customWidth="1"/>
    <col min="16" max="16" width="20.4272727272727" style="298" customWidth="1"/>
    <col min="17" max="18" width="16.4272727272727" style="1" customWidth="1"/>
    <col min="19" max="20" width="17.7090909090909" style="1" customWidth="1"/>
    <col min="21" max="21" width="11.1363636363636" style="1" customWidth="1"/>
    <col min="22" max="22" width="17.8545454545455" style="1" customWidth="1"/>
    <col min="23" max="23" width="21.7090909090909" style="1" customWidth="1"/>
    <col min="24" max="24" width="14.2818181818182" style="1" customWidth="1"/>
    <col min="25" max="16384" width="9.13636363636364" style="1"/>
  </cols>
  <sheetData>
    <row r="1" ht="27" customHeight="1" spans="1:10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</row>
    <row r="2" ht="33.75" customHeight="1" spans="1:22">
      <c r="A2" s="76" t="s">
        <v>471</v>
      </c>
      <c r="B2" s="77"/>
      <c r="C2" s="76"/>
      <c r="D2" s="76"/>
      <c r="E2" s="216"/>
      <c r="F2" s="216"/>
      <c r="G2" s="299"/>
      <c r="H2" s="299"/>
      <c r="I2" s="299"/>
      <c r="J2" s="299"/>
      <c r="K2" s="78"/>
      <c r="L2" s="78"/>
      <c r="M2" s="78"/>
      <c r="N2" s="78"/>
      <c r="O2" s="78"/>
      <c r="P2" s="305"/>
      <c r="Q2" s="78"/>
      <c r="R2" s="78"/>
      <c r="S2" s="78"/>
      <c r="T2" s="78"/>
      <c r="U2" s="78"/>
      <c r="V2" s="78"/>
    </row>
    <row r="3" ht="9.75" customHeight="1" spans="5:10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</row>
    <row r="4" ht="60" customHeight="1" spans="1:22">
      <c r="A4" s="4"/>
      <c r="B4" s="6" t="s">
        <v>2</v>
      </c>
      <c r="C4" s="6" t="s">
        <v>3</v>
      </c>
      <c r="D4" s="7" t="s">
        <v>4</v>
      </c>
      <c r="E4" s="80" t="s">
        <v>5</v>
      </c>
      <c r="F4" s="21" t="s">
        <v>6</v>
      </c>
      <c r="G4" s="21" t="s">
        <v>7</v>
      </c>
      <c r="H4" s="80" t="s">
        <v>7</v>
      </c>
      <c r="I4" s="21" t="s">
        <v>8</v>
      </c>
      <c r="J4" s="306" t="s">
        <v>472</v>
      </c>
      <c r="K4" s="7" t="s">
        <v>473</v>
      </c>
      <c r="L4" s="306" t="s">
        <v>474</v>
      </c>
      <c r="M4" s="80" t="s">
        <v>475</v>
      </c>
      <c r="N4" s="80" t="s">
        <v>476</v>
      </c>
      <c r="O4" s="80" t="s">
        <v>477</v>
      </c>
      <c r="P4" s="80" t="s">
        <v>478</v>
      </c>
      <c r="Q4" s="80" t="s">
        <v>479</v>
      </c>
      <c r="R4" s="80"/>
      <c r="S4" s="319" t="s">
        <v>480</v>
      </c>
      <c r="T4" s="320" t="s">
        <v>481</v>
      </c>
      <c r="U4" s="80" t="s">
        <v>448</v>
      </c>
      <c r="V4" s="321" t="s">
        <v>482</v>
      </c>
    </row>
    <row r="5" ht="17.25" customHeight="1" spans="3:22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307" t="s">
        <v>19</v>
      </c>
      <c r="K5" s="8"/>
      <c r="L5" s="307" t="s">
        <v>19</v>
      </c>
      <c r="M5" s="82"/>
      <c r="N5" s="82" t="s">
        <v>19</v>
      </c>
      <c r="O5" s="82"/>
      <c r="P5" s="308" t="s">
        <v>19</v>
      </c>
      <c r="Q5" s="82"/>
      <c r="R5" s="82"/>
      <c r="S5" s="82"/>
      <c r="T5" s="230"/>
      <c r="U5" s="82"/>
      <c r="V5" s="230"/>
    </row>
    <row r="6" customHeight="1" spans="1:22">
      <c r="A6" s="9"/>
      <c r="B6" s="8"/>
      <c r="C6" s="8"/>
      <c r="D6" s="8"/>
      <c r="E6" s="82"/>
      <c r="F6" s="82"/>
      <c r="G6" s="82"/>
      <c r="H6" s="82"/>
      <c r="I6" s="82"/>
      <c r="J6" s="307"/>
      <c r="K6" s="8"/>
      <c r="L6" s="307"/>
      <c r="M6" s="82"/>
      <c r="N6" s="82"/>
      <c r="O6" s="82"/>
      <c r="P6" s="308"/>
      <c r="Q6" s="82"/>
      <c r="R6" s="82"/>
      <c r="S6" s="82"/>
      <c r="T6" s="230"/>
      <c r="U6" s="82"/>
      <c r="V6" s="230"/>
    </row>
    <row r="7" ht="18.75" customHeight="1" spans="1:24">
      <c r="A7" s="10">
        <v>1</v>
      </c>
      <c r="B7" s="11" t="s">
        <v>159</v>
      </c>
      <c r="C7" s="4" t="s">
        <v>483</v>
      </c>
      <c r="D7" s="15" t="s">
        <v>192</v>
      </c>
      <c r="E7" s="85">
        <v>441804.916666667</v>
      </c>
      <c r="F7" s="85"/>
      <c r="G7" s="220">
        <f>120000</f>
        <v>120000</v>
      </c>
      <c r="H7" s="220"/>
      <c r="I7" s="85">
        <v>0</v>
      </c>
      <c r="J7" s="219">
        <f t="shared" ref="J7" si="0">SUM(E7:I7)</f>
        <v>561804.916666667</v>
      </c>
      <c r="K7" s="369" t="s">
        <v>162</v>
      </c>
      <c r="L7" s="219">
        <f>442746.5+140000</f>
        <v>582746.5</v>
      </c>
      <c r="M7" s="85">
        <f>L7-J7</f>
        <v>20941.583333333</v>
      </c>
      <c r="N7" s="85"/>
      <c r="O7" s="85"/>
      <c r="P7" s="309">
        <v>79747.0871466667</v>
      </c>
      <c r="Q7" s="85">
        <f>83767.87</f>
        <v>83767.87</v>
      </c>
      <c r="R7" s="85"/>
      <c r="S7" s="85">
        <f>Q7-P7</f>
        <v>4020.78285333329</v>
      </c>
      <c r="T7" s="231">
        <f>M7-S7</f>
        <v>16920.8004799997</v>
      </c>
      <c r="U7" s="13">
        <v>4.55</v>
      </c>
      <c r="V7" s="231">
        <f>T7*U7</f>
        <v>76989.6421839988</v>
      </c>
      <c r="W7" s="13"/>
      <c r="X7" s="35"/>
    </row>
    <row r="8" ht="26.25" customHeight="1" spans="1:23">
      <c r="A8" s="10"/>
      <c r="B8" s="20" t="s">
        <v>96</v>
      </c>
      <c r="C8" s="21"/>
      <c r="D8" s="15"/>
      <c r="E8" s="221">
        <f t="shared" ref="E8:J8" si="1">SUM(E7:E7)</f>
        <v>441804.916666667</v>
      </c>
      <c r="F8" s="221">
        <f t="shared" si="1"/>
        <v>0</v>
      </c>
      <c r="G8" s="221">
        <f t="shared" si="1"/>
        <v>120000</v>
      </c>
      <c r="H8" s="221">
        <f t="shared" si="1"/>
        <v>0</v>
      </c>
      <c r="I8" s="221">
        <f t="shared" si="1"/>
        <v>0</v>
      </c>
      <c r="J8" s="310">
        <f t="shared" si="1"/>
        <v>561804.916666667</v>
      </c>
      <c r="K8" s="15"/>
      <c r="L8" s="310">
        <f t="shared" ref="L8:T8" si="2">SUM(L7:L7)</f>
        <v>582746.5</v>
      </c>
      <c r="M8" s="221">
        <f t="shared" si="2"/>
        <v>20941.583333333</v>
      </c>
      <c r="N8" s="221">
        <f t="shared" si="2"/>
        <v>0</v>
      </c>
      <c r="O8" s="221">
        <f t="shared" si="2"/>
        <v>0</v>
      </c>
      <c r="P8" s="221">
        <f t="shared" si="2"/>
        <v>79747.0871466667</v>
      </c>
      <c r="Q8" s="221">
        <f t="shared" si="2"/>
        <v>83767.87</v>
      </c>
      <c r="R8" s="221"/>
      <c r="S8" s="221">
        <f t="shared" si="2"/>
        <v>4020.78285333329</v>
      </c>
      <c r="T8" s="232">
        <f t="shared" si="2"/>
        <v>16920.8004799997</v>
      </c>
      <c r="U8" s="221"/>
      <c r="V8" s="232">
        <f>SUM(V7:V7)</f>
        <v>76989.6421839988</v>
      </c>
      <c r="W8" s="13"/>
    </row>
    <row r="9" customHeight="1" spans="1:23">
      <c r="A9" s="10"/>
      <c r="B9" s="14"/>
      <c r="C9" s="4"/>
      <c r="D9" s="10"/>
      <c r="E9" s="221"/>
      <c r="F9" s="221"/>
      <c r="G9" s="221"/>
      <c r="H9" s="221"/>
      <c r="I9" s="221"/>
      <c r="J9" s="310"/>
      <c r="K9" s="10"/>
      <c r="L9" s="310"/>
      <c r="M9" s="85"/>
      <c r="N9" s="221"/>
      <c r="O9" s="221"/>
      <c r="P9" s="311"/>
      <c r="Q9" s="221"/>
      <c r="R9" s="221"/>
      <c r="S9" s="85"/>
      <c r="T9" s="231"/>
      <c r="U9" s="221"/>
      <c r="V9" s="231"/>
      <c r="W9" s="13"/>
    </row>
    <row r="10" customHeight="1" spans="2:23">
      <c r="B10" s="33"/>
      <c r="D10" s="34"/>
      <c r="E10" s="34"/>
      <c r="F10" s="34"/>
      <c r="G10" s="34"/>
      <c r="H10" s="34"/>
      <c r="I10" s="228"/>
      <c r="J10" s="228"/>
      <c r="K10" s="228"/>
      <c r="L10" s="228"/>
      <c r="M10" s="228"/>
      <c r="N10" s="228"/>
      <c r="O10" s="228"/>
      <c r="P10" s="318"/>
      <c r="Q10" s="229"/>
      <c r="R10" s="229"/>
      <c r="S10" s="229"/>
      <c r="T10" s="229"/>
      <c r="U10" s="229"/>
      <c r="V10" s="229"/>
      <c r="W10" s="35"/>
    </row>
    <row r="11" ht="36.75" customHeight="1" spans="2:22">
      <c r="B11" s="33"/>
      <c r="C11" s="34"/>
      <c r="D11" s="34"/>
      <c r="E11" s="34"/>
      <c r="F11" s="34"/>
      <c r="G11" s="34"/>
      <c r="H11" s="34"/>
      <c r="I11" s="228"/>
      <c r="J11" s="228"/>
      <c r="K11" s="228"/>
      <c r="L11" s="228"/>
      <c r="M11" s="228"/>
      <c r="N11" s="228"/>
      <c r="O11" s="228"/>
      <c r="P11" s="318"/>
      <c r="Q11" s="229"/>
      <c r="R11" s="229"/>
      <c r="S11" s="229"/>
      <c r="T11" s="229"/>
      <c r="U11" s="229"/>
      <c r="V11" s="229"/>
    </row>
    <row r="14" customHeight="1" spans="11:13">
      <c r="K14" s="35"/>
      <c r="L14" s="35"/>
      <c r="M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5"/>
  <sheetViews>
    <sheetView topLeftCell="A5" workbookViewId="0">
      <selection activeCell="AA21" sqref="AA21"/>
    </sheetView>
  </sheetViews>
  <sheetFormatPr defaultColWidth="9.13636363636364" defaultRowHeight="12.5"/>
  <cols>
    <col min="1" max="1" width="6.85454545454545" style="296" customWidth="1"/>
    <col min="2" max="2" width="33.2818181818182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443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444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445</v>
      </c>
      <c r="B4" s="462" t="s">
        <v>446</v>
      </c>
      <c r="C4" s="463" t="s">
        <v>484</v>
      </c>
      <c r="D4" s="462" t="s">
        <v>448</v>
      </c>
      <c r="E4" s="463" t="s">
        <v>449</v>
      </c>
      <c r="F4" s="463" t="s">
        <v>450</v>
      </c>
      <c r="G4" s="463" t="s">
        <v>451</v>
      </c>
      <c r="H4" s="463" t="s">
        <v>452</v>
      </c>
      <c r="I4" s="463" t="s">
        <v>453</v>
      </c>
      <c r="J4" s="463"/>
      <c r="K4" s="463"/>
      <c r="L4" s="463"/>
      <c r="M4" s="463" t="s">
        <v>454</v>
      </c>
      <c r="N4" s="463" t="s">
        <v>455</v>
      </c>
      <c r="O4" s="463" t="s">
        <v>456</v>
      </c>
      <c r="P4" s="463" t="s">
        <v>457</v>
      </c>
      <c r="Q4" s="463" t="s">
        <v>458</v>
      </c>
      <c r="R4" s="463" t="s">
        <v>459</v>
      </c>
      <c r="S4" s="463" t="s">
        <v>460</v>
      </c>
      <c r="T4" s="463" t="s">
        <v>461</v>
      </c>
      <c r="U4" s="463" t="s">
        <v>462</v>
      </c>
      <c r="V4" s="463" t="s">
        <v>463</v>
      </c>
      <c r="W4" s="463"/>
      <c r="X4" s="463" t="s">
        <v>464</v>
      </c>
      <c r="Y4" s="463" t="s">
        <v>465</v>
      </c>
      <c r="Z4" s="463" t="s">
        <v>485</v>
      </c>
    </row>
    <row r="5" ht="14" spans="1:27">
      <c r="A5" s="755">
        <v>1</v>
      </c>
      <c r="B5" s="756" t="s">
        <v>403</v>
      </c>
      <c r="C5" s="760">
        <v>150313.08</v>
      </c>
      <c r="D5" s="466">
        <v>12</v>
      </c>
      <c r="E5" s="467">
        <f t="shared" ref="E5:E24" si="0">C5*D5</f>
        <v>1803756.96</v>
      </c>
      <c r="F5" s="467"/>
      <c r="G5" s="467">
        <v>558833.3568</v>
      </c>
      <c r="H5" s="467"/>
      <c r="I5" s="467">
        <f t="shared" ref="I5:I24" si="1">E5-F5-G5-H5</f>
        <v>1244923.6032</v>
      </c>
      <c r="J5" s="467">
        <v>200000</v>
      </c>
      <c r="K5" s="467">
        <v>0.2</v>
      </c>
      <c r="L5" s="467">
        <f t="shared" ref="L5:L24" si="2">I5*K5</f>
        <v>248984.72064</v>
      </c>
      <c r="M5" s="467">
        <f t="shared" ref="M5:M24" si="3">J5+L5</f>
        <v>448984.72064</v>
      </c>
      <c r="N5" s="467">
        <f t="shared" ref="N5:N24" si="4">F5+G5+H5+M5</f>
        <v>1007818.07744</v>
      </c>
      <c r="O5" s="467">
        <f t="shared" ref="O5:O24" si="5">E5-N5</f>
        <v>795938.88256</v>
      </c>
      <c r="P5" s="467">
        <f t="shared" ref="P5:P24" si="6">IF(O5&lt;300000,0.07*O5,21000)</f>
        <v>21000</v>
      </c>
      <c r="Q5" s="467">
        <f t="shared" ref="Q5:Q24" si="7">IF((O5-300000)&lt;0,0,IF((O5-300000)&lt;300000,0.11*(O5-300000),33000))</f>
        <v>33000</v>
      </c>
      <c r="R5" s="467">
        <f t="shared" ref="R5:R24" si="8">IF((O5-600000)&lt;0,0,IF((O5-600000)&lt;500000,0.15*(O5-600000),75000))</f>
        <v>29390.832384</v>
      </c>
      <c r="S5" s="467">
        <f t="shared" ref="S5:S24" si="9">IF((O5-1100000)&lt;0,0,IF((O5-1100000)&lt;500000,0.19*(O5-1100000),95000))</f>
        <v>0</v>
      </c>
      <c r="T5" s="467">
        <f t="shared" ref="T5:T24" si="10">IF((O5-1600000)&lt;0,0,IF((O5-1600000)&lt;1600000,0.21*(O5-1600000),336000))</f>
        <v>0</v>
      </c>
      <c r="U5" s="467">
        <v>0</v>
      </c>
      <c r="V5" s="467">
        <f t="shared" ref="V5:V24" si="11">P5+Q5+R5+S5+T5+U5</f>
        <v>83390.832384</v>
      </c>
      <c r="W5" s="474">
        <v>12</v>
      </c>
      <c r="X5" s="467">
        <f t="shared" ref="X5:X24" si="12">V5/W5</f>
        <v>6949.236032</v>
      </c>
      <c r="Y5" s="467"/>
      <c r="Z5" s="467">
        <f t="shared" ref="Z5:Z24" si="13">X5</f>
        <v>6949.236032</v>
      </c>
      <c r="AA5" s="479"/>
    </row>
    <row r="6" ht="14" spans="1:27">
      <c r="A6" s="755">
        <v>2</v>
      </c>
      <c r="B6" s="755" t="s">
        <v>407</v>
      </c>
      <c r="C6" s="760">
        <v>526480</v>
      </c>
      <c r="D6" s="466">
        <v>12</v>
      </c>
      <c r="E6" s="467">
        <f t="shared" si="0"/>
        <v>6317760</v>
      </c>
      <c r="F6" s="467"/>
      <c r="G6" s="467">
        <v>558833.3568</v>
      </c>
      <c r="H6" s="467"/>
      <c r="I6" s="467">
        <f t="shared" si="1"/>
        <v>5758926.6432</v>
      </c>
      <c r="J6" s="467">
        <v>200000</v>
      </c>
      <c r="K6" s="467">
        <v>0.2</v>
      </c>
      <c r="L6" s="467">
        <f t="shared" si="2"/>
        <v>1151785.32864</v>
      </c>
      <c r="M6" s="467">
        <f t="shared" si="3"/>
        <v>1351785.32864</v>
      </c>
      <c r="N6" s="467">
        <f t="shared" si="4"/>
        <v>1910618.68544</v>
      </c>
      <c r="O6" s="467">
        <f t="shared" si="5"/>
        <v>4407141.31456</v>
      </c>
      <c r="P6" s="467">
        <f t="shared" si="6"/>
        <v>21000</v>
      </c>
      <c r="Q6" s="467">
        <f t="shared" si="7"/>
        <v>33000</v>
      </c>
      <c r="R6" s="467">
        <f t="shared" si="8"/>
        <v>75000</v>
      </c>
      <c r="S6" s="467">
        <f t="shared" si="9"/>
        <v>95000</v>
      </c>
      <c r="T6" s="467">
        <f t="shared" si="10"/>
        <v>336000</v>
      </c>
      <c r="U6" s="467">
        <f>24%*(O6-3200000)</f>
        <v>289713.9154944</v>
      </c>
      <c r="V6" s="467">
        <f t="shared" si="11"/>
        <v>849713.9154944</v>
      </c>
      <c r="W6" s="474">
        <v>12</v>
      </c>
      <c r="X6" s="467">
        <f t="shared" si="12"/>
        <v>70809.4929578667</v>
      </c>
      <c r="Y6" s="467"/>
      <c r="Z6" s="467">
        <f t="shared" si="13"/>
        <v>70809.4929578667</v>
      </c>
      <c r="AA6" s="479"/>
    </row>
    <row r="7" ht="14" spans="1:27">
      <c r="A7" s="755">
        <v>3</v>
      </c>
      <c r="B7" s="755" t="s">
        <v>410</v>
      </c>
      <c r="C7" s="760">
        <v>291986.9175</v>
      </c>
      <c r="D7" s="466">
        <v>12</v>
      </c>
      <c r="E7" s="467">
        <f t="shared" si="0"/>
        <v>3503843.01</v>
      </c>
      <c r="F7" s="467">
        <f>8019.8*12</f>
        <v>96237.6</v>
      </c>
      <c r="G7" s="467">
        <v>558833.3568</v>
      </c>
      <c r="H7" s="467"/>
      <c r="I7" s="467">
        <f t="shared" si="1"/>
        <v>2848772.0532</v>
      </c>
      <c r="J7" s="467">
        <v>200000</v>
      </c>
      <c r="K7" s="467">
        <v>0.2</v>
      </c>
      <c r="L7" s="467">
        <f t="shared" si="2"/>
        <v>569754.41064</v>
      </c>
      <c r="M7" s="467">
        <f t="shared" si="3"/>
        <v>769754.41064</v>
      </c>
      <c r="N7" s="467">
        <f t="shared" si="4"/>
        <v>1424825.36744</v>
      </c>
      <c r="O7" s="467">
        <f t="shared" si="5"/>
        <v>2079017.64256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100593.7049376</v>
      </c>
      <c r="U7" s="467"/>
      <c r="V7" s="467">
        <f t="shared" si="11"/>
        <v>324593.7049376</v>
      </c>
      <c r="W7" s="474">
        <v>12</v>
      </c>
      <c r="X7" s="467">
        <f t="shared" si="12"/>
        <v>27049.4754114667</v>
      </c>
      <c r="Y7" s="467"/>
      <c r="Z7" s="467">
        <f t="shared" si="13"/>
        <v>27049.4754114667</v>
      </c>
      <c r="AA7" s="479"/>
    </row>
    <row r="8" ht="14" spans="1:27">
      <c r="A8" s="755">
        <v>4</v>
      </c>
      <c r="B8" s="755" t="s">
        <v>412</v>
      </c>
      <c r="C8" s="760">
        <v>291984.2075</v>
      </c>
      <c r="D8" s="466">
        <v>12</v>
      </c>
      <c r="E8" s="467">
        <f t="shared" si="0"/>
        <v>3503810.49</v>
      </c>
      <c r="F8" s="467">
        <f>8019.8*12</f>
        <v>96237.6</v>
      </c>
      <c r="G8" s="467">
        <v>558833.3568</v>
      </c>
      <c r="H8" s="467"/>
      <c r="I8" s="467">
        <f t="shared" si="1"/>
        <v>2848739.5332</v>
      </c>
      <c r="J8" s="467">
        <v>200000</v>
      </c>
      <c r="K8" s="467">
        <v>0.2</v>
      </c>
      <c r="L8" s="467">
        <f t="shared" si="2"/>
        <v>569747.90664</v>
      </c>
      <c r="M8" s="467">
        <f t="shared" si="3"/>
        <v>769747.90664</v>
      </c>
      <c r="N8" s="467">
        <f t="shared" si="4"/>
        <v>1424818.86344</v>
      </c>
      <c r="O8" s="467">
        <f t="shared" si="5"/>
        <v>2078991.62656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100588.2415776</v>
      </c>
      <c r="U8" s="467"/>
      <c r="V8" s="467">
        <f t="shared" si="11"/>
        <v>324588.2415776</v>
      </c>
      <c r="W8" s="474">
        <v>12</v>
      </c>
      <c r="X8" s="467">
        <f t="shared" si="12"/>
        <v>27049.0201314667</v>
      </c>
      <c r="Y8" s="467"/>
      <c r="Z8" s="467">
        <f t="shared" si="13"/>
        <v>27049.0201314667</v>
      </c>
      <c r="AA8" s="479"/>
    </row>
    <row r="9" ht="14" spans="1:27">
      <c r="A9" s="755">
        <v>5</v>
      </c>
      <c r="B9" s="755" t="s">
        <v>414</v>
      </c>
      <c r="C9" s="760">
        <v>0</v>
      </c>
      <c r="D9" s="466">
        <v>0</v>
      </c>
      <c r="E9" s="467">
        <f t="shared" si="0"/>
        <v>0</v>
      </c>
      <c r="F9" s="467"/>
      <c r="G9" s="467">
        <v>0</v>
      </c>
      <c r="H9" s="467"/>
      <c r="I9" s="467">
        <f t="shared" si="1"/>
        <v>0</v>
      </c>
      <c r="J9" s="467">
        <v>0</v>
      </c>
      <c r="K9" s="467">
        <v>0.2</v>
      </c>
      <c r="L9" s="467">
        <f t="shared" si="2"/>
        <v>0</v>
      </c>
      <c r="M9" s="467">
        <f t="shared" si="3"/>
        <v>0</v>
      </c>
      <c r="N9" s="467">
        <f t="shared" si="4"/>
        <v>0</v>
      </c>
      <c r="O9" s="467">
        <f t="shared" si="5"/>
        <v>0</v>
      </c>
      <c r="P9" s="467">
        <f t="shared" si="6"/>
        <v>0</v>
      </c>
      <c r="Q9" s="467">
        <f t="shared" si="7"/>
        <v>0</v>
      </c>
      <c r="R9" s="467">
        <f t="shared" si="8"/>
        <v>0</v>
      </c>
      <c r="S9" s="467">
        <f t="shared" si="9"/>
        <v>0</v>
      </c>
      <c r="T9" s="467">
        <f t="shared" si="10"/>
        <v>0</v>
      </c>
      <c r="U9" s="467"/>
      <c r="V9" s="467">
        <f t="shared" si="11"/>
        <v>0</v>
      </c>
      <c r="W9" s="474">
        <v>12</v>
      </c>
      <c r="X9" s="467">
        <f t="shared" si="12"/>
        <v>0</v>
      </c>
      <c r="Y9" s="467"/>
      <c r="Z9" s="467">
        <f t="shared" si="13"/>
        <v>0</v>
      </c>
      <c r="AA9" s="479"/>
    </row>
    <row r="10" ht="14" spans="1:27">
      <c r="A10" s="755">
        <v>6</v>
      </c>
      <c r="B10" s="755" t="s">
        <v>274</v>
      </c>
      <c r="C10" s="760">
        <v>1486792</v>
      </c>
      <c r="D10" s="466">
        <v>12</v>
      </c>
      <c r="E10" s="467">
        <f t="shared" si="0"/>
        <v>17841504</v>
      </c>
      <c r="F10" s="467"/>
      <c r="G10" s="467">
        <v>245615.04</v>
      </c>
      <c r="H10" s="467"/>
      <c r="I10" s="467">
        <f t="shared" si="1"/>
        <v>17595888.96</v>
      </c>
      <c r="J10" s="467">
        <v>200000</v>
      </c>
      <c r="K10" s="467">
        <v>0.2</v>
      </c>
      <c r="L10" s="467">
        <f t="shared" si="2"/>
        <v>3519177.792</v>
      </c>
      <c r="M10" s="467">
        <f t="shared" si="3"/>
        <v>3719177.792</v>
      </c>
      <c r="N10" s="467">
        <f t="shared" si="4"/>
        <v>3964792.832</v>
      </c>
      <c r="O10" s="467">
        <f t="shared" si="5"/>
        <v>13876711.168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>24%*(O10-3200000)</f>
        <v>2562410.68032</v>
      </c>
      <c r="V10" s="467">
        <f t="shared" si="11"/>
        <v>3122410.68032</v>
      </c>
      <c r="W10" s="474">
        <v>12</v>
      </c>
      <c r="X10" s="467">
        <f t="shared" si="12"/>
        <v>260200.890026667</v>
      </c>
      <c r="Y10" s="467"/>
      <c r="Z10" s="467">
        <f t="shared" si="13"/>
        <v>260200.890026667</v>
      </c>
      <c r="AA10" s="479"/>
    </row>
    <row r="11" ht="14" spans="1:27">
      <c r="A11" s="755">
        <v>7</v>
      </c>
      <c r="B11" s="755" t="s">
        <v>420</v>
      </c>
      <c r="C11" s="760">
        <v>120895.81</v>
      </c>
      <c r="D11" s="466">
        <v>12</v>
      </c>
      <c r="E11" s="467">
        <f t="shared" si="0"/>
        <v>1450749.72</v>
      </c>
      <c r="F11" s="467"/>
      <c r="G11" s="467">
        <v>339372</v>
      </c>
      <c r="H11" s="467"/>
      <c r="I11" s="467">
        <f t="shared" si="1"/>
        <v>1111377.72</v>
      </c>
      <c r="J11" s="467">
        <v>200000</v>
      </c>
      <c r="K11" s="467">
        <v>0.2</v>
      </c>
      <c r="L11" s="467">
        <f t="shared" si="2"/>
        <v>222275.544</v>
      </c>
      <c r="M11" s="467">
        <f t="shared" si="3"/>
        <v>422275.544</v>
      </c>
      <c r="N11" s="467">
        <f t="shared" si="4"/>
        <v>761647.544</v>
      </c>
      <c r="O11" s="467">
        <f t="shared" si="5"/>
        <v>689102.176</v>
      </c>
      <c r="P11" s="467">
        <f t="shared" si="6"/>
        <v>21000</v>
      </c>
      <c r="Q11" s="467">
        <f t="shared" si="7"/>
        <v>33000</v>
      </c>
      <c r="R11" s="467">
        <f t="shared" si="8"/>
        <v>13365.3264</v>
      </c>
      <c r="S11" s="467">
        <f t="shared" si="9"/>
        <v>0</v>
      </c>
      <c r="T11" s="467">
        <f t="shared" si="10"/>
        <v>0</v>
      </c>
      <c r="U11" s="467"/>
      <c r="V11" s="467">
        <f t="shared" si="11"/>
        <v>67365.3264</v>
      </c>
      <c r="W11" s="474">
        <v>12</v>
      </c>
      <c r="X11" s="467">
        <f t="shared" si="12"/>
        <v>5613.7772</v>
      </c>
      <c r="Y11" s="467"/>
      <c r="Z11" s="467">
        <f t="shared" si="13"/>
        <v>5613.7772</v>
      </c>
      <c r="AA11" s="479"/>
    </row>
    <row r="12" ht="14" spans="1:27">
      <c r="A12" s="755">
        <v>8</v>
      </c>
      <c r="B12" s="755" t="s">
        <v>423</v>
      </c>
      <c r="C12" s="760">
        <v>99389.4758333325</v>
      </c>
      <c r="D12" s="466">
        <v>12</v>
      </c>
      <c r="E12" s="467">
        <f t="shared" si="0"/>
        <v>1192673.70999999</v>
      </c>
      <c r="F12" s="467"/>
      <c r="G12" s="467">
        <v>339372</v>
      </c>
      <c r="H12" s="467"/>
      <c r="I12" s="467">
        <f t="shared" si="1"/>
        <v>853301.70999999</v>
      </c>
      <c r="J12" s="467">
        <v>200000</v>
      </c>
      <c r="K12" s="467">
        <v>0.2</v>
      </c>
      <c r="L12" s="467">
        <f t="shared" si="2"/>
        <v>170660.341999998</v>
      </c>
      <c r="M12" s="467">
        <f t="shared" si="3"/>
        <v>370660.341999998</v>
      </c>
      <c r="N12" s="467">
        <f t="shared" si="4"/>
        <v>710032.341999998</v>
      </c>
      <c r="O12" s="467">
        <f t="shared" si="5"/>
        <v>482641.367999992</v>
      </c>
      <c r="P12" s="467">
        <f t="shared" si="6"/>
        <v>21000</v>
      </c>
      <c r="Q12" s="467">
        <f t="shared" si="7"/>
        <v>20090.5504799991</v>
      </c>
      <c r="R12" s="467">
        <f t="shared" si="8"/>
        <v>0</v>
      </c>
      <c r="S12" s="467">
        <f t="shared" si="9"/>
        <v>0</v>
      </c>
      <c r="T12" s="467">
        <f t="shared" si="10"/>
        <v>0</v>
      </c>
      <c r="U12" s="467"/>
      <c r="V12" s="467">
        <f t="shared" si="11"/>
        <v>41090.5504799991</v>
      </c>
      <c r="W12" s="474">
        <v>12</v>
      </c>
      <c r="X12" s="467">
        <f t="shared" si="12"/>
        <v>3424.21253999993</v>
      </c>
      <c r="Y12" s="467"/>
      <c r="Z12" s="467">
        <f t="shared" si="13"/>
        <v>3424.21253999993</v>
      </c>
      <c r="AA12" s="479"/>
    </row>
    <row r="13" ht="14" spans="1:27">
      <c r="A13" s="755">
        <v>9</v>
      </c>
      <c r="B13" s="763" t="s">
        <v>425</v>
      </c>
      <c r="C13" s="760">
        <v>481299.333333336</v>
      </c>
      <c r="D13" s="466">
        <v>12</v>
      </c>
      <c r="E13" s="467">
        <f t="shared" si="0"/>
        <v>5775592.00000003</v>
      </c>
      <c r="F13" s="467">
        <f>6922.5*12</f>
        <v>83070</v>
      </c>
      <c r="G13" s="468">
        <v>374638.9632</v>
      </c>
      <c r="H13" s="467"/>
      <c r="I13" s="467">
        <f t="shared" si="1"/>
        <v>5317883.03680003</v>
      </c>
      <c r="J13" s="467">
        <v>200000</v>
      </c>
      <c r="K13" s="467">
        <v>0.2</v>
      </c>
      <c r="L13" s="467">
        <f t="shared" si="2"/>
        <v>1063576.60736001</v>
      </c>
      <c r="M13" s="467">
        <f t="shared" si="3"/>
        <v>1263576.60736001</v>
      </c>
      <c r="N13" s="467">
        <f t="shared" si="4"/>
        <v>1721285.57056001</v>
      </c>
      <c r="O13" s="467">
        <f t="shared" si="5"/>
        <v>4054306.42944003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336000</v>
      </c>
      <c r="U13" s="467">
        <f>24%*(O13-3200000)</f>
        <v>205033.543065606</v>
      </c>
      <c r="V13" s="467">
        <f t="shared" si="11"/>
        <v>765033.543065606</v>
      </c>
      <c r="W13" s="474">
        <v>12</v>
      </c>
      <c r="X13" s="467">
        <f t="shared" si="12"/>
        <v>63752.7952554672</v>
      </c>
      <c r="Y13" s="467"/>
      <c r="Z13" s="467">
        <f t="shared" si="13"/>
        <v>63752.7952554672</v>
      </c>
      <c r="AA13" s="479"/>
    </row>
    <row r="14" ht="14" spans="1:27">
      <c r="A14" s="755">
        <v>10</v>
      </c>
      <c r="B14" s="755" t="s">
        <v>428</v>
      </c>
      <c r="C14" s="760">
        <v>163040.149166668</v>
      </c>
      <c r="D14" s="466">
        <v>12</v>
      </c>
      <c r="E14" s="467">
        <f t="shared" si="0"/>
        <v>1956481.79000002</v>
      </c>
      <c r="F14" s="467"/>
      <c r="G14" s="467">
        <v>374638.9632</v>
      </c>
      <c r="H14" s="467"/>
      <c r="I14" s="467">
        <f t="shared" si="1"/>
        <v>1581842.82680002</v>
      </c>
      <c r="J14" s="467">
        <v>200000</v>
      </c>
      <c r="K14" s="467">
        <v>0.2</v>
      </c>
      <c r="L14" s="467">
        <f t="shared" si="2"/>
        <v>316368.565360003</v>
      </c>
      <c r="M14" s="467">
        <f t="shared" si="3"/>
        <v>516368.565360003</v>
      </c>
      <c r="N14" s="467">
        <f t="shared" si="4"/>
        <v>891007.528560003</v>
      </c>
      <c r="O14" s="467">
        <f t="shared" si="5"/>
        <v>1065474.26144001</v>
      </c>
      <c r="P14" s="467">
        <f t="shared" si="6"/>
        <v>21000</v>
      </c>
      <c r="Q14" s="467">
        <f t="shared" si="7"/>
        <v>33000</v>
      </c>
      <c r="R14" s="467">
        <f t="shared" si="8"/>
        <v>69821.1392160019</v>
      </c>
      <c r="S14" s="467">
        <f t="shared" si="9"/>
        <v>0</v>
      </c>
      <c r="T14" s="467">
        <f t="shared" si="10"/>
        <v>0</v>
      </c>
      <c r="U14" s="467"/>
      <c r="V14" s="467">
        <f t="shared" si="11"/>
        <v>123821.139216002</v>
      </c>
      <c r="W14" s="474">
        <v>12</v>
      </c>
      <c r="X14" s="467">
        <f t="shared" si="12"/>
        <v>10318.4282680002</v>
      </c>
      <c r="Y14" s="467"/>
      <c r="Z14" s="467">
        <f t="shared" si="13"/>
        <v>10318.4282680002</v>
      </c>
      <c r="AA14" s="479"/>
    </row>
    <row r="15" ht="14" spans="1:27">
      <c r="A15" s="755">
        <v>11</v>
      </c>
      <c r="B15" s="755" t="s">
        <v>429</v>
      </c>
      <c r="C15" s="760">
        <v>394860</v>
      </c>
      <c r="D15" s="466">
        <v>12</v>
      </c>
      <c r="E15" s="467">
        <f t="shared" si="0"/>
        <v>4738320</v>
      </c>
      <c r="F15" s="467"/>
      <c r="G15" s="467">
        <v>558833.3568</v>
      </c>
      <c r="H15" s="467"/>
      <c r="I15" s="467">
        <f t="shared" si="1"/>
        <v>4179486.6432</v>
      </c>
      <c r="J15" s="467">
        <v>200000</v>
      </c>
      <c r="K15" s="467">
        <v>0.2</v>
      </c>
      <c r="L15" s="467">
        <f t="shared" si="2"/>
        <v>835897.32864</v>
      </c>
      <c r="M15" s="467">
        <f t="shared" si="3"/>
        <v>1035897.32864</v>
      </c>
      <c r="N15" s="467">
        <f t="shared" si="4"/>
        <v>1594730.68544</v>
      </c>
      <c r="O15" s="467">
        <f t="shared" si="5"/>
        <v>3143589.31456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324153.7560576</v>
      </c>
      <c r="U15" s="467"/>
      <c r="V15" s="467">
        <f t="shared" si="11"/>
        <v>548153.7560576</v>
      </c>
      <c r="W15" s="474">
        <v>12</v>
      </c>
      <c r="X15" s="467">
        <f t="shared" si="12"/>
        <v>45679.4796714667</v>
      </c>
      <c r="Y15" s="467"/>
      <c r="Z15" s="467">
        <f t="shared" si="13"/>
        <v>45679.4796714667</v>
      </c>
      <c r="AA15" s="479"/>
    </row>
    <row r="16" ht="14" spans="1:27">
      <c r="A16" s="755">
        <v>12</v>
      </c>
      <c r="B16" s="755" t="s">
        <v>241</v>
      </c>
      <c r="C16" s="760">
        <v>323232.75</v>
      </c>
      <c r="D16" s="466">
        <v>12</v>
      </c>
      <c r="E16" s="467">
        <f t="shared" si="0"/>
        <v>3878793</v>
      </c>
      <c r="F16" s="467">
        <f>8019.8*12</f>
        <v>96237.6</v>
      </c>
      <c r="G16" s="467">
        <v>558833.3568</v>
      </c>
      <c r="H16" s="467"/>
      <c r="I16" s="467">
        <f t="shared" si="1"/>
        <v>3223722.0432</v>
      </c>
      <c r="J16" s="467">
        <v>200000</v>
      </c>
      <c r="K16" s="467">
        <v>0.2</v>
      </c>
      <c r="L16" s="467">
        <f t="shared" si="2"/>
        <v>644744.40864</v>
      </c>
      <c r="M16" s="467">
        <f t="shared" si="3"/>
        <v>844744.40864</v>
      </c>
      <c r="N16" s="467">
        <f t="shared" si="4"/>
        <v>1499815.36544</v>
      </c>
      <c r="O16" s="467">
        <f t="shared" si="5"/>
        <v>2378977.63456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163585.3032576</v>
      </c>
      <c r="U16" s="467"/>
      <c r="V16" s="467">
        <f t="shared" si="11"/>
        <v>387585.3032576</v>
      </c>
      <c r="W16" s="474">
        <v>12</v>
      </c>
      <c r="X16" s="467">
        <f t="shared" si="12"/>
        <v>32298.7752714667</v>
      </c>
      <c r="Y16" s="467"/>
      <c r="Z16" s="467">
        <f t="shared" si="13"/>
        <v>32298.7752714667</v>
      </c>
      <c r="AA16" s="479"/>
    </row>
    <row r="17" ht="14" spans="1:27">
      <c r="A17" s="755">
        <v>13</v>
      </c>
      <c r="B17" s="755" t="s">
        <v>431</v>
      </c>
      <c r="C17" s="760">
        <v>180487.250000001</v>
      </c>
      <c r="D17" s="466">
        <v>12</v>
      </c>
      <c r="E17" s="467">
        <f t="shared" si="0"/>
        <v>2165847.00000001</v>
      </c>
      <c r="F17" s="467"/>
      <c r="G17" s="467">
        <v>374638.9632</v>
      </c>
      <c r="H17" s="467"/>
      <c r="I17" s="467">
        <f t="shared" si="1"/>
        <v>1791208.03680001</v>
      </c>
      <c r="J17" s="467">
        <v>200000</v>
      </c>
      <c r="K17" s="467">
        <v>0.2</v>
      </c>
      <c r="L17" s="467">
        <f t="shared" si="2"/>
        <v>358241.607360002</v>
      </c>
      <c r="M17" s="467">
        <f t="shared" si="3"/>
        <v>558241.607360002</v>
      </c>
      <c r="N17" s="467">
        <f t="shared" si="4"/>
        <v>932880.570560002</v>
      </c>
      <c r="O17" s="467">
        <f t="shared" si="5"/>
        <v>1232966.42944001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25263.6215936019</v>
      </c>
      <c r="T17" s="467">
        <f t="shared" si="10"/>
        <v>0</v>
      </c>
      <c r="U17" s="467"/>
      <c r="V17" s="467">
        <f t="shared" si="11"/>
        <v>154263.621593602</v>
      </c>
      <c r="W17" s="474">
        <v>12</v>
      </c>
      <c r="X17" s="467">
        <f t="shared" si="12"/>
        <v>12855.3017994668</v>
      </c>
      <c r="Y17" s="467"/>
      <c r="Z17" s="467">
        <f t="shared" si="13"/>
        <v>12855.3017994668</v>
      </c>
      <c r="AA17" s="479"/>
    </row>
    <row r="18" ht="14" spans="1:27">
      <c r="A18" s="755">
        <v>14</v>
      </c>
      <c r="B18" s="755" t="s">
        <v>432</v>
      </c>
      <c r="C18" s="760">
        <v>676611.66666666</v>
      </c>
      <c r="D18" s="466">
        <v>12</v>
      </c>
      <c r="E18" s="467">
        <f t="shared" si="0"/>
        <v>8119339.99999992</v>
      </c>
      <c r="F18" s="467"/>
      <c r="G18" s="467">
        <v>425036.64</v>
      </c>
      <c r="H18" s="467"/>
      <c r="I18" s="467">
        <f t="shared" si="1"/>
        <v>7694303.35999992</v>
      </c>
      <c r="J18" s="467">
        <v>200000</v>
      </c>
      <c r="K18" s="467">
        <v>0.2</v>
      </c>
      <c r="L18" s="467">
        <f t="shared" si="2"/>
        <v>1538860.67199998</v>
      </c>
      <c r="M18" s="467">
        <f t="shared" si="3"/>
        <v>1738860.67199998</v>
      </c>
      <c r="N18" s="467">
        <f t="shared" si="4"/>
        <v>2163897.31199998</v>
      </c>
      <c r="O18" s="467">
        <f t="shared" si="5"/>
        <v>5955442.68799994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336000</v>
      </c>
      <c r="U18" s="467">
        <f>24%*(O18-3200000)</f>
        <v>661306.245119985</v>
      </c>
      <c r="V18" s="467">
        <f t="shared" si="11"/>
        <v>1221306.24511998</v>
      </c>
      <c r="W18" s="474">
        <v>12</v>
      </c>
      <c r="X18" s="467">
        <f t="shared" si="12"/>
        <v>101775.520426665</v>
      </c>
      <c r="Y18" s="467"/>
      <c r="Z18" s="467">
        <f t="shared" si="13"/>
        <v>101775.520426665</v>
      </c>
      <c r="AA18" s="479"/>
    </row>
    <row r="19" ht="14" spans="1:27">
      <c r="A19" s="755">
        <v>15</v>
      </c>
      <c r="B19" s="755" t="s">
        <v>486</v>
      </c>
      <c r="C19" s="760">
        <v>575119.916666661</v>
      </c>
      <c r="D19" s="466">
        <v>12</v>
      </c>
      <c r="E19" s="467">
        <f t="shared" si="0"/>
        <v>6901438.99999993</v>
      </c>
      <c r="F19" s="467"/>
      <c r="G19" s="467">
        <v>425036.64</v>
      </c>
      <c r="H19" s="467"/>
      <c r="I19" s="467">
        <f t="shared" si="1"/>
        <v>6476402.35999993</v>
      </c>
      <c r="J19" s="467">
        <v>200000</v>
      </c>
      <c r="K19" s="467">
        <v>0.2</v>
      </c>
      <c r="L19" s="467">
        <f t="shared" si="2"/>
        <v>1295280.47199999</v>
      </c>
      <c r="M19" s="467">
        <f t="shared" si="3"/>
        <v>1495280.47199999</v>
      </c>
      <c r="N19" s="467">
        <f t="shared" si="4"/>
        <v>1920317.11199999</v>
      </c>
      <c r="O19" s="467">
        <f t="shared" si="5"/>
        <v>4981121.88799995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336000</v>
      </c>
      <c r="U19" s="467">
        <f>24%*(O19-3200000)</f>
        <v>427469.253119987</v>
      </c>
      <c r="V19" s="467">
        <f t="shared" si="11"/>
        <v>987469.253119987</v>
      </c>
      <c r="W19" s="474">
        <v>12</v>
      </c>
      <c r="X19" s="467">
        <f t="shared" si="12"/>
        <v>82289.1044266656</v>
      </c>
      <c r="Y19" s="467"/>
      <c r="Z19" s="467">
        <f t="shared" si="13"/>
        <v>82289.1044266656</v>
      </c>
      <c r="AA19" s="479"/>
    </row>
    <row r="20" ht="14" spans="1:27">
      <c r="A20" s="755">
        <v>16</v>
      </c>
      <c r="B20" s="755" t="s">
        <v>436</v>
      </c>
      <c r="C20" s="760">
        <v>401499</v>
      </c>
      <c r="D20" s="466">
        <v>12</v>
      </c>
      <c r="E20" s="467">
        <f t="shared" si="0"/>
        <v>4817988</v>
      </c>
      <c r="F20" s="467"/>
      <c r="G20" s="467">
        <v>339372</v>
      </c>
      <c r="H20" s="467"/>
      <c r="I20" s="467">
        <f t="shared" si="1"/>
        <v>4478616</v>
      </c>
      <c r="J20" s="467">
        <v>200000</v>
      </c>
      <c r="K20" s="467">
        <v>0.2</v>
      </c>
      <c r="L20" s="467">
        <f t="shared" si="2"/>
        <v>895723.2</v>
      </c>
      <c r="M20" s="467">
        <f t="shared" si="3"/>
        <v>1095723.2</v>
      </c>
      <c r="N20" s="467">
        <f t="shared" si="4"/>
        <v>1435095.2</v>
      </c>
      <c r="O20" s="467">
        <f t="shared" si="5"/>
        <v>3382892.8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336000</v>
      </c>
      <c r="U20" s="467">
        <f>24%*(O20-3200000)</f>
        <v>43894.272</v>
      </c>
      <c r="V20" s="467">
        <f t="shared" si="11"/>
        <v>603894.272</v>
      </c>
      <c r="W20" s="474">
        <v>12</v>
      </c>
      <c r="X20" s="467">
        <f t="shared" si="12"/>
        <v>50324.5226666667</v>
      </c>
      <c r="Y20" s="467"/>
      <c r="Z20" s="467">
        <f t="shared" si="13"/>
        <v>50324.5226666667</v>
      </c>
      <c r="AA20" s="479"/>
    </row>
    <row r="21" ht="14" spans="1:27">
      <c r="A21" s="755">
        <v>17</v>
      </c>
      <c r="B21" s="755" t="s">
        <v>437</v>
      </c>
      <c r="C21" s="760">
        <v>655332</v>
      </c>
      <c r="D21" s="466">
        <v>12</v>
      </c>
      <c r="E21" s="467">
        <f t="shared" si="0"/>
        <v>7863984</v>
      </c>
      <c r="F21" s="467"/>
      <c r="G21" s="467">
        <v>339372</v>
      </c>
      <c r="H21" s="467"/>
      <c r="I21" s="467">
        <f t="shared" si="1"/>
        <v>7524612</v>
      </c>
      <c r="J21" s="467">
        <v>200000</v>
      </c>
      <c r="K21" s="467">
        <v>0.2</v>
      </c>
      <c r="L21" s="467">
        <f t="shared" si="2"/>
        <v>1504922.4</v>
      </c>
      <c r="M21" s="467">
        <f t="shared" si="3"/>
        <v>1704922.4</v>
      </c>
      <c r="N21" s="467">
        <f t="shared" si="4"/>
        <v>2044294.4</v>
      </c>
      <c r="O21" s="467">
        <f t="shared" si="5"/>
        <v>5819689.6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336000</v>
      </c>
      <c r="U21" s="467">
        <f>24%*(O21-3200000)</f>
        <v>628725.504</v>
      </c>
      <c r="V21" s="467">
        <f t="shared" si="11"/>
        <v>1188725.504</v>
      </c>
      <c r="W21" s="474">
        <v>12</v>
      </c>
      <c r="X21" s="467">
        <f t="shared" si="12"/>
        <v>99060.4586666666</v>
      </c>
      <c r="Y21" s="467"/>
      <c r="Z21" s="467">
        <f t="shared" si="13"/>
        <v>99060.4586666666</v>
      </c>
      <c r="AA21" s="479"/>
    </row>
    <row r="22" ht="14" spans="1:27">
      <c r="A22" s="755">
        <v>18</v>
      </c>
      <c r="B22" s="755" t="s">
        <v>487</v>
      </c>
      <c r="C22" s="760">
        <v>176519</v>
      </c>
      <c r="D22" s="466">
        <v>12</v>
      </c>
      <c r="E22" s="467">
        <f t="shared" si="0"/>
        <v>2118228</v>
      </c>
      <c r="F22" s="467"/>
      <c r="G22" s="467">
        <v>245615.04</v>
      </c>
      <c r="H22" s="467"/>
      <c r="I22" s="467">
        <f t="shared" si="1"/>
        <v>1872612.96</v>
      </c>
      <c r="J22" s="467">
        <v>200000</v>
      </c>
      <c r="K22" s="467">
        <v>0.2</v>
      </c>
      <c r="L22" s="467">
        <f t="shared" si="2"/>
        <v>374522.592</v>
      </c>
      <c r="M22" s="467">
        <f t="shared" si="3"/>
        <v>574522.592</v>
      </c>
      <c r="N22" s="467">
        <f t="shared" si="4"/>
        <v>820137.632</v>
      </c>
      <c r="O22" s="467">
        <f t="shared" si="5"/>
        <v>1298090.368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37637.16992</v>
      </c>
      <c r="T22" s="467">
        <f t="shared" si="10"/>
        <v>0</v>
      </c>
      <c r="U22" s="467"/>
      <c r="V22" s="467">
        <f t="shared" si="11"/>
        <v>166637.16992</v>
      </c>
      <c r="W22" s="474">
        <v>12</v>
      </c>
      <c r="X22" s="467">
        <f t="shared" si="12"/>
        <v>13886.4308266667</v>
      </c>
      <c r="Y22" s="467"/>
      <c r="Z22" s="467">
        <f t="shared" si="13"/>
        <v>13886.4308266667</v>
      </c>
      <c r="AA22" s="479"/>
    </row>
    <row r="23" ht="14" spans="1:27">
      <c r="A23" s="755">
        <v>19</v>
      </c>
      <c r="B23" s="755" t="s">
        <v>439</v>
      </c>
      <c r="C23" s="760">
        <v>86887.25</v>
      </c>
      <c r="D23" s="466">
        <v>12</v>
      </c>
      <c r="E23" s="467">
        <f t="shared" si="0"/>
        <v>1042647</v>
      </c>
      <c r="F23" s="467"/>
      <c r="G23" s="467">
        <v>146701.6032</v>
      </c>
      <c r="H23" s="467"/>
      <c r="I23" s="467">
        <f t="shared" si="1"/>
        <v>895945.3968</v>
      </c>
      <c r="J23" s="467">
        <v>200000</v>
      </c>
      <c r="K23" s="467">
        <v>0.2</v>
      </c>
      <c r="L23" s="467">
        <f t="shared" si="2"/>
        <v>179189.07936</v>
      </c>
      <c r="M23" s="467">
        <f t="shared" si="3"/>
        <v>379189.07936</v>
      </c>
      <c r="N23" s="467">
        <f t="shared" si="4"/>
        <v>525890.68256</v>
      </c>
      <c r="O23" s="467">
        <f t="shared" si="5"/>
        <v>516756.31744</v>
      </c>
      <c r="P23" s="467">
        <f t="shared" si="6"/>
        <v>21000</v>
      </c>
      <c r="Q23" s="467">
        <f t="shared" si="7"/>
        <v>23843.1949184</v>
      </c>
      <c r="R23" s="467">
        <f t="shared" si="8"/>
        <v>0</v>
      </c>
      <c r="S23" s="467">
        <f t="shared" si="9"/>
        <v>0</v>
      </c>
      <c r="T23" s="467">
        <f t="shared" si="10"/>
        <v>0</v>
      </c>
      <c r="U23" s="467"/>
      <c r="V23" s="467">
        <f t="shared" si="11"/>
        <v>44843.1949184</v>
      </c>
      <c r="W23" s="474">
        <v>12</v>
      </c>
      <c r="X23" s="467">
        <f t="shared" si="12"/>
        <v>3736.93290986667</v>
      </c>
      <c r="Y23" s="467"/>
      <c r="Z23" s="467">
        <f t="shared" si="13"/>
        <v>3736.93290986667</v>
      </c>
      <c r="AA23" s="479"/>
    </row>
    <row r="24" ht="14" spans="1:27">
      <c r="A24" s="755">
        <v>20</v>
      </c>
      <c r="B24" s="755" t="s">
        <v>204</v>
      </c>
      <c r="C24" s="760">
        <v>180487.250000001</v>
      </c>
      <c r="D24" s="466">
        <v>12</v>
      </c>
      <c r="E24" s="467">
        <f t="shared" si="0"/>
        <v>2165847.00000001</v>
      </c>
      <c r="F24" s="467">
        <f>6922.5*12</f>
        <v>83070</v>
      </c>
      <c r="G24" s="467">
        <v>374638.9632</v>
      </c>
      <c r="H24" s="467"/>
      <c r="I24" s="467">
        <f t="shared" si="1"/>
        <v>1708138.03680001</v>
      </c>
      <c r="J24" s="467">
        <v>200000</v>
      </c>
      <c r="K24" s="467">
        <v>0.2</v>
      </c>
      <c r="L24" s="467">
        <f t="shared" si="2"/>
        <v>341627.607360002</v>
      </c>
      <c r="M24" s="467">
        <f t="shared" si="3"/>
        <v>541627.607360002</v>
      </c>
      <c r="N24" s="467">
        <f t="shared" si="4"/>
        <v>999336.570560002</v>
      </c>
      <c r="O24" s="467">
        <f t="shared" si="5"/>
        <v>1166510.42944001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12636.9815936019</v>
      </c>
      <c r="T24" s="467">
        <f t="shared" si="10"/>
        <v>0</v>
      </c>
      <c r="U24" s="467"/>
      <c r="V24" s="467">
        <f t="shared" si="11"/>
        <v>141636.981593602</v>
      </c>
      <c r="W24" s="474">
        <v>12</v>
      </c>
      <c r="X24" s="467">
        <f t="shared" si="12"/>
        <v>11803.0817994668</v>
      </c>
      <c r="Y24" s="467"/>
      <c r="Z24" s="467">
        <f t="shared" si="13"/>
        <v>11803.0817994668</v>
      </c>
      <c r="AA24" s="479"/>
    </row>
    <row r="25" ht="13" spans="6:26">
      <c r="F25" s="499"/>
      <c r="Z25" s="617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opLeftCell="J1" workbookViewId="0">
      <selection activeCell="K13" sqref="K13"/>
    </sheetView>
  </sheetViews>
  <sheetFormatPr defaultColWidth="8.70909090909091" defaultRowHeight="12.5"/>
  <cols>
    <col min="1" max="1" width="4.85454545454545" customWidth="1"/>
    <col min="2" max="2" width="23.8545454545455" customWidth="1"/>
    <col min="3" max="3" width="27" customWidth="1"/>
    <col min="5" max="5" width="17.1363636363636"/>
    <col min="6" max="6" width="12.8545454545455"/>
    <col min="7" max="7" width="15.1363636363636"/>
    <col min="8" max="8" width="13.5727272727273"/>
    <col min="9" max="9" width="12.8545454545455"/>
    <col min="10" max="10" width="17.1363636363636"/>
    <col min="12" max="13" width="15.1363636363636"/>
    <col min="14" max="14" width="12.1363636363636"/>
    <col min="15" max="16" width="15.1363636363636"/>
    <col min="17" max="17" width="17.1363636363636"/>
    <col min="18" max="18" width="18.5727272727273"/>
    <col min="19" max="19" width="17.1363636363636"/>
  </cols>
  <sheetData>
    <row r="1" ht="20" spans="1:19">
      <c r="A1" s="609" t="s">
        <v>0</v>
      </c>
      <c r="B1" s="609"/>
      <c r="C1" s="609"/>
      <c r="D1" s="609"/>
      <c r="E1" s="609"/>
      <c r="F1" s="609"/>
      <c r="G1" s="217"/>
      <c r="H1" s="217"/>
      <c r="I1" s="217"/>
      <c r="J1" s="1"/>
      <c r="K1" s="1"/>
      <c r="L1" s="1"/>
      <c r="M1" s="1"/>
      <c r="N1" s="1"/>
      <c r="O1" s="1"/>
      <c r="P1" s="1"/>
      <c r="Q1" s="1"/>
      <c r="R1" s="1"/>
      <c r="S1" s="1"/>
    </row>
    <row r="2" ht="20.5" spans="1:19">
      <c r="A2" s="609" t="s">
        <v>488</v>
      </c>
      <c r="B2" s="768"/>
      <c r="C2" s="609"/>
      <c r="D2" s="609"/>
      <c r="E2" s="370"/>
      <c r="F2" s="370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18" spans="1:19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1"/>
      <c r="K3" s="1"/>
      <c r="L3" s="1"/>
      <c r="M3" s="1"/>
      <c r="N3" s="1"/>
      <c r="O3" s="1"/>
      <c r="P3" s="1"/>
      <c r="Q3" s="1"/>
      <c r="R3" s="1"/>
      <c r="S3" s="1"/>
    </row>
    <row r="4" ht="34.5" spans="1:19">
      <c r="A4" s="730"/>
      <c r="B4" s="731" t="s">
        <v>2</v>
      </c>
      <c r="C4" s="732" t="s">
        <v>3</v>
      </c>
      <c r="D4" s="733" t="s">
        <v>4</v>
      </c>
      <c r="E4" s="734" t="s">
        <v>5</v>
      </c>
      <c r="F4" s="734" t="s">
        <v>6</v>
      </c>
      <c r="G4" s="734" t="s">
        <v>7</v>
      </c>
      <c r="H4" s="734" t="s">
        <v>7</v>
      </c>
      <c r="I4" s="734" t="s">
        <v>8</v>
      </c>
      <c r="J4" s="742" t="s">
        <v>9</v>
      </c>
      <c r="K4" s="734" t="s">
        <v>10</v>
      </c>
      <c r="L4" s="734" t="s">
        <v>11</v>
      </c>
      <c r="M4" s="734" t="s">
        <v>12</v>
      </c>
      <c r="N4" s="734" t="s">
        <v>13</v>
      </c>
      <c r="O4" s="743" t="s">
        <v>14</v>
      </c>
      <c r="P4" s="734" t="s">
        <v>15</v>
      </c>
      <c r="Q4" s="745" t="s">
        <v>16</v>
      </c>
      <c r="R4" s="746" t="s">
        <v>489</v>
      </c>
      <c r="S4" s="747" t="s">
        <v>490</v>
      </c>
    </row>
    <row r="5" spans="1:19">
      <c r="A5" s="727"/>
      <c r="B5" s="727"/>
      <c r="C5" s="769"/>
      <c r="D5" s="769"/>
      <c r="E5" s="770" t="s">
        <v>19</v>
      </c>
      <c r="F5" s="770" t="s">
        <v>19</v>
      </c>
      <c r="G5" s="770" t="s">
        <v>19</v>
      </c>
      <c r="H5" s="770" t="s">
        <v>19</v>
      </c>
      <c r="I5" s="770" t="s">
        <v>19</v>
      </c>
      <c r="J5" s="778" t="s">
        <v>19</v>
      </c>
      <c r="K5" s="770" t="s">
        <v>19</v>
      </c>
      <c r="L5" s="770" t="s">
        <v>19</v>
      </c>
      <c r="M5" s="770" t="s">
        <v>19</v>
      </c>
      <c r="N5" s="770" t="s">
        <v>19</v>
      </c>
      <c r="O5" s="770" t="s">
        <v>19</v>
      </c>
      <c r="P5" s="770" t="s">
        <v>19</v>
      </c>
      <c r="Q5" s="779" t="s">
        <v>19</v>
      </c>
      <c r="R5" s="770" t="s">
        <v>19</v>
      </c>
      <c r="S5" s="778" t="s">
        <v>19</v>
      </c>
    </row>
    <row r="6" spans="1:19">
      <c r="A6" s="771" t="s">
        <v>20</v>
      </c>
      <c r="B6" s="769" t="s">
        <v>21</v>
      </c>
      <c r="C6" s="769"/>
      <c r="D6" s="769"/>
      <c r="E6" s="770"/>
      <c r="F6" s="772"/>
      <c r="G6" s="770"/>
      <c r="H6" s="770"/>
      <c r="I6" s="770"/>
      <c r="J6" s="778"/>
      <c r="K6" s="770"/>
      <c r="L6" s="770"/>
      <c r="M6" s="770"/>
      <c r="N6" s="770"/>
      <c r="O6" s="770"/>
      <c r="P6" s="770"/>
      <c r="Q6" s="779"/>
      <c r="R6" s="770"/>
      <c r="S6" s="778"/>
    </row>
    <row r="7" s="767" customFormat="1" ht="27" customHeight="1" spans="1:20">
      <c r="A7" s="737">
        <v>2</v>
      </c>
      <c r="B7" s="773" t="s">
        <v>491</v>
      </c>
      <c r="C7" s="774" t="s">
        <v>44</v>
      </c>
      <c r="D7" s="737" t="s">
        <v>36</v>
      </c>
      <c r="E7" s="739">
        <v>620675.583333333</v>
      </c>
      <c r="F7" s="739"/>
      <c r="G7" s="740">
        <f>160000</f>
        <v>160000</v>
      </c>
      <c r="H7" s="740"/>
      <c r="I7" s="739">
        <v>0</v>
      </c>
      <c r="J7" s="744">
        <f>SUM(E7:I7)</f>
        <v>780675.583333333</v>
      </c>
      <c r="K7" s="739"/>
      <c r="L7" s="739">
        <f>50000</f>
        <v>50000</v>
      </c>
      <c r="M7" s="739">
        <f>385000</f>
        <v>385000</v>
      </c>
      <c r="N7" s="739"/>
      <c r="O7" s="739">
        <v>119022.801706667</v>
      </c>
      <c r="P7" s="739">
        <v>49654.0466666667</v>
      </c>
      <c r="Q7" s="748">
        <f>O7+N7+M7+L7+K7+P7</f>
        <v>603676.848373334</v>
      </c>
      <c r="R7" s="739">
        <v>176998.73496</v>
      </c>
      <c r="S7" s="744">
        <f>J7-Q7</f>
        <v>176998.734959999</v>
      </c>
      <c r="T7" s="749"/>
    </row>
    <row r="8" s="767" customFormat="1" ht="30" customHeight="1" spans="1:20">
      <c r="A8" s="737">
        <v>3</v>
      </c>
      <c r="B8" s="775" t="s">
        <v>486</v>
      </c>
      <c r="C8" s="776" t="s">
        <v>165</v>
      </c>
      <c r="D8" s="777" t="s">
        <v>52</v>
      </c>
      <c r="E8" s="739">
        <v>428915.916666667</v>
      </c>
      <c r="F8" s="739">
        <v>0</v>
      </c>
      <c r="G8" s="740">
        <f>120000</f>
        <v>120000</v>
      </c>
      <c r="H8" s="740"/>
      <c r="I8" s="739">
        <v>0</v>
      </c>
      <c r="J8" s="744">
        <f>SUM(E8:I8)</f>
        <v>548915.916666667</v>
      </c>
      <c r="K8" s="739"/>
      <c r="L8" s="739">
        <f>20000+65000+65000</f>
        <v>150000</v>
      </c>
      <c r="M8" s="739">
        <v>0</v>
      </c>
      <c r="N8" s="739">
        <v>0</v>
      </c>
      <c r="O8" s="739">
        <v>77470.3741866667</v>
      </c>
      <c r="P8" s="739">
        <v>34313.2733333333</v>
      </c>
      <c r="Q8" s="748">
        <f>O8+N8+M8+L8+K8+P8</f>
        <v>261783.64752</v>
      </c>
      <c r="R8" s="739">
        <v>287132.269146667</v>
      </c>
      <c r="S8" s="744">
        <f>J8-Q8</f>
        <v>287132.269146667</v>
      </c>
      <c r="T8" s="749"/>
    </row>
    <row r="9" ht="18" spans="1:19">
      <c r="A9" s="10"/>
      <c r="B9" s="20" t="s">
        <v>96</v>
      </c>
      <c r="C9" s="21">
        <v>31</v>
      </c>
      <c r="D9" s="15"/>
      <c r="E9" s="221">
        <f t="shared" ref="E9:Q9" si="0">SUM(E7:E8)</f>
        <v>1049591.5</v>
      </c>
      <c r="F9" s="221">
        <f t="shared" si="0"/>
        <v>0</v>
      </c>
      <c r="G9" s="221">
        <f t="shared" si="0"/>
        <v>280000</v>
      </c>
      <c r="H9" s="221">
        <f t="shared" si="0"/>
        <v>0</v>
      </c>
      <c r="I9" s="221">
        <f t="shared" si="0"/>
        <v>0</v>
      </c>
      <c r="J9" s="221">
        <f t="shared" si="0"/>
        <v>1329591.5</v>
      </c>
      <c r="K9" s="221">
        <f t="shared" si="0"/>
        <v>0</v>
      </c>
      <c r="L9" s="221">
        <f t="shared" si="0"/>
        <v>200000</v>
      </c>
      <c r="M9" s="221">
        <f t="shared" si="0"/>
        <v>385000</v>
      </c>
      <c r="N9" s="221">
        <f t="shared" si="0"/>
        <v>0</v>
      </c>
      <c r="O9" s="221">
        <f t="shared" si="0"/>
        <v>196493.175893334</v>
      </c>
      <c r="P9" s="221">
        <f t="shared" si="0"/>
        <v>83967.32</v>
      </c>
      <c r="Q9" s="221">
        <f t="shared" si="0"/>
        <v>865460.495893334</v>
      </c>
      <c r="R9" s="221">
        <v>13026183.0787367</v>
      </c>
      <c r="S9" s="221">
        <f>SUM(S7:S8)</f>
        <v>464131.004106666</v>
      </c>
    </row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K13" sqref="K13"/>
    </sheetView>
  </sheetViews>
  <sheetFormatPr defaultColWidth="8.70909090909091" defaultRowHeight="12.5" outlineLevelRow="1"/>
  <cols>
    <col min="1" max="1" width="5.70909090909091" customWidth="1"/>
    <col min="2" max="2" width="29.8545454545455" customWidth="1"/>
    <col min="3" max="3" width="18.2818181818182" customWidth="1"/>
    <col min="4" max="4" width="10.4272727272727" customWidth="1"/>
    <col min="5" max="5" width="8.85454545454546" customWidth="1"/>
    <col min="6" max="6" width="11.5727272727273" customWidth="1"/>
    <col min="7" max="7" width="13.5727272727273" customWidth="1"/>
    <col min="8" max="8" width="9.70909090909091" customWidth="1"/>
    <col min="9" max="9" width="6.57272727272727" customWidth="1"/>
    <col min="10" max="10" width="13" customWidth="1"/>
    <col min="12" max="12" width="12.8545454545455"/>
  </cols>
  <sheetData>
    <row r="1" ht="20" spans="1:10">
      <c r="A1" s="750"/>
      <c r="B1" s="750"/>
      <c r="C1" s="750"/>
      <c r="D1" s="750"/>
      <c r="E1" s="750"/>
      <c r="F1" s="750"/>
      <c r="G1" s="750"/>
      <c r="H1" s="750"/>
      <c r="I1" s="750"/>
      <c r="J1" s="750"/>
    </row>
    <row r="2" ht="20" spans="1:10">
      <c r="A2" s="750"/>
      <c r="B2" s="750"/>
      <c r="C2" s="750"/>
      <c r="D2" s="750"/>
      <c r="E2" s="750"/>
      <c r="F2" s="750"/>
      <c r="G2" s="750"/>
      <c r="H2" s="750"/>
      <c r="I2" s="750"/>
      <c r="J2" s="750"/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J4" sqref="J4"/>
    </sheetView>
  </sheetViews>
  <sheetFormatPr defaultColWidth="8.70909090909091" defaultRowHeight="12.5" outlineLevelCol="7"/>
  <cols>
    <col min="1" max="1" width="4.42727272727273" customWidth="1"/>
    <col min="2" max="2" width="28.5727272727273" customWidth="1"/>
    <col min="3" max="3" width="16.4272727272727" customWidth="1"/>
    <col min="4" max="4" width="8.85454545454546" customWidth="1"/>
    <col min="5" max="5" width="13.5727272727273" customWidth="1"/>
    <col min="6" max="6" width="13" customWidth="1"/>
    <col min="7" max="7" width="11.1363636363636" customWidth="1"/>
    <col min="8" max="8" width="10.1363636363636" customWidth="1"/>
    <col min="9" max="9" width="12.8545454545455"/>
  </cols>
  <sheetData>
    <row r="1" ht="20" spans="1:7">
      <c r="A1" s="750" t="s">
        <v>391</v>
      </c>
      <c r="B1" s="750"/>
      <c r="C1" s="750"/>
      <c r="D1" s="750"/>
      <c r="E1" s="750"/>
      <c r="F1" s="750"/>
      <c r="G1" s="750"/>
    </row>
    <row r="2" ht="20" spans="1:7">
      <c r="A2" s="750" t="s">
        <v>392</v>
      </c>
      <c r="B2" s="750"/>
      <c r="C2" s="750"/>
      <c r="D2" s="750"/>
      <c r="E2" s="750"/>
      <c r="F2" s="750"/>
      <c r="G2" s="750"/>
    </row>
    <row r="3" ht="14" spans="1:7">
      <c r="A3" s="751"/>
      <c r="B3" s="751"/>
      <c r="C3" s="751"/>
      <c r="D3" s="751"/>
      <c r="E3" s="751"/>
      <c r="F3" s="751"/>
      <c r="G3" s="751"/>
    </row>
    <row r="4" ht="90.95" customHeight="1" spans="1:8">
      <c r="A4" s="752" t="s">
        <v>393</v>
      </c>
      <c r="B4" s="752" t="s">
        <v>394</v>
      </c>
      <c r="C4" s="752" t="s">
        <v>395</v>
      </c>
      <c r="D4" s="752" t="s">
        <v>397</v>
      </c>
      <c r="E4" s="752" t="s">
        <v>492</v>
      </c>
      <c r="F4" s="752" t="s">
        <v>493</v>
      </c>
      <c r="G4" s="753" t="s">
        <v>494</v>
      </c>
      <c r="H4" s="753" t="s">
        <v>495</v>
      </c>
    </row>
    <row r="5" ht="14" spans="1:8">
      <c r="A5" s="752"/>
      <c r="B5" s="752"/>
      <c r="C5" s="752"/>
      <c r="D5" s="752"/>
      <c r="E5" s="752"/>
      <c r="F5" s="754" t="s">
        <v>19</v>
      </c>
      <c r="G5" s="754" t="s">
        <v>19</v>
      </c>
      <c r="H5" s="754" t="s">
        <v>19</v>
      </c>
    </row>
    <row r="6" ht="35.1" customHeight="1" spans="1:8">
      <c r="A6" s="755">
        <v>1</v>
      </c>
      <c r="B6" s="756" t="s">
        <v>403</v>
      </c>
      <c r="C6" s="757" t="s">
        <v>404</v>
      </c>
      <c r="D6" s="832" t="s">
        <v>406</v>
      </c>
      <c r="E6" s="759">
        <f>F6*12</f>
        <v>6985416.96</v>
      </c>
      <c r="F6" s="760">
        <f>582118.08</f>
        <v>582118.08</v>
      </c>
      <c r="G6" s="761">
        <f>F6*0.08</f>
        <v>46569.4464</v>
      </c>
      <c r="H6" s="762">
        <f>G6*12</f>
        <v>558833.3568</v>
      </c>
    </row>
    <row r="7" ht="35.1" customHeight="1" spans="1:8">
      <c r="A7" s="755">
        <v>2</v>
      </c>
      <c r="B7" s="755" t="s">
        <v>407</v>
      </c>
      <c r="C7" s="763" t="s">
        <v>404</v>
      </c>
      <c r="D7" s="832" t="s">
        <v>409</v>
      </c>
      <c r="E7" s="759">
        <f t="shared" ref="E7:E25" si="0">F7*12</f>
        <v>6985416.96</v>
      </c>
      <c r="F7" s="760">
        <f>582118.08</f>
        <v>582118.08</v>
      </c>
      <c r="G7" s="761">
        <f t="shared" ref="G7:G25" si="1">F7*0.08</f>
        <v>46569.4464</v>
      </c>
      <c r="H7" s="762">
        <f t="shared" ref="H7:H25" si="2">G7*12</f>
        <v>558833.3568</v>
      </c>
    </row>
    <row r="8" ht="35.1" customHeight="1" spans="1:8">
      <c r="A8" s="755">
        <v>3</v>
      </c>
      <c r="B8" s="755" t="s">
        <v>410</v>
      </c>
      <c r="C8" s="763" t="s">
        <v>404</v>
      </c>
      <c r="D8" s="832" t="s">
        <v>409</v>
      </c>
      <c r="E8" s="759">
        <f t="shared" si="0"/>
        <v>6985416.96</v>
      </c>
      <c r="F8" s="760">
        <f>582118.08</f>
        <v>582118.08</v>
      </c>
      <c r="G8" s="761">
        <f t="shared" si="1"/>
        <v>46569.4464</v>
      </c>
      <c r="H8" s="762">
        <f t="shared" si="2"/>
        <v>558833.3568</v>
      </c>
    </row>
    <row r="9" ht="35.1" customHeight="1" spans="1:8">
      <c r="A9" s="755">
        <v>4</v>
      </c>
      <c r="B9" s="755" t="s">
        <v>412</v>
      </c>
      <c r="C9" s="763" t="s">
        <v>404</v>
      </c>
      <c r="D9" s="832" t="s">
        <v>409</v>
      </c>
      <c r="E9" s="759">
        <f t="shared" si="0"/>
        <v>6985416.96</v>
      </c>
      <c r="F9" s="760">
        <f>582118.08</f>
        <v>582118.08</v>
      </c>
      <c r="G9" s="761">
        <f t="shared" si="1"/>
        <v>46569.4464</v>
      </c>
      <c r="H9" s="762">
        <f t="shared" si="2"/>
        <v>558833.3568</v>
      </c>
    </row>
    <row r="10" ht="35.1" customHeight="1" spans="1:8">
      <c r="A10" s="755">
        <v>5</v>
      </c>
      <c r="B10" s="755" t="s">
        <v>414</v>
      </c>
      <c r="C10" s="763" t="s">
        <v>413</v>
      </c>
      <c r="D10" s="832" t="s">
        <v>416</v>
      </c>
      <c r="E10" s="759">
        <f t="shared" si="0"/>
        <v>1833770.04</v>
      </c>
      <c r="F10" s="764">
        <f>152814.17</f>
        <v>152814.17</v>
      </c>
      <c r="G10" s="761">
        <f t="shared" si="1"/>
        <v>12225.1336</v>
      </c>
      <c r="H10" s="762">
        <f t="shared" si="2"/>
        <v>146701.6032</v>
      </c>
    </row>
    <row r="11" ht="35.1" customHeight="1" spans="1:8">
      <c r="A11" s="755">
        <v>6</v>
      </c>
      <c r="B11" s="755" t="s">
        <v>274</v>
      </c>
      <c r="C11" s="763" t="s">
        <v>413</v>
      </c>
      <c r="D11" s="832" t="s">
        <v>419</v>
      </c>
      <c r="E11" s="759">
        <f t="shared" si="0"/>
        <v>3070188</v>
      </c>
      <c r="F11" s="764">
        <f>255849</f>
        <v>255849</v>
      </c>
      <c r="G11" s="761">
        <f t="shared" si="1"/>
        <v>20467.92</v>
      </c>
      <c r="H11" s="762">
        <f t="shared" si="2"/>
        <v>245615.04</v>
      </c>
    </row>
    <row r="12" ht="35.1" customHeight="1" spans="1:8">
      <c r="A12" s="755">
        <v>7</v>
      </c>
      <c r="B12" s="755" t="s">
        <v>420</v>
      </c>
      <c r="C12" s="763" t="s">
        <v>413</v>
      </c>
      <c r="D12" s="832" t="s">
        <v>422</v>
      </c>
      <c r="E12" s="759">
        <f t="shared" si="0"/>
        <v>4242150</v>
      </c>
      <c r="F12" s="760">
        <f>353512.5</f>
        <v>353512.5</v>
      </c>
      <c r="G12" s="761">
        <f t="shared" si="1"/>
        <v>28281</v>
      </c>
      <c r="H12" s="762">
        <f t="shared" si="2"/>
        <v>339372</v>
      </c>
    </row>
    <row r="13" ht="35.1" customHeight="1" spans="1:8">
      <c r="A13" s="755">
        <v>8</v>
      </c>
      <c r="B13" s="755" t="s">
        <v>423</v>
      </c>
      <c r="C13" s="763" t="s">
        <v>413</v>
      </c>
      <c r="D13" s="832" t="s">
        <v>422</v>
      </c>
      <c r="E13" s="759">
        <f t="shared" si="0"/>
        <v>4242150</v>
      </c>
      <c r="F13" s="760">
        <f>353512.5</f>
        <v>353512.5</v>
      </c>
      <c r="G13" s="761">
        <f t="shared" si="1"/>
        <v>28281</v>
      </c>
      <c r="H13" s="762">
        <f t="shared" si="2"/>
        <v>339372</v>
      </c>
    </row>
    <row r="14" ht="35.1" customHeight="1" spans="1:8">
      <c r="A14" s="755">
        <v>9</v>
      </c>
      <c r="B14" s="763" t="s">
        <v>425</v>
      </c>
      <c r="C14" s="763" t="s">
        <v>413</v>
      </c>
      <c r="D14" s="832" t="s">
        <v>427</v>
      </c>
      <c r="E14" s="759">
        <f t="shared" si="0"/>
        <v>4682987.04</v>
      </c>
      <c r="F14" s="760">
        <f>390248.92</f>
        <v>390248.92</v>
      </c>
      <c r="G14" s="761">
        <f t="shared" si="1"/>
        <v>31219.9136</v>
      </c>
      <c r="H14" s="762">
        <f t="shared" si="2"/>
        <v>374638.9632</v>
      </c>
    </row>
    <row r="15" ht="35.1" customHeight="1" spans="1:8">
      <c r="A15" s="755">
        <v>10</v>
      </c>
      <c r="B15" s="755" t="s">
        <v>428</v>
      </c>
      <c r="C15" s="763" t="s">
        <v>413</v>
      </c>
      <c r="D15" s="832" t="s">
        <v>427</v>
      </c>
      <c r="E15" s="759">
        <f t="shared" si="0"/>
        <v>4682987.04</v>
      </c>
      <c r="F15" s="760">
        <f>390248.92</f>
        <v>390248.92</v>
      </c>
      <c r="G15" s="761">
        <f t="shared" si="1"/>
        <v>31219.9136</v>
      </c>
      <c r="H15" s="762">
        <f t="shared" si="2"/>
        <v>374638.9632</v>
      </c>
    </row>
    <row r="16" ht="35.1" customHeight="1" spans="1:8">
      <c r="A16" s="755">
        <v>11</v>
      </c>
      <c r="B16" s="755" t="s">
        <v>429</v>
      </c>
      <c r="C16" s="763" t="s">
        <v>430</v>
      </c>
      <c r="D16" s="832" t="s">
        <v>409</v>
      </c>
      <c r="E16" s="759">
        <f t="shared" si="0"/>
        <v>6985416.96</v>
      </c>
      <c r="F16" s="760">
        <v>582118.08</v>
      </c>
      <c r="G16" s="761">
        <f t="shared" si="1"/>
        <v>46569.4464</v>
      </c>
      <c r="H16" s="762">
        <f t="shared" si="2"/>
        <v>558833.3568</v>
      </c>
    </row>
    <row r="17" ht="35.1" customHeight="1" spans="1:8">
      <c r="A17" s="755">
        <v>12</v>
      </c>
      <c r="B17" s="755" t="s">
        <v>241</v>
      </c>
      <c r="C17" s="763" t="s">
        <v>430</v>
      </c>
      <c r="D17" s="832" t="s">
        <v>409</v>
      </c>
      <c r="E17" s="759">
        <f t="shared" si="0"/>
        <v>6985416.96</v>
      </c>
      <c r="F17" s="760">
        <v>582118.08</v>
      </c>
      <c r="G17" s="761">
        <f t="shared" si="1"/>
        <v>46569.4464</v>
      </c>
      <c r="H17" s="762">
        <f t="shared" si="2"/>
        <v>558833.3568</v>
      </c>
    </row>
    <row r="18" ht="35.1" customHeight="1" spans="1:8">
      <c r="A18" s="755">
        <v>13</v>
      </c>
      <c r="B18" s="755" t="s">
        <v>431</v>
      </c>
      <c r="C18" s="763" t="s">
        <v>430</v>
      </c>
      <c r="D18" s="832" t="s">
        <v>427</v>
      </c>
      <c r="E18" s="759">
        <f t="shared" si="0"/>
        <v>4682987.04</v>
      </c>
      <c r="F18" s="760">
        <v>390248.92</v>
      </c>
      <c r="G18" s="761">
        <f t="shared" si="1"/>
        <v>31219.9136</v>
      </c>
      <c r="H18" s="762">
        <f t="shared" si="2"/>
        <v>374638.9632</v>
      </c>
    </row>
    <row r="19" ht="35.1" customHeight="1" spans="1:8">
      <c r="A19" s="755">
        <v>14</v>
      </c>
      <c r="B19" s="755" t="s">
        <v>432</v>
      </c>
      <c r="C19" s="763" t="s">
        <v>433</v>
      </c>
      <c r="D19" s="832" t="s">
        <v>435</v>
      </c>
      <c r="E19" s="759">
        <f t="shared" si="0"/>
        <v>5312958</v>
      </c>
      <c r="F19" s="760">
        <f>442746.5</f>
        <v>442746.5</v>
      </c>
      <c r="G19" s="761">
        <f t="shared" si="1"/>
        <v>35419.72</v>
      </c>
      <c r="H19" s="762">
        <f t="shared" si="2"/>
        <v>425036.64</v>
      </c>
    </row>
    <row r="20" ht="35.1" customHeight="1" spans="1:8">
      <c r="A20" s="755">
        <v>15</v>
      </c>
      <c r="B20" s="755" t="s">
        <v>486</v>
      </c>
      <c r="C20" s="763" t="s">
        <v>433</v>
      </c>
      <c r="D20" s="832" t="s">
        <v>435</v>
      </c>
      <c r="E20" s="759">
        <f t="shared" si="0"/>
        <v>5312958</v>
      </c>
      <c r="F20" s="760">
        <f>442746.5</f>
        <v>442746.5</v>
      </c>
      <c r="G20" s="761">
        <f t="shared" si="1"/>
        <v>35419.72</v>
      </c>
      <c r="H20" s="762">
        <f t="shared" si="2"/>
        <v>425036.64</v>
      </c>
    </row>
    <row r="21" ht="35.1" customHeight="1" spans="1:8">
      <c r="A21" s="755">
        <v>16</v>
      </c>
      <c r="B21" s="755" t="s">
        <v>436</v>
      </c>
      <c r="C21" s="763" t="s">
        <v>433</v>
      </c>
      <c r="D21" s="832" t="s">
        <v>422</v>
      </c>
      <c r="E21" s="759">
        <f t="shared" si="0"/>
        <v>4242150</v>
      </c>
      <c r="F21" s="760">
        <v>353512.5</v>
      </c>
      <c r="G21" s="761">
        <f t="shared" si="1"/>
        <v>28281</v>
      </c>
      <c r="H21" s="762">
        <f t="shared" si="2"/>
        <v>339372</v>
      </c>
    </row>
    <row r="22" ht="35.1" customHeight="1" spans="1:8">
      <c r="A22" s="755">
        <v>17</v>
      </c>
      <c r="B22" s="755" t="s">
        <v>437</v>
      </c>
      <c r="C22" s="763" t="s">
        <v>438</v>
      </c>
      <c r="D22" s="832" t="s">
        <v>422</v>
      </c>
      <c r="E22" s="759">
        <f t="shared" si="0"/>
        <v>4242150</v>
      </c>
      <c r="F22" s="760">
        <v>353512.5</v>
      </c>
      <c r="G22" s="761">
        <f t="shared" si="1"/>
        <v>28281</v>
      </c>
      <c r="H22" s="762">
        <f t="shared" si="2"/>
        <v>339372</v>
      </c>
    </row>
    <row r="23" ht="35.1" customHeight="1" spans="1:8">
      <c r="A23" s="755">
        <v>18</v>
      </c>
      <c r="B23" s="755" t="s">
        <v>487</v>
      </c>
      <c r="C23" s="763" t="s">
        <v>496</v>
      </c>
      <c r="D23" s="832" t="s">
        <v>419</v>
      </c>
      <c r="E23" s="759">
        <f t="shared" si="0"/>
        <v>3070188</v>
      </c>
      <c r="F23" s="760">
        <v>255849</v>
      </c>
      <c r="G23" s="761">
        <f t="shared" si="1"/>
        <v>20467.92</v>
      </c>
      <c r="H23" s="762">
        <f t="shared" si="2"/>
        <v>245615.04</v>
      </c>
    </row>
    <row r="24" ht="35.1" customHeight="1" spans="1:8">
      <c r="A24" s="755">
        <v>19</v>
      </c>
      <c r="B24" s="755" t="s">
        <v>439</v>
      </c>
      <c r="C24" s="763" t="s">
        <v>440</v>
      </c>
      <c r="D24" s="832" t="s">
        <v>416</v>
      </c>
      <c r="E24" s="759">
        <f t="shared" si="0"/>
        <v>1833770.04</v>
      </c>
      <c r="F24" s="760">
        <v>152814.17</v>
      </c>
      <c r="G24" s="761">
        <f t="shared" si="1"/>
        <v>12225.1336</v>
      </c>
      <c r="H24" s="762">
        <f t="shared" si="2"/>
        <v>146701.6032</v>
      </c>
    </row>
    <row r="25" ht="35.1" customHeight="1" spans="1:8">
      <c r="A25" s="755">
        <v>20</v>
      </c>
      <c r="B25" s="755" t="s">
        <v>204</v>
      </c>
      <c r="C25" s="763" t="s">
        <v>442</v>
      </c>
      <c r="D25" s="832" t="s">
        <v>427</v>
      </c>
      <c r="E25" s="759">
        <f t="shared" si="0"/>
        <v>4682987.04</v>
      </c>
      <c r="F25" s="760">
        <v>390248.92</v>
      </c>
      <c r="G25" s="761">
        <f t="shared" si="1"/>
        <v>31219.9136</v>
      </c>
      <c r="H25" s="762">
        <f t="shared" si="2"/>
        <v>374638.9632</v>
      </c>
    </row>
    <row r="26" ht="35.1" customHeight="1" spans="1:7">
      <c r="A26" s="755"/>
      <c r="B26" s="765" t="s">
        <v>96</v>
      </c>
      <c r="C26" s="763"/>
      <c r="D26" s="763"/>
      <c r="E26" s="763"/>
      <c r="F26" s="766"/>
      <c r="G26" s="766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workbookViewId="0">
      <selection activeCell="F13" sqref="F13"/>
    </sheetView>
  </sheetViews>
  <sheetFormatPr defaultColWidth="8.70909090909091" defaultRowHeight="12.5" outlineLevelRow="6"/>
  <cols>
    <col min="2" max="2" width="13.1363636363636" customWidth="1"/>
    <col min="3" max="4" width="14.4272727272727" customWidth="1"/>
    <col min="5" max="5" width="17.1363636363636"/>
    <col min="8" max="8" width="15.1363636363636"/>
    <col min="10" max="10" width="17.1363636363636"/>
    <col min="12" max="13" width="15.1363636363636"/>
    <col min="14" max="14" width="12.1363636363636"/>
    <col min="15" max="17" width="15.1363636363636"/>
    <col min="18" max="18" width="18.5727272727273"/>
    <col min="19" max="19" width="17.1363636363636"/>
  </cols>
  <sheetData>
    <row r="1" ht="18" spans="1:20">
      <c r="A1" s="725" t="s">
        <v>0</v>
      </c>
      <c r="B1" s="725"/>
      <c r="C1" s="725"/>
      <c r="D1" s="725"/>
      <c r="E1" s="725"/>
      <c r="F1" s="725"/>
      <c r="G1" s="726"/>
      <c r="H1" s="726"/>
      <c r="I1" s="726"/>
      <c r="J1" s="727"/>
      <c r="K1" s="727"/>
      <c r="L1" s="727"/>
      <c r="M1" s="727"/>
      <c r="N1" s="727"/>
      <c r="O1" s="727"/>
      <c r="P1" s="727"/>
      <c r="Q1" s="727"/>
      <c r="R1" s="727"/>
      <c r="S1" s="727"/>
      <c r="T1" s="1"/>
    </row>
    <row r="2" ht="18" spans="1:20">
      <c r="A2" s="725" t="s">
        <v>488</v>
      </c>
      <c r="B2" s="727"/>
      <c r="C2" s="725"/>
      <c r="D2" s="725"/>
      <c r="E2" s="728"/>
      <c r="F2" s="728"/>
      <c r="G2" s="729"/>
      <c r="H2" s="729"/>
      <c r="I2" s="729"/>
      <c r="J2" s="741"/>
      <c r="K2" s="741"/>
      <c r="L2" s="741"/>
      <c r="M2" s="741"/>
      <c r="N2" s="741"/>
      <c r="O2" s="741"/>
      <c r="P2" s="741"/>
      <c r="Q2" s="741"/>
      <c r="R2" s="741"/>
      <c r="S2" s="741"/>
      <c r="T2" s="1"/>
    </row>
    <row r="3" ht="18" spans="1:20">
      <c r="A3" s="727"/>
      <c r="B3" s="727"/>
      <c r="C3" s="727"/>
      <c r="D3" s="727"/>
      <c r="E3" s="726" t="e">
        <f>'[1]FEB 08'!E11/'[1]FEB 08'!M11</f>
        <v>#REF!</v>
      </c>
      <c r="F3" s="726"/>
      <c r="G3" s="726"/>
      <c r="H3" s="726"/>
      <c r="I3" s="726"/>
      <c r="J3" s="727"/>
      <c r="K3" s="727"/>
      <c r="L3" s="727"/>
      <c r="M3" s="727"/>
      <c r="N3" s="727"/>
      <c r="O3" s="727"/>
      <c r="P3" s="727"/>
      <c r="Q3" s="727"/>
      <c r="R3" s="727"/>
      <c r="S3" s="727"/>
      <c r="T3" s="1"/>
    </row>
    <row r="4" ht="34.5" spans="1:20">
      <c r="A4" s="730"/>
      <c r="B4" s="731" t="s">
        <v>2</v>
      </c>
      <c r="C4" s="732" t="s">
        <v>3</v>
      </c>
      <c r="D4" s="733" t="s">
        <v>4</v>
      </c>
      <c r="E4" s="734" t="s">
        <v>5</v>
      </c>
      <c r="F4" s="734" t="s">
        <v>6</v>
      </c>
      <c r="G4" s="734" t="s">
        <v>7</v>
      </c>
      <c r="H4" s="734" t="s">
        <v>7</v>
      </c>
      <c r="I4" s="734" t="s">
        <v>8</v>
      </c>
      <c r="J4" s="742" t="s">
        <v>9</v>
      </c>
      <c r="K4" s="734" t="s">
        <v>10</v>
      </c>
      <c r="L4" s="734" t="s">
        <v>11</v>
      </c>
      <c r="M4" s="734" t="s">
        <v>12</v>
      </c>
      <c r="N4" s="734" t="s">
        <v>13</v>
      </c>
      <c r="O4" s="743" t="s">
        <v>14</v>
      </c>
      <c r="P4" s="734" t="s">
        <v>15</v>
      </c>
      <c r="Q4" s="745" t="s">
        <v>16</v>
      </c>
      <c r="R4" s="746" t="s">
        <v>489</v>
      </c>
      <c r="S4" s="747" t="s">
        <v>490</v>
      </c>
      <c r="T4" s="1"/>
    </row>
    <row r="5" ht="18" spans="1:20">
      <c r="A5" s="1"/>
      <c r="B5" s="1"/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507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508" t="s">
        <v>19</v>
      </c>
      <c r="R5" s="82" t="s">
        <v>19</v>
      </c>
      <c r="S5" s="507" t="s">
        <v>19</v>
      </c>
      <c r="T5" s="1"/>
    </row>
    <row r="6" ht="18" spans="1:20">
      <c r="A6" s="735" t="s">
        <v>20</v>
      </c>
      <c r="B6" s="736" t="s">
        <v>21</v>
      </c>
      <c r="C6" s="736"/>
      <c r="D6" s="8"/>
      <c r="E6" s="82"/>
      <c r="F6" s="21"/>
      <c r="G6" s="82"/>
      <c r="H6" s="82"/>
      <c r="I6" s="82"/>
      <c r="J6" s="507"/>
      <c r="K6" s="82"/>
      <c r="L6" s="82"/>
      <c r="M6" s="82"/>
      <c r="N6" s="82"/>
      <c r="O6" s="82"/>
      <c r="P6" s="82"/>
      <c r="Q6" s="508"/>
      <c r="R6" s="82"/>
      <c r="S6" s="507"/>
      <c r="T6" s="1"/>
    </row>
    <row r="7" ht="26" spans="1:20">
      <c r="A7" s="737">
        <v>25</v>
      </c>
      <c r="B7" s="738" t="s">
        <v>497</v>
      </c>
      <c r="C7" s="281" t="s">
        <v>498</v>
      </c>
      <c r="D7" s="737" t="s">
        <v>83</v>
      </c>
      <c r="E7" s="739">
        <v>255849</v>
      </c>
      <c r="F7" s="739"/>
      <c r="G7" s="740"/>
      <c r="H7" s="740">
        <f>60000</f>
        <v>60000</v>
      </c>
      <c r="I7" s="739"/>
      <c r="J7" s="744">
        <f>E7+F7+G7+H7+I7</f>
        <v>315849</v>
      </c>
      <c r="K7" s="739"/>
      <c r="L7" s="739"/>
      <c r="M7" s="739"/>
      <c r="N7" s="739"/>
      <c r="O7" s="739">
        <v>36790.6881066667</v>
      </c>
      <c r="P7" s="739">
        <v>20467.92</v>
      </c>
      <c r="Q7" s="748">
        <f>O7+N7+M7+L7+K7+P7</f>
        <v>57258.6081066667</v>
      </c>
      <c r="R7" s="739"/>
      <c r="S7" s="744">
        <f>J7-Q7</f>
        <v>258590.391893333</v>
      </c>
      <c r="T7" s="749"/>
    </row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7"/>
  <sheetViews>
    <sheetView zoomScale="90" zoomScaleNormal="90" zoomScaleSheetLayoutView="50" workbookViewId="0">
      <pane xSplit="3" ySplit="7" topLeftCell="D204" activePane="bottomRight" state="frozen"/>
      <selection/>
      <selection pane="topRight"/>
      <selection pane="bottomLeft"/>
      <selection pane="bottomRight" activeCell="J206" sqref="J206"/>
    </sheetView>
  </sheetViews>
  <sheetFormatPr defaultColWidth="9.13636363636364" defaultRowHeight="20.1" customHeight="1" outlineLevelCol="4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9.2818181818182" style="1" customWidth="1"/>
    <col min="6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499</v>
      </c>
      <c r="B2" s="257"/>
      <c r="C2" s="236"/>
      <c r="D2" s="236"/>
      <c r="E2" s="78"/>
    </row>
    <row r="3" ht="9.75" customHeight="1"/>
    <row r="4" ht="49.5" customHeight="1" spans="1:5">
      <c r="A4" s="520"/>
      <c r="B4" s="722" t="s">
        <v>2</v>
      </c>
      <c r="C4" s="723" t="s">
        <v>3</v>
      </c>
      <c r="D4" s="724" t="s">
        <v>4</v>
      </c>
      <c r="E4" s="697" t="s">
        <v>500</v>
      </c>
    </row>
    <row r="5" ht="17.25" customHeight="1" spans="3:5">
      <c r="C5" s="8"/>
      <c r="D5" s="8"/>
      <c r="E5" s="699" t="s">
        <v>19</v>
      </c>
    </row>
    <row r="6" customHeight="1" spans="1:5">
      <c r="A6" s="9" t="s">
        <v>20</v>
      </c>
      <c r="B6" s="8" t="s">
        <v>21</v>
      </c>
      <c r="C6" s="8"/>
      <c r="D6" s="8"/>
      <c r="E6" s="699"/>
    </row>
    <row r="7" customHeight="1" spans="1:5">
      <c r="A7" s="10">
        <v>1</v>
      </c>
      <c r="B7" s="11" t="s">
        <v>22</v>
      </c>
      <c r="C7" s="12" t="s">
        <v>23</v>
      </c>
      <c r="D7" s="12" t="s">
        <v>24</v>
      </c>
      <c r="E7" s="702">
        <v>540000</v>
      </c>
    </row>
    <row r="8" customHeight="1" spans="1:5">
      <c r="A8" s="10">
        <v>2</v>
      </c>
      <c r="B8" s="11" t="s">
        <v>25</v>
      </c>
      <c r="C8" s="12" t="s">
        <v>26</v>
      </c>
      <c r="D8" s="10" t="s">
        <v>27</v>
      </c>
      <c r="E8" s="702">
        <v>180000</v>
      </c>
    </row>
    <row r="9" customHeight="1" spans="1:5">
      <c r="A9" s="10">
        <v>3</v>
      </c>
      <c r="B9" s="14" t="s">
        <v>28</v>
      </c>
      <c r="C9" s="4" t="s">
        <v>29</v>
      </c>
      <c r="D9" s="10" t="s">
        <v>27</v>
      </c>
      <c r="E9" s="702">
        <v>180000</v>
      </c>
    </row>
    <row r="10" customHeight="1" spans="1:5">
      <c r="A10" s="10">
        <v>4</v>
      </c>
      <c r="B10" s="11" t="s">
        <v>30</v>
      </c>
      <c r="C10" s="17" t="s">
        <v>31</v>
      </c>
      <c r="D10" s="10" t="s">
        <v>27</v>
      </c>
      <c r="E10" s="702">
        <v>180000</v>
      </c>
    </row>
    <row r="11" customHeight="1" spans="1:5">
      <c r="A11" s="10">
        <v>5</v>
      </c>
      <c r="B11" s="14" t="s">
        <v>32</v>
      </c>
      <c r="C11" s="4" t="s">
        <v>33</v>
      </c>
      <c r="D11" s="10" t="s">
        <v>27</v>
      </c>
      <c r="E11" s="702">
        <v>180000</v>
      </c>
    </row>
    <row r="12" customHeight="1" spans="1:5">
      <c r="A12" s="10">
        <v>6</v>
      </c>
      <c r="B12" s="11" t="s">
        <v>34</v>
      </c>
      <c r="C12" s="12" t="s">
        <v>35</v>
      </c>
      <c r="D12" s="15" t="s">
        <v>36</v>
      </c>
      <c r="E12" s="702">
        <v>126000</v>
      </c>
    </row>
    <row r="13" customHeight="1" spans="1:5">
      <c r="A13" s="10">
        <v>7</v>
      </c>
      <c r="B13" s="11" t="s">
        <v>37</v>
      </c>
      <c r="C13" s="4" t="s">
        <v>38</v>
      </c>
      <c r="D13" s="10" t="s">
        <v>39</v>
      </c>
      <c r="E13" s="702">
        <v>126000</v>
      </c>
    </row>
    <row r="14" customHeight="1" spans="1:5">
      <c r="A14" s="10">
        <v>8</v>
      </c>
      <c r="B14" s="11" t="s">
        <v>40</v>
      </c>
      <c r="C14" s="4" t="s">
        <v>41</v>
      </c>
      <c r="D14" s="15" t="s">
        <v>42</v>
      </c>
      <c r="E14" s="702">
        <v>90000</v>
      </c>
    </row>
    <row r="15" customHeight="1" spans="1:5">
      <c r="A15" s="10">
        <v>9</v>
      </c>
      <c r="B15" s="14" t="s">
        <v>43</v>
      </c>
      <c r="C15" s="17" t="s">
        <v>44</v>
      </c>
      <c r="D15" s="15" t="s">
        <v>39</v>
      </c>
      <c r="E15" s="702">
        <v>126000</v>
      </c>
    </row>
    <row r="16" customHeight="1" spans="1:5">
      <c r="A16" s="10">
        <v>10</v>
      </c>
      <c r="B16" s="11" t="s">
        <v>45</v>
      </c>
      <c r="C16" s="4" t="s">
        <v>46</v>
      </c>
      <c r="D16" s="10" t="s">
        <v>47</v>
      </c>
      <c r="E16" s="702">
        <v>90000</v>
      </c>
    </row>
    <row r="17" customHeight="1" spans="1:5">
      <c r="A17" s="10">
        <v>11</v>
      </c>
      <c r="B17" s="11" t="s">
        <v>48</v>
      </c>
      <c r="C17" s="4" t="s">
        <v>49</v>
      </c>
      <c r="D17" s="10" t="s">
        <v>39</v>
      </c>
      <c r="E17" s="702">
        <v>126000</v>
      </c>
    </row>
    <row r="18" customHeight="1" spans="1:5">
      <c r="A18" s="10">
        <v>12</v>
      </c>
      <c r="B18" s="11" t="s">
        <v>50</v>
      </c>
      <c r="C18" s="12" t="s">
        <v>51</v>
      </c>
      <c r="D18" s="15" t="s">
        <v>52</v>
      </c>
      <c r="E18" s="702">
        <v>90000</v>
      </c>
    </row>
    <row r="19" customHeight="1" spans="1:5">
      <c r="A19" s="10">
        <v>13</v>
      </c>
      <c r="B19" s="18" t="s">
        <v>53</v>
      </c>
      <c r="C19" s="4" t="s">
        <v>54</v>
      </c>
      <c r="D19" s="15" t="s">
        <v>55</v>
      </c>
      <c r="E19" s="702">
        <v>90000</v>
      </c>
    </row>
    <row r="20" customHeight="1" spans="1:5">
      <c r="A20" s="10">
        <v>14</v>
      </c>
      <c r="B20" s="18" t="s">
        <v>56</v>
      </c>
      <c r="C20" s="4" t="s">
        <v>57</v>
      </c>
      <c r="D20" s="15" t="s">
        <v>58</v>
      </c>
      <c r="E20" s="702">
        <v>90000</v>
      </c>
    </row>
    <row r="21" customHeight="1" spans="1:5">
      <c r="A21" s="10">
        <v>15</v>
      </c>
      <c r="B21" s="18" t="s">
        <v>59</v>
      </c>
      <c r="C21" s="4" t="s">
        <v>51</v>
      </c>
      <c r="D21" s="15" t="s">
        <v>58</v>
      </c>
      <c r="E21" s="702">
        <v>90000</v>
      </c>
    </row>
    <row r="22" ht="18.75" customHeight="1" spans="1:5">
      <c r="A22" s="10">
        <v>16</v>
      </c>
      <c r="B22" s="11" t="s">
        <v>60</v>
      </c>
      <c r="C22" s="12" t="s">
        <v>61</v>
      </c>
      <c r="D22" s="15" t="s">
        <v>62</v>
      </c>
      <c r="E22" s="702">
        <v>68000</v>
      </c>
    </row>
    <row r="23" customHeight="1" spans="1:5">
      <c r="A23" s="10">
        <v>17</v>
      </c>
      <c r="B23" s="14" t="s">
        <v>63</v>
      </c>
      <c r="C23" s="17" t="s">
        <v>64</v>
      </c>
      <c r="D23" s="10" t="s">
        <v>65</v>
      </c>
      <c r="E23" s="702">
        <v>68000</v>
      </c>
    </row>
    <row r="24" ht="21.6" customHeight="1" spans="1:5">
      <c r="A24" s="10">
        <v>18</v>
      </c>
      <c r="B24" s="11" t="s">
        <v>66</v>
      </c>
      <c r="C24" s="17" t="s">
        <v>67</v>
      </c>
      <c r="D24" s="15" t="s">
        <v>65</v>
      </c>
      <c r="E24" s="702">
        <v>68000</v>
      </c>
    </row>
    <row r="25" customHeight="1" spans="1:5">
      <c r="A25" s="10">
        <v>19</v>
      </c>
      <c r="B25" s="14" t="s">
        <v>68</v>
      </c>
      <c r="C25" s="17" t="s">
        <v>69</v>
      </c>
      <c r="D25" s="10" t="s">
        <v>70</v>
      </c>
      <c r="E25" s="702">
        <v>68000</v>
      </c>
    </row>
    <row r="26" customHeight="1" spans="1:5">
      <c r="A26" s="10">
        <v>20</v>
      </c>
      <c r="B26" s="14" t="s">
        <v>71</v>
      </c>
      <c r="C26" s="17" t="s">
        <v>72</v>
      </c>
      <c r="D26" s="10" t="s">
        <v>70</v>
      </c>
      <c r="E26" s="702">
        <v>68000</v>
      </c>
    </row>
    <row r="27" ht="18.75" customHeight="1" spans="1:5">
      <c r="A27" s="10">
        <v>21</v>
      </c>
      <c r="B27" s="4" t="s">
        <v>73</v>
      </c>
      <c r="C27" s="4" t="s">
        <v>74</v>
      </c>
      <c r="D27" s="10" t="s">
        <v>75</v>
      </c>
      <c r="E27" s="702">
        <v>54000</v>
      </c>
    </row>
    <row r="28" ht="18.75" customHeight="1" spans="1:5">
      <c r="A28" s="10">
        <v>22</v>
      </c>
      <c r="B28" s="18" t="s">
        <v>76</v>
      </c>
      <c r="C28" s="12" t="s">
        <v>74</v>
      </c>
      <c r="D28" s="15" t="s">
        <v>75</v>
      </c>
      <c r="E28" s="702">
        <v>54000</v>
      </c>
    </row>
    <row r="29" customHeight="1" spans="1:5">
      <c r="A29" s="10">
        <v>23</v>
      </c>
      <c r="B29" s="11" t="s">
        <v>77</v>
      </c>
      <c r="C29" s="17" t="s">
        <v>64</v>
      </c>
      <c r="D29" s="10" t="s">
        <v>75</v>
      </c>
      <c r="E29" s="702">
        <v>54000</v>
      </c>
    </row>
    <row r="30" ht="18.75" customHeight="1" spans="1:5">
      <c r="A30" s="10">
        <v>24</v>
      </c>
      <c r="B30" s="18" t="s">
        <v>78</v>
      </c>
      <c r="C30" s="12" t="s">
        <v>79</v>
      </c>
      <c r="D30" s="15" t="s">
        <v>80</v>
      </c>
      <c r="E30" s="702">
        <v>54000</v>
      </c>
    </row>
    <row r="31" ht="18.75" customHeight="1" spans="1:5">
      <c r="A31" s="10">
        <v>25</v>
      </c>
      <c r="B31" s="18" t="s">
        <v>81</v>
      </c>
      <c r="C31" s="4" t="s">
        <v>82</v>
      </c>
      <c r="D31" s="10" t="s">
        <v>83</v>
      </c>
      <c r="E31" s="702">
        <v>54000</v>
      </c>
    </row>
    <row r="32" ht="18.75" customHeight="1" spans="1:5">
      <c r="A32" s="10">
        <v>26</v>
      </c>
      <c r="B32" s="18" t="s">
        <v>84</v>
      </c>
      <c r="C32" s="4" t="s">
        <v>82</v>
      </c>
      <c r="D32" s="10" t="s">
        <v>83</v>
      </c>
      <c r="E32" s="702">
        <v>54000</v>
      </c>
    </row>
    <row r="33" ht="18.75" customHeight="1" spans="1:5">
      <c r="A33" s="10">
        <v>27</v>
      </c>
      <c r="B33" s="18" t="s">
        <v>85</v>
      </c>
      <c r="C33" s="17" t="s">
        <v>86</v>
      </c>
      <c r="D33" s="15" t="s">
        <v>75</v>
      </c>
      <c r="E33" s="702">
        <v>54000</v>
      </c>
    </row>
    <row r="34" ht="18.75" customHeight="1" spans="1:5">
      <c r="A34" s="10">
        <v>28</v>
      </c>
      <c r="B34" s="18" t="s">
        <v>87</v>
      </c>
      <c r="C34" s="4" t="s">
        <v>74</v>
      </c>
      <c r="D34" s="10" t="s">
        <v>83</v>
      </c>
      <c r="E34" s="702">
        <v>54000</v>
      </c>
    </row>
    <row r="35" ht="18.75" customHeight="1" spans="1:5">
      <c r="A35" s="10">
        <v>29</v>
      </c>
      <c r="B35" s="18" t="s">
        <v>88</v>
      </c>
      <c r="C35" s="4" t="s">
        <v>89</v>
      </c>
      <c r="D35" s="10" t="s">
        <v>83</v>
      </c>
      <c r="E35" s="702">
        <v>54000</v>
      </c>
    </row>
    <row r="36" ht="18.75" customHeight="1" spans="1:5">
      <c r="A36" s="10">
        <v>30</v>
      </c>
      <c r="B36" s="18" t="s">
        <v>90</v>
      </c>
      <c r="C36" s="12" t="s">
        <v>91</v>
      </c>
      <c r="D36" s="15" t="s">
        <v>92</v>
      </c>
      <c r="E36" s="702">
        <v>54000</v>
      </c>
    </row>
    <row r="37" ht="18.75" customHeight="1" spans="1:5">
      <c r="A37" s="10">
        <v>31</v>
      </c>
      <c r="B37" s="18" t="s">
        <v>93</v>
      </c>
      <c r="C37" s="12" t="s">
        <v>94</v>
      </c>
      <c r="D37" s="15" t="s">
        <v>95</v>
      </c>
      <c r="E37" s="702">
        <v>54000</v>
      </c>
    </row>
    <row r="38" ht="26.25" customHeight="1" spans="1:5">
      <c r="A38" s="10"/>
      <c r="B38" s="20" t="s">
        <v>96</v>
      </c>
      <c r="C38" s="21">
        <v>31</v>
      </c>
      <c r="D38" s="15"/>
      <c r="E38" s="705">
        <f>SUM(E7:E37)</f>
        <v>3238000</v>
      </c>
    </row>
    <row r="39" ht="18.75" customHeight="1" spans="1:5">
      <c r="A39" s="10"/>
      <c r="B39" s="22"/>
      <c r="C39" s="4"/>
      <c r="D39" s="15"/>
      <c r="E39" s="705"/>
    </row>
    <row r="40" ht="18.75" customHeight="1" spans="1:5">
      <c r="A40" s="10"/>
      <c r="B40" s="20" t="s">
        <v>97</v>
      </c>
      <c r="C40" s="4"/>
      <c r="D40" s="15"/>
      <c r="E40" s="702"/>
    </row>
    <row r="41" ht="18.75" customHeight="1" spans="1:5">
      <c r="A41" s="10">
        <v>1</v>
      </c>
      <c r="B41" s="18" t="s">
        <v>98</v>
      </c>
      <c r="C41" s="4" t="s">
        <v>99</v>
      </c>
      <c r="D41" s="10" t="s">
        <v>100</v>
      </c>
      <c r="E41" s="702">
        <v>270000</v>
      </c>
    </row>
    <row r="42" ht="18.75" customHeight="1" spans="1:5">
      <c r="A42" s="10">
        <v>2</v>
      </c>
      <c r="B42" s="18" t="s">
        <v>101</v>
      </c>
      <c r="C42" s="4" t="s">
        <v>102</v>
      </c>
      <c r="D42" s="10" t="s">
        <v>70</v>
      </c>
      <c r="E42" s="702">
        <v>68000</v>
      </c>
    </row>
    <row r="43" ht="18.75" customHeight="1" spans="1:5">
      <c r="A43" s="10">
        <v>3</v>
      </c>
      <c r="B43" s="11" t="s">
        <v>103</v>
      </c>
      <c r="C43" s="4" t="s">
        <v>102</v>
      </c>
      <c r="D43" s="15" t="s">
        <v>104</v>
      </c>
      <c r="E43" s="702">
        <v>68000</v>
      </c>
    </row>
    <row r="44" ht="18.75" customHeight="1" spans="1:5">
      <c r="A44" s="10">
        <v>4</v>
      </c>
      <c r="B44" s="11" t="s">
        <v>105</v>
      </c>
      <c r="C44" s="4" t="s">
        <v>106</v>
      </c>
      <c r="D44" s="15" t="s">
        <v>83</v>
      </c>
      <c r="E44" s="704">
        <v>54000</v>
      </c>
    </row>
    <row r="45" ht="19.5" customHeight="1" spans="1:5">
      <c r="A45" s="10"/>
      <c r="B45" s="14"/>
      <c r="C45" s="21">
        <v>4</v>
      </c>
      <c r="D45" s="10"/>
      <c r="E45" s="705">
        <f>SUM(E41:E44)</f>
        <v>460000</v>
      </c>
    </row>
    <row r="46" customHeight="1" spans="1:5">
      <c r="A46" s="10"/>
      <c r="B46" s="14"/>
      <c r="C46" s="4"/>
      <c r="D46" s="10"/>
      <c r="E46" s="705"/>
    </row>
    <row r="47" customHeight="1" spans="1:5">
      <c r="A47" s="10"/>
      <c r="B47" s="23" t="s">
        <v>107</v>
      </c>
      <c r="C47" s="5"/>
      <c r="D47" s="24"/>
      <c r="E47" s="705"/>
    </row>
    <row r="48" customHeight="1" spans="1:5">
      <c r="A48" s="10">
        <v>1</v>
      </c>
      <c r="B48" s="11" t="s">
        <v>501</v>
      </c>
      <c r="C48" s="4" t="s">
        <v>502</v>
      </c>
      <c r="D48" s="10" t="s">
        <v>100</v>
      </c>
      <c r="E48" s="702">
        <v>0</v>
      </c>
    </row>
    <row r="49" customHeight="1" spans="1:5">
      <c r="A49" s="10">
        <v>2</v>
      </c>
      <c r="B49" s="11" t="s">
        <v>491</v>
      </c>
      <c r="C49" s="4" t="s">
        <v>44</v>
      </c>
      <c r="D49" s="10" t="s">
        <v>36</v>
      </c>
      <c r="E49" s="702">
        <v>0</v>
      </c>
    </row>
    <row r="50" customHeight="1" spans="1:5">
      <c r="A50" s="10">
        <v>3</v>
      </c>
      <c r="B50" s="11" t="s">
        <v>108</v>
      </c>
      <c r="C50" s="4" t="s">
        <v>109</v>
      </c>
      <c r="D50" s="10" t="s">
        <v>110</v>
      </c>
      <c r="E50" s="702">
        <v>180000</v>
      </c>
    </row>
    <row r="51" customHeight="1" spans="1:5">
      <c r="A51" s="10">
        <v>4</v>
      </c>
      <c r="B51" s="11" t="s">
        <v>111</v>
      </c>
      <c r="C51" s="4" t="s">
        <v>112</v>
      </c>
      <c r="D51" s="10" t="s">
        <v>36</v>
      </c>
      <c r="E51" s="702">
        <v>126000</v>
      </c>
    </row>
    <row r="52" customHeight="1" spans="1:5">
      <c r="A52" s="10">
        <v>5</v>
      </c>
      <c r="B52" s="11" t="s">
        <v>113</v>
      </c>
      <c r="C52" s="4" t="s">
        <v>112</v>
      </c>
      <c r="D52" s="10" t="s">
        <v>36</v>
      </c>
      <c r="E52" s="702">
        <v>126000</v>
      </c>
    </row>
    <row r="53" customHeight="1" spans="1:5">
      <c r="A53" s="10">
        <v>6</v>
      </c>
      <c r="B53" s="11" t="s">
        <v>114</v>
      </c>
      <c r="C53" s="4" t="s">
        <v>112</v>
      </c>
      <c r="D53" s="10" t="s">
        <v>39</v>
      </c>
      <c r="E53" s="702">
        <v>126000</v>
      </c>
    </row>
    <row r="54" customHeight="1" spans="1:5">
      <c r="A54" s="10">
        <v>7</v>
      </c>
      <c r="B54" s="14" t="s">
        <v>115</v>
      </c>
      <c r="C54" s="4" t="s">
        <v>112</v>
      </c>
      <c r="D54" s="10" t="s">
        <v>39</v>
      </c>
      <c r="E54" s="702">
        <v>126000</v>
      </c>
    </row>
    <row r="55" customHeight="1" spans="1:5">
      <c r="A55" s="10">
        <v>8</v>
      </c>
      <c r="B55" s="11" t="s">
        <v>116</v>
      </c>
      <c r="C55" s="4" t="s">
        <v>117</v>
      </c>
      <c r="D55" s="10" t="s">
        <v>104</v>
      </c>
      <c r="E55" s="702">
        <v>68000</v>
      </c>
    </row>
    <row r="56" customHeight="1" spans="1:5">
      <c r="A56" s="10">
        <v>9</v>
      </c>
      <c r="B56" s="11" t="s">
        <v>118</v>
      </c>
      <c r="C56" s="4" t="s">
        <v>117</v>
      </c>
      <c r="D56" s="10" t="s">
        <v>80</v>
      </c>
      <c r="E56" s="702">
        <v>54000</v>
      </c>
    </row>
    <row r="57" customHeight="1" spans="1:5">
      <c r="A57" s="10">
        <v>10</v>
      </c>
      <c r="B57" s="11" t="s">
        <v>119</v>
      </c>
      <c r="C57" s="4" t="s">
        <v>117</v>
      </c>
      <c r="D57" s="10" t="s">
        <v>80</v>
      </c>
      <c r="E57" s="702">
        <v>54000</v>
      </c>
    </row>
    <row r="58" ht="25.5" customHeight="1" spans="1:5">
      <c r="A58" s="10"/>
      <c r="B58" s="20" t="s">
        <v>96</v>
      </c>
      <c r="C58" s="21">
        <v>10</v>
      </c>
      <c r="D58" s="21"/>
      <c r="E58" s="707">
        <f>SUM(E48:E57)</f>
        <v>860000</v>
      </c>
    </row>
    <row r="59" customHeight="1" spans="1:5">
      <c r="A59" s="10"/>
      <c r="B59" s="22"/>
      <c r="C59" s="21"/>
      <c r="D59" s="21"/>
      <c r="E59" s="709"/>
    </row>
    <row r="60" customHeight="1" spans="1:5">
      <c r="A60" s="10"/>
      <c r="B60" s="20" t="s">
        <v>120</v>
      </c>
      <c r="C60" s="21"/>
      <c r="D60" s="21"/>
      <c r="E60" s="709"/>
    </row>
    <row r="61" customHeight="1" spans="1:5">
      <c r="A61" s="10">
        <v>1</v>
      </c>
      <c r="B61" s="11" t="s">
        <v>503</v>
      </c>
      <c r="C61" s="12" t="s">
        <v>122</v>
      </c>
      <c r="D61" s="15" t="s">
        <v>100</v>
      </c>
      <c r="E61" s="702">
        <v>270000</v>
      </c>
    </row>
    <row r="62" customHeight="1" spans="1:5">
      <c r="A62" s="10">
        <v>2</v>
      </c>
      <c r="B62" s="11" t="s">
        <v>123</v>
      </c>
      <c r="C62" s="12" t="s">
        <v>124</v>
      </c>
      <c r="D62" s="15" t="s">
        <v>125</v>
      </c>
      <c r="E62" s="702">
        <v>126000</v>
      </c>
    </row>
    <row r="63" customHeight="1" spans="1:5">
      <c r="A63" s="10"/>
      <c r="B63" s="20" t="s">
        <v>96</v>
      </c>
      <c r="C63" s="21">
        <v>2</v>
      </c>
      <c r="D63" s="21"/>
      <c r="E63" s="707">
        <f>SUM(E61:E62)</f>
        <v>396000</v>
      </c>
    </row>
    <row r="64" customHeight="1" spans="1:5">
      <c r="A64" s="10"/>
      <c r="B64" s="20"/>
      <c r="C64" s="21"/>
      <c r="D64" s="21"/>
      <c r="E64" s="709"/>
    </row>
    <row r="65" customHeight="1" spans="1:5">
      <c r="A65" s="10"/>
      <c r="B65" s="20" t="s">
        <v>126</v>
      </c>
      <c r="C65" s="21"/>
      <c r="D65" s="21"/>
      <c r="E65" s="709"/>
    </row>
    <row r="66" customHeight="1" spans="1:5">
      <c r="A66" s="10">
        <v>1</v>
      </c>
      <c r="B66" s="11" t="s">
        <v>127</v>
      </c>
      <c r="C66" s="17" t="s">
        <v>128</v>
      </c>
      <c r="D66" s="10" t="s">
        <v>100</v>
      </c>
      <c r="E66" s="702">
        <v>270000</v>
      </c>
    </row>
    <row r="67" customHeight="1" spans="1:5">
      <c r="A67" s="10">
        <v>2</v>
      </c>
      <c r="B67" s="351" t="s">
        <v>129</v>
      </c>
      <c r="C67" s="17" t="s">
        <v>130</v>
      </c>
      <c r="D67" s="15" t="s">
        <v>131</v>
      </c>
      <c r="E67" s="702">
        <v>126000</v>
      </c>
    </row>
    <row r="68" customHeight="1" spans="1:5">
      <c r="A68" s="10">
        <v>3</v>
      </c>
      <c r="B68" s="11" t="s">
        <v>132</v>
      </c>
      <c r="C68" s="4" t="s">
        <v>133</v>
      </c>
      <c r="D68" s="10" t="s">
        <v>47</v>
      </c>
      <c r="E68" s="702">
        <v>90000</v>
      </c>
    </row>
    <row r="69" customHeight="1" spans="1:5">
      <c r="A69" s="10">
        <v>4</v>
      </c>
      <c r="B69" s="18" t="s">
        <v>486</v>
      </c>
      <c r="C69" s="17" t="s">
        <v>165</v>
      </c>
      <c r="D69" s="15" t="s">
        <v>52</v>
      </c>
      <c r="E69" s="702">
        <v>0</v>
      </c>
    </row>
    <row r="70" customHeight="1" spans="1:5">
      <c r="A70" s="10">
        <v>7</v>
      </c>
      <c r="B70" s="11" t="s">
        <v>134</v>
      </c>
      <c r="C70" s="4" t="s">
        <v>117</v>
      </c>
      <c r="D70" s="10" t="s">
        <v>135</v>
      </c>
      <c r="E70" s="702">
        <v>68000</v>
      </c>
    </row>
    <row r="71" customHeight="1" spans="1:5">
      <c r="A71" s="10">
        <v>8</v>
      </c>
      <c r="B71" s="11" t="s">
        <v>136</v>
      </c>
      <c r="C71" s="17" t="s">
        <v>67</v>
      </c>
      <c r="D71" s="10" t="s">
        <v>135</v>
      </c>
      <c r="E71" s="702">
        <v>68000</v>
      </c>
    </row>
    <row r="72" customHeight="1" spans="1:5">
      <c r="A72" s="10">
        <v>9</v>
      </c>
      <c r="B72" s="11" t="s">
        <v>137</v>
      </c>
      <c r="C72" s="17" t="s">
        <v>67</v>
      </c>
      <c r="D72" s="10" t="s">
        <v>135</v>
      </c>
      <c r="E72" s="702">
        <v>68000</v>
      </c>
    </row>
    <row r="73" customHeight="1" spans="1:5">
      <c r="A73" s="10">
        <v>10</v>
      </c>
      <c r="B73" s="11" t="s">
        <v>138</v>
      </c>
      <c r="C73" s="4" t="s">
        <v>139</v>
      </c>
      <c r="D73" s="10" t="s">
        <v>62</v>
      </c>
      <c r="E73" s="702">
        <v>68000</v>
      </c>
    </row>
    <row r="74" ht="21.6" customHeight="1" spans="1:5">
      <c r="A74" s="10">
        <v>11</v>
      </c>
      <c r="B74" s="11" t="s">
        <v>140</v>
      </c>
      <c r="C74" s="4" t="s">
        <v>117</v>
      </c>
      <c r="D74" s="10" t="s">
        <v>104</v>
      </c>
      <c r="E74" s="702">
        <v>68000</v>
      </c>
    </row>
    <row r="75" ht="27" customHeight="1" spans="1:5">
      <c r="A75" s="10"/>
      <c r="B75" s="20" t="s">
        <v>96</v>
      </c>
      <c r="C75" s="21">
        <v>11</v>
      </c>
      <c r="D75" s="21"/>
      <c r="E75" s="707">
        <f>SUM(E66:E74)</f>
        <v>826000</v>
      </c>
    </row>
    <row r="76" customHeight="1" spans="1:5">
      <c r="A76" s="10"/>
      <c r="B76" s="22"/>
      <c r="C76" s="21"/>
      <c r="D76" s="21"/>
      <c r="E76" s="709"/>
    </row>
    <row r="77" customHeight="1" spans="1:5">
      <c r="A77" s="10"/>
      <c r="B77" s="20" t="s">
        <v>141</v>
      </c>
      <c r="C77" s="21"/>
      <c r="D77" s="21"/>
      <c r="E77" s="709"/>
    </row>
    <row r="78" customHeight="1" spans="1:5">
      <c r="A78" s="10">
        <v>1</v>
      </c>
      <c r="B78" s="11" t="s">
        <v>142</v>
      </c>
      <c r="C78" s="4" t="s">
        <v>143</v>
      </c>
      <c r="D78" s="10" t="s">
        <v>100</v>
      </c>
      <c r="E78" s="702">
        <v>270000</v>
      </c>
    </row>
    <row r="79" customHeight="1" spans="1:5">
      <c r="A79" s="10">
        <v>2</v>
      </c>
      <c r="B79" s="11" t="s">
        <v>144</v>
      </c>
      <c r="C79" s="4" t="s">
        <v>145</v>
      </c>
      <c r="D79" s="10" t="s">
        <v>39</v>
      </c>
      <c r="E79" s="702">
        <v>126000</v>
      </c>
    </row>
    <row r="80" customHeight="1" spans="1:5">
      <c r="A80" s="10">
        <v>3</v>
      </c>
      <c r="B80" s="11" t="s">
        <v>146</v>
      </c>
      <c r="C80" s="4" t="s">
        <v>147</v>
      </c>
      <c r="D80" s="15" t="s">
        <v>148</v>
      </c>
      <c r="E80" s="702">
        <v>90000</v>
      </c>
    </row>
    <row r="81" customHeight="1" spans="1:5">
      <c r="A81" s="10">
        <v>4</v>
      </c>
      <c r="B81" s="11" t="s">
        <v>149</v>
      </c>
      <c r="C81" s="4" t="s">
        <v>150</v>
      </c>
      <c r="D81" s="10" t="s">
        <v>65</v>
      </c>
      <c r="E81" s="702">
        <v>68000</v>
      </c>
    </row>
    <row r="82" customHeight="1" spans="1:5">
      <c r="A82" s="10">
        <v>5</v>
      </c>
      <c r="B82" s="11" t="s">
        <v>151</v>
      </c>
      <c r="C82" s="4" t="s">
        <v>152</v>
      </c>
      <c r="D82" s="10" t="s">
        <v>80</v>
      </c>
      <c r="E82" s="702">
        <v>54000</v>
      </c>
    </row>
    <row r="83" customHeight="1" spans="1:5">
      <c r="A83" s="10">
        <v>6</v>
      </c>
      <c r="B83" s="11" t="s">
        <v>153</v>
      </c>
      <c r="C83" s="4" t="s">
        <v>154</v>
      </c>
      <c r="D83" s="10" t="s">
        <v>92</v>
      </c>
      <c r="E83" s="702">
        <v>54000</v>
      </c>
    </row>
    <row r="84" customHeight="1" spans="1:5">
      <c r="A84" s="10"/>
      <c r="B84" s="20" t="s">
        <v>96</v>
      </c>
      <c r="C84" s="21">
        <v>6</v>
      </c>
      <c r="D84" s="21"/>
      <c r="E84" s="707">
        <f>SUM(E78:E83)</f>
        <v>662000</v>
      </c>
    </row>
    <row r="85" customHeight="1" spans="1:5">
      <c r="A85" s="10"/>
      <c r="B85" s="20"/>
      <c r="C85" s="21"/>
      <c r="D85" s="21"/>
      <c r="E85" s="709"/>
    </row>
    <row r="86" customHeight="1" spans="1:5">
      <c r="A86" s="10"/>
      <c r="B86" s="20" t="s">
        <v>155</v>
      </c>
      <c r="C86" s="25"/>
      <c r="D86" s="21"/>
      <c r="E86" s="709"/>
    </row>
    <row r="87" customHeight="1" spans="1:5">
      <c r="A87" s="10">
        <v>1</v>
      </c>
      <c r="B87" s="11" t="s">
        <v>156</v>
      </c>
      <c r="C87" s="4" t="s">
        <v>112</v>
      </c>
      <c r="D87" s="10" t="s">
        <v>36</v>
      </c>
      <c r="E87" s="702">
        <v>126000</v>
      </c>
    </row>
    <row r="88" customHeight="1" spans="1:5">
      <c r="A88" s="10">
        <v>2</v>
      </c>
      <c r="B88" s="11" t="s">
        <v>157</v>
      </c>
      <c r="C88" s="4" t="s">
        <v>112</v>
      </c>
      <c r="D88" s="10" t="s">
        <v>36</v>
      </c>
      <c r="E88" s="702">
        <v>126000</v>
      </c>
    </row>
    <row r="89" customHeight="1" spans="1:5">
      <c r="A89" s="10">
        <v>3</v>
      </c>
      <c r="B89" s="11" t="s">
        <v>158</v>
      </c>
      <c r="C89" s="4" t="s">
        <v>112</v>
      </c>
      <c r="D89" s="10" t="s">
        <v>39</v>
      </c>
      <c r="E89" s="702">
        <v>126000</v>
      </c>
    </row>
    <row r="90" ht="21.6" customHeight="1" spans="1:5">
      <c r="A90" s="10">
        <v>4</v>
      </c>
      <c r="B90" s="11" t="s">
        <v>159</v>
      </c>
      <c r="C90" s="4" t="s">
        <v>133</v>
      </c>
      <c r="D90" s="15" t="s">
        <v>47</v>
      </c>
      <c r="E90" s="702">
        <v>90000</v>
      </c>
    </row>
    <row r="91" ht="21.6" customHeight="1" spans="1:5">
      <c r="A91" s="10">
        <v>5</v>
      </c>
      <c r="B91" s="11" t="s">
        <v>160</v>
      </c>
      <c r="C91" s="4" t="s">
        <v>133</v>
      </c>
      <c r="D91" s="15" t="s">
        <v>47</v>
      </c>
      <c r="E91" s="702">
        <v>90000</v>
      </c>
    </row>
    <row r="92" ht="21.6" customHeight="1" spans="1:5">
      <c r="A92" s="10">
        <v>6</v>
      </c>
      <c r="B92" s="11" t="s">
        <v>161</v>
      </c>
      <c r="C92" s="12" t="s">
        <v>133</v>
      </c>
      <c r="D92" s="15" t="s">
        <v>162</v>
      </c>
      <c r="E92" s="702">
        <v>90000</v>
      </c>
    </row>
    <row r="93" ht="21.6" customHeight="1" spans="1:5">
      <c r="A93" s="10">
        <v>7</v>
      </c>
      <c r="B93" s="11" t="s">
        <v>163</v>
      </c>
      <c r="C93" s="17" t="s">
        <v>67</v>
      </c>
      <c r="D93" s="15" t="s">
        <v>135</v>
      </c>
      <c r="E93" s="702">
        <v>68000</v>
      </c>
    </row>
    <row r="94" ht="21.6" customHeight="1" spans="1:5">
      <c r="A94" s="10">
        <v>8</v>
      </c>
      <c r="B94" s="11" t="s">
        <v>164</v>
      </c>
      <c r="C94" s="17" t="s">
        <v>165</v>
      </c>
      <c r="D94" s="15" t="s">
        <v>166</v>
      </c>
      <c r="E94" s="702">
        <v>90000</v>
      </c>
    </row>
    <row r="95" ht="21.6" customHeight="1" spans="1:5">
      <c r="A95" s="10">
        <v>9</v>
      </c>
      <c r="B95" s="11" t="s">
        <v>167</v>
      </c>
      <c r="C95" s="4" t="s">
        <v>168</v>
      </c>
      <c r="D95" s="10" t="s">
        <v>104</v>
      </c>
      <c r="E95" s="712">
        <v>68000</v>
      </c>
    </row>
    <row r="96" ht="21.6" customHeight="1" spans="1:5">
      <c r="A96" s="10">
        <v>10</v>
      </c>
      <c r="B96" s="11" t="s">
        <v>169</v>
      </c>
      <c r="C96" s="17" t="s">
        <v>170</v>
      </c>
      <c r="D96" s="15" t="s">
        <v>171</v>
      </c>
      <c r="E96" s="712">
        <v>54000</v>
      </c>
    </row>
    <row r="97" customHeight="1" spans="1:5">
      <c r="A97" s="10"/>
      <c r="B97" s="20" t="s">
        <v>96</v>
      </c>
      <c r="C97" s="21">
        <v>10</v>
      </c>
      <c r="D97" s="21"/>
      <c r="E97" s="707">
        <f>SUM(E87:E96)</f>
        <v>928000</v>
      </c>
    </row>
    <row r="98" customHeight="1" spans="1:5">
      <c r="A98" s="10"/>
      <c r="B98" s="22"/>
      <c r="C98" s="21"/>
      <c r="D98" s="21"/>
      <c r="E98" s="709"/>
    </row>
    <row r="99" customHeight="1" spans="1:5">
      <c r="A99" s="10"/>
      <c r="B99" s="20" t="s">
        <v>172</v>
      </c>
      <c r="C99" s="21"/>
      <c r="D99" s="21"/>
      <c r="E99" s="709"/>
    </row>
    <row r="100" customHeight="1" spans="1:5">
      <c r="A100" s="10">
        <v>1</v>
      </c>
      <c r="B100" s="14" t="s">
        <v>173</v>
      </c>
      <c r="C100" s="4" t="s">
        <v>174</v>
      </c>
      <c r="D100" s="16" t="s">
        <v>175</v>
      </c>
      <c r="E100" s="702">
        <v>270000</v>
      </c>
    </row>
    <row r="101" customHeight="1" spans="1:5">
      <c r="A101" s="10">
        <v>2</v>
      </c>
      <c r="B101" s="11" t="s">
        <v>176</v>
      </c>
      <c r="C101" s="4" t="s">
        <v>177</v>
      </c>
      <c r="D101" s="15" t="s">
        <v>148</v>
      </c>
      <c r="E101" s="702">
        <v>90000</v>
      </c>
    </row>
    <row r="102" customHeight="1" spans="1:5">
      <c r="A102" s="10">
        <v>3</v>
      </c>
      <c r="B102" s="11" t="s">
        <v>180</v>
      </c>
      <c r="C102" s="4" t="s">
        <v>181</v>
      </c>
      <c r="D102" s="15" t="s">
        <v>62</v>
      </c>
      <c r="E102" s="702">
        <v>68000</v>
      </c>
    </row>
    <row r="103" customHeight="1" spans="1:5">
      <c r="A103" s="10">
        <v>4</v>
      </c>
      <c r="B103" s="11" t="s">
        <v>182</v>
      </c>
      <c r="C103" s="4" t="s">
        <v>183</v>
      </c>
      <c r="D103" s="15" t="s">
        <v>104</v>
      </c>
      <c r="E103" s="712">
        <v>68000</v>
      </c>
    </row>
    <row r="104" customHeight="1" spans="1:5">
      <c r="A104" s="4"/>
      <c r="B104" s="20" t="s">
        <v>96</v>
      </c>
      <c r="C104" s="21">
        <v>4</v>
      </c>
      <c r="D104" s="26"/>
      <c r="E104" s="707">
        <f>SUM(E100:E103)</f>
        <v>496000</v>
      </c>
    </row>
    <row r="105" customHeight="1" spans="1:5">
      <c r="A105" s="4"/>
      <c r="B105" s="22"/>
      <c r="C105" s="21"/>
      <c r="D105" s="26"/>
      <c r="E105" s="709"/>
    </row>
    <row r="106" customHeight="1" spans="1:5">
      <c r="A106" s="4"/>
      <c r="B106" s="20" t="s">
        <v>184</v>
      </c>
      <c r="C106" s="4"/>
      <c r="D106" s="4"/>
      <c r="E106" s="713"/>
    </row>
    <row r="107" customHeight="1" spans="1:5">
      <c r="A107" s="4">
        <v>1</v>
      </c>
      <c r="B107" s="11" t="s">
        <v>185</v>
      </c>
      <c r="C107" s="12" t="s">
        <v>186</v>
      </c>
      <c r="D107" s="15" t="s">
        <v>100</v>
      </c>
      <c r="E107" s="702">
        <v>270000</v>
      </c>
    </row>
    <row r="108" customHeight="1" spans="1:5">
      <c r="A108" s="4">
        <v>2</v>
      </c>
      <c r="B108" s="11" t="s">
        <v>187</v>
      </c>
      <c r="C108" s="4" t="s">
        <v>188</v>
      </c>
      <c r="D108" s="16" t="s">
        <v>189</v>
      </c>
      <c r="E108" s="702">
        <v>180000</v>
      </c>
    </row>
    <row r="109" customHeight="1" spans="1:5">
      <c r="A109" s="4">
        <v>3</v>
      </c>
      <c r="B109" s="11" t="s">
        <v>190</v>
      </c>
      <c r="C109" s="4" t="s">
        <v>191</v>
      </c>
      <c r="D109" s="10" t="s">
        <v>192</v>
      </c>
      <c r="E109" s="702">
        <v>90000</v>
      </c>
    </row>
    <row r="110" customHeight="1" spans="1:5">
      <c r="A110" s="4">
        <v>4</v>
      </c>
      <c r="B110" s="11" t="s">
        <v>193</v>
      </c>
      <c r="C110" s="4" t="s">
        <v>191</v>
      </c>
      <c r="D110" s="10" t="s">
        <v>192</v>
      </c>
      <c r="E110" s="702">
        <v>90000</v>
      </c>
    </row>
    <row r="111" customHeight="1" spans="1:5">
      <c r="A111" s="4">
        <v>5</v>
      </c>
      <c r="B111" s="11" t="s">
        <v>194</v>
      </c>
      <c r="C111" s="4" t="s">
        <v>195</v>
      </c>
      <c r="D111" s="15" t="s">
        <v>196</v>
      </c>
      <c r="E111" s="712">
        <v>54000</v>
      </c>
    </row>
    <row r="112" customHeight="1" spans="1:5">
      <c r="A112" s="4">
        <v>6</v>
      </c>
      <c r="B112" s="18" t="s">
        <v>197</v>
      </c>
      <c r="C112" s="4" t="s">
        <v>195</v>
      </c>
      <c r="D112" s="10" t="s">
        <v>198</v>
      </c>
      <c r="E112" s="712">
        <v>54000</v>
      </c>
    </row>
    <row r="113" customHeight="1" spans="1:5">
      <c r="A113" s="4">
        <v>7</v>
      </c>
      <c r="B113" s="18" t="s">
        <v>199</v>
      </c>
      <c r="C113" s="4" t="s">
        <v>195</v>
      </c>
      <c r="D113" s="15" t="s">
        <v>171</v>
      </c>
      <c r="E113" s="712">
        <v>54000</v>
      </c>
    </row>
    <row r="114" ht="25.5" customHeight="1" spans="1:5">
      <c r="A114" s="4"/>
      <c r="B114" s="20" t="s">
        <v>96</v>
      </c>
      <c r="C114" s="21">
        <v>7</v>
      </c>
      <c r="D114" s="4"/>
      <c r="E114" s="715">
        <f>SUM(E107:E113)</f>
        <v>792000</v>
      </c>
    </row>
    <row r="115" customHeight="1" spans="1:5">
      <c r="A115" s="4"/>
      <c r="B115" s="20"/>
      <c r="C115" s="21"/>
      <c r="D115" s="4"/>
      <c r="E115" s="715"/>
    </row>
    <row r="116" customHeight="1" spans="1:5">
      <c r="A116" s="10"/>
      <c r="B116" s="20" t="s">
        <v>200</v>
      </c>
      <c r="C116" s="21"/>
      <c r="D116" s="21"/>
      <c r="E116" s="709"/>
    </row>
    <row r="117" customHeight="1" spans="1:5">
      <c r="A117" s="10">
        <v>1</v>
      </c>
      <c r="B117" s="14" t="s">
        <v>201</v>
      </c>
      <c r="C117" s="4" t="s">
        <v>112</v>
      </c>
      <c r="D117" s="10" t="s">
        <v>131</v>
      </c>
      <c r="E117" s="702">
        <v>126000</v>
      </c>
    </row>
    <row r="118" ht="18.75" customHeight="1" spans="1:5">
      <c r="A118" s="10">
        <v>2</v>
      </c>
      <c r="B118" s="11" t="s">
        <v>202</v>
      </c>
      <c r="C118" s="4" t="s">
        <v>203</v>
      </c>
      <c r="D118" s="15" t="s">
        <v>62</v>
      </c>
      <c r="E118" s="702">
        <v>68000</v>
      </c>
    </row>
    <row r="119" customHeight="1" spans="1:5">
      <c r="A119" s="10">
        <v>3</v>
      </c>
      <c r="B119" s="11" t="s">
        <v>204</v>
      </c>
      <c r="C119" s="12" t="s">
        <v>205</v>
      </c>
      <c r="D119" s="15" t="s">
        <v>166</v>
      </c>
      <c r="E119" s="702">
        <v>90000</v>
      </c>
    </row>
    <row r="120" ht="24.75" customHeight="1" spans="1:5">
      <c r="A120" s="4"/>
      <c r="B120" s="20" t="s">
        <v>96</v>
      </c>
      <c r="C120" s="21">
        <v>2</v>
      </c>
      <c r="D120" s="26"/>
      <c r="E120" s="707">
        <f>SUM(E117:E119)</f>
        <v>284000</v>
      </c>
    </row>
    <row r="121" ht="24.75" customHeight="1" spans="1:5">
      <c r="A121" s="4"/>
      <c r="B121" s="20"/>
      <c r="C121" s="21"/>
      <c r="D121" s="26"/>
      <c r="E121" s="707"/>
    </row>
    <row r="122" ht="24.75" customHeight="1" spans="1:5">
      <c r="A122" s="10"/>
      <c r="B122" s="20" t="s">
        <v>206</v>
      </c>
      <c r="C122" s="21"/>
      <c r="D122" s="21"/>
      <c r="E122" s="709"/>
    </row>
    <row r="123" ht="24.75" customHeight="1" spans="1:5">
      <c r="A123" s="10">
        <v>1</v>
      </c>
      <c r="B123" s="14" t="s">
        <v>207</v>
      </c>
      <c r="C123" s="4" t="s">
        <v>208</v>
      </c>
      <c r="D123" s="10" t="s">
        <v>95</v>
      </c>
      <c r="E123" s="702">
        <v>54000</v>
      </c>
    </row>
    <row r="124" ht="24.75" customHeight="1" spans="1:5">
      <c r="A124" s="10">
        <v>2</v>
      </c>
      <c r="B124" s="11" t="s">
        <v>209</v>
      </c>
      <c r="C124" s="4" t="s">
        <v>210</v>
      </c>
      <c r="D124" s="10" t="s">
        <v>95</v>
      </c>
      <c r="E124" s="702">
        <v>54000</v>
      </c>
    </row>
    <row r="125" ht="24.75" customHeight="1" spans="1:5">
      <c r="A125" s="10">
        <v>3</v>
      </c>
      <c r="B125" s="11" t="s">
        <v>211</v>
      </c>
      <c r="C125" s="4" t="s">
        <v>212</v>
      </c>
      <c r="D125" s="10" t="s">
        <v>95</v>
      </c>
      <c r="E125" s="702">
        <v>54000</v>
      </c>
    </row>
    <row r="126" customHeight="1" spans="1:5">
      <c r="A126" s="4"/>
      <c r="B126" s="20" t="s">
        <v>96</v>
      </c>
      <c r="C126" s="21">
        <v>3</v>
      </c>
      <c r="D126" s="26"/>
      <c r="E126" s="707">
        <f>SUM(E123:E125)</f>
        <v>162000</v>
      </c>
    </row>
    <row r="127" customHeight="1" spans="1:5">
      <c r="A127" s="4"/>
      <c r="B127" s="20"/>
      <c r="C127" s="21"/>
      <c r="D127" s="26"/>
      <c r="E127" s="707"/>
    </row>
    <row r="128" customHeight="1" spans="1:5">
      <c r="A128" s="4"/>
      <c r="B128" s="20" t="s">
        <v>213</v>
      </c>
      <c r="C128" s="21"/>
      <c r="D128" s="21"/>
      <c r="E128" s="709"/>
    </row>
    <row r="129" customHeight="1" spans="1:5">
      <c r="A129" s="4">
        <v>1</v>
      </c>
      <c r="B129" s="11" t="s">
        <v>214</v>
      </c>
      <c r="C129" s="12" t="s">
        <v>215</v>
      </c>
      <c r="D129" s="15" t="s">
        <v>100</v>
      </c>
      <c r="E129" s="702">
        <v>270000</v>
      </c>
    </row>
    <row r="130" customHeight="1" spans="1:5">
      <c r="A130" s="4">
        <v>2</v>
      </c>
      <c r="B130" s="11" t="s">
        <v>216</v>
      </c>
      <c r="C130" s="12" t="s">
        <v>217</v>
      </c>
      <c r="D130" s="15" t="s">
        <v>110</v>
      </c>
      <c r="E130" s="702">
        <v>180000</v>
      </c>
    </row>
    <row r="131" customHeight="1" spans="1:5">
      <c r="A131" s="4">
        <v>3</v>
      </c>
      <c r="B131" s="14" t="s">
        <v>218</v>
      </c>
      <c r="C131" s="12" t="s">
        <v>219</v>
      </c>
      <c r="D131" s="15" t="s">
        <v>36</v>
      </c>
      <c r="E131" s="702">
        <v>126000</v>
      </c>
    </row>
    <row r="132" customHeight="1" spans="1:5">
      <c r="A132" s="4">
        <v>4</v>
      </c>
      <c r="B132" s="11" t="s">
        <v>220</v>
      </c>
      <c r="C132" s="12" t="s">
        <v>221</v>
      </c>
      <c r="D132" s="15" t="s">
        <v>222</v>
      </c>
      <c r="E132" s="702">
        <v>90000</v>
      </c>
    </row>
    <row r="133" customHeight="1" spans="1:5">
      <c r="A133" s="4">
        <v>5</v>
      </c>
      <c r="B133" s="11" t="s">
        <v>223</v>
      </c>
      <c r="C133" s="12" t="s">
        <v>224</v>
      </c>
      <c r="D133" s="15" t="s">
        <v>47</v>
      </c>
      <c r="E133" s="702">
        <v>90000</v>
      </c>
    </row>
    <row r="134" customHeight="1" spans="1:5">
      <c r="A134" s="4">
        <v>6</v>
      </c>
      <c r="B134" s="11" t="s">
        <v>225</v>
      </c>
      <c r="C134" s="12" t="s">
        <v>221</v>
      </c>
      <c r="D134" s="15" t="s">
        <v>148</v>
      </c>
      <c r="E134" s="702">
        <v>90000</v>
      </c>
    </row>
    <row r="135" customHeight="1" spans="1:5">
      <c r="A135" s="4">
        <v>7</v>
      </c>
      <c r="B135" s="11" t="s">
        <v>226</v>
      </c>
      <c r="C135" s="12" t="s">
        <v>227</v>
      </c>
      <c r="D135" s="10" t="s">
        <v>75</v>
      </c>
      <c r="E135" s="702">
        <v>54000</v>
      </c>
    </row>
    <row r="136" customHeight="1" spans="1:5">
      <c r="A136" s="4">
        <v>8</v>
      </c>
      <c r="B136" s="18" t="s">
        <v>228</v>
      </c>
      <c r="C136" s="12" t="s">
        <v>229</v>
      </c>
      <c r="D136" s="15" t="s">
        <v>92</v>
      </c>
      <c r="E136" s="702">
        <v>54000</v>
      </c>
    </row>
    <row r="137" customHeight="1" spans="1:5">
      <c r="A137" s="4">
        <v>9</v>
      </c>
      <c r="B137" s="18" t="s">
        <v>230</v>
      </c>
      <c r="C137" s="12" t="s">
        <v>231</v>
      </c>
      <c r="D137" s="15" t="s">
        <v>92</v>
      </c>
      <c r="E137" s="702">
        <v>54000</v>
      </c>
    </row>
    <row r="138" customHeight="1" spans="1:5">
      <c r="A138" s="4">
        <v>10</v>
      </c>
      <c r="B138" s="18" t="s">
        <v>232</v>
      </c>
      <c r="C138" s="12" t="s">
        <v>229</v>
      </c>
      <c r="D138" s="15" t="s">
        <v>95</v>
      </c>
      <c r="E138" s="702">
        <v>54000</v>
      </c>
    </row>
    <row r="139" ht="28.5" customHeight="1" spans="1:5">
      <c r="A139" s="4"/>
      <c r="B139" s="20" t="s">
        <v>96</v>
      </c>
      <c r="C139" s="26" t="s">
        <v>233</v>
      </c>
      <c r="D139" s="15"/>
      <c r="E139" s="709">
        <f>SUM(E129:E138)</f>
        <v>1062000</v>
      </c>
    </row>
    <row r="140" customHeight="1" spans="1:5">
      <c r="A140" s="4"/>
      <c r="B140" s="22"/>
      <c r="C140" s="26"/>
      <c r="D140" s="15"/>
      <c r="E140" s="709"/>
    </row>
    <row r="141" customHeight="1" spans="1:5">
      <c r="A141" s="4"/>
      <c r="B141" s="20" t="s">
        <v>234</v>
      </c>
      <c r="C141" s="12"/>
      <c r="D141" s="15"/>
      <c r="E141" s="702"/>
    </row>
    <row r="142" customHeight="1" spans="1:5">
      <c r="A142" s="27">
        <v>1</v>
      </c>
      <c r="B142" s="11" t="s">
        <v>235</v>
      </c>
      <c r="C142" s="12" t="s">
        <v>236</v>
      </c>
      <c r="D142" s="15" t="s">
        <v>100</v>
      </c>
      <c r="E142" s="702">
        <v>270000</v>
      </c>
    </row>
    <row r="143" customHeight="1" spans="1:5">
      <c r="A143" s="27">
        <v>2</v>
      </c>
      <c r="B143" s="14" t="s">
        <v>237</v>
      </c>
      <c r="C143" s="4" t="s">
        <v>238</v>
      </c>
      <c r="D143" s="16" t="s">
        <v>189</v>
      </c>
      <c r="E143" s="702">
        <v>180000</v>
      </c>
    </row>
    <row r="144" customHeight="1" spans="1:5">
      <c r="A144" s="27">
        <v>3</v>
      </c>
      <c r="B144" s="11" t="s">
        <v>239</v>
      </c>
      <c r="C144" s="12" t="s">
        <v>240</v>
      </c>
      <c r="D144" s="15" t="s">
        <v>39</v>
      </c>
      <c r="E144" s="702">
        <v>126000</v>
      </c>
    </row>
    <row r="145" customHeight="1" spans="1:5">
      <c r="A145" s="27">
        <v>4</v>
      </c>
      <c r="B145" s="11" t="s">
        <v>241</v>
      </c>
      <c r="C145" s="4" t="s">
        <v>242</v>
      </c>
      <c r="D145" s="15" t="s">
        <v>39</v>
      </c>
      <c r="E145" s="702">
        <v>126000</v>
      </c>
    </row>
    <row r="146" customHeight="1" spans="1:5">
      <c r="A146" s="27">
        <v>5</v>
      </c>
      <c r="B146" s="11" t="s">
        <v>243</v>
      </c>
      <c r="C146" s="4" t="s">
        <v>242</v>
      </c>
      <c r="D146" s="15" t="s">
        <v>39</v>
      </c>
      <c r="E146" s="702">
        <v>126000</v>
      </c>
    </row>
    <row r="147" customHeight="1" spans="1:5">
      <c r="A147" s="27">
        <v>6</v>
      </c>
      <c r="B147" s="11" t="s">
        <v>178</v>
      </c>
      <c r="C147" s="12" t="s">
        <v>179</v>
      </c>
      <c r="D147" s="15" t="s">
        <v>166</v>
      </c>
      <c r="E147" s="702">
        <v>90000</v>
      </c>
    </row>
    <row r="148" customHeight="1" spans="1:5">
      <c r="A148" s="27">
        <v>7</v>
      </c>
      <c r="B148" s="11" t="s">
        <v>244</v>
      </c>
      <c r="C148" s="12" t="s">
        <v>179</v>
      </c>
      <c r="D148" s="15" t="s">
        <v>166</v>
      </c>
      <c r="E148" s="702">
        <v>90000</v>
      </c>
    </row>
    <row r="149" customHeight="1" spans="1:5">
      <c r="A149" s="27">
        <v>8</v>
      </c>
      <c r="B149" s="11" t="s">
        <v>245</v>
      </c>
      <c r="C149" s="4" t="s">
        <v>246</v>
      </c>
      <c r="D149" s="15" t="s">
        <v>166</v>
      </c>
      <c r="E149" s="702">
        <v>90000</v>
      </c>
    </row>
    <row r="150" customHeight="1" spans="1:5">
      <c r="A150" s="27">
        <v>9</v>
      </c>
      <c r="B150" s="11" t="s">
        <v>247</v>
      </c>
      <c r="C150" s="12" t="s">
        <v>248</v>
      </c>
      <c r="D150" s="15" t="s">
        <v>62</v>
      </c>
      <c r="E150" s="702">
        <v>68000</v>
      </c>
    </row>
    <row r="151" customHeight="1" spans="1:5">
      <c r="A151" s="27">
        <v>10</v>
      </c>
      <c r="B151" s="11" t="s">
        <v>249</v>
      </c>
      <c r="C151" s="12" t="s">
        <v>250</v>
      </c>
      <c r="D151" s="15" t="s">
        <v>135</v>
      </c>
      <c r="E151" s="702">
        <v>68000</v>
      </c>
    </row>
    <row r="152" customHeight="1" spans="1:5">
      <c r="A152" s="27">
        <v>11</v>
      </c>
      <c r="B152" s="11" t="s">
        <v>251</v>
      </c>
      <c r="C152" s="12" t="s">
        <v>252</v>
      </c>
      <c r="D152" s="15" t="s">
        <v>253</v>
      </c>
      <c r="E152" s="702">
        <v>68000</v>
      </c>
    </row>
    <row r="153" customHeight="1" spans="1:5">
      <c r="A153" s="27">
        <v>12</v>
      </c>
      <c r="B153" s="18" t="s">
        <v>254</v>
      </c>
      <c r="C153" s="4" t="s">
        <v>255</v>
      </c>
      <c r="D153" s="15" t="s">
        <v>65</v>
      </c>
      <c r="E153" s="702">
        <v>68000</v>
      </c>
    </row>
    <row r="154" customHeight="1" spans="1:5">
      <c r="A154" s="27">
        <v>13</v>
      </c>
      <c r="B154" s="11" t="s">
        <v>256</v>
      </c>
      <c r="C154" s="4" t="s">
        <v>255</v>
      </c>
      <c r="D154" s="15" t="s">
        <v>65</v>
      </c>
      <c r="E154" s="702">
        <v>68000</v>
      </c>
    </row>
    <row r="155" customHeight="1" spans="1:5">
      <c r="A155" s="27">
        <v>14</v>
      </c>
      <c r="B155" s="11" t="s">
        <v>257</v>
      </c>
      <c r="C155" s="4" t="s">
        <v>255</v>
      </c>
      <c r="D155" s="15" t="s">
        <v>65</v>
      </c>
      <c r="E155" s="702">
        <v>68000</v>
      </c>
    </row>
    <row r="156" customHeight="1" spans="1:5">
      <c r="A156" s="27">
        <v>15</v>
      </c>
      <c r="B156" s="11" t="s">
        <v>258</v>
      </c>
      <c r="C156" s="4" t="s">
        <v>255</v>
      </c>
      <c r="D156" s="15" t="s">
        <v>65</v>
      </c>
      <c r="E156" s="702">
        <v>68000</v>
      </c>
    </row>
    <row r="157" customHeight="1" spans="1:5">
      <c r="A157" s="27">
        <v>16</v>
      </c>
      <c r="B157" s="11" t="s">
        <v>259</v>
      </c>
      <c r="C157" s="12" t="s">
        <v>260</v>
      </c>
      <c r="D157" s="15" t="s">
        <v>104</v>
      </c>
      <c r="E157" s="702">
        <v>68000</v>
      </c>
    </row>
    <row r="158" customHeight="1" spans="1:5">
      <c r="A158" s="27">
        <v>17</v>
      </c>
      <c r="B158" s="11" t="s">
        <v>261</v>
      </c>
      <c r="C158" s="12" t="s">
        <v>262</v>
      </c>
      <c r="D158" s="10" t="s">
        <v>80</v>
      </c>
      <c r="E158" s="702">
        <v>54000</v>
      </c>
    </row>
    <row r="159" customHeight="1" spans="1:5">
      <c r="A159" s="27">
        <v>18</v>
      </c>
      <c r="B159" s="11" t="s">
        <v>263</v>
      </c>
      <c r="C159" s="12" t="s">
        <v>264</v>
      </c>
      <c r="D159" s="15" t="s">
        <v>265</v>
      </c>
      <c r="E159" s="712">
        <v>68000</v>
      </c>
    </row>
    <row r="160" customHeight="1" spans="1:5">
      <c r="A160" s="27">
        <v>19</v>
      </c>
      <c r="B160" s="11" t="s">
        <v>266</v>
      </c>
      <c r="C160" s="12" t="s">
        <v>267</v>
      </c>
      <c r="D160" s="15" t="s">
        <v>75</v>
      </c>
      <c r="E160" s="712">
        <v>54000</v>
      </c>
    </row>
    <row r="161" customHeight="1" spans="1:5">
      <c r="A161" s="27">
        <v>20</v>
      </c>
      <c r="B161" s="11" t="s">
        <v>268</v>
      </c>
      <c r="C161" s="12" t="s">
        <v>269</v>
      </c>
      <c r="D161" s="15" t="s">
        <v>265</v>
      </c>
      <c r="E161" s="712">
        <v>68000</v>
      </c>
    </row>
    <row r="162" customHeight="1" spans="1:5">
      <c r="A162" s="27">
        <v>21</v>
      </c>
      <c r="B162" s="11" t="s">
        <v>270</v>
      </c>
      <c r="C162" s="12" t="s">
        <v>271</v>
      </c>
      <c r="D162" s="15" t="s">
        <v>75</v>
      </c>
      <c r="E162" s="712">
        <v>54000</v>
      </c>
    </row>
    <row r="163" customHeight="1" spans="1:5">
      <c r="A163" s="27">
        <v>22</v>
      </c>
      <c r="B163" s="18" t="s">
        <v>272</v>
      </c>
      <c r="C163" s="12" t="s">
        <v>273</v>
      </c>
      <c r="D163" s="15" t="s">
        <v>83</v>
      </c>
      <c r="E163" s="712">
        <v>54000</v>
      </c>
    </row>
    <row r="164" customHeight="1" spans="1:5">
      <c r="A164" s="27">
        <v>23</v>
      </c>
      <c r="B164" s="18" t="s">
        <v>274</v>
      </c>
      <c r="C164" s="12" t="s">
        <v>273</v>
      </c>
      <c r="D164" s="15" t="s">
        <v>83</v>
      </c>
      <c r="E164" s="712">
        <v>54000</v>
      </c>
    </row>
    <row r="165" customHeight="1" spans="1:5">
      <c r="A165" s="27">
        <v>24</v>
      </c>
      <c r="B165" s="18" t="s">
        <v>275</v>
      </c>
      <c r="C165" s="12" t="s">
        <v>276</v>
      </c>
      <c r="D165" s="15" t="s">
        <v>92</v>
      </c>
      <c r="E165" s="712">
        <v>54000</v>
      </c>
    </row>
    <row r="166" customHeight="1" spans="1:5">
      <c r="A166" s="27">
        <v>25</v>
      </c>
      <c r="B166" s="18" t="s">
        <v>277</v>
      </c>
      <c r="C166" s="12" t="s">
        <v>278</v>
      </c>
      <c r="D166" s="15" t="s">
        <v>92</v>
      </c>
      <c r="E166" s="712">
        <v>54000</v>
      </c>
    </row>
    <row r="167" customHeight="1" spans="1:5">
      <c r="A167" s="27">
        <v>26</v>
      </c>
      <c r="B167" s="18" t="s">
        <v>279</v>
      </c>
      <c r="C167" s="12" t="s">
        <v>280</v>
      </c>
      <c r="D167" s="15" t="s">
        <v>92</v>
      </c>
      <c r="E167" s="712">
        <v>54000</v>
      </c>
    </row>
    <row r="168" customHeight="1" spans="1:5">
      <c r="A168" s="27">
        <v>27</v>
      </c>
      <c r="B168" s="18" t="s">
        <v>281</v>
      </c>
      <c r="C168" s="12" t="s">
        <v>282</v>
      </c>
      <c r="D168" s="15" t="s">
        <v>171</v>
      </c>
      <c r="E168" s="712">
        <v>54000</v>
      </c>
    </row>
    <row r="169" customHeight="1" spans="1:5">
      <c r="A169" s="27">
        <v>28</v>
      </c>
      <c r="B169" s="18" t="s">
        <v>283</v>
      </c>
      <c r="C169" s="12" t="s">
        <v>278</v>
      </c>
      <c r="D169" s="15" t="s">
        <v>92</v>
      </c>
      <c r="E169" s="712">
        <v>54000</v>
      </c>
    </row>
    <row r="170" customHeight="1" spans="1:5">
      <c r="A170" s="27">
        <v>29</v>
      </c>
      <c r="B170" s="18" t="s">
        <v>284</v>
      </c>
      <c r="C170" s="12" t="s">
        <v>285</v>
      </c>
      <c r="D170" s="15" t="s">
        <v>95</v>
      </c>
      <c r="E170" s="712">
        <v>54000</v>
      </c>
    </row>
    <row r="171" customHeight="1" spans="1:5">
      <c r="A171" s="27">
        <v>30</v>
      </c>
      <c r="B171" s="18" t="s">
        <v>286</v>
      </c>
      <c r="C171" s="12" t="s">
        <v>285</v>
      </c>
      <c r="D171" s="15" t="s">
        <v>95</v>
      </c>
      <c r="E171" s="712">
        <v>54000</v>
      </c>
    </row>
    <row r="172" customHeight="1" spans="1:5">
      <c r="A172" s="27">
        <v>31</v>
      </c>
      <c r="B172" s="11" t="s">
        <v>287</v>
      </c>
      <c r="C172" s="12" t="s">
        <v>288</v>
      </c>
      <c r="D172" s="15" t="s">
        <v>289</v>
      </c>
      <c r="E172" s="712">
        <v>36000</v>
      </c>
    </row>
    <row r="173" customHeight="1" spans="1:5">
      <c r="A173" s="27">
        <v>32</v>
      </c>
      <c r="B173" s="11" t="s">
        <v>290</v>
      </c>
      <c r="C173" s="12" t="s">
        <v>288</v>
      </c>
      <c r="D173" s="15" t="s">
        <v>289</v>
      </c>
      <c r="E173" s="712">
        <v>36000</v>
      </c>
    </row>
    <row r="174" customHeight="1" spans="1:5">
      <c r="A174" s="27">
        <v>33</v>
      </c>
      <c r="B174" s="11" t="s">
        <v>291</v>
      </c>
      <c r="C174" s="12" t="s">
        <v>288</v>
      </c>
      <c r="D174" s="15" t="s">
        <v>289</v>
      </c>
      <c r="E174" s="712">
        <v>36000</v>
      </c>
    </row>
    <row r="175" customHeight="1" spans="1:5">
      <c r="A175" s="27">
        <v>34</v>
      </c>
      <c r="B175" s="11" t="s">
        <v>292</v>
      </c>
      <c r="C175" s="12" t="s">
        <v>288</v>
      </c>
      <c r="D175" s="15" t="s">
        <v>289</v>
      </c>
      <c r="E175" s="712">
        <v>36000</v>
      </c>
    </row>
    <row r="176" customHeight="1" spans="1:5">
      <c r="A176" s="27">
        <v>35</v>
      </c>
      <c r="B176" s="11" t="s">
        <v>293</v>
      </c>
      <c r="C176" s="12" t="s">
        <v>288</v>
      </c>
      <c r="D176" s="15" t="s">
        <v>289</v>
      </c>
      <c r="E176" s="712">
        <v>36000</v>
      </c>
    </row>
    <row r="177" customHeight="1" spans="1:5">
      <c r="A177" s="27">
        <v>36</v>
      </c>
      <c r="B177" s="11" t="s">
        <v>294</v>
      </c>
      <c r="C177" s="12" t="s">
        <v>288</v>
      </c>
      <c r="D177" s="15" t="s">
        <v>295</v>
      </c>
      <c r="E177" s="712">
        <v>36000</v>
      </c>
    </row>
    <row r="178" customHeight="1" spans="1:5">
      <c r="A178" s="27">
        <v>37</v>
      </c>
      <c r="B178" s="11" t="s">
        <v>296</v>
      </c>
      <c r="C178" s="12" t="s">
        <v>288</v>
      </c>
      <c r="D178" s="15" t="s">
        <v>295</v>
      </c>
      <c r="E178" s="712">
        <v>36000</v>
      </c>
    </row>
    <row r="179" customHeight="1" spans="1:5">
      <c r="A179" s="27">
        <v>38</v>
      </c>
      <c r="B179" s="14" t="s">
        <v>297</v>
      </c>
      <c r="C179" s="12" t="s">
        <v>288</v>
      </c>
      <c r="D179" s="15" t="s">
        <v>295</v>
      </c>
      <c r="E179" s="712">
        <v>36000</v>
      </c>
    </row>
    <row r="180" customHeight="1" spans="1:5">
      <c r="A180" s="27">
        <v>39</v>
      </c>
      <c r="B180" s="11" t="s">
        <v>298</v>
      </c>
      <c r="C180" s="12" t="s">
        <v>288</v>
      </c>
      <c r="D180" s="15" t="s">
        <v>295</v>
      </c>
      <c r="E180" s="712">
        <v>36000</v>
      </c>
    </row>
    <row r="181" customHeight="1" spans="1:5">
      <c r="A181" s="27">
        <v>40</v>
      </c>
      <c r="B181" s="18" t="s">
        <v>299</v>
      </c>
      <c r="C181" s="12" t="s">
        <v>288</v>
      </c>
      <c r="D181" s="15" t="s">
        <v>295</v>
      </c>
      <c r="E181" s="712">
        <v>36000</v>
      </c>
    </row>
    <row r="182" customHeight="1" spans="1:5">
      <c r="A182" s="27">
        <v>41</v>
      </c>
      <c r="B182" s="18" t="s">
        <v>300</v>
      </c>
      <c r="C182" s="12" t="s">
        <v>288</v>
      </c>
      <c r="D182" s="15" t="s">
        <v>295</v>
      </c>
      <c r="E182" s="712">
        <v>36000</v>
      </c>
    </row>
    <row r="183" customHeight="1" spans="1:5">
      <c r="A183" s="27">
        <v>42</v>
      </c>
      <c r="B183" s="11" t="s">
        <v>301</v>
      </c>
      <c r="C183" s="12" t="s">
        <v>302</v>
      </c>
      <c r="D183" s="15" t="s">
        <v>303</v>
      </c>
      <c r="E183" s="712">
        <v>36000</v>
      </c>
    </row>
    <row r="184" customHeight="1" spans="1:5">
      <c r="A184" s="27">
        <v>43</v>
      </c>
      <c r="B184" s="11" t="s">
        <v>304</v>
      </c>
      <c r="C184" s="12" t="s">
        <v>302</v>
      </c>
      <c r="D184" s="15" t="s">
        <v>303</v>
      </c>
      <c r="E184" s="712">
        <v>36000</v>
      </c>
    </row>
    <row r="185" customHeight="1" spans="1:5">
      <c r="A185" s="27">
        <v>44</v>
      </c>
      <c r="B185" s="18" t="s">
        <v>305</v>
      </c>
      <c r="C185" s="12" t="s">
        <v>302</v>
      </c>
      <c r="D185" s="15" t="s">
        <v>306</v>
      </c>
      <c r="E185" s="712">
        <v>36000</v>
      </c>
    </row>
    <row r="186" customHeight="1" spans="1:5">
      <c r="A186" s="27">
        <v>45</v>
      </c>
      <c r="B186" s="11" t="s">
        <v>307</v>
      </c>
      <c r="C186" s="12" t="s">
        <v>302</v>
      </c>
      <c r="D186" s="15" t="s">
        <v>303</v>
      </c>
      <c r="E186" s="712">
        <v>36000</v>
      </c>
    </row>
    <row r="187" customHeight="1" spans="1:5">
      <c r="A187" s="27">
        <v>46</v>
      </c>
      <c r="B187" s="11" t="s">
        <v>309</v>
      </c>
      <c r="C187" s="12" t="s">
        <v>310</v>
      </c>
      <c r="D187" s="15" t="s">
        <v>311</v>
      </c>
      <c r="E187" s="712">
        <v>36000</v>
      </c>
    </row>
    <row r="188" customHeight="1" spans="1:5">
      <c r="A188" s="27">
        <v>47</v>
      </c>
      <c r="B188" s="11" t="s">
        <v>312</v>
      </c>
      <c r="C188" s="12" t="s">
        <v>310</v>
      </c>
      <c r="D188" s="15" t="s">
        <v>311</v>
      </c>
      <c r="E188" s="712">
        <v>36000</v>
      </c>
    </row>
    <row r="189" customHeight="1" spans="1:5">
      <c r="A189" s="27">
        <v>48</v>
      </c>
      <c r="B189" s="11" t="s">
        <v>313</v>
      </c>
      <c r="C189" s="12" t="s">
        <v>310</v>
      </c>
      <c r="D189" s="15" t="s">
        <v>311</v>
      </c>
      <c r="E189" s="712">
        <v>36000</v>
      </c>
    </row>
    <row r="190" customHeight="1" spans="1:5">
      <c r="A190" s="27">
        <v>49</v>
      </c>
      <c r="B190" s="11" t="s">
        <v>314</v>
      </c>
      <c r="C190" s="12" t="s">
        <v>310</v>
      </c>
      <c r="D190" s="15" t="s">
        <v>311</v>
      </c>
      <c r="E190" s="712">
        <v>36000</v>
      </c>
    </row>
    <row r="191" customHeight="1" spans="1:5">
      <c r="A191" s="27">
        <v>50</v>
      </c>
      <c r="B191" s="11" t="s">
        <v>315</v>
      </c>
      <c r="C191" s="12" t="s">
        <v>310</v>
      </c>
      <c r="D191" s="15" t="s">
        <v>311</v>
      </c>
      <c r="E191" s="712">
        <v>36000</v>
      </c>
    </row>
    <row r="192" customHeight="1" spans="1:5">
      <c r="A192" s="27">
        <v>51</v>
      </c>
      <c r="B192" s="18" t="s">
        <v>316</v>
      </c>
      <c r="C192" s="12" t="s">
        <v>310</v>
      </c>
      <c r="D192" s="15" t="s">
        <v>311</v>
      </c>
      <c r="E192" s="712">
        <v>36000</v>
      </c>
    </row>
    <row r="193" customHeight="1" spans="1:5">
      <c r="A193" s="27">
        <v>52</v>
      </c>
      <c r="B193" s="18" t="s">
        <v>317</v>
      </c>
      <c r="C193" s="12" t="s">
        <v>310</v>
      </c>
      <c r="D193" s="15" t="s">
        <v>311</v>
      </c>
      <c r="E193" s="712">
        <v>36000</v>
      </c>
    </row>
    <row r="194" customHeight="1" spans="1:5">
      <c r="A194" s="27">
        <v>53</v>
      </c>
      <c r="B194" s="11" t="s">
        <v>318</v>
      </c>
      <c r="C194" s="12" t="s">
        <v>308</v>
      </c>
      <c r="D194" s="15" t="s">
        <v>311</v>
      </c>
      <c r="E194" s="712">
        <v>36000</v>
      </c>
    </row>
    <row r="195" customHeight="1" spans="1:5">
      <c r="A195" s="27">
        <v>54</v>
      </c>
      <c r="B195" s="11" t="s">
        <v>319</v>
      </c>
      <c r="C195" s="12" t="s">
        <v>308</v>
      </c>
      <c r="D195" s="15" t="s">
        <v>311</v>
      </c>
      <c r="E195" s="712">
        <v>36000</v>
      </c>
    </row>
    <row r="196" customHeight="1" spans="1:5">
      <c r="A196" s="27">
        <v>55</v>
      </c>
      <c r="B196" s="18" t="s">
        <v>320</v>
      </c>
      <c r="C196" s="12" t="s">
        <v>321</v>
      </c>
      <c r="D196" s="15" t="s">
        <v>322</v>
      </c>
      <c r="E196" s="712">
        <v>36000</v>
      </c>
    </row>
    <row r="197" customHeight="1" spans="1:5">
      <c r="A197" s="27">
        <v>56</v>
      </c>
      <c r="B197" s="18" t="s">
        <v>323</v>
      </c>
      <c r="C197" s="12" t="s">
        <v>321</v>
      </c>
      <c r="D197" s="15" t="s">
        <v>324</v>
      </c>
      <c r="E197" s="712">
        <v>36000</v>
      </c>
    </row>
    <row r="198" customHeight="1" spans="1:5">
      <c r="A198" s="27">
        <v>57</v>
      </c>
      <c r="B198" s="18" t="s">
        <v>325</v>
      </c>
      <c r="C198" s="12" t="s">
        <v>302</v>
      </c>
      <c r="D198" s="15" t="s">
        <v>303</v>
      </c>
      <c r="E198" s="712">
        <v>36000</v>
      </c>
    </row>
    <row r="199" customHeight="1" spans="1:5">
      <c r="A199" s="27">
        <v>58</v>
      </c>
      <c r="B199" s="18" t="s">
        <v>326</v>
      </c>
      <c r="C199" s="12" t="s">
        <v>327</v>
      </c>
      <c r="D199" s="15" t="s">
        <v>328</v>
      </c>
      <c r="E199" s="712">
        <v>36000</v>
      </c>
    </row>
    <row r="200" customHeight="1" spans="1:5">
      <c r="A200" s="27">
        <v>59</v>
      </c>
      <c r="B200" s="18" t="s">
        <v>329</v>
      </c>
      <c r="C200" s="12" t="s">
        <v>327</v>
      </c>
      <c r="D200" s="15" t="s">
        <v>328</v>
      </c>
      <c r="E200" s="712">
        <v>36000</v>
      </c>
    </row>
    <row r="201" customHeight="1" spans="1:5">
      <c r="A201" s="27">
        <v>60</v>
      </c>
      <c r="B201" s="18" t="s">
        <v>330</v>
      </c>
      <c r="C201" s="12" t="s">
        <v>327</v>
      </c>
      <c r="D201" s="15" t="s">
        <v>328</v>
      </c>
      <c r="E201" s="712">
        <v>36000</v>
      </c>
    </row>
    <row r="202" customHeight="1" spans="1:5">
      <c r="A202" s="27">
        <v>61</v>
      </c>
      <c r="B202" s="18" t="s">
        <v>331</v>
      </c>
      <c r="C202" s="12" t="s">
        <v>332</v>
      </c>
      <c r="D202" s="15" t="s">
        <v>333</v>
      </c>
      <c r="E202" s="712">
        <v>36000</v>
      </c>
    </row>
    <row r="203" customHeight="1" spans="1:5">
      <c r="A203" s="27">
        <v>62</v>
      </c>
      <c r="B203" s="18" t="s">
        <v>334</v>
      </c>
      <c r="C203" s="12" t="s">
        <v>332</v>
      </c>
      <c r="D203" s="15" t="s">
        <v>333</v>
      </c>
      <c r="E203" s="712">
        <v>36000</v>
      </c>
    </row>
    <row r="204" ht="30.75" customHeight="1" spans="1:5">
      <c r="A204" s="27"/>
      <c r="B204" s="8" t="s">
        <v>96</v>
      </c>
      <c r="C204" s="28" t="s">
        <v>504</v>
      </c>
      <c r="D204" s="29"/>
      <c r="E204" s="707">
        <f>SUM(E142:E203)</f>
        <v>3578000</v>
      </c>
    </row>
    <row r="205" ht="33.95" customHeight="1" spans="1:5">
      <c r="A205" s="4"/>
      <c r="B205" s="30" t="s">
        <v>336</v>
      </c>
      <c r="C205" s="31">
        <f>C38+C45+C58+C63+C75+C84+C97+C104+C114+C126+C139+C204</f>
        <v>160</v>
      </c>
      <c r="D205" s="32"/>
      <c r="E205" s="717">
        <f>E204+E139+E126+E120+E114+E104+E97+E84+E75+E63+E58+E45+E38</f>
        <v>13744000</v>
      </c>
    </row>
    <row r="206" ht="38.25" customHeight="1" spans="2:5">
      <c r="B206" s="33"/>
      <c r="D206" s="34"/>
      <c r="E206" s="34"/>
    </row>
    <row r="207" ht="36.75" customHeight="1" spans="2:5">
      <c r="B207" s="33"/>
      <c r="C207" s="34"/>
      <c r="D207" s="34"/>
      <c r="E207" s="34"/>
    </row>
  </sheetData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2" sqref="A2:C9"/>
    </sheetView>
  </sheetViews>
  <sheetFormatPr defaultColWidth="8.70909090909091" defaultRowHeight="12.5" outlineLevelCol="2"/>
  <cols>
    <col min="1" max="1" width="6.85454545454545" customWidth="1"/>
    <col min="2" max="2" width="29" customWidth="1"/>
    <col min="3" max="3" width="14.5727272727273"/>
  </cols>
  <sheetData>
    <row r="1" ht="20.1" customHeight="1" spans="1:3">
      <c r="A1" s="719" t="s">
        <v>505</v>
      </c>
      <c r="B1" s="719"/>
      <c r="C1" s="719"/>
    </row>
    <row r="2" ht="23.1" customHeight="1" spans="1:3">
      <c r="A2" s="720">
        <v>1</v>
      </c>
      <c r="B2" s="720" t="s">
        <v>506</v>
      </c>
      <c r="C2" s="610">
        <f>'Christmas Welfare 2024'!E205</f>
        <v>13744000</v>
      </c>
    </row>
    <row r="3" ht="23.1" customHeight="1" spans="1:3">
      <c r="A3" s="720">
        <v>2</v>
      </c>
      <c r="B3" s="720" t="s">
        <v>507</v>
      </c>
      <c r="C3" s="610">
        <f>'[4]Christmas 2024'!$E$58</f>
        <v>1470000</v>
      </c>
    </row>
    <row r="4" ht="23.1" customHeight="1" spans="1:3">
      <c r="A4" s="720">
        <v>3</v>
      </c>
      <c r="B4" s="720" t="s">
        <v>508</v>
      </c>
      <c r="C4" s="610">
        <f>'[5]WELFARE CONTRACT '!$E$21</f>
        <v>1692000</v>
      </c>
    </row>
    <row r="5" ht="23.1" customHeight="1" spans="1:3">
      <c r="A5" s="720">
        <v>4</v>
      </c>
      <c r="B5" s="720" t="s">
        <v>509</v>
      </c>
      <c r="C5" s="610">
        <f>'[5]NEW CONTR WELFARE'!$E$31</f>
        <v>1676000</v>
      </c>
    </row>
    <row r="6" ht="23.1" customHeight="1" spans="1:3">
      <c r="A6" s="720">
        <v>5</v>
      </c>
      <c r="B6" s="720" t="s">
        <v>510</v>
      </c>
      <c r="C6" s="610">
        <f>'[5]WELFARE CAS. SABB. NYSC'!$D$68</f>
        <v>2259000</v>
      </c>
    </row>
    <row r="7" ht="23.1" customHeight="1" spans="1:3">
      <c r="A7" s="720">
        <v>6</v>
      </c>
      <c r="B7" s="720" t="s">
        <v>511</v>
      </c>
      <c r="C7" s="610">
        <f>'[5]WELFARE CONSULTANCY'!$D$30</f>
        <v>1656000</v>
      </c>
    </row>
    <row r="8" ht="23.1" customHeight="1" spans="1:3">
      <c r="A8" s="720">
        <v>7</v>
      </c>
      <c r="B8" s="720" t="s">
        <v>512</v>
      </c>
      <c r="C8" s="610">
        <f>'[5]WELFARE - OTHERS'!$C$95</f>
        <v>1555000</v>
      </c>
    </row>
    <row r="9" ht="23.1" customHeight="1" spans="1:3">
      <c r="A9" s="720"/>
      <c r="B9" s="265" t="s">
        <v>513</v>
      </c>
      <c r="C9" s="721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7"/>
  <sheetViews>
    <sheetView zoomScale="90" zoomScaleNormal="90"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N21" sqref="N21"/>
    </sheetView>
  </sheetViews>
  <sheetFormatPr defaultColWidth="9.13636363636364" defaultRowHeight="20.1" customHeight="1" outlineLevelCol="5"/>
  <cols>
    <col min="1" max="1" width="5.42727272727273" style="1" customWidth="1"/>
    <col min="2" max="2" width="39.1363636363636" style="1" customWidth="1"/>
    <col min="3" max="3" width="40.4272727272727" style="1" customWidth="1"/>
    <col min="4" max="4" width="12.7090909090909" style="1" customWidth="1"/>
    <col min="5" max="5" width="21.5727272727273" style="1" customWidth="1"/>
    <col min="6" max="6" width="20.7090909090909" style="1" customWidth="1"/>
    <col min="7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6">
      <c r="A2" s="350" t="s">
        <v>514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697" t="s">
        <v>9</v>
      </c>
      <c r="F4" s="698" t="s">
        <v>515</v>
      </c>
    </row>
    <row r="5" ht="17.25" customHeight="1" spans="3:6">
      <c r="C5" s="8"/>
      <c r="D5" s="8"/>
      <c r="E5" s="699" t="s">
        <v>19</v>
      </c>
      <c r="F5" s="700" t="s">
        <v>19</v>
      </c>
    </row>
    <row r="6" customHeight="1" spans="1:6">
      <c r="A6" s="9" t="s">
        <v>20</v>
      </c>
      <c r="B6" s="8" t="s">
        <v>21</v>
      </c>
      <c r="C6" s="8"/>
      <c r="D6" s="8"/>
      <c r="E6" s="699"/>
      <c r="F6" s="701"/>
    </row>
    <row r="7" customHeight="1" spans="1:6">
      <c r="A7" s="10">
        <v>1</v>
      </c>
      <c r="B7" s="11" t="s">
        <v>22</v>
      </c>
      <c r="C7" s="12" t="s">
        <v>23</v>
      </c>
      <c r="D7" s="12" t="s">
        <v>24</v>
      </c>
      <c r="E7" s="702">
        <v>1934986.167</v>
      </c>
      <c r="F7" s="703">
        <f>E7/2</f>
        <v>967493.0835</v>
      </c>
    </row>
    <row r="8" customHeight="1" spans="1:6">
      <c r="A8" s="10">
        <v>2</v>
      </c>
      <c r="B8" s="11" t="s">
        <v>25</v>
      </c>
      <c r="C8" s="12" t="s">
        <v>26</v>
      </c>
      <c r="D8" s="10" t="s">
        <v>27</v>
      </c>
      <c r="E8" s="702">
        <v>952373.166666667</v>
      </c>
      <c r="F8" s="703">
        <f t="shared" ref="F8:F37" si="0">E8/2</f>
        <v>476186.583333333</v>
      </c>
    </row>
    <row r="9" customHeight="1" spans="1:6">
      <c r="A9" s="10">
        <v>3</v>
      </c>
      <c r="B9" s="14" t="s">
        <v>28</v>
      </c>
      <c r="C9" s="4" t="s">
        <v>29</v>
      </c>
      <c r="D9" s="10" t="s">
        <v>27</v>
      </c>
      <c r="E9" s="702">
        <v>1152373.16666667</v>
      </c>
      <c r="F9" s="703">
        <f t="shared" si="0"/>
        <v>576186.583333335</v>
      </c>
    </row>
    <row r="10" customHeight="1" spans="1:6">
      <c r="A10" s="10">
        <v>4</v>
      </c>
      <c r="B10" s="11" t="s">
        <v>30</v>
      </c>
      <c r="C10" s="17" t="s">
        <v>31</v>
      </c>
      <c r="D10" s="10" t="s">
        <v>27</v>
      </c>
      <c r="E10" s="702">
        <v>942373.166666667</v>
      </c>
      <c r="F10" s="703">
        <f t="shared" si="0"/>
        <v>471186.583333333</v>
      </c>
    </row>
    <row r="11" customHeight="1" spans="1:6">
      <c r="A11" s="10">
        <v>5</v>
      </c>
      <c r="B11" s="14" t="s">
        <v>32</v>
      </c>
      <c r="C11" s="4" t="s">
        <v>33</v>
      </c>
      <c r="D11" s="10" t="s">
        <v>27</v>
      </c>
      <c r="E11" s="702">
        <v>1102373.16666667</v>
      </c>
      <c r="F11" s="703">
        <f t="shared" si="0"/>
        <v>551186.583333335</v>
      </c>
    </row>
    <row r="12" customHeight="1" spans="1:6">
      <c r="A12" s="10">
        <v>6</v>
      </c>
      <c r="B12" s="11" t="s">
        <v>34</v>
      </c>
      <c r="C12" s="12" t="s">
        <v>35</v>
      </c>
      <c r="D12" s="15" t="s">
        <v>36</v>
      </c>
      <c r="E12" s="702">
        <v>750675.583333333</v>
      </c>
      <c r="F12" s="703">
        <f t="shared" si="0"/>
        <v>375337.791666667</v>
      </c>
    </row>
    <row r="13" customHeight="1" spans="1:6">
      <c r="A13" s="10">
        <v>7</v>
      </c>
      <c r="B13" s="11" t="s">
        <v>37</v>
      </c>
      <c r="C13" s="4" t="s">
        <v>38</v>
      </c>
      <c r="D13" s="10" t="s">
        <v>39</v>
      </c>
      <c r="E13" s="702">
        <v>942118.083333333</v>
      </c>
      <c r="F13" s="703">
        <f t="shared" si="0"/>
        <v>471059.041666667</v>
      </c>
    </row>
    <row r="14" customHeight="1" spans="1:6">
      <c r="A14" s="10">
        <v>8</v>
      </c>
      <c r="B14" s="11" t="s">
        <v>40</v>
      </c>
      <c r="C14" s="4" t="s">
        <v>41</v>
      </c>
      <c r="D14" s="15" t="s">
        <v>42</v>
      </c>
      <c r="E14" s="702">
        <v>554373.75</v>
      </c>
      <c r="F14" s="703">
        <f t="shared" si="0"/>
        <v>277186.875</v>
      </c>
    </row>
    <row r="15" customHeight="1" spans="1:6">
      <c r="A15" s="10">
        <v>9</v>
      </c>
      <c r="B15" s="14" t="s">
        <v>43</v>
      </c>
      <c r="C15" s="17" t="s">
        <v>44</v>
      </c>
      <c r="D15" s="15" t="s">
        <v>39</v>
      </c>
      <c r="E15" s="702">
        <v>892118.083333333</v>
      </c>
      <c r="F15" s="703">
        <f t="shared" si="0"/>
        <v>446059.041666667</v>
      </c>
    </row>
    <row r="16" customHeight="1" spans="1:6">
      <c r="A16" s="10">
        <v>10</v>
      </c>
      <c r="B16" s="11" t="s">
        <v>45</v>
      </c>
      <c r="C16" s="4" t="s">
        <v>46</v>
      </c>
      <c r="D16" s="10" t="s">
        <v>47</v>
      </c>
      <c r="E16" s="702">
        <v>832746.5</v>
      </c>
      <c r="F16" s="703">
        <f t="shared" si="0"/>
        <v>416373.25</v>
      </c>
    </row>
    <row r="17" customHeight="1" spans="1:6">
      <c r="A17" s="10">
        <v>11</v>
      </c>
      <c r="B17" s="11" t="s">
        <v>48</v>
      </c>
      <c r="C17" s="4" t="s">
        <v>49</v>
      </c>
      <c r="D17" s="10" t="s">
        <v>39</v>
      </c>
      <c r="E17" s="702">
        <v>662118.083333333</v>
      </c>
      <c r="F17" s="703">
        <f t="shared" si="0"/>
        <v>331059.041666667</v>
      </c>
    </row>
    <row r="18" customHeight="1" spans="1:6">
      <c r="A18" s="10">
        <v>12</v>
      </c>
      <c r="B18" s="11" t="s">
        <v>50</v>
      </c>
      <c r="C18" s="12" t="s">
        <v>51</v>
      </c>
      <c r="D18" s="15" t="s">
        <v>52</v>
      </c>
      <c r="E18" s="702">
        <v>548915.916666667</v>
      </c>
      <c r="F18" s="703">
        <f t="shared" si="0"/>
        <v>274457.958333333</v>
      </c>
    </row>
    <row r="19" customHeight="1" spans="1:6">
      <c r="A19" s="10">
        <v>13</v>
      </c>
      <c r="B19" s="18" t="s">
        <v>53</v>
      </c>
      <c r="C19" s="4" t="s">
        <v>54</v>
      </c>
      <c r="D19" s="15" t="s">
        <v>55</v>
      </c>
      <c r="E19" s="702">
        <v>736026.916666667</v>
      </c>
      <c r="F19" s="703">
        <f t="shared" si="0"/>
        <v>368013.458333333</v>
      </c>
    </row>
    <row r="20" customHeight="1" spans="1:6">
      <c r="A20" s="10">
        <v>14</v>
      </c>
      <c r="B20" s="18" t="s">
        <v>56</v>
      </c>
      <c r="C20" s="4" t="s">
        <v>57</v>
      </c>
      <c r="D20" s="15" t="s">
        <v>58</v>
      </c>
      <c r="E20" s="704">
        <v>460248.916666667</v>
      </c>
      <c r="F20" s="703">
        <f t="shared" si="0"/>
        <v>230124.458333333</v>
      </c>
    </row>
    <row r="21" customHeight="1" spans="1:6">
      <c r="A21" s="10">
        <v>15</v>
      </c>
      <c r="B21" s="18" t="s">
        <v>59</v>
      </c>
      <c r="C21" s="4" t="s">
        <v>51</v>
      </c>
      <c r="D21" s="15" t="s">
        <v>58</v>
      </c>
      <c r="E21" s="704">
        <v>510248.916666667</v>
      </c>
      <c r="F21" s="703">
        <f t="shared" si="0"/>
        <v>255124.458333333</v>
      </c>
    </row>
    <row r="22" ht="18.75" customHeight="1" spans="1:6">
      <c r="A22" s="10">
        <v>16</v>
      </c>
      <c r="B22" s="11" t="s">
        <v>60</v>
      </c>
      <c r="C22" s="12" t="s">
        <v>61</v>
      </c>
      <c r="D22" s="15" t="s">
        <v>62</v>
      </c>
      <c r="E22" s="702">
        <v>587895.166666667</v>
      </c>
      <c r="F22" s="703">
        <f t="shared" si="0"/>
        <v>293947.583333333</v>
      </c>
    </row>
    <row r="23" customHeight="1" spans="1:6">
      <c r="A23" s="10">
        <v>17</v>
      </c>
      <c r="B23" s="14" t="s">
        <v>63</v>
      </c>
      <c r="C23" s="17" t="s">
        <v>64</v>
      </c>
      <c r="D23" s="10" t="s">
        <v>65</v>
      </c>
      <c r="E23" s="702">
        <v>653512.5</v>
      </c>
      <c r="F23" s="703">
        <f t="shared" si="0"/>
        <v>326756.25</v>
      </c>
    </row>
    <row r="24" ht="21.6" customHeight="1" spans="1:6">
      <c r="A24" s="10">
        <v>18</v>
      </c>
      <c r="B24" s="11" t="s">
        <v>66</v>
      </c>
      <c r="C24" s="17" t="s">
        <v>67</v>
      </c>
      <c r="D24" s="15" t="s">
        <v>65</v>
      </c>
      <c r="E24" s="702">
        <v>463512.5</v>
      </c>
      <c r="F24" s="703">
        <f t="shared" si="0"/>
        <v>231756.25</v>
      </c>
    </row>
    <row r="25" customHeight="1" spans="1:6">
      <c r="A25" s="10">
        <v>19</v>
      </c>
      <c r="B25" s="14" t="s">
        <v>68</v>
      </c>
      <c r="C25" s="17" t="s">
        <v>69</v>
      </c>
      <c r="D25" s="10" t="s">
        <v>70</v>
      </c>
      <c r="E25" s="702">
        <v>553029.666666667</v>
      </c>
      <c r="F25" s="703">
        <f t="shared" si="0"/>
        <v>276514.833333333</v>
      </c>
    </row>
    <row r="26" customHeight="1" spans="1:6">
      <c r="A26" s="10">
        <v>20</v>
      </c>
      <c r="B26" s="14" t="s">
        <v>71</v>
      </c>
      <c r="C26" s="17" t="s">
        <v>72</v>
      </c>
      <c r="D26" s="10" t="s">
        <v>70</v>
      </c>
      <c r="E26" s="702">
        <v>353029.666666667</v>
      </c>
      <c r="F26" s="703">
        <f t="shared" si="0"/>
        <v>176514.833333333</v>
      </c>
    </row>
    <row r="27" ht="18.75" customHeight="1" spans="1:6">
      <c r="A27" s="10">
        <v>21</v>
      </c>
      <c r="B27" s="4" t="s">
        <v>73</v>
      </c>
      <c r="C27" s="4" t="s">
        <v>74</v>
      </c>
      <c r="D27" s="10" t="s">
        <v>75</v>
      </c>
      <c r="E27" s="702">
        <v>330481.666666667</v>
      </c>
      <c r="F27" s="703">
        <f t="shared" si="0"/>
        <v>165240.833333333</v>
      </c>
    </row>
    <row r="28" ht="18.75" customHeight="1" spans="1:6">
      <c r="A28" s="10">
        <v>22</v>
      </c>
      <c r="B28" s="18" t="s">
        <v>76</v>
      </c>
      <c r="C28" s="12" t="s">
        <v>74</v>
      </c>
      <c r="D28" s="15" t="s">
        <v>75</v>
      </c>
      <c r="E28" s="702">
        <v>330481.666666667</v>
      </c>
      <c r="F28" s="703">
        <f t="shared" si="0"/>
        <v>165240.833333333</v>
      </c>
    </row>
    <row r="29" customHeight="1" spans="1:6">
      <c r="A29" s="10">
        <v>23</v>
      </c>
      <c r="B29" s="11" t="s">
        <v>77</v>
      </c>
      <c r="C29" s="17" t="s">
        <v>64</v>
      </c>
      <c r="D29" s="10" t="s">
        <v>75</v>
      </c>
      <c r="E29" s="702">
        <v>370481.666666667</v>
      </c>
      <c r="F29" s="703">
        <f t="shared" si="0"/>
        <v>185240.833333333</v>
      </c>
    </row>
    <row r="30" ht="18.75" customHeight="1" spans="1:6">
      <c r="A30" s="10">
        <v>24</v>
      </c>
      <c r="B30" s="18" t="s">
        <v>78</v>
      </c>
      <c r="C30" s="12" t="s">
        <v>79</v>
      </c>
      <c r="D30" s="15" t="s">
        <v>80</v>
      </c>
      <c r="E30" s="702">
        <v>323165.333333333</v>
      </c>
      <c r="F30" s="703">
        <f t="shared" si="0"/>
        <v>161582.666666667</v>
      </c>
    </row>
    <row r="31" ht="18.75" customHeight="1" spans="1:6">
      <c r="A31" s="10">
        <v>25</v>
      </c>
      <c r="B31" s="18" t="s">
        <v>81</v>
      </c>
      <c r="C31" s="4" t="s">
        <v>82</v>
      </c>
      <c r="D31" s="10" t="s">
        <v>83</v>
      </c>
      <c r="E31" s="702">
        <v>315849</v>
      </c>
      <c r="F31" s="703">
        <f t="shared" si="0"/>
        <v>157924.5</v>
      </c>
    </row>
    <row r="32" ht="18.75" customHeight="1" spans="1:6">
      <c r="A32" s="10">
        <v>26</v>
      </c>
      <c r="B32" s="18" t="s">
        <v>84</v>
      </c>
      <c r="C32" s="4" t="s">
        <v>82</v>
      </c>
      <c r="D32" s="10" t="s">
        <v>83</v>
      </c>
      <c r="E32" s="702">
        <v>315849</v>
      </c>
      <c r="F32" s="703">
        <f t="shared" si="0"/>
        <v>157924.5</v>
      </c>
    </row>
    <row r="33" ht="18.75" customHeight="1" spans="1:6">
      <c r="A33" s="10">
        <v>27</v>
      </c>
      <c r="B33" s="18" t="s">
        <v>85</v>
      </c>
      <c r="C33" s="17" t="s">
        <v>86</v>
      </c>
      <c r="D33" s="15" t="s">
        <v>75</v>
      </c>
      <c r="E33" s="702">
        <v>330481.666666667</v>
      </c>
      <c r="F33" s="703">
        <f t="shared" si="0"/>
        <v>165240.833333333</v>
      </c>
    </row>
    <row r="34" ht="18.75" customHeight="1" spans="1:6">
      <c r="A34" s="10">
        <v>28</v>
      </c>
      <c r="B34" s="18" t="s">
        <v>87</v>
      </c>
      <c r="C34" s="4" t="s">
        <v>74</v>
      </c>
      <c r="D34" s="10" t="s">
        <v>83</v>
      </c>
      <c r="E34" s="702">
        <v>315849</v>
      </c>
      <c r="F34" s="703">
        <f t="shared" si="0"/>
        <v>157924.5</v>
      </c>
    </row>
    <row r="35" ht="18.75" customHeight="1" spans="1:6">
      <c r="A35" s="10">
        <v>29</v>
      </c>
      <c r="B35" s="18" t="s">
        <v>88</v>
      </c>
      <c r="C35" s="4" t="s">
        <v>89</v>
      </c>
      <c r="D35" s="10" t="s">
        <v>83</v>
      </c>
      <c r="E35" s="702">
        <v>315849</v>
      </c>
      <c r="F35" s="703">
        <f t="shared" si="0"/>
        <v>157924.5</v>
      </c>
    </row>
    <row r="36" ht="18.75" customHeight="1" spans="1:6">
      <c r="A36" s="10">
        <v>30</v>
      </c>
      <c r="B36" s="18" t="s">
        <v>90</v>
      </c>
      <c r="C36" s="12" t="s">
        <v>91</v>
      </c>
      <c r="D36" s="15" t="s">
        <v>92</v>
      </c>
      <c r="E36" s="702">
        <v>274459.75</v>
      </c>
      <c r="F36" s="703">
        <f t="shared" si="0"/>
        <v>137229.875</v>
      </c>
    </row>
    <row r="37" ht="18.75" customHeight="1" spans="1:6">
      <c r="A37" s="10">
        <v>31</v>
      </c>
      <c r="B37" s="18" t="s">
        <v>93</v>
      </c>
      <c r="C37" s="12" t="s">
        <v>94</v>
      </c>
      <c r="D37" s="15" t="s">
        <v>95</v>
      </c>
      <c r="E37" s="704">
        <v>268287.583333333</v>
      </c>
      <c r="F37" s="703">
        <f t="shared" si="0"/>
        <v>134143.791666667</v>
      </c>
    </row>
    <row r="38" ht="26.25" customHeight="1" spans="1:6">
      <c r="A38" s="10"/>
      <c r="B38" s="20" t="s">
        <v>96</v>
      </c>
      <c r="C38" s="21">
        <v>31</v>
      </c>
      <c r="D38" s="15"/>
      <c r="E38" s="705">
        <v>19076284.417</v>
      </c>
      <c r="F38" s="706">
        <f>SUM(F7:F37)</f>
        <v>9538142.20850001</v>
      </c>
    </row>
    <row r="39" ht="18.75" customHeight="1" spans="1:6">
      <c r="A39" s="10"/>
      <c r="B39" s="22"/>
      <c r="C39" s="4"/>
      <c r="D39" s="15"/>
      <c r="E39" s="705"/>
      <c r="F39" s="706"/>
    </row>
    <row r="40" ht="18.75" customHeight="1" spans="1:6">
      <c r="A40" s="10"/>
      <c r="B40" s="20" t="s">
        <v>97</v>
      </c>
      <c r="C40" s="4"/>
      <c r="D40" s="15"/>
      <c r="E40" s="702"/>
      <c r="F40" s="703"/>
    </row>
    <row r="41" ht="18.75" customHeight="1" spans="1:6">
      <c r="A41" s="10">
        <v>1</v>
      </c>
      <c r="B41" s="18" t="s">
        <v>98</v>
      </c>
      <c r="C41" s="4" t="s">
        <v>99</v>
      </c>
      <c r="D41" s="10" t="s">
        <v>100</v>
      </c>
      <c r="E41" s="702">
        <v>1535720</v>
      </c>
      <c r="F41" s="703">
        <f>E41/2</f>
        <v>767860</v>
      </c>
    </row>
    <row r="42" ht="18.75" customHeight="1" spans="1:6">
      <c r="A42" s="10">
        <v>2</v>
      </c>
      <c r="B42" s="18" t="s">
        <v>101</v>
      </c>
      <c r="C42" s="4" t="s">
        <v>102</v>
      </c>
      <c r="D42" s="10" t="s">
        <v>70</v>
      </c>
      <c r="E42" s="702">
        <v>353029.666666667</v>
      </c>
      <c r="F42" s="703">
        <f>E42/2</f>
        <v>176514.833333333</v>
      </c>
    </row>
    <row r="43" ht="18.75" customHeight="1" spans="1:6">
      <c r="A43" s="10">
        <v>3</v>
      </c>
      <c r="B43" s="11" t="s">
        <v>103</v>
      </c>
      <c r="C43" s="4" t="s">
        <v>102</v>
      </c>
      <c r="D43" s="15" t="s">
        <v>104</v>
      </c>
      <c r="E43" s="702">
        <v>360965.583333333</v>
      </c>
      <c r="F43" s="703">
        <f>E43/2</f>
        <v>180482.791666667</v>
      </c>
    </row>
    <row r="44" ht="18.75" customHeight="1" spans="1:6">
      <c r="A44" s="10">
        <v>4</v>
      </c>
      <c r="B44" s="11" t="s">
        <v>105</v>
      </c>
      <c r="C44" s="4" t="s">
        <v>106</v>
      </c>
      <c r="D44" s="15" t="s">
        <v>83</v>
      </c>
      <c r="E44" s="704">
        <v>315849</v>
      </c>
      <c r="F44" s="703">
        <f>E44/2</f>
        <v>157924.5</v>
      </c>
    </row>
    <row r="45" ht="19.5" customHeight="1" spans="1:6">
      <c r="A45" s="10"/>
      <c r="B45" s="14"/>
      <c r="C45" s="21">
        <v>4</v>
      </c>
      <c r="D45" s="10"/>
      <c r="E45" s="705">
        <v>2565564.25</v>
      </c>
      <c r="F45" s="706">
        <f>SUM(F41:F44)</f>
        <v>1282782.125</v>
      </c>
    </row>
    <row r="46" customHeight="1" spans="1:6">
      <c r="A46" s="10"/>
      <c r="B46" s="14"/>
      <c r="C46" s="4"/>
      <c r="D46" s="10"/>
      <c r="E46" s="705"/>
      <c r="F46" s="706"/>
    </row>
    <row r="47" customHeight="1" spans="1:6">
      <c r="A47" s="10"/>
      <c r="B47" s="23" t="s">
        <v>107</v>
      </c>
      <c r="C47" s="5"/>
      <c r="D47" s="24"/>
      <c r="E47" s="705"/>
      <c r="F47" s="706"/>
    </row>
    <row r="48" customHeight="1" spans="1:6">
      <c r="A48" s="10">
        <v>1</v>
      </c>
      <c r="B48" s="11" t="s">
        <v>501</v>
      </c>
      <c r="C48" s="4" t="s">
        <v>502</v>
      </c>
      <c r="D48" s="10" t="s">
        <v>100</v>
      </c>
      <c r="E48" s="702">
        <f>'MARCH 2025'!J59</f>
        <v>1635720</v>
      </c>
      <c r="F48" s="703">
        <f>E48/2</f>
        <v>817860</v>
      </c>
    </row>
    <row r="49" customHeight="1" spans="1:6">
      <c r="A49" s="10">
        <v>2</v>
      </c>
      <c r="B49" s="11" t="s">
        <v>491</v>
      </c>
      <c r="C49" s="4" t="s">
        <v>44</v>
      </c>
      <c r="D49" s="10" t="s">
        <v>36</v>
      </c>
      <c r="E49" s="702">
        <v>0</v>
      </c>
      <c r="F49" s="703">
        <f t="shared" ref="F49:F57" si="1">E49/2</f>
        <v>0</v>
      </c>
    </row>
    <row r="50" customHeight="1" spans="1:6">
      <c r="A50" s="10">
        <v>3</v>
      </c>
      <c r="B50" s="11" t="s">
        <v>108</v>
      </c>
      <c r="C50" s="4" t="s">
        <v>109</v>
      </c>
      <c r="D50" s="10" t="s">
        <v>110</v>
      </c>
      <c r="E50" s="702">
        <v>919203.583333333</v>
      </c>
      <c r="F50" s="703">
        <f t="shared" si="1"/>
        <v>459601.791666667</v>
      </c>
    </row>
    <row r="51" customHeight="1" spans="1:6">
      <c r="A51" s="10">
        <v>4</v>
      </c>
      <c r="B51" s="11" t="s">
        <v>111</v>
      </c>
      <c r="C51" s="4" t="s">
        <v>112</v>
      </c>
      <c r="D51" s="10" t="s">
        <v>36</v>
      </c>
      <c r="E51" s="702">
        <v>780675.583333333</v>
      </c>
      <c r="F51" s="703">
        <f t="shared" si="1"/>
        <v>390337.791666667</v>
      </c>
    </row>
    <row r="52" customHeight="1" spans="1:6">
      <c r="A52" s="10">
        <v>5</v>
      </c>
      <c r="B52" s="11" t="s">
        <v>113</v>
      </c>
      <c r="C52" s="4" t="s">
        <v>112</v>
      </c>
      <c r="D52" s="10" t="s">
        <v>36</v>
      </c>
      <c r="E52" s="702">
        <v>780675.583333333</v>
      </c>
      <c r="F52" s="703">
        <f t="shared" si="1"/>
        <v>390337.791666667</v>
      </c>
    </row>
    <row r="53" customHeight="1" spans="1:6">
      <c r="A53" s="10">
        <v>6</v>
      </c>
      <c r="B53" s="11" t="s">
        <v>114</v>
      </c>
      <c r="C53" s="4" t="s">
        <v>112</v>
      </c>
      <c r="D53" s="10" t="s">
        <v>39</v>
      </c>
      <c r="E53" s="702">
        <v>742118.083333333</v>
      </c>
      <c r="F53" s="703">
        <f t="shared" si="1"/>
        <v>371059.041666667</v>
      </c>
    </row>
    <row r="54" customHeight="1" spans="1:6">
      <c r="A54" s="10">
        <v>7</v>
      </c>
      <c r="B54" s="14" t="s">
        <v>115</v>
      </c>
      <c r="C54" s="4" t="s">
        <v>112</v>
      </c>
      <c r="D54" s="10" t="s">
        <v>39</v>
      </c>
      <c r="E54" s="702">
        <v>742118.083333333</v>
      </c>
      <c r="F54" s="703">
        <f t="shared" si="1"/>
        <v>371059.041666667</v>
      </c>
    </row>
    <row r="55" customHeight="1" spans="1:6">
      <c r="A55" s="10">
        <v>8</v>
      </c>
      <c r="B55" s="11" t="s">
        <v>116</v>
      </c>
      <c r="C55" s="4" t="s">
        <v>117</v>
      </c>
      <c r="D55" s="10" t="s">
        <v>104</v>
      </c>
      <c r="E55" s="702">
        <v>400965.583333333</v>
      </c>
      <c r="F55" s="703">
        <f t="shared" si="1"/>
        <v>200482.791666667</v>
      </c>
    </row>
    <row r="56" customHeight="1" spans="1:6">
      <c r="A56" s="10">
        <v>9</v>
      </c>
      <c r="B56" s="11" t="s">
        <v>118</v>
      </c>
      <c r="C56" s="4" t="s">
        <v>117</v>
      </c>
      <c r="D56" s="10" t="s">
        <v>80</v>
      </c>
      <c r="E56" s="702">
        <v>363165.333333333</v>
      </c>
      <c r="F56" s="703">
        <f t="shared" si="1"/>
        <v>181582.666666667</v>
      </c>
    </row>
    <row r="57" customHeight="1" spans="1:6">
      <c r="A57" s="10">
        <v>10</v>
      </c>
      <c r="B57" s="11" t="s">
        <v>119</v>
      </c>
      <c r="C57" s="4" t="s">
        <v>117</v>
      </c>
      <c r="D57" s="10" t="s">
        <v>80</v>
      </c>
      <c r="E57" s="702">
        <v>363165.333333333</v>
      </c>
      <c r="F57" s="703">
        <f t="shared" si="1"/>
        <v>181582.666666667</v>
      </c>
    </row>
    <row r="58" ht="25.5" customHeight="1" spans="1:6">
      <c r="A58" s="10"/>
      <c r="B58" s="20" t="s">
        <v>96</v>
      </c>
      <c r="C58" s="21">
        <v>10</v>
      </c>
      <c r="D58" s="21"/>
      <c r="E58" s="707">
        <f>SUM(E48:E57)</f>
        <v>6727807.16666666</v>
      </c>
      <c r="F58" s="708">
        <f>SUM(F48:F57)</f>
        <v>3363903.58333333</v>
      </c>
    </row>
    <row r="59" customHeight="1" spans="1:6">
      <c r="A59" s="10"/>
      <c r="B59" s="22"/>
      <c r="C59" s="21"/>
      <c r="D59" s="21"/>
      <c r="E59" s="709"/>
      <c r="F59" s="710"/>
    </row>
    <row r="60" customHeight="1" spans="1:6">
      <c r="A60" s="10"/>
      <c r="B60" s="20" t="s">
        <v>120</v>
      </c>
      <c r="C60" s="21"/>
      <c r="D60" s="21"/>
      <c r="E60" s="709"/>
      <c r="F60" s="710"/>
    </row>
    <row r="61" customHeight="1" spans="1:6">
      <c r="A61" s="10">
        <v>1</v>
      </c>
      <c r="B61" s="11" t="s">
        <v>503</v>
      </c>
      <c r="C61" s="12" t="s">
        <v>122</v>
      </c>
      <c r="D61" s="15" t="s">
        <v>100</v>
      </c>
      <c r="E61" s="702">
        <v>1635720</v>
      </c>
      <c r="F61" s="703">
        <f>E61/2</f>
        <v>817860</v>
      </c>
    </row>
    <row r="62" customHeight="1" spans="1:6">
      <c r="A62" s="10">
        <v>2</v>
      </c>
      <c r="B62" s="11" t="s">
        <v>123</v>
      </c>
      <c r="C62" s="12" t="s">
        <v>124</v>
      </c>
      <c r="D62" s="15" t="s">
        <v>125</v>
      </c>
      <c r="E62" s="702">
        <v>700675.583333333</v>
      </c>
      <c r="F62" s="703">
        <f>E62/2</f>
        <v>350337.791666667</v>
      </c>
    </row>
    <row r="63" customHeight="1" spans="1:6">
      <c r="A63" s="10"/>
      <c r="B63" s="20" t="s">
        <v>96</v>
      </c>
      <c r="C63" s="21">
        <v>2</v>
      </c>
      <c r="D63" s="21"/>
      <c r="E63" s="707">
        <v>700675.583333333</v>
      </c>
      <c r="F63" s="708">
        <f>SUM(F61:F62)</f>
        <v>1168197.79166667</v>
      </c>
    </row>
    <row r="64" customHeight="1" spans="1:6">
      <c r="A64" s="10"/>
      <c r="B64" s="20"/>
      <c r="C64" s="21"/>
      <c r="D64" s="21"/>
      <c r="E64" s="709"/>
      <c r="F64" s="710"/>
    </row>
    <row r="65" customHeight="1" spans="1:6">
      <c r="A65" s="10"/>
      <c r="B65" s="20" t="s">
        <v>126</v>
      </c>
      <c r="C65" s="21"/>
      <c r="D65" s="21"/>
      <c r="E65" s="709"/>
      <c r="F65" s="710"/>
    </row>
    <row r="66" customHeight="1" spans="1:6">
      <c r="A66" s="10">
        <v>1</v>
      </c>
      <c r="B66" s="11" t="s">
        <v>127</v>
      </c>
      <c r="C66" s="17" t="s">
        <v>128</v>
      </c>
      <c r="D66" s="10" t="s">
        <v>100</v>
      </c>
      <c r="E66" s="702">
        <v>1635720</v>
      </c>
      <c r="F66" s="703">
        <f>E66/2</f>
        <v>817860</v>
      </c>
    </row>
    <row r="67" customHeight="1" spans="1:6">
      <c r="A67" s="10">
        <v>2</v>
      </c>
      <c r="B67" s="351" t="s">
        <v>129</v>
      </c>
      <c r="C67" s="17" t="s">
        <v>130</v>
      </c>
      <c r="D67" s="15" t="s">
        <v>131</v>
      </c>
      <c r="E67" s="702">
        <v>761396.833333333</v>
      </c>
      <c r="F67" s="703">
        <f t="shared" ref="F67:F74" si="2">E67/2</f>
        <v>380698.416666667</v>
      </c>
    </row>
    <row r="68" customHeight="1" spans="1:6">
      <c r="A68" s="10">
        <v>3</v>
      </c>
      <c r="B68" s="11" t="s">
        <v>132</v>
      </c>
      <c r="C68" s="4" t="s">
        <v>133</v>
      </c>
      <c r="D68" s="10" t="s">
        <v>47</v>
      </c>
      <c r="E68" s="702">
        <v>582746.5</v>
      </c>
      <c r="F68" s="703">
        <f t="shared" si="2"/>
        <v>291373.25</v>
      </c>
    </row>
    <row r="69" customHeight="1" spans="1:6">
      <c r="A69" s="10">
        <v>4</v>
      </c>
      <c r="B69" s="18" t="s">
        <v>486</v>
      </c>
      <c r="C69" s="17" t="s">
        <v>165</v>
      </c>
      <c r="D69" s="15" t="s">
        <v>52</v>
      </c>
      <c r="E69" s="702">
        <v>0</v>
      </c>
      <c r="F69" s="703">
        <f t="shared" si="2"/>
        <v>0</v>
      </c>
    </row>
    <row r="70" customHeight="1" spans="1:6">
      <c r="A70" s="10">
        <v>7</v>
      </c>
      <c r="B70" s="11" t="s">
        <v>134</v>
      </c>
      <c r="C70" s="4" t="s">
        <v>117</v>
      </c>
      <c r="D70" s="10" t="s">
        <v>135</v>
      </c>
      <c r="E70" s="702">
        <v>475703.833333333</v>
      </c>
      <c r="F70" s="703">
        <f t="shared" si="2"/>
        <v>237851.916666667</v>
      </c>
    </row>
    <row r="71" customHeight="1" spans="1:6">
      <c r="A71" s="10">
        <v>8</v>
      </c>
      <c r="B71" s="11" t="s">
        <v>136</v>
      </c>
      <c r="C71" s="17" t="s">
        <v>67</v>
      </c>
      <c r="D71" s="10" t="s">
        <v>135</v>
      </c>
      <c r="E71" s="702">
        <v>475703.833333333</v>
      </c>
      <c r="F71" s="703">
        <f t="shared" si="2"/>
        <v>237851.916666667</v>
      </c>
    </row>
    <row r="72" customHeight="1" spans="1:6">
      <c r="A72" s="10">
        <v>9</v>
      </c>
      <c r="B72" s="11" t="s">
        <v>137</v>
      </c>
      <c r="C72" s="17" t="s">
        <v>67</v>
      </c>
      <c r="D72" s="10" t="s">
        <v>135</v>
      </c>
      <c r="E72" s="702">
        <v>475703.833333333</v>
      </c>
      <c r="F72" s="703">
        <f t="shared" si="2"/>
        <v>237851.916666667</v>
      </c>
    </row>
    <row r="73" customHeight="1" spans="1:6">
      <c r="A73" s="10">
        <v>10</v>
      </c>
      <c r="B73" s="11" t="s">
        <v>138</v>
      </c>
      <c r="C73" s="4" t="s">
        <v>139</v>
      </c>
      <c r="D73" s="10" t="s">
        <v>62</v>
      </c>
      <c r="E73" s="711">
        <v>487895.166666667</v>
      </c>
      <c r="F73" s="703">
        <f t="shared" si="2"/>
        <v>243947.583333333</v>
      </c>
    </row>
    <row r="74" ht="21.6" customHeight="1" spans="1:6">
      <c r="A74" s="10">
        <v>11</v>
      </c>
      <c r="B74" s="11" t="s">
        <v>140</v>
      </c>
      <c r="C74" s="4" t="s">
        <v>117</v>
      </c>
      <c r="D74" s="10" t="s">
        <v>104</v>
      </c>
      <c r="E74" s="712">
        <v>400965.583333333</v>
      </c>
      <c r="F74" s="703">
        <f t="shared" si="2"/>
        <v>200482.791666667</v>
      </c>
    </row>
    <row r="75" ht="27" customHeight="1" spans="1:6">
      <c r="A75" s="10"/>
      <c r="B75" s="20" t="s">
        <v>96</v>
      </c>
      <c r="C75" s="21">
        <v>11</v>
      </c>
      <c r="D75" s="21"/>
      <c r="E75" s="707">
        <v>5295835.58333333</v>
      </c>
      <c r="F75" s="708">
        <f>SUM(F66:F74)</f>
        <v>2647917.79166667</v>
      </c>
    </row>
    <row r="76" customHeight="1" spans="1:6">
      <c r="A76" s="10"/>
      <c r="B76" s="22"/>
      <c r="C76" s="21"/>
      <c r="D76" s="21"/>
      <c r="E76" s="709"/>
      <c r="F76" s="710"/>
    </row>
    <row r="77" customHeight="1" spans="1:6">
      <c r="A77" s="10"/>
      <c r="B77" s="20" t="s">
        <v>141</v>
      </c>
      <c r="C77" s="21"/>
      <c r="D77" s="21"/>
      <c r="E77" s="709"/>
      <c r="F77" s="710"/>
    </row>
    <row r="78" customHeight="1" spans="1:6">
      <c r="A78" s="10">
        <v>1</v>
      </c>
      <c r="B78" s="11" t="s">
        <v>142</v>
      </c>
      <c r="C78" s="4" t="s">
        <v>143</v>
      </c>
      <c r="D78" s="10" t="s">
        <v>100</v>
      </c>
      <c r="E78" s="702">
        <v>1635720</v>
      </c>
      <c r="F78" s="703">
        <f t="shared" ref="F78:F83" si="3">E78/2</f>
        <v>817860</v>
      </c>
    </row>
    <row r="79" customHeight="1" spans="1:6">
      <c r="A79" s="10">
        <v>2</v>
      </c>
      <c r="B79" s="11" t="s">
        <v>144</v>
      </c>
      <c r="C79" s="4" t="s">
        <v>145</v>
      </c>
      <c r="D79" s="10" t="s">
        <v>39</v>
      </c>
      <c r="E79" s="702">
        <v>742118.083333333</v>
      </c>
      <c r="F79" s="703">
        <f t="shared" si="3"/>
        <v>371059.041666667</v>
      </c>
    </row>
    <row r="80" customHeight="1" spans="1:6">
      <c r="A80" s="10">
        <v>3</v>
      </c>
      <c r="B80" s="11" t="s">
        <v>146</v>
      </c>
      <c r="C80" s="4" t="s">
        <v>147</v>
      </c>
      <c r="D80" s="15" t="s">
        <v>148</v>
      </c>
      <c r="E80" s="702">
        <v>596622.25</v>
      </c>
      <c r="F80" s="703">
        <f t="shared" si="3"/>
        <v>298311.125</v>
      </c>
    </row>
    <row r="81" customHeight="1" spans="1:6">
      <c r="A81" s="10">
        <v>4</v>
      </c>
      <c r="B81" s="11" t="s">
        <v>149</v>
      </c>
      <c r="C81" s="4" t="s">
        <v>150</v>
      </c>
      <c r="D81" s="10" t="s">
        <v>65</v>
      </c>
      <c r="E81" s="702">
        <v>463512.5</v>
      </c>
      <c r="F81" s="703">
        <f t="shared" si="3"/>
        <v>231756.25</v>
      </c>
    </row>
    <row r="82" customHeight="1" spans="1:6">
      <c r="A82" s="10">
        <v>5</v>
      </c>
      <c r="B82" s="11" t="s">
        <v>151</v>
      </c>
      <c r="C82" s="4" t="s">
        <v>152</v>
      </c>
      <c r="D82" s="10" t="s">
        <v>80</v>
      </c>
      <c r="E82" s="702">
        <v>363165.333333333</v>
      </c>
      <c r="F82" s="703">
        <f t="shared" si="3"/>
        <v>181582.666666667</v>
      </c>
    </row>
    <row r="83" customHeight="1" spans="1:6">
      <c r="A83" s="10">
        <v>6</v>
      </c>
      <c r="B83" s="11" t="s">
        <v>153</v>
      </c>
      <c r="C83" s="4" t="s">
        <v>154</v>
      </c>
      <c r="D83" s="10" t="s">
        <v>92</v>
      </c>
      <c r="E83" s="702">
        <v>324459.75</v>
      </c>
      <c r="F83" s="703">
        <f t="shared" si="3"/>
        <v>162229.875</v>
      </c>
    </row>
    <row r="84" ht="24" customHeight="1" spans="1:6">
      <c r="A84" s="10"/>
      <c r="B84" s="20" t="s">
        <v>96</v>
      </c>
      <c r="C84" s="21">
        <v>6</v>
      </c>
      <c r="D84" s="21"/>
      <c r="E84" s="707">
        <v>4125597.91666667</v>
      </c>
      <c r="F84" s="708">
        <f>SUM(F78:F83)</f>
        <v>2062798.95833333</v>
      </c>
    </row>
    <row r="85" customHeight="1" spans="1:6">
      <c r="A85" s="10"/>
      <c r="B85" s="20"/>
      <c r="C85" s="21"/>
      <c r="D85" s="21"/>
      <c r="E85" s="709"/>
      <c r="F85" s="710"/>
    </row>
    <row r="86" customHeight="1" spans="1:6">
      <c r="A86" s="10"/>
      <c r="B86" s="20" t="s">
        <v>155</v>
      </c>
      <c r="C86" s="25"/>
      <c r="D86" s="21"/>
      <c r="E86" s="709"/>
      <c r="F86" s="710"/>
    </row>
    <row r="87" customHeight="1" spans="1:6">
      <c r="A87" s="10">
        <v>1</v>
      </c>
      <c r="B87" s="11" t="s">
        <v>156</v>
      </c>
      <c r="C87" s="4" t="s">
        <v>112</v>
      </c>
      <c r="D87" s="10" t="s">
        <v>36</v>
      </c>
      <c r="E87" s="702">
        <v>980675.583333333</v>
      </c>
      <c r="F87" s="703">
        <f>E87/2</f>
        <v>490337.791666667</v>
      </c>
    </row>
    <row r="88" customHeight="1" spans="1:6">
      <c r="A88" s="10">
        <v>2</v>
      </c>
      <c r="B88" s="11" t="s">
        <v>157</v>
      </c>
      <c r="C88" s="4" t="s">
        <v>112</v>
      </c>
      <c r="D88" s="10" t="s">
        <v>36</v>
      </c>
      <c r="E88" s="702">
        <v>780675.583333333</v>
      </c>
      <c r="F88" s="703">
        <f t="shared" ref="F88:F96" si="4">E88/2</f>
        <v>390337.791666667</v>
      </c>
    </row>
    <row r="89" customHeight="1" spans="1:6">
      <c r="A89" s="10">
        <v>3</v>
      </c>
      <c r="B89" s="11" t="s">
        <v>158</v>
      </c>
      <c r="C89" s="4" t="s">
        <v>112</v>
      </c>
      <c r="D89" s="10" t="s">
        <v>39</v>
      </c>
      <c r="E89" s="702">
        <v>742118.083333333</v>
      </c>
      <c r="F89" s="703">
        <f t="shared" si="4"/>
        <v>371059.041666667</v>
      </c>
    </row>
    <row r="90" ht="21.6" customHeight="1" spans="1:6">
      <c r="A90" s="10">
        <v>4</v>
      </c>
      <c r="B90" s="11" t="s">
        <v>159</v>
      </c>
      <c r="C90" s="4" t="s">
        <v>133</v>
      </c>
      <c r="D90" s="15" t="s">
        <v>47</v>
      </c>
      <c r="E90" s="702">
        <v>582746.5</v>
      </c>
      <c r="F90" s="703">
        <f t="shared" si="4"/>
        <v>291373.25</v>
      </c>
    </row>
    <row r="91" ht="21.6" customHeight="1" spans="1:6">
      <c r="A91" s="10">
        <v>5</v>
      </c>
      <c r="B91" s="11" t="s">
        <v>160</v>
      </c>
      <c r="C91" s="4" t="s">
        <v>133</v>
      </c>
      <c r="D91" s="15" t="s">
        <v>47</v>
      </c>
      <c r="E91" s="702">
        <v>562746.5</v>
      </c>
      <c r="F91" s="703">
        <f t="shared" si="4"/>
        <v>281373.25</v>
      </c>
    </row>
    <row r="92" ht="21.6" customHeight="1" spans="1:6">
      <c r="A92" s="10">
        <v>6</v>
      </c>
      <c r="B92" s="11" t="s">
        <v>161</v>
      </c>
      <c r="C92" s="12" t="s">
        <v>133</v>
      </c>
      <c r="D92" s="15" t="s">
        <v>162</v>
      </c>
      <c r="E92" s="702">
        <v>568870.75</v>
      </c>
      <c r="F92" s="703">
        <f t="shared" si="4"/>
        <v>284435.375</v>
      </c>
    </row>
    <row r="93" ht="21.6" customHeight="1" spans="1:6">
      <c r="A93" s="10">
        <v>7</v>
      </c>
      <c r="B93" s="11" t="s">
        <v>163</v>
      </c>
      <c r="C93" s="17" t="s">
        <v>67</v>
      </c>
      <c r="D93" s="15" t="s">
        <v>135</v>
      </c>
      <c r="E93" s="702">
        <v>475703.833333333</v>
      </c>
      <c r="F93" s="703">
        <f t="shared" si="4"/>
        <v>237851.916666667</v>
      </c>
    </row>
    <row r="94" ht="21.6" customHeight="1" spans="1:6">
      <c r="A94" s="10">
        <v>8</v>
      </c>
      <c r="B94" s="11" t="s">
        <v>164</v>
      </c>
      <c r="C94" s="17" t="s">
        <v>165</v>
      </c>
      <c r="D94" s="15" t="s">
        <v>166</v>
      </c>
      <c r="E94" s="702">
        <v>510248.916666667</v>
      </c>
      <c r="F94" s="703">
        <f t="shared" si="4"/>
        <v>255124.458333333</v>
      </c>
    </row>
    <row r="95" ht="21.6" customHeight="1" spans="1:6">
      <c r="A95" s="10">
        <v>9</v>
      </c>
      <c r="B95" s="11" t="s">
        <v>167</v>
      </c>
      <c r="C95" s="4" t="s">
        <v>168</v>
      </c>
      <c r="D95" s="10" t="s">
        <v>104</v>
      </c>
      <c r="E95" s="712">
        <v>400965.583333333</v>
      </c>
      <c r="F95" s="703">
        <f t="shared" si="4"/>
        <v>200482.791666667</v>
      </c>
    </row>
    <row r="96" ht="21.6" customHeight="1" spans="1:6">
      <c r="A96" s="10">
        <v>10</v>
      </c>
      <c r="B96" s="11" t="s">
        <v>169</v>
      </c>
      <c r="C96" s="17" t="s">
        <v>170</v>
      </c>
      <c r="D96" s="15" t="s">
        <v>171</v>
      </c>
      <c r="E96" s="712">
        <v>330631.916666667</v>
      </c>
      <c r="F96" s="703">
        <f t="shared" si="4"/>
        <v>165315.958333333</v>
      </c>
    </row>
    <row r="97" ht="29.1" customHeight="1" spans="1:6">
      <c r="A97" s="10"/>
      <c r="B97" s="20" t="s">
        <v>96</v>
      </c>
      <c r="C97" s="21">
        <v>10</v>
      </c>
      <c r="D97" s="21"/>
      <c r="E97" s="707">
        <v>5935383.25</v>
      </c>
      <c r="F97" s="708">
        <f>SUM(F87:F96)</f>
        <v>2967691.625</v>
      </c>
    </row>
    <row r="98" customHeight="1" spans="1:6">
      <c r="A98" s="10"/>
      <c r="B98" s="22"/>
      <c r="C98" s="21"/>
      <c r="D98" s="21"/>
      <c r="E98" s="709"/>
      <c r="F98" s="710"/>
    </row>
    <row r="99" customHeight="1" spans="1:6">
      <c r="A99" s="10"/>
      <c r="B99" s="20" t="s">
        <v>172</v>
      </c>
      <c r="C99" s="21"/>
      <c r="D99" s="21"/>
      <c r="E99" s="709"/>
      <c r="F99" s="710"/>
    </row>
    <row r="100" customHeight="1" spans="1:6">
      <c r="A100" s="10">
        <v>1</v>
      </c>
      <c r="B100" s="14" t="s">
        <v>173</v>
      </c>
      <c r="C100" s="4" t="s">
        <v>174</v>
      </c>
      <c r="D100" s="16" t="s">
        <v>175</v>
      </c>
      <c r="E100" s="702">
        <v>1452042.66666667</v>
      </c>
      <c r="F100" s="703">
        <f>E100/2</f>
        <v>726021.333333335</v>
      </c>
    </row>
    <row r="101" customHeight="1" spans="1:6">
      <c r="A101" s="10">
        <v>2</v>
      </c>
      <c r="B101" s="11" t="s">
        <v>176</v>
      </c>
      <c r="C101" s="4" t="s">
        <v>177</v>
      </c>
      <c r="D101" s="15" t="s">
        <v>148</v>
      </c>
      <c r="E101" s="702">
        <v>526622.25</v>
      </c>
      <c r="F101" s="703">
        <f>E101/2</f>
        <v>263311.125</v>
      </c>
    </row>
    <row r="102" customHeight="1" spans="1:6">
      <c r="A102" s="10">
        <v>3</v>
      </c>
      <c r="B102" s="11" t="s">
        <v>180</v>
      </c>
      <c r="C102" s="4" t="s">
        <v>181</v>
      </c>
      <c r="D102" s="15" t="s">
        <v>62</v>
      </c>
      <c r="E102" s="702">
        <v>437895.166666667</v>
      </c>
      <c r="F102" s="703">
        <f>E102/2</f>
        <v>218947.583333333</v>
      </c>
    </row>
    <row r="103" customHeight="1" spans="1:6">
      <c r="A103" s="10">
        <v>4</v>
      </c>
      <c r="B103" s="11" t="s">
        <v>182</v>
      </c>
      <c r="C103" s="4" t="s">
        <v>183</v>
      </c>
      <c r="D103" s="15" t="s">
        <v>104</v>
      </c>
      <c r="E103" s="712">
        <v>360965.583333333</v>
      </c>
      <c r="F103" s="703">
        <f>E103/2</f>
        <v>180482.791666667</v>
      </c>
    </row>
    <row r="104" customHeight="1" spans="1:6">
      <c r="A104" s="4"/>
      <c r="B104" s="20" t="s">
        <v>96</v>
      </c>
      <c r="C104" s="21">
        <v>4</v>
      </c>
      <c r="D104" s="26"/>
      <c r="E104" s="707">
        <v>2777525.66666667</v>
      </c>
      <c r="F104" s="708">
        <f>SUM(F100:F103)</f>
        <v>1388762.83333333</v>
      </c>
    </row>
    <row r="105" customHeight="1" spans="1:6">
      <c r="A105" s="4"/>
      <c r="B105" s="22"/>
      <c r="C105" s="21"/>
      <c r="D105" s="26"/>
      <c r="E105" s="709"/>
      <c r="F105" s="710"/>
    </row>
    <row r="106" customHeight="1" spans="1:6">
      <c r="A106" s="4"/>
      <c r="B106" s="20" t="s">
        <v>184</v>
      </c>
      <c r="C106" s="4"/>
      <c r="D106" s="4"/>
      <c r="E106" s="713"/>
      <c r="F106" s="714"/>
    </row>
    <row r="107" customHeight="1" spans="1:6">
      <c r="A107" s="4">
        <v>1</v>
      </c>
      <c r="B107" s="11" t="s">
        <v>185</v>
      </c>
      <c r="C107" s="12" t="s">
        <v>186</v>
      </c>
      <c r="D107" s="15" t="s">
        <v>100</v>
      </c>
      <c r="E107" s="702">
        <v>1635720</v>
      </c>
      <c r="F107" s="703">
        <f>E107/2</f>
        <v>817860</v>
      </c>
    </row>
    <row r="108" customHeight="1" spans="1:6">
      <c r="A108" s="4">
        <v>2</v>
      </c>
      <c r="B108" s="11" t="s">
        <v>187</v>
      </c>
      <c r="C108" s="4" t="s">
        <v>188</v>
      </c>
      <c r="D108" s="16" t="s">
        <v>189</v>
      </c>
      <c r="E108" s="702">
        <v>942373.166666667</v>
      </c>
      <c r="F108" s="703">
        <f t="shared" ref="F108:F113" si="5">E108/2</f>
        <v>471186.583333333</v>
      </c>
    </row>
    <row r="109" customHeight="1" spans="1:6">
      <c r="A109" s="4">
        <v>3</v>
      </c>
      <c r="B109" s="11" t="s">
        <v>190</v>
      </c>
      <c r="C109" s="4" t="s">
        <v>191</v>
      </c>
      <c r="D109" s="10" t="s">
        <v>192</v>
      </c>
      <c r="E109" s="702">
        <v>603237.855191667</v>
      </c>
      <c r="F109" s="703">
        <f t="shared" si="5"/>
        <v>301618.927595833</v>
      </c>
    </row>
    <row r="110" customHeight="1" spans="1:6">
      <c r="A110" s="4">
        <v>4</v>
      </c>
      <c r="B110" s="11" t="s">
        <v>193</v>
      </c>
      <c r="C110" s="4" t="s">
        <v>191</v>
      </c>
      <c r="D110" s="10" t="s">
        <v>192</v>
      </c>
      <c r="E110" s="702">
        <v>601625.033321667</v>
      </c>
      <c r="F110" s="703">
        <f t="shared" si="5"/>
        <v>300812.516660833</v>
      </c>
    </row>
    <row r="111" customHeight="1" spans="1:6">
      <c r="A111" s="4">
        <v>5</v>
      </c>
      <c r="B111" s="11" t="s">
        <v>194</v>
      </c>
      <c r="C111" s="4" t="s">
        <v>195</v>
      </c>
      <c r="D111" s="15" t="s">
        <v>196</v>
      </c>
      <c r="E111" s="712">
        <v>374481.864146667</v>
      </c>
      <c r="F111" s="703">
        <f t="shared" si="5"/>
        <v>187240.932073334</v>
      </c>
    </row>
    <row r="112" customHeight="1" spans="1:6">
      <c r="A112" s="4">
        <v>6</v>
      </c>
      <c r="B112" s="18" t="s">
        <v>197</v>
      </c>
      <c r="C112" s="4" t="s">
        <v>195</v>
      </c>
      <c r="D112" s="10" t="s">
        <v>198</v>
      </c>
      <c r="E112" s="712">
        <v>367926.021</v>
      </c>
      <c r="F112" s="703">
        <f t="shared" si="5"/>
        <v>183963.0105</v>
      </c>
    </row>
    <row r="113" customHeight="1" spans="1:6">
      <c r="A113" s="4">
        <v>7</v>
      </c>
      <c r="B113" s="18" t="s">
        <v>199</v>
      </c>
      <c r="C113" s="4" t="s">
        <v>195</v>
      </c>
      <c r="D113" s="15" t="s">
        <v>171</v>
      </c>
      <c r="E113" s="712">
        <v>355198.112111667</v>
      </c>
      <c r="F113" s="703">
        <f t="shared" si="5"/>
        <v>177599.056055833</v>
      </c>
    </row>
    <row r="114" ht="25.5" customHeight="1" spans="1:6">
      <c r="A114" s="4"/>
      <c r="B114" s="20" t="s">
        <v>96</v>
      </c>
      <c r="C114" s="21">
        <v>7</v>
      </c>
      <c r="D114" s="4"/>
      <c r="E114" s="715">
        <v>4880562.05243834</v>
      </c>
      <c r="F114" s="716">
        <f>SUM(F107:F113)</f>
        <v>2440281.02621917</v>
      </c>
    </row>
    <row r="115" customHeight="1" spans="1:6">
      <c r="A115" s="4"/>
      <c r="B115" s="20"/>
      <c r="C115" s="21"/>
      <c r="D115" s="4"/>
      <c r="E115" s="715"/>
      <c r="F115" s="716"/>
    </row>
    <row r="116" customHeight="1" spans="1:6">
      <c r="A116" s="10"/>
      <c r="B116" s="20" t="s">
        <v>200</v>
      </c>
      <c r="C116" s="21"/>
      <c r="D116" s="21"/>
      <c r="E116" s="709"/>
      <c r="F116" s="710"/>
    </row>
    <row r="117" customHeight="1" spans="1:6">
      <c r="A117" s="10">
        <v>1</v>
      </c>
      <c r="B117" s="14" t="s">
        <v>201</v>
      </c>
      <c r="C117" s="4" t="s">
        <v>112</v>
      </c>
      <c r="D117" s="10" t="s">
        <v>131</v>
      </c>
      <c r="E117" s="702">
        <v>761396.833333333</v>
      </c>
      <c r="F117" s="703">
        <f>E117/2</f>
        <v>380698.416666667</v>
      </c>
    </row>
    <row r="118" ht="18.75" customHeight="1" spans="1:6">
      <c r="A118" s="10">
        <v>2</v>
      </c>
      <c r="B118" s="11" t="s">
        <v>202</v>
      </c>
      <c r="C118" s="4" t="s">
        <v>203</v>
      </c>
      <c r="D118" s="15" t="s">
        <v>62</v>
      </c>
      <c r="E118" s="702">
        <v>487895.166666667</v>
      </c>
      <c r="F118" s="703">
        <f>E118/2</f>
        <v>243947.583333333</v>
      </c>
    </row>
    <row r="119" customHeight="1" spans="1:6">
      <c r="A119" s="10">
        <v>3</v>
      </c>
      <c r="B119" s="11" t="s">
        <v>204</v>
      </c>
      <c r="C119" s="12" t="s">
        <v>205</v>
      </c>
      <c r="D119" s="15" t="s">
        <v>166</v>
      </c>
      <c r="E119" s="702">
        <v>460248.916666667</v>
      </c>
      <c r="F119" s="703">
        <f>E119/2</f>
        <v>230124.458333333</v>
      </c>
    </row>
    <row r="120" ht="24.75" customHeight="1" spans="1:6">
      <c r="A120" s="4"/>
      <c r="B120" s="20" t="s">
        <v>96</v>
      </c>
      <c r="C120" s="21">
        <v>2</v>
      </c>
      <c r="D120" s="26"/>
      <c r="E120" s="707">
        <v>1709540.91666667</v>
      </c>
      <c r="F120" s="708">
        <f>SUM(F117:F119)</f>
        <v>854770.458333333</v>
      </c>
    </row>
    <row r="121" ht="24.75" customHeight="1" spans="1:6">
      <c r="A121" s="4"/>
      <c r="B121" s="20"/>
      <c r="C121" s="21"/>
      <c r="D121" s="26"/>
      <c r="E121" s="707"/>
      <c r="F121" s="708"/>
    </row>
    <row r="122" ht="24.75" customHeight="1" spans="1:6">
      <c r="A122" s="10"/>
      <c r="B122" s="20" t="s">
        <v>206</v>
      </c>
      <c r="C122" s="21"/>
      <c r="D122" s="21"/>
      <c r="E122" s="709"/>
      <c r="F122" s="710"/>
    </row>
    <row r="123" ht="24.75" customHeight="1" spans="1:6">
      <c r="A123" s="10">
        <v>1</v>
      </c>
      <c r="B123" s="14" t="s">
        <v>207</v>
      </c>
      <c r="C123" s="4" t="s">
        <v>208</v>
      </c>
      <c r="D123" s="10" t="s">
        <v>95</v>
      </c>
      <c r="E123" s="702">
        <v>268287.583333333</v>
      </c>
      <c r="F123" s="703">
        <f>E123/2</f>
        <v>134143.791666667</v>
      </c>
    </row>
    <row r="124" ht="24.75" customHeight="1" spans="1:6">
      <c r="A124" s="10">
        <v>2</v>
      </c>
      <c r="B124" s="11" t="s">
        <v>209</v>
      </c>
      <c r="C124" s="4" t="s">
        <v>210</v>
      </c>
      <c r="D124" s="10" t="s">
        <v>95</v>
      </c>
      <c r="E124" s="702">
        <v>268287.583333333</v>
      </c>
      <c r="F124" s="703">
        <f>E124/2</f>
        <v>134143.791666667</v>
      </c>
    </row>
    <row r="125" ht="24.75" customHeight="1" spans="1:6">
      <c r="A125" s="10">
        <v>3</v>
      </c>
      <c r="B125" s="11" t="s">
        <v>211</v>
      </c>
      <c r="C125" s="4" t="s">
        <v>212</v>
      </c>
      <c r="D125" s="10" t="s">
        <v>95</v>
      </c>
      <c r="E125" s="702">
        <v>268287.583333333</v>
      </c>
      <c r="F125" s="703">
        <f>E125/2</f>
        <v>134143.791666667</v>
      </c>
    </row>
    <row r="126" customHeight="1" spans="1:6">
      <c r="A126" s="4"/>
      <c r="B126" s="20" t="s">
        <v>96</v>
      </c>
      <c r="C126" s="21">
        <v>3</v>
      </c>
      <c r="D126" s="26"/>
      <c r="E126" s="707">
        <v>804862.749999999</v>
      </c>
      <c r="F126" s="708">
        <f>SUM(F123:F125)</f>
        <v>402431.375</v>
      </c>
    </row>
    <row r="127" customHeight="1" spans="1:6">
      <c r="A127" s="4"/>
      <c r="B127" s="20"/>
      <c r="C127" s="21"/>
      <c r="D127" s="26"/>
      <c r="E127" s="707"/>
      <c r="F127" s="708"/>
    </row>
    <row r="128" customHeight="1" spans="1:6">
      <c r="A128" s="4"/>
      <c r="B128" s="20" t="s">
        <v>213</v>
      </c>
      <c r="C128" s="21"/>
      <c r="D128" s="21"/>
      <c r="E128" s="709"/>
      <c r="F128" s="710"/>
    </row>
    <row r="129" customHeight="1" spans="1:6">
      <c r="A129" s="4">
        <v>1</v>
      </c>
      <c r="B129" s="11" t="s">
        <v>214</v>
      </c>
      <c r="C129" s="12" t="s">
        <v>215</v>
      </c>
      <c r="D129" s="15" t="s">
        <v>100</v>
      </c>
      <c r="E129" s="702">
        <v>1635720</v>
      </c>
      <c r="F129" s="703">
        <f>E129/2</f>
        <v>817860</v>
      </c>
    </row>
    <row r="130" customHeight="1" spans="1:6">
      <c r="A130" s="4">
        <v>2</v>
      </c>
      <c r="B130" s="11" t="s">
        <v>216</v>
      </c>
      <c r="C130" s="12" t="s">
        <v>217</v>
      </c>
      <c r="D130" s="15" t="s">
        <v>110</v>
      </c>
      <c r="E130" s="702">
        <v>929203.583333333</v>
      </c>
      <c r="F130" s="703">
        <f t="shared" ref="F130:F138" si="6">E130/2</f>
        <v>464601.791666667</v>
      </c>
    </row>
    <row r="131" customHeight="1" spans="1:6">
      <c r="A131" s="4">
        <v>3</v>
      </c>
      <c r="B131" s="14" t="s">
        <v>218</v>
      </c>
      <c r="C131" s="12" t="s">
        <v>219</v>
      </c>
      <c r="D131" s="15" t="s">
        <v>36</v>
      </c>
      <c r="E131" s="702">
        <v>830675.583333333</v>
      </c>
      <c r="F131" s="703">
        <f t="shared" si="6"/>
        <v>415337.791666667</v>
      </c>
    </row>
    <row r="132" customHeight="1" spans="1:6">
      <c r="A132" s="4">
        <v>4</v>
      </c>
      <c r="B132" s="11" t="s">
        <v>220</v>
      </c>
      <c r="C132" s="12" t="s">
        <v>221</v>
      </c>
      <c r="D132" s="15" t="s">
        <v>222</v>
      </c>
      <c r="E132" s="702">
        <v>540498</v>
      </c>
      <c r="F132" s="703">
        <f t="shared" si="6"/>
        <v>270249</v>
      </c>
    </row>
    <row r="133" customHeight="1" spans="1:6">
      <c r="A133" s="4">
        <v>5</v>
      </c>
      <c r="B133" s="11" t="s">
        <v>223</v>
      </c>
      <c r="C133" s="12" t="s">
        <v>224</v>
      </c>
      <c r="D133" s="15" t="s">
        <v>47</v>
      </c>
      <c r="E133" s="702">
        <v>512746.5</v>
      </c>
      <c r="F133" s="703">
        <f t="shared" si="6"/>
        <v>256373.25</v>
      </c>
    </row>
    <row r="134" customHeight="1" spans="1:6">
      <c r="A134" s="4">
        <v>6</v>
      </c>
      <c r="B134" s="11" t="s">
        <v>225</v>
      </c>
      <c r="C134" s="12" t="s">
        <v>221</v>
      </c>
      <c r="D134" s="15" t="s">
        <v>148</v>
      </c>
      <c r="E134" s="702">
        <v>526622.25</v>
      </c>
      <c r="F134" s="703">
        <f t="shared" si="6"/>
        <v>263311.125</v>
      </c>
    </row>
    <row r="135" customHeight="1" spans="1:6">
      <c r="A135" s="4">
        <v>7</v>
      </c>
      <c r="B135" s="11" t="s">
        <v>226</v>
      </c>
      <c r="C135" s="12" t="s">
        <v>227</v>
      </c>
      <c r="D135" s="10" t="s">
        <v>75</v>
      </c>
      <c r="E135" s="702">
        <v>330481.666666667</v>
      </c>
      <c r="F135" s="703">
        <f t="shared" si="6"/>
        <v>165240.833333333</v>
      </c>
    </row>
    <row r="136" customHeight="1" spans="1:6">
      <c r="A136" s="4">
        <v>8</v>
      </c>
      <c r="B136" s="18" t="s">
        <v>228</v>
      </c>
      <c r="C136" s="12" t="s">
        <v>229</v>
      </c>
      <c r="D136" s="15" t="s">
        <v>92</v>
      </c>
      <c r="E136" s="702">
        <v>274459.75</v>
      </c>
      <c r="F136" s="703">
        <f t="shared" si="6"/>
        <v>137229.875</v>
      </c>
    </row>
    <row r="137" customHeight="1" spans="1:6">
      <c r="A137" s="4">
        <v>9</v>
      </c>
      <c r="B137" s="18" t="s">
        <v>230</v>
      </c>
      <c r="C137" s="12" t="s">
        <v>231</v>
      </c>
      <c r="D137" s="15" t="s">
        <v>92</v>
      </c>
      <c r="E137" s="702">
        <v>274459.75</v>
      </c>
      <c r="F137" s="703">
        <f t="shared" si="6"/>
        <v>137229.875</v>
      </c>
    </row>
    <row r="138" customHeight="1" spans="1:6">
      <c r="A138" s="4">
        <v>10</v>
      </c>
      <c r="B138" s="18" t="s">
        <v>232</v>
      </c>
      <c r="C138" s="12" t="s">
        <v>229</v>
      </c>
      <c r="D138" s="15" t="s">
        <v>95</v>
      </c>
      <c r="E138" s="702">
        <v>268287.583333333</v>
      </c>
      <c r="F138" s="703">
        <f t="shared" si="6"/>
        <v>134143.791666667</v>
      </c>
    </row>
    <row r="139" ht="28.5" customHeight="1" spans="1:6">
      <c r="A139" s="4"/>
      <c r="B139" s="20" t="s">
        <v>96</v>
      </c>
      <c r="C139" s="26" t="s">
        <v>233</v>
      </c>
      <c r="D139" s="15"/>
      <c r="E139" s="709">
        <v>6123154.66666667</v>
      </c>
      <c r="F139" s="710">
        <f>SUM(F129:F138)</f>
        <v>3061577.33333333</v>
      </c>
    </row>
    <row r="140" customHeight="1" spans="1:6">
      <c r="A140" s="4"/>
      <c r="B140" s="22"/>
      <c r="C140" s="26"/>
      <c r="D140" s="15"/>
      <c r="E140" s="709"/>
      <c r="F140" s="710"/>
    </row>
    <row r="141" customHeight="1" spans="1:6">
      <c r="A141" s="4"/>
      <c r="B141" s="20" t="s">
        <v>234</v>
      </c>
      <c r="C141" s="12"/>
      <c r="D141" s="15"/>
      <c r="E141" s="702"/>
      <c r="F141" s="703"/>
    </row>
    <row r="142" customHeight="1" spans="1:6">
      <c r="A142" s="27">
        <v>1</v>
      </c>
      <c r="B142" s="11" t="s">
        <v>235</v>
      </c>
      <c r="C142" s="12" t="s">
        <v>236</v>
      </c>
      <c r="D142" s="15" t="s">
        <v>100</v>
      </c>
      <c r="E142" s="702">
        <v>1535720</v>
      </c>
      <c r="F142" s="703">
        <f>E142/2</f>
        <v>767860</v>
      </c>
    </row>
    <row r="143" customHeight="1" spans="1:6">
      <c r="A143" s="27">
        <v>2</v>
      </c>
      <c r="B143" s="14" t="s">
        <v>237</v>
      </c>
      <c r="C143" s="4" t="s">
        <v>238</v>
      </c>
      <c r="D143" s="16" t="s">
        <v>189</v>
      </c>
      <c r="E143" s="702">
        <v>902373.166666667</v>
      </c>
      <c r="F143" s="703">
        <f t="shared" ref="F143:F174" si="7">E143/2</f>
        <v>451186.583333333</v>
      </c>
    </row>
    <row r="144" customHeight="1" spans="1:6">
      <c r="A144" s="27">
        <v>3</v>
      </c>
      <c r="B144" s="11" t="s">
        <v>239</v>
      </c>
      <c r="C144" s="12" t="s">
        <v>240</v>
      </c>
      <c r="D144" s="15" t="s">
        <v>39</v>
      </c>
      <c r="E144" s="702">
        <v>662118.083333333</v>
      </c>
      <c r="F144" s="703">
        <f t="shared" si="7"/>
        <v>331059.041666667</v>
      </c>
    </row>
    <row r="145" customHeight="1" spans="1:6">
      <c r="A145" s="27">
        <v>4</v>
      </c>
      <c r="B145" s="11" t="s">
        <v>241</v>
      </c>
      <c r="C145" s="4" t="s">
        <v>242</v>
      </c>
      <c r="D145" s="15" t="s">
        <v>39</v>
      </c>
      <c r="E145" s="702">
        <v>662119.083333333</v>
      </c>
      <c r="F145" s="703">
        <f t="shared" si="7"/>
        <v>331059.541666667</v>
      </c>
    </row>
    <row r="146" customHeight="1" spans="1:6">
      <c r="A146" s="27">
        <v>5</v>
      </c>
      <c r="B146" s="11" t="s">
        <v>243</v>
      </c>
      <c r="C146" s="4" t="s">
        <v>242</v>
      </c>
      <c r="D146" s="15" t="s">
        <v>39</v>
      </c>
      <c r="E146" s="702">
        <v>662120.083333333</v>
      </c>
      <c r="F146" s="703">
        <f t="shared" si="7"/>
        <v>331060.041666667</v>
      </c>
    </row>
    <row r="147" customHeight="1" spans="1:6">
      <c r="A147" s="27">
        <v>6</v>
      </c>
      <c r="B147" s="11" t="s">
        <v>178</v>
      </c>
      <c r="C147" s="12" t="s">
        <v>179</v>
      </c>
      <c r="D147" s="15" t="s">
        <v>166</v>
      </c>
      <c r="E147" s="702">
        <v>460248.916666667</v>
      </c>
      <c r="F147" s="703">
        <f t="shared" si="7"/>
        <v>230124.458333333</v>
      </c>
    </row>
    <row r="148" customHeight="1" spans="1:6">
      <c r="A148" s="27">
        <v>7</v>
      </c>
      <c r="B148" s="11" t="s">
        <v>244</v>
      </c>
      <c r="C148" s="12" t="s">
        <v>179</v>
      </c>
      <c r="D148" s="15" t="s">
        <v>166</v>
      </c>
      <c r="E148" s="702">
        <v>460248.916666667</v>
      </c>
      <c r="F148" s="703">
        <f t="shared" si="7"/>
        <v>230124.458333333</v>
      </c>
    </row>
    <row r="149" customHeight="1" spans="1:6">
      <c r="A149" s="27">
        <v>8</v>
      </c>
      <c r="B149" s="11" t="s">
        <v>245</v>
      </c>
      <c r="C149" s="4" t="s">
        <v>246</v>
      </c>
      <c r="D149" s="15" t="s">
        <v>166</v>
      </c>
      <c r="E149" s="702">
        <v>460248.916666667</v>
      </c>
      <c r="F149" s="703">
        <f t="shared" si="7"/>
        <v>230124.458333333</v>
      </c>
    </row>
    <row r="150" customHeight="1" spans="1:6">
      <c r="A150" s="27">
        <v>9</v>
      </c>
      <c r="B150" s="11" t="s">
        <v>247</v>
      </c>
      <c r="C150" s="12" t="s">
        <v>248</v>
      </c>
      <c r="D150" s="15" t="s">
        <v>62</v>
      </c>
      <c r="E150" s="702">
        <v>437895.166666667</v>
      </c>
      <c r="F150" s="703">
        <f t="shared" si="7"/>
        <v>218947.583333333</v>
      </c>
    </row>
    <row r="151" customHeight="1" spans="1:6">
      <c r="A151" s="27">
        <v>10</v>
      </c>
      <c r="B151" s="11" t="s">
        <v>249</v>
      </c>
      <c r="C151" s="12" t="s">
        <v>250</v>
      </c>
      <c r="D151" s="15" t="s">
        <v>135</v>
      </c>
      <c r="E151" s="702">
        <v>425703.833333333</v>
      </c>
      <c r="F151" s="703">
        <f t="shared" si="7"/>
        <v>212851.916666667</v>
      </c>
    </row>
    <row r="152" customHeight="1" spans="1:6">
      <c r="A152" s="27">
        <v>11</v>
      </c>
      <c r="B152" s="11" t="s">
        <v>251</v>
      </c>
      <c r="C152" s="12" t="s">
        <v>252</v>
      </c>
      <c r="D152" s="15" t="s">
        <v>253</v>
      </c>
      <c r="E152" s="702">
        <v>450086.5</v>
      </c>
      <c r="F152" s="703">
        <f t="shared" si="7"/>
        <v>225043.25</v>
      </c>
    </row>
    <row r="153" customHeight="1" spans="1:6">
      <c r="A153" s="27">
        <v>12</v>
      </c>
      <c r="B153" s="18" t="s">
        <v>254</v>
      </c>
      <c r="C153" s="4" t="s">
        <v>255</v>
      </c>
      <c r="D153" s="15" t="s">
        <v>65</v>
      </c>
      <c r="E153" s="712">
        <v>413512.5</v>
      </c>
      <c r="F153" s="703">
        <f t="shared" si="7"/>
        <v>206756.25</v>
      </c>
    </row>
    <row r="154" customHeight="1" spans="1:6">
      <c r="A154" s="27">
        <v>13</v>
      </c>
      <c r="B154" s="11" t="s">
        <v>256</v>
      </c>
      <c r="C154" s="4" t="s">
        <v>255</v>
      </c>
      <c r="D154" s="15" t="s">
        <v>65</v>
      </c>
      <c r="E154" s="712">
        <v>413512.5</v>
      </c>
      <c r="F154" s="703">
        <f t="shared" si="7"/>
        <v>206756.25</v>
      </c>
    </row>
    <row r="155" customHeight="1" spans="1:6">
      <c r="A155" s="27">
        <v>14</v>
      </c>
      <c r="B155" s="11" t="s">
        <v>257</v>
      </c>
      <c r="C155" s="4" t="s">
        <v>255</v>
      </c>
      <c r="D155" s="15" t="s">
        <v>65</v>
      </c>
      <c r="E155" s="712">
        <v>413512.5</v>
      </c>
      <c r="F155" s="703">
        <f t="shared" si="7"/>
        <v>206756.25</v>
      </c>
    </row>
    <row r="156" customHeight="1" spans="1:6">
      <c r="A156" s="27">
        <v>15</v>
      </c>
      <c r="B156" s="11" t="s">
        <v>258</v>
      </c>
      <c r="C156" s="4" t="s">
        <v>255</v>
      </c>
      <c r="D156" s="15" t="s">
        <v>65</v>
      </c>
      <c r="E156" s="712">
        <v>413512.5</v>
      </c>
      <c r="F156" s="703">
        <f t="shared" si="7"/>
        <v>206756.25</v>
      </c>
    </row>
    <row r="157" customHeight="1" spans="1:6">
      <c r="A157" s="27">
        <v>16</v>
      </c>
      <c r="B157" s="11" t="s">
        <v>259</v>
      </c>
      <c r="C157" s="12" t="s">
        <v>260</v>
      </c>
      <c r="D157" s="15" t="s">
        <v>104</v>
      </c>
      <c r="E157" s="712">
        <v>360965.583333333</v>
      </c>
      <c r="F157" s="703">
        <f t="shared" si="7"/>
        <v>180482.791666667</v>
      </c>
    </row>
    <row r="158" customHeight="1" spans="1:6">
      <c r="A158" s="27">
        <v>17</v>
      </c>
      <c r="B158" s="11" t="s">
        <v>261</v>
      </c>
      <c r="C158" s="12" t="s">
        <v>262</v>
      </c>
      <c r="D158" s="10" t="s">
        <v>80</v>
      </c>
      <c r="E158" s="702">
        <v>323165.333333333</v>
      </c>
      <c r="F158" s="703">
        <f t="shared" si="7"/>
        <v>161582.666666667</v>
      </c>
    </row>
    <row r="159" customHeight="1" spans="1:6">
      <c r="A159" s="27">
        <v>18</v>
      </c>
      <c r="B159" s="11" t="s">
        <v>263</v>
      </c>
      <c r="C159" s="12" t="s">
        <v>264</v>
      </c>
      <c r="D159" s="15" t="s">
        <v>265</v>
      </c>
      <c r="E159" s="712">
        <v>368901.5</v>
      </c>
      <c r="F159" s="703">
        <f t="shared" si="7"/>
        <v>184450.75</v>
      </c>
    </row>
    <row r="160" customHeight="1" spans="1:6">
      <c r="A160" s="27">
        <v>19</v>
      </c>
      <c r="B160" s="11" t="s">
        <v>266</v>
      </c>
      <c r="C160" s="12" t="s">
        <v>267</v>
      </c>
      <c r="D160" s="15" t="s">
        <v>75</v>
      </c>
      <c r="E160" s="712">
        <v>330481.666666667</v>
      </c>
      <c r="F160" s="703">
        <f t="shared" si="7"/>
        <v>165240.833333333</v>
      </c>
    </row>
    <row r="161" customHeight="1" spans="1:6">
      <c r="A161" s="27">
        <v>20</v>
      </c>
      <c r="B161" s="11" t="s">
        <v>268</v>
      </c>
      <c r="C161" s="12" t="s">
        <v>269</v>
      </c>
      <c r="D161" s="15" t="s">
        <v>265</v>
      </c>
      <c r="E161" s="712">
        <v>368901.5</v>
      </c>
      <c r="F161" s="703">
        <f t="shared" si="7"/>
        <v>184450.75</v>
      </c>
    </row>
    <row r="162" customHeight="1" spans="1:6">
      <c r="A162" s="27">
        <v>21</v>
      </c>
      <c r="B162" s="11" t="s">
        <v>270</v>
      </c>
      <c r="C162" s="12" t="s">
        <v>271</v>
      </c>
      <c r="D162" s="15" t="s">
        <v>75</v>
      </c>
      <c r="E162" s="712">
        <v>330481.666666667</v>
      </c>
      <c r="F162" s="703">
        <f t="shared" si="7"/>
        <v>165240.833333333</v>
      </c>
    </row>
    <row r="163" customHeight="1" spans="1:6">
      <c r="A163" s="27">
        <v>22</v>
      </c>
      <c r="B163" s="18" t="s">
        <v>272</v>
      </c>
      <c r="C163" s="12" t="s">
        <v>273</v>
      </c>
      <c r="D163" s="15" t="s">
        <v>83</v>
      </c>
      <c r="E163" s="712">
        <v>315849</v>
      </c>
      <c r="F163" s="703">
        <f t="shared" si="7"/>
        <v>157924.5</v>
      </c>
    </row>
    <row r="164" customHeight="1" spans="1:6">
      <c r="A164" s="27">
        <v>23</v>
      </c>
      <c r="B164" s="18" t="s">
        <v>274</v>
      </c>
      <c r="C164" s="12" t="s">
        <v>273</v>
      </c>
      <c r="D164" s="15" t="s">
        <v>83</v>
      </c>
      <c r="E164" s="712">
        <v>315849</v>
      </c>
      <c r="F164" s="703">
        <f t="shared" si="7"/>
        <v>157924.5</v>
      </c>
    </row>
    <row r="165" customHeight="1" spans="1:6">
      <c r="A165" s="27">
        <v>24</v>
      </c>
      <c r="B165" s="18" t="s">
        <v>275</v>
      </c>
      <c r="C165" s="12" t="s">
        <v>276</v>
      </c>
      <c r="D165" s="15" t="s">
        <v>92</v>
      </c>
      <c r="E165" s="702">
        <v>274459.75</v>
      </c>
      <c r="F165" s="703">
        <f t="shared" si="7"/>
        <v>137229.875</v>
      </c>
    </row>
    <row r="166" customHeight="1" spans="1:6">
      <c r="A166" s="27">
        <v>25</v>
      </c>
      <c r="B166" s="18" t="s">
        <v>277</v>
      </c>
      <c r="C166" s="12" t="s">
        <v>278</v>
      </c>
      <c r="D166" s="15" t="s">
        <v>92</v>
      </c>
      <c r="E166" s="702">
        <v>274459.75</v>
      </c>
      <c r="F166" s="703">
        <f t="shared" si="7"/>
        <v>137229.875</v>
      </c>
    </row>
    <row r="167" customHeight="1" spans="1:6">
      <c r="A167" s="27">
        <v>26</v>
      </c>
      <c r="B167" s="18" t="s">
        <v>279</v>
      </c>
      <c r="C167" s="12" t="s">
        <v>280</v>
      </c>
      <c r="D167" s="15" t="s">
        <v>92</v>
      </c>
      <c r="E167" s="702">
        <v>274459.75</v>
      </c>
      <c r="F167" s="703">
        <f t="shared" si="7"/>
        <v>137229.875</v>
      </c>
    </row>
    <row r="168" customHeight="1" spans="1:6">
      <c r="A168" s="27">
        <v>27</v>
      </c>
      <c r="B168" s="18" t="s">
        <v>281</v>
      </c>
      <c r="C168" s="12" t="s">
        <v>282</v>
      </c>
      <c r="D168" s="15" t="s">
        <v>171</v>
      </c>
      <c r="E168" s="702">
        <v>280631.916666667</v>
      </c>
      <c r="F168" s="703">
        <f t="shared" si="7"/>
        <v>140315.958333333</v>
      </c>
    </row>
    <row r="169" customHeight="1" spans="1:6">
      <c r="A169" s="27">
        <v>28</v>
      </c>
      <c r="B169" s="18" t="s">
        <v>283</v>
      </c>
      <c r="C169" s="12" t="s">
        <v>278</v>
      </c>
      <c r="D169" s="15" t="s">
        <v>92</v>
      </c>
      <c r="E169" s="702">
        <v>274459.75</v>
      </c>
      <c r="F169" s="703">
        <f t="shared" si="7"/>
        <v>137229.875</v>
      </c>
    </row>
    <row r="170" customHeight="1" spans="1:6">
      <c r="A170" s="27">
        <v>29</v>
      </c>
      <c r="B170" s="18" t="s">
        <v>284</v>
      </c>
      <c r="C170" s="12" t="s">
        <v>285</v>
      </c>
      <c r="D170" s="15" t="s">
        <v>95</v>
      </c>
      <c r="E170" s="704">
        <v>268287.583333333</v>
      </c>
      <c r="F170" s="703">
        <f t="shared" si="7"/>
        <v>134143.791666667</v>
      </c>
    </row>
    <row r="171" customHeight="1" spans="1:6">
      <c r="A171" s="27">
        <v>30</v>
      </c>
      <c r="B171" s="18" t="s">
        <v>286</v>
      </c>
      <c r="C171" s="12" t="s">
        <v>285</v>
      </c>
      <c r="D171" s="15" t="s">
        <v>95</v>
      </c>
      <c r="E171" s="704">
        <v>268287.583333333</v>
      </c>
      <c r="F171" s="703">
        <f t="shared" si="7"/>
        <v>134143.791666667</v>
      </c>
    </row>
    <row r="172" customHeight="1" spans="1:6">
      <c r="A172" s="27">
        <v>31</v>
      </c>
      <c r="B172" s="11" t="s">
        <v>287</v>
      </c>
      <c r="C172" s="12" t="s">
        <v>288</v>
      </c>
      <c r="D172" s="15" t="s">
        <v>289</v>
      </c>
      <c r="E172" s="704">
        <v>202598.166666667</v>
      </c>
      <c r="F172" s="703">
        <f t="shared" si="7"/>
        <v>101299.083333334</v>
      </c>
    </row>
    <row r="173" customHeight="1" spans="1:6">
      <c r="A173" s="27">
        <v>32</v>
      </c>
      <c r="B173" s="11" t="s">
        <v>290</v>
      </c>
      <c r="C173" s="12" t="s">
        <v>288</v>
      </c>
      <c r="D173" s="15" t="s">
        <v>289</v>
      </c>
      <c r="E173" s="704">
        <v>205598.166666667</v>
      </c>
      <c r="F173" s="703">
        <f t="shared" si="7"/>
        <v>102799.083333334</v>
      </c>
    </row>
    <row r="174" customHeight="1" spans="1:6">
      <c r="A174" s="27">
        <v>33</v>
      </c>
      <c r="B174" s="11" t="s">
        <v>291</v>
      </c>
      <c r="C174" s="12" t="s">
        <v>288</v>
      </c>
      <c r="D174" s="15" t="s">
        <v>289</v>
      </c>
      <c r="E174" s="704">
        <v>202598.166666667</v>
      </c>
      <c r="F174" s="703">
        <f t="shared" si="7"/>
        <v>101299.083333334</v>
      </c>
    </row>
    <row r="175" customHeight="1" spans="1:6">
      <c r="A175" s="27">
        <v>34</v>
      </c>
      <c r="B175" s="11" t="s">
        <v>292</v>
      </c>
      <c r="C175" s="12" t="s">
        <v>288</v>
      </c>
      <c r="D175" s="15" t="s">
        <v>289</v>
      </c>
      <c r="E175" s="704">
        <v>202598.166666667</v>
      </c>
      <c r="F175" s="703">
        <f t="shared" ref="F175:F203" si="8">E175/2</f>
        <v>101299.083333334</v>
      </c>
    </row>
    <row r="176" customHeight="1" spans="1:6">
      <c r="A176" s="27">
        <v>35</v>
      </c>
      <c r="B176" s="11" t="s">
        <v>293</v>
      </c>
      <c r="C176" s="12" t="s">
        <v>288</v>
      </c>
      <c r="D176" s="15" t="s">
        <v>289</v>
      </c>
      <c r="E176" s="704">
        <v>202598.166666667</v>
      </c>
      <c r="F176" s="703">
        <f t="shared" si="8"/>
        <v>101299.083333334</v>
      </c>
    </row>
    <row r="177" customHeight="1" spans="1:6">
      <c r="A177" s="27">
        <v>36</v>
      </c>
      <c r="B177" s="11" t="s">
        <v>294</v>
      </c>
      <c r="C177" s="12" t="s">
        <v>288</v>
      </c>
      <c r="D177" s="15" t="s">
        <v>295</v>
      </c>
      <c r="E177" s="704">
        <v>200336.833333333</v>
      </c>
      <c r="F177" s="703">
        <f t="shared" si="8"/>
        <v>100168.416666666</v>
      </c>
    </row>
    <row r="178" customHeight="1" spans="1:6">
      <c r="A178" s="27">
        <v>37</v>
      </c>
      <c r="B178" s="11" t="s">
        <v>296</v>
      </c>
      <c r="C178" s="12" t="s">
        <v>288</v>
      </c>
      <c r="D178" s="15" t="s">
        <v>295</v>
      </c>
      <c r="E178" s="704">
        <v>197336.833333333</v>
      </c>
      <c r="F178" s="703">
        <f t="shared" si="8"/>
        <v>98668.4166666665</v>
      </c>
    </row>
    <row r="179" customHeight="1" spans="1:6">
      <c r="A179" s="27">
        <v>38</v>
      </c>
      <c r="B179" s="14" t="s">
        <v>297</v>
      </c>
      <c r="C179" s="12" t="s">
        <v>288</v>
      </c>
      <c r="D179" s="15" t="s">
        <v>295</v>
      </c>
      <c r="E179" s="704">
        <v>200336.833333333</v>
      </c>
      <c r="F179" s="703">
        <f t="shared" si="8"/>
        <v>100168.416666666</v>
      </c>
    </row>
    <row r="180" customHeight="1" spans="1:6">
      <c r="A180" s="27">
        <v>39</v>
      </c>
      <c r="B180" s="11" t="s">
        <v>298</v>
      </c>
      <c r="C180" s="12" t="s">
        <v>288</v>
      </c>
      <c r="D180" s="15" t="s">
        <v>295</v>
      </c>
      <c r="E180" s="704">
        <v>197336.833333333</v>
      </c>
      <c r="F180" s="703">
        <f t="shared" si="8"/>
        <v>98668.4166666665</v>
      </c>
    </row>
    <row r="181" customHeight="1" spans="1:6">
      <c r="A181" s="27">
        <v>40</v>
      </c>
      <c r="B181" s="18" t="s">
        <v>299</v>
      </c>
      <c r="C181" s="12" t="s">
        <v>288</v>
      </c>
      <c r="D181" s="15" t="s">
        <v>295</v>
      </c>
      <c r="E181" s="704">
        <v>197336.833333333</v>
      </c>
      <c r="F181" s="703">
        <f t="shared" si="8"/>
        <v>98668.4166666665</v>
      </c>
    </row>
    <row r="182" customHeight="1" spans="1:6">
      <c r="A182" s="27">
        <v>41</v>
      </c>
      <c r="B182" s="18" t="s">
        <v>300</v>
      </c>
      <c r="C182" s="12" t="s">
        <v>288</v>
      </c>
      <c r="D182" s="15" t="s">
        <v>295</v>
      </c>
      <c r="E182" s="704">
        <v>200336.833333333</v>
      </c>
      <c r="F182" s="703">
        <f t="shared" si="8"/>
        <v>100168.416666666</v>
      </c>
    </row>
    <row r="183" customHeight="1" spans="1:6">
      <c r="A183" s="27">
        <v>42</v>
      </c>
      <c r="B183" s="11" t="s">
        <v>301</v>
      </c>
      <c r="C183" s="12" t="s">
        <v>302</v>
      </c>
      <c r="D183" s="15" t="s">
        <v>303</v>
      </c>
      <c r="E183" s="702">
        <v>189814.166666667</v>
      </c>
      <c r="F183" s="703">
        <f t="shared" si="8"/>
        <v>94907.0833333335</v>
      </c>
    </row>
    <row r="184" customHeight="1" spans="1:6">
      <c r="A184" s="27">
        <v>43</v>
      </c>
      <c r="B184" s="11" t="s">
        <v>304</v>
      </c>
      <c r="C184" s="12" t="s">
        <v>302</v>
      </c>
      <c r="D184" s="15" t="s">
        <v>303</v>
      </c>
      <c r="E184" s="702">
        <v>189814.166666667</v>
      </c>
      <c r="F184" s="703">
        <f t="shared" si="8"/>
        <v>94907.0833333335</v>
      </c>
    </row>
    <row r="185" customHeight="1" spans="1:6">
      <c r="A185" s="27">
        <v>44</v>
      </c>
      <c r="B185" s="18" t="s">
        <v>305</v>
      </c>
      <c r="C185" s="12" t="s">
        <v>302</v>
      </c>
      <c r="D185" s="15" t="s">
        <v>306</v>
      </c>
      <c r="E185" s="702">
        <v>195075.5</v>
      </c>
      <c r="F185" s="703">
        <f t="shared" si="8"/>
        <v>97537.75</v>
      </c>
    </row>
    <row r="186" customHeight="1" spans="1:6">
      <c r="A186" s="27">
        <v>45</v>
      </c>
      <c r="B186" s="11" t="s">
        <v>307</v>
      </c>
      <c r="C186" s="12" t="s">
        <v>302</v>
      </c>
      <c r="D186" s="15" t="s">
        <v>303</v>
      </c>
      <c r="E186" s="702">
        <v>189814.166666667</v>
      </c>
      <c r="F186" s="703">
        <f t="shared" si="8"/>
        <v>94907.0833333335</v>
      </c>
    </row>
    <row r="187" customHeight="1" spans="1:6">
      <c r="A187" s="27">
        <v>46</v>
      </c>
      <c r="B187" s="11" t="s">
        <v>309</v>
      </c>
      <c r="C187" s="12" t="s">
        <v>310</v>
      </c>
      <c r="D187" s="15" t="s">
        <v>311</v>
      </c>
      <c r="E187" s="702">
        <v>118598</v>
      </c>
      <c r="F187" s="703">
        <f t="shared" si="8"/>
        <v>59299</v>
      </c>
    </row>
    <row r="188" customHeight="1" spans="1:6">
      <c r="A188" s="27">
        <v>47</v>
      </c>
      <c r="B188" s="11" t="s">
        <v>312</v>
      </c>
      <c r="C188" s="12" t="s">
        <v>310</v>
      </c>
      <c r="D188" s="15" t="s">
        <v>311</v>
      </c>
      <c r="E188" s="702">
        <v>115598</v>
      </c>
      <c r="F188" s="703">
        <f t="shared" si="8"/>
        <v>57799</v>
      </c>
    </row>
    <row r="189" customHeight="1" spans="1:6">
      <c r="A189" s="27">
        <v>48</v>
      </c>
      <c r="B189" s="11" t="s">
        <v>313</v>
      </c>
      <c r="C189" s="12" t="s">
        <v>310</v>
      </c>
      <c r="D189" s="15" t="s">
        <v>311</v>
      </c>
      <c r="E189" s="702">
        <v>118598</v>
      </c>
      <c r="F189" s="703">
        <f t="shared" si="8"/>
        <v>59299</v>
      </c>
    </row>
    <row r="190" customHeight="1" spans="1:6">
      <c r="A190" s="27">
        <v>49</v>
      </c>
      <c r="B190" s="11" t="s">
        <v>314</v>
      </c>
      <c r="C190" s="12" t="s">
        <v>310</v>
      </c>
      <c r="D190" s="15" t="s">
        <v>311</v>
      </c>
      <c r="E190" s="702">
        <v>115598</v>
      </c>
      <c r="F190" s="703">
        <f t="shared" si="8"/>
        <v>57799</v>
      </c>
    </row>
    <row r="191" customHeight="1" spans="1:6">
      <c r="A191" s="27">
        <v>50</v>
      </c>
      <c r="B191" s="11" t="s">
        <v>315</v>
      </c>
      <c r="C191" s="12" t="s">
        <v>310</v>
      </c>
      <c r="D191" s="15" t="s">
        <v>311</v>
      </c>
      <c r="E191" s="702">
        <v>118598</v>
      </c>
      <c r="F191" s="703">
        <f t="shared" si="8"/>
        <v>59299</v>
      </c>
    </row>
    <row r="192" customHeight="1" spans="1:6">
      <c r="A192" s="27">
        <v>51</v>
      </c>
      <c r="B192" s="18" t="s">
        <v>316</v>
      </c>
      <c r="C192" s="12" t="s">
        <v>310</v>
      </c>
      <c r="D192" s="15" t="s">
        <v>311</v>
      </c>
      <c r="E192" s="702">
        <v>115598</v>
      </c>
      <c r="F192" s="703">
        <f t="shared" si="8"/>
        <v>57799</v>
      </c>
    </row>
    <row r="193" customHeight="1" spans="1:6">
      <c r="A193" s="27">
        <v>52</v>
      </c>
      <c r="B193" s="18" t="s">
        <v>317</v>
      </c>
      <c r="C193" s="12" t="s">
        <v>310</v>
      </c>
      <c r="D193" s="15" t="s">
        <v>311</v>
      </c>
      <c r="E193" s="702">
        <v>118598</v>
      </c>
      <c r="F193" s="703">
        <f t="shared" si="8"/>
        <v>59299</v>
      </c>
    </row>
    <row r="194" customHeight="1" spans="1:6">
      <c r="A194" s="27">
        <v>53</v>
      </c>
      <c r="B194" s="11" t="s">
        <v>318</v>
      </c>
      <c r="C194" s="12" t="s">
        <v>308</v>
      </c>
      <c r="D194" s="15" t="s">
        <v>311</v>
      </c>
      <c r="E194" s="702">
        <v>118598</v>
      </c>
      <c r="F194" s="703">
        <f t="shared" si="8"/>
        <v>59299</v>
      </c>
    </row>
    <row r="195" customHeight="1" spans="1:6">
      <c r="A195" s="27">
        <v>54</v>
      </c>
      <c r="B195" s="11" t="s">
        <v>319</v>
      </c>
      <c r="C195" s="12" t="s">
        <v>308</v>
      </c>
      <c r="D195" s="15" t="s">
        <v>311</v>
      </c>
      <c r="E195" s="702">
        <v>118598</v>
      </c>
      <c r="F195" s="703">
        <f t="shared" si="8"/>
        <v>59299</v>
      </c>
    </row>
    <row r="196" customHeight="1" spans="1:6">
      <c r="A196" s="27">
        <v>55</v>
      </c>
      <c r="B196" s="18" t="s">
        <v>320</v>
      </c>
      <c r="C196" s="12" t="s">
        <v>321</v>
      </c>
      <c r="D196" s="15" t="s">
        <v>322</v>
      </c>
      <c r="E196" s="702">
        <v>116050.25</v>
      </c>
      <c r="F196" s="703">
        <f t="shared" si="8"/>
        <v>58025.125</v>
      </c>
    </row>
    <row r="197" customHeight="1" spans="1:6">
      <c r="A197" s="27">
        <v>56</v>
      </c>
      <c r="B197" s="18" t="s">
        <v>323</v>
      </c>
      <c r="C197" s="12" t="s">
        <v>321</v>
      </c>
      <c r="D197" s="15" t="s">
        <v>324</v>
      </c>
      <c r="E197" s="702">
        <v>322950.322580645</v>
      </c>
      <c r="F197" s="703">
        <f t="shared" si="8"/>
        <v>161475.161290322</v>
      </c>
    </row>
    <row r="198" customHeight="1" spans="1:6">
      <c r="A198" s="27">
        <v>57</v>
      </c>
      <c r="B198" s="18" t="s">
        <v>325</v>
      </c>
      <c r="C198" s="12" t="s">
        <v>302</v>
      </c>
      <c r="D198" s="15" t="s">
        <v>303</v>
      </c>
      <c r="E198" s="702">
        <v>174814.166666667</v>
      </c>
      <c r="F198" s="703">
        <f t="shared" si="8"/>
        <v>87407.0833333335</v>
      </c>
    </row>
    <row r="199" customHeight="1" spans="1:6">
      <c r="A199" s="27">
        <v>58</v>
      </c>
      <c r="B199" s="18" t="s">
        <v>326</v>
      </c>
      <c r="C199" s="12" t="s">
        <v>327</v>
      </c>
      <c r="D199" s="15" t="s">
        <v>328</v>
      </c>
      <c r="E199" s="702">
        <v>95540.75</v>
      </c>
      <c r="F199" s="703">
        <f t="shared" si="8"/>
        <v>47770.375</v>
      </c>
    </row>
    <row r="200" customHeight="1" spans="1:6">
      <c r="A200" s="27">
        <v>59</v>
      </c>
      <c r="B200" s="18" t="s">
        <v>329</v>
      </c>
      <c r="C200" s="12" t="s">
        <v>327</v>
      </c>
      <c r="D200" s="15" t="s">
        <v>328</v>
      </c>
      <c r="E200" s="702">
        <v>95540.75</v>
      </c>
      <c r="F200" s="703">
        <f t="shared" si="8"/>
        <v>47770.375</v>
      </c>
    </row>
    <row r="201" customHeight="1" spans="1:6">
      <c r="A201" s="27">
        <v>60</v>
      </c>
      <c r="B201" s="18" t="s">
        <v>330</v>
      </c>
      <c r="C201" s="12" t="s">
        <v>327</v>
      </c>
      <c r="D201" s="15" t="s">
        <v>328</v>
      </c>
      <c r="E201" s="702">
        <v>95540.75</v>
      </c>
      <c r="F201" s="703">
        <f t="shared" si="8"/>
        <v>47770.375</v>
      </c>
    </row>
    <row r="202" customHeight="1" spans="1:6">
      <c r="A202" s="27">
        <v>61</v>
      </c>
      <c r="B202" s="18" t="s">
        <v>331</v>
      </c>
      <c r="C202" s="12" t="s">
        <v>332</v>
      </c>
      <c r="D202" s="15" t="s">
        <v>333</v>
      </c>
      <c r="E202" s="702">
        <v>108502.5</v>
      </c>
      <c r="F202" s="703">
        <f t="shared" si="8"/>
        <v>54251.25</v>
      </c>
    </row>
    <row r="203" customHeight="1" spans="1:6">
      <c r="A203" s="27">
        <v>62</v>
      </c>
      <c r="B203" s="18" t="s">
        <v>334</v>
      </c>
      <c r="C203" s="12" t="s">
        <v>332</v>
      </c>
      <c r="D203" s="15" t="s">
        <v>333</v>
      </c>
      <c r="E203" s="702">
        <v>108502.5</v>
      </c>
      <c r="F203" s="703">
        <f t="shared" si="8"/>
        <v>54251.25</v>
      </c>
    </row>
    <row r="204" ht="30.75" customHeight="1" spans="1:6">
      <c r="A204" s="27"/>
      <c r="B204" s="8" t="s">
        <v>96</v>
      </c>
      <c r="C204" s="28" t="s">
        <v>504</v>
      </c>
      <c r="D204" s="29"/>
      <c r="E204" s="707">
        <v>18551927.8225807</v>
      </c>
      <c r="F204" s="708">
        <f>SUM(F142:F203)</f>
        <v>9275963.91129033</v>
      </c>
    </row>
    <row r="205" ht="47.1" customHeight="1" spans="1:6">
      <c r="A205" s="4"/>
      <c r="B205" s="30" t="s">
        <v>336</v>
      </c>
      <c r="C205" s="31">
        <f>C38+C45+C58+C63+C75+C84+C97+C104+C114+C126+C139+C204</f>
        <v>160</v>
      </c>
      <c r="D205" s="32"/>
      <c r="E205" s="717">
        <v>79274722.042019</v>
      </c>
      <c r="F205" s="718">
        <f>F204+F139+F126+F120+F114+F104+F97+F84+F75+F63+F58+F45+F38</f>
        <v>40455221.0210095</v>
      </c>
    </row>
    <row r="206" ht="38.25" customHeight="1" spans="2:6">
      <c r="B206" s="33"/>
      <c r="D206" s="34"/>
      <c r="E206" s="34"/>
      <c r="F206" s="34"/>
    </row>
    <row r="207" ht="36.75" customHeight="1" spans="2:6">
      <c r="B207" s="33"/>
      <c r="C207" s="34"/>
      <c r="D207" s="34"/>
      <c r="E207" s="34"/>
      <c r="F207" s="34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E7" sqref="E7"/>
    </sheetView>
  </sheetViews>
  <sheetFormatPr defaultColWidth="8.70909090909091" defaultRowHeight="12.5" outlineLevelCol="3"/>
  <cols>
    <col min="1" max="1" width="3.70909090909091" customWidth="1"/>
    <col min="2" max="2" width="31.1363636363636" customWidth="1"/>
    <col min="3" max="3" width="18.5727272727273" customWidth="1"/>
  </cols>
  <sheetData>
    <row r="1" ht="32.1" customHeight="1" spans="1:3">
      <c r="A1" s="41" t="s">
        <v>516</v>
      </c>
      <c r="B1" s="41"/>
      <c r="C1" s="41"/>
    </row>
    <row r="2" ht="30" customHeight="1" spans="1:4">
      <c r="A2" s="46">
        <v>1</v>
      </c>
      <c r="B2" s="46" t="s">
        <v>506</v>
      </c>
      <c r="C2" s="150">
        <f>'Staff Bonus'!F205</f>
        <v>40455221.0210095</v>
      </c>
      <c r="D2" s="46"/>
    </row>
    <row r="3" ht="30" customHeight="1" spans="1:4">
      <c r="A3" s="46">
        <v>2</v>
      </c>
      <c r="B3" s="46" t="s">
        <v>507</v>
      </c>
      <c r="C3" s="150">
        <f>'[4]NEW STAFF BONUS'!$F$57</f>
        <v>3962895.74666667</v>
      </c>
      <c r="D3" s="46"/>
    </row>
    <row r="4" ht="30" customHeight="1" spans="1:4">
      <c r="A4" s="46">
        <v>3</v>
      </c>
      <c r="B4" s="46" t="s">
        <v>508</v>
      </c>
      <c r="C4" s="150">
        <f>'[5]BONUS CONTRACT'!$F$21</f>
        <v>4618070.67666667</v>
      </c>
      <c r="D4" s="46"/>
    </row>
    <row r="5" ht="30" customHeight="1" spans="1:4">
      <c r="A5" s="46">
        <v>4</v>
      </c>
      <c r="B5" s="46" t="s">
        <v>509</v>
      </c>
      <c r="C5" s="150">
        <f>'[5]NEW CONTR BONUS'!$F$30</f>
        <v>4681559.76833333</v>
      </c>
      <c r="D5" s="46"/>
    </row>
    <row r="6" ht="30" customHeight="1" spans="1:4">
      <c r="A6" s="46">
        <v>5</v>
      </c>
      <c r="B6" s="46" t="s">
        <v>510</v>
      </c>
      <c r="C6" s="150">
        <f>'[5]CAS. SABB. NYSC BONUS'!$E$67</f>
        <v>4877192.37333333</v>
      </c>
      <c r="D6" s="46"/>
    </row>
    <row r="7" ht="30" customHeight="1" spans="1:4">
      <c r="A7" s="46">
        <v>6</v>
      </c>
      <c r="B7" s="46" t="s">
        <v>517</v>
      </c>
      <c r="C7" s="695">
        <f>'[5]CONSULTANCY BONUS'!$E$28</f>
        <v>2750000</v>
      </c>
      <c r="D7" s="46"/>
    </row>
    <row r="8" ht="30" customHeight="1" spans="1:4">
      <c r="A8" s="46"/>
      <c r="B8" s="258" t="s">
        <v>513</v>
      </c>
      <c r="C8" s="696">
        <f>SUM(C2:C7)</f>
        <v>61344939.5860095</v>
      </c>
      <c r="D8" s="46"/>
    </row>
    <row r="9" ht="18" spans="1:4">
      <c r="A9" s="46"/>
      <c r="B9" s="46"/>
      <c r="C9" s="46"/>
      <c r="D9" s="46"/>
    </row>
  </sheetData>
  <mergeCells count="1">
    <mergeCell ref="A1:C1"/>
  </mergeCells>
  <pageMargins left="0.75" right="0.75" top="1" bottom="1" header="0.5" footer="0.5"/>
  <pageSetup paperSize="256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A45" workbookViewId="0">
      <selection activeCell="B55" sqref="B55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443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444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445</v>
      </c>
      <c r="B4" s="462" t="s">
        <v>446</v>
      </c>
      <c r="C4" s="463" t="s">
        <v>447</v>
      </c>
      <c r="D4" s="462" t="s">
        <v>448</v>
      </c>
      <c r="E4" s="463" t="s">
        <v>449</v>
      </c>
      <c r="F4" s="463" t="s">
        <v>450</v>
      </c>
      <c r="G4" s="463" t="s">
        <v>451</v>
      </c>
      <c r="H4" s="463" t="s">
        <v>452</v>
      </c>
      <c r="I4" s="463" t="s">
        <v>453</v>
      </c>
      <c r="J4" s="463"/>
      <c r="K4" s="463"/>
      <c r="L4" s="463"/>
      <c r="M4" s="463" t="s">
        <v>454</v>
      </c>
      <c r="N4" s="463" t="s">
        <v>455</v>
      </c>
      <c r="O4" s="463" t="s">
        <v>456</v>
      </c>
      <c r="P4" s="463" t="s">
        <v>457</v>
      </c>
      <c r="Q4" s="463" t="s">
        <v>458</v>
      </c>
      <c r="R4" s="463" t="s">
        <v>459</v>
      </c>
      <c r="S4" s="463" t="s">
        <v>460</v>
      </c>
      <c r="T4" s="463" t="s">
        <v>461</v>
      </c>
      <c r="U4" s="463" t="s">
        <v>462</v>
      </c>
      <c r="V4" s="463" t="s">
        <v>463</v>
      </c>
      <c r="W4" s="463"/>
      <c r="X4" s="463" t="s">
        <v>464</v>
      </c>
      <c r="Y4" s="463" t="s">
        <v>465</v>
      </c>
      <c r="Z4" s="463" t="s">
        <v>466</v>
      </c>
      <c r="AA4" s="477"/>
      <c r="AB4" s="477" t="s">
        <v>518</v>
      </c>
    </row>
    <row r="5" ht="17.5" spans="1:31">
      <c r="A5" s="464">
        <v>1</v>
      </c>
      <c r="B5" s="8" t="s">
        <v>21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22</v>
      </c>
      <c r="C6" s="465">
        <v>967493.0835</v>
      </c>
      <c r="D6" s="466">
        <v>12</v>
      </c>
      <c r="E6" s="467">
        <f t="shared" ref="E6:E36" si="0">C6*D6</f>
        <v>11609917.002</v>
      </c>
      <c r="F6" s="467"/>
      <c r="G6" s="467"/>
      <c r="H6" s="467"/>
      <c r="I6" s="467">
        <f t="shared" ref="I6:I36" si="1">E6-F6-G6-H6</f>
        <v>11609917.002</v>
      </c>
      <c r="J6" s="467">
        <v>200000</v>
      </c>
      <c r="K6" s="467">
        <v>0.2</v>
      </c>
      <c r="L6" s="467">
        <f t="shared" ref="L6:L36" si="2">I6*K6</f>
        <v>2321983.4004</v>
      </c>
      <c r="M6" s="467">
        <f t="shared" ref="M6:M36" si="3">J6+L6</f>
        <v>2521983.4004</v>
      </c>
      <c r="N6" s="467">
        <f t="shared" ref="N6:N36" si="4">F6+G6+H6+M6</f>
        <v>2521983.4004</v>
      </c>
      <c r="O6" s="467">
        <f t="shared" ref="O6:O36" si="5">E6-N6</f>
        <v>9087933.6016</v>
      </c>
      <c r="P6" s="467">
        <f t="shared" ref="P6:P36" si="6">IF(O6&lt;300000,0.07*O6,21000)</f>
        <v>21000</v>
      </c>
      <c r="Q6" s="467">
        <f t="shared" ref="Q6:Q36" si="7">IF((O6-300000)&lt;0,0,IF((O6-300000)&lt;300000,0.11*(O6-300000),33000))</f>
        <v>33000</v>
      </c>
      <c r="R6" s="467">
        <f t="shared" ref="R6:R36" si="8">IF((O6-600000)&lt;0,0,IF((O6-600000)&lt;500000,0.15*(O6-600000),75000))</f>
        <v>75000</v>
      </c>
      <c r="S6" s="467">
        <f t="shared" ref="S6:S36" si="9">IF((O6-1100000)&lt;0,0,IF((O6-1100000)&lt;500000,0.19*(O6-1100000),95000))</f>
        <v>95000</v>
      </c>
      <c r="T6" s="467">
        <f t="shared" ref="T6:T36" si="10">IF((O6-1600000)&lt;0,0,IF((O6-1600000)&lt;1600000,0.21*(O6-1600000),336000))</f>
        <v>336000</v>
      </c>
      <c r="U6" s="467">
        <f t="shared" ref="U6:U15" si="11">24%*(O6-3200000)</f>
        <v>1413104.064384</v>
      </c>
      <c r="V6" s="467">
        <f t="shared" ref="V6:V36" si="12">P6+Q6+R6+S6+T6+U6</f>
        <v>1973104.064384</v>
      </c>
      <c r="W6" s="474">
        <v>12</v>
      </c>
      <c r="X6" s="467">
        <f t="shared" ref="X6:X36" si="13">V6/W6</f>
        <v>164425.338698667</v>
      </c>
      <c r="Y6" s="467"/>
      <c r="Z6" s="467">
        <f t="shared" ref="Z6:Z36" si="14">X6</f>
        <v>164425.338698667</v>
      </c>
      <c r="AA6" s="479">
        <v>201165.835946667</v>
      </c>
      <c r="AB6" s="479">
        <f t="shared" ref="AB6:AB32" si="15">Z6-AA6</f>
        <v>-36740.4972480003</v>
      </c>
      <c r="AC6" s="479"/>
      <c r="AD6" s="479"/>
      <c r="AE6" s="479"/>
    </row>
    <row r="7" ht="18" spans="1:31">
      <c r="A7" s="464">
        <v>4</v>
      </c>
      <c r="B7" s="11" t="s">
        <v>25</v>
      </c>
      <c r="C7" s="465">
        <v>476186.583333333</v>
      </c>
      <c r="D7" s="466">
        <v>12</v>
      </c>
      <c r="E7" s="467">
        <f t="shared" si="0"/>
        <v>5714239</v>
      </c>
      <c r="F7" s="467"/>
      <c r="G7" s="467">
        <v>731878.24</v>
      </c>
      <c r="H7" s="467"/>
      <c r="I7" s="467">
        <f t="shared" si="1"/>
        <v>4982360.76</v>
      </c>
      <c r="J7" s="467">
        <v>200000</v>
      </c>
      <c r="K7" s="467">
        <v>0.2</v>
      </c>
      <c r="L7" s="467">
        <f t="shared" si="2"/>
        <v>996472.151999999</v>
      </c>
      <c r="M7" s="467">
        <f t="shared" si="3"/>
        <v>1196472.152</v>
      </c>
      <c r="N7" s="467">
        <f t="shared" si="4"/>
        <v>1928350.392</v>
      </c>
      <c r="O7" s="467">
        <f t="shared" si="5"/>
        <v>3785888.608</v>
      </c>
      <c r="P7" s="467">
        <f t="shared" si="6"/>
        <v>21000</v>
      </c>
      <c r="Q7" s="467">
        <f t="shared" si="7"/>
        <v>33000</v>
      </c>
      <c r="R7" s="467">
        <f t="shared" si="8"/>
        <v>75000</v>
      </c>
      <c r="S7" s="467">
        <f t="shared" si="9"/>
        <v>95000</v>
      </c>
      <c r="T7" s="467">
        <f t="shared" si="10"/>
        <v>336000</v>
      </c>
      <c r="U7" s="467">
        <f t="shared" si="11"/>
        <v>140613.265919999</v>
      </c>
      <c r="V7" s="467">
        <f t="shared" si="12"/>
        <v>700613.265919999</v>
      </c>
      <c r="W7" s="474">
        <v>12</v>
      </c>
      <c r="X7" s="467">
        <f t="shared" si="13"/>
        <v>58384.4388266666</v>
      </c>
      <c r="Y7" s="467"/>
      <c r="Z7" s="467">
        <f t="shared" si="14"/>
        <v>58384.4388266666</v>
      </c>
      <c r="AA7" s="479">
        <v>82627.9514186667</v>
      </c>
      <c r="AB7" s="479">
        <f t="shared" si="15"/>
        <v>-24243.5125920001</v>
      </c>
      <c r="AC7" s="479"/>
      <c r="AD7" s="479"/>
      <c r="AE7" s="479"/>
    </row>
    <row r="8" ht="18" spans="1:31">
      <c r="A8" s="464">
        <v>5</v>
      </c>
      <c r="B8" s="14" t="s">
        <v>28</v>
      </c>
      <c r="C8" s="465">
        <v>576186.583333333</v>
      </c>
      <c r="D8" s="466">
        <v>12</v>
      </c>
      <c r="E8" s="467">
        <f t="shared" si="0"/>
        <v>6914239</v>
      </c>
      <c r="F8" s="467"/>
      <c r="G8" s="467">
        <v>0</v>
      </c>
      <c r="H8" s="467"/>
      <c r="I8" s="467">
        <f t="shared" si="1"/>
        <v>6914239</v>
      </c>
      <c r="J8" s="467">
        <v>200000</v>
      </c>
      <c r="K8" s="467">
        <v>0.2</v>
      </c>
      <c r="L8" s="467">
        <f t="shared" si="2"/>
        <v>1382847.8</v>
      </c>
      <c r="M8" s="467">
        <f t="shared" si="3"/>
        <v>1582847.8</v>
      </c>
      <c r="N8" s="467">
        <f t="shared" si="4"/>
        <v>1582847.8</v>
      </c>
      <c r="O8" s="467">
        <f t="shared" si="5"/>
        <v>5331391.2</v>
      </c>
      <c r="P8" s="467">
        <f t="shared" si="6"/>
        <v>21000</v>
      </c>
      <c r="Q8" s="467">
        <f t="shared" si="7"/>
        <v>33000</v>
      </c>
      <c r="R8" s="467">
        <f t="shared" si="8"/>
        <v>75000</v>
      </c>
      <c r="S8" s="467">
        <f t="shared" si="9"/>
        <v>95000</v>
      </c>
      <c r="T8" s="467">
        <f t="shared" si="10"/>
        <v>336000</v>
      </c>
      <c r="U8" s="467">
        <f t="shared" si="11"/>
        <v>511533.887999999</v>
      </c>
      <c r="V8" s="467">
        <f t="shared" si="12"/>
        <v>1071533.888</v>
      </c>
      <c r="W8" s="474">
        <v>12</v>
      </c>
      <c r="X8" s="467">
        <f t="shared" si="13"/>
        <v>89294.4906666666</v>
      </c>
      <c r="Y8" s="467"/>
      <c r="Z8" s="467">
        <f t="shared" si="14"/>
        <v>89294.4906666666</v>
      </c>
      <c r="AA8" s="479">
        <v>121027.951418667</v>
      </c>
      <c r="AB8" s="479">
        <f t="shared" si="15"/>
        <v>-31733.4607520004</v>
      </c>
      <c r="AC8" s="479"/>
      <c r="AD8" s="479"/>
      <c r="AE8" s="479"/>
    </row>
    <row r="9" ht="18" spans="1:31">
      <c r="A9" s="464">
        <v>6</v>
      </c>
      <c r="B9" s="11" t="s">
        <v>30</v>
      </c>
      <c r="C9" s="465">
        <v>471186.583333333</v>
      </c>
      <c r="D9" s="466">
        <v>12</v>
      </c>
      <c r="E9" s="467">
        <f t="shared" si="0"/>
        <v>5654239</v>
      </c>
      <c r="F9" s="467">
        <f>'[6]JANUARY 2024'!$V$10*12</f>
        <v>12795.951</v>
      </c>
      <c r="G9" s="467">
        <v>731878.24</v>
      </c>
      <c r="H9" s="467"/>
      <c r="I9" s="467">
        <f t="shared" si="1"/>
        <v>4909564.809</v>
      </c>
      <c r="J9" s="467">
        <v>200000</v>
      </c>
      <c r="K9" s="467">
        <v>0.2</v>
      </c>
      <c r="L9" s="467">
        <f t="shared" si="2"/>
        <v>981912.961799999</v>
      </c>
      <c r="M9" s="467">
        <f t="shared" si="3"/>
        <v>1181912.9618</v>
      </c>
      <c r="N9" s="467">
        <f t="shared" si="4"/>
        <v>1926587.1528</v>
      </c>
      <c r="O9" s="467">
        <f t="shared" si="5"/>
        <v>3727651.8472</v>
      </c>
      <c r="P9" s="467">
        <f t="shared" si="6"/>
        <v>21000</v>
      </c>
      <c r="Q9" s="467">
        <f t="shared" si="7"/>
        <v>33000</v>
      </c>
      <c r="R9" s="467">
        <f t="shared" si="8"/>
        <v>75000</v>
      </c>
      <c r="S9" s="467">
        <f t="shared" si="9"/>
        <v>95000</v>
      </c>
      <c r="T9" s="467">
        <f t="shared" si="10"/>
        <v>336000</v>
      </c>
      <c r="U9" s="467">
        <f t="shared" si="11"/>
        <v>126636.443327999</v>
      </c>
      <c r="V9" s="467">
        <f t="shared" si="12"/>
        <v>686636.443327999</v>
      </c>
      <c r="W9" s="474">
        <v>12</v>
      </c>
      <c r="X9" s="467">
        <f t="shared" si="13"/>
        <v>57219.7036106666</v>
      </c>
      <c r="Y9" s="467"/>
      <c r="Z9" s="467">
        <f t="shared" si="14"/>
        <v>57219.7036106666</v>
      </c>
      <c r="AA9" s="479">
        <v>99703.2162026667</v>
      </c>
      <c r="AB9" s="479">
        <f t="shared" si="15"/>
        <v>-42483.5125920001</v>
      </c>
      <c r="AC9" s="479"/>
      <c r="AD9" s="479"/>
      <c r="AE9" s="479"/>
    </row>
    <row r="10" ht="18" spans="1:31">
      <c r="A10" s="464">
        <v>7</v>
      </c>
      <c r="B10" s="14" t="s">
        <v>32</v>
      </c>
      <c r="C10" s="465">
        <v>551186.583333333</v>
      </c>
      <c r="D10" s="466">
        <v>12</v>
      </c>
      <c r="E10" s="467">
        <f t="shared" si="0"/>
        <v>6614239</v>
      </c>
      <c r="F10" s="467">
        <f>'[6]JANUARY 2024'!$V$10*12</f>
        <v>12795.951</v>
      </c>
      <c r="G10" s="467">
        <v>731878.24</v>
      </c>
      <c r="H10" s="467"/>
      <c r="I10" s="467">
        <f t="shared" si="1"/>
        <v>5869564.809</v>
      </c>
      <c r="J10" s="467">
        <v>200000</v>
      </c>
      <c r="K10" s="467">
        <v>0.2</v>
      </c>
      <c r="L10" s="467">
        <f t="shared" si="2"/>
        <v>1173912.9618</v>
      </c>
      <c r="M10" s="467">
        <f t="shared" si="3"/>
        <v>1373912.9618</v>
      </c>
      <c r="N10" s="467">
        <f t="shared" si="4"/>
        <v>2118587.1528</v>
      </c>
      <c r="O10" s="467">
        <f t="shared" si="5"/>
        <v>4495651.8472</v>
      </c>
      <c r="P10" s="467">
        <f t="shared" si="6"/>
        <v>21000</v>
      </c>
      <c r="Q10" s="467">
        <f t="shared" si="7"/>
        <v>33000</v>
      </c>
      <c r="R10" s="467">
        <f t="shared" si="8"/>
        <v>75000</v>
      </c>
      <c r="S10" s="467">
        <f t="shared" si="9"/>
        <v>95000</v>
      </c>
      <c r="T10" s="467">
        <f t="shared" si="10"/>
        <v>336000</v>
      </c>
      <c r="U10" s="467">
        <f t="shared" si="11"/>
        <v>310956.443327999</v>
      </c>
      <c r="V10" s="467">
        <f t="shared" si="12"/>
        <v>870956.443327999</v>
      </c>
      <c r="W10" s="474">
        <v>12</v>
      </c>
      <c r="X10" s="467">
        <f t="shared" si="13"/>
        <v>72579.7036106666</v>
      </c>
      <c r="Y10" s="467"/>
      <c r="Z10" s="467">
        <f t="shared" si="14"/>
        <v>72579.7036106666</v>
      </c>
      <c r="AA10" s="479">
        <v>111223.216202667</v>
      </c>
      <c r="AB10" s="479">
        <f t="shared" si="15"/>
        <v>-38643.5125920004</v>
      </c>
      <c r="AC10" s="479"/>
      <c r="AD10" s="479"/>
      <c r="AE10" s="479"/>
    </row>
    <row r="11" ht="18" spans="1:31">
      <c r="A11" s="464">
        <v>8</v>
      </c>
      <c r="B11" s="11" t="s">
        <v>34</v>
      </c>
      <c r="C11" s="465">
        <v>375337.791666667</v>
      </c>
      <c r="D11" s="466">
        <v>12</v>
      </c>
      <c r="E11" s="467">
        <f t="shared" si="0"/>
        <v>4504053.5</v>
      </c>
      <c r="F11" s="467"/>
      <c r="G11" s="467">
        <v>0</v>
      </c>
      <c r="H11" s="467"/>
      <c r="I11" s="467">
        <f t="shared" si="1"/>
        <v>4504053.5</v>
      </c>
      <c r="J11" s="467">
        <v>200000</v>
      </c>
      <c r="K11" s="467">
        <v>0.2</v>
      </c>
      <c r="L11" s="467">
        <f t="shared" si="2"/>
        <v>900810.700000001</v>
      </c>
      <c r="M11" s="467">
        <f t="shared" si="3"/>
        <v>1100810.7</v>
      </c>
      <c r="N11" s="467">
        <f t="shared" si="4"/>
        <v>1100810.7</v>
      </c>
      <c r="O11" s="467">
        <f t="shared" si="5"/>
        <v>3403242.8</v>
      </c>
      <c r="P11" s="467">
        <f t="shared" si="6"/>
        <v>21000</v>
      </c>
      <c r="Q11" s="467">
        <f t="shared" si="7"/>
        <v>33000</v>
      </c>
      <c r="R11" s="467">
        <f t="shared" si="8"/>
        <v>75000</v>
      </c>
      <c r="S11" s="467">
        <f t="shared" si="9"/>
        <v>95000</v>
      </c>
      <c r="T11" s="467">
        <f t="shared" si="10"/>
        <v>336000</v>
      </c>
      <c r="U11" s="467">
        <f t="shared" si="11"/>
        <v>48778.2720000007</v>
      </c>
      <c r="V11" s="467">
        <f t="shared" si="12"/>
        <v>608778.272000001</v>
      </c>
      <c r="W11" s="474">
        <v>12</v>
      </c>
      <c r="X11" s="467">
        <f t="shared" si="13"/>
        <v>50731.5226666667</v>
      </c>
      <c r="Y11" s="467"/>
      <c r="Z11" s="467">
        <f t="shared" si="14"/>
        <v>50731.5226666667</v>
      </c>
      <c r="AA11" s="479">
        <v>101827.951418667</v>
      </c>
      <c r="AB11" s="479">
        <f t="shared" si="15"/>
        <v>-51096.4287520003</v>
      </c>
      <c r="AC11" s="479"/>
      <c r="AD11" s="479"/>
      <c r="AE11" s="479"/>
    </row>
    <row r="12" ht="18" spans="1:31">
      <c r="A12" s="464">
        <v>9</v>
      </c>
      <c r="B12" s="11" t="s">
        <v>37</v>
      </c>
      <c r="C12" s="465">
        <v>471059.041666667</v>
      </c>
      <c r="D12" s="466">
        <v>12</v>
      </c>
      <c r="E12" s="467">
        <f t="shared" si="0"/>
        <v>5652708.5</v>
      </c>
      <c r="F12" s="467">
        <f>'[6]JANUARY 2024'!$V$13*12</f>
        <v>10052.25</v>
      </c>
      <c r="G12" s="467">
        <v>595848.56</v>
      </c>
      <c r="H12" s="467"/>
      <c r="I12" s="467">
        <f t="shared" si="1"/>
        <v>5046807.69</v>
      </c>
      <c r="J12" s="467">
        <v>200000</v>
      </c>
      <c r="K12" s="467">
        <v>0.2</v>
      </c>
      <c r="L12" s="467">
        <f t="shared" si="2"/>
        <v>1009361.538</v>
      </c>
      <c r="M12" s="467">
        <f t="shared" si="3"/>
        <v>1209361.538</v>
      </c>
      <c r="N12" s="467">
        <f t="shared" si="4"/>
        <v>1815262.348</v>
      </c>
      <c r="O12" s="467">
        <f t="shared" si="5"/>
        <v>3837446.152</v>
      </c>
      <c r="P12" s="467">
        <f t="shared" si="6"/>
        <v>21000</v>
      </c>
      <c r="Q12" s="467">
        <f t="shared" si="7"/>
        <v>33000</v>
      </c>
      <c r="R12" s="467">
        <f t="shared" si="8"/>
        <v>75000</v>
      </c>
      <c r="S12" s="467">
        <f t="shared" si="9"/>
        <v>95000</v>
      </c>
      <c r="T12" s="467">
        <f t="shared" si="10"/>
        <v>336000</v>
      </c>
      <c r="U12" s="467">
        <f t="shared" si="11"/>
        <v>152987.076480001</v>
      </c>
      <c r="V12" s="467">
        <f t="shared" si="12"/>
        <v>712987.076480001</v>
      </c>
      <c r="W12" s="474">
        <v>12</v>
      </c>
      <c r="X12" s="467">
        <f t="shared" si="13"/>
        <v>59415.5897066667</v>
      </c>
      <c r="Y12" s="467"/>
      <c r="Z12" s="467">
        <f t="shared" si="14"/>
        <v>59415.5897066667</v>
      </c>
      <c r="AA12" s="479">
        <v>74036.1031466667</v>
      </c>
      <c r="AB12" s="479">
        <f t="shared" si="15"/>
        <v>-14620.51344</v>
      </c>
      <c r="AC12" s="479"/>
      <c r="AD12" s="479"/>
      <c r="AE12" s="479"/>
    </row>
    <row r="13" ht="18" spans="1:31">
      <c r="A13" s="464">
        <v>10</v>
      </c>
      <c r="B13" s="11" t="s">
        <v>40</v>
      </c>
      <c r="C13" s="465">
        <v>277186.875</v>
      </c>
      <c r="D13" s="466">
        <v>12</v>
      </c>
      <c r="E13" s="467">
        <f t="shared" si="0"/>
        <v>3326242.5</v>
      </c>
      <c r="F13" s="467">
        <f>'[6]JANUARY 2024'!$V$14*12</f>
        <v>9305.952</v>
      </c>
      <c r="G13" s="467">
        <v>558833.36</v>
      </c>
      <c r="H13" s="467"/>
      <c r="I13" s="467">
        <f t="shared" si="1"/>
        <v>2758103.188</v>
      </c>
      <c r="J13" s="467">
        <v>200000</v>
      </c>
      <c r="K13" s="467">
        <v>0.2</v>
      </c>
      <c r="L13" s="467">
        <f t="shared" si="2"/>
        <v>551620.6376</v>
      </c>
      <c r="M13" s="467">
        <f t="shared" si="3"/>
        <v>751620.6376</v>
      </c>
      <c r="N13" s="467">
        <f t="shared" si="4"/>
        <v>1319759.9496</v>
      </c>
      <c r="O13" s="467">
        <f t="shared" si="5"/>
        <v>2006482.5504</v>
      </c>
      <c r="P13" s="467">
        <f t="shared" si="6"/>
        <v>21000</v>
      </c>
      <c r="Q13" s="467">
        <f t="shared" si="7"/>
        <v>33000</v>
      </c>
      <c r="R13" s="467">
        <f t="shared" si="8"/>
        <v>75000</v>
      </c>
      <c r="S13" s="467">
        <f t="shared" si="9"/>
        <v>95000</v>
      </c>
      <c r="T13" s="467">
        <f t="shared" si="10"/>
        <v>85361.335584</v>
      </c>
      <c r="U13" s="467"/>
      <c r="V13" s="467">
        <f t="shared" si="12"/>
        <v>309361.335584</v>
      </c>
      <c r="W13" s="474">
        <v>12</v>
      </c>
      <c r="X13" s="467">
        <f t="shared" si="13"/>
        <v>25780.1112986667</v>
      </c>
      <c r="Y13" s="467"/>
      <c r="Z13" s="467">
        <f t="shared" si="14"/>
        <v>25780.1112986667</v>
      </c>
      <c r="AA13" s="479">
        <v>94625.7820586667</v>
      </c>
      <c r="AB13" s="479">
        <f t="shared" si="15"/>
        <v>-68845.67076</v>
      </c>
      <c r="AC13" s="479"/>
      <c r="AD13" s="479"/>
      <c r="AE13" s="479"/>
    </row>
    <row r="14" ht="18" spans="1:31">
      <c r="A14" s="464">
        <v>11</v>
      </c>
      <c r="B14" s="14" t="s">
        <v>43</v>
      </c>
      <c r="C14" s="465">
        <v>446059.041666667</v>
      </c>
      <c r="D14" s="466">
        <v>12</v>
      </c>
      <c r="E14" s="467">
        <f t="shared" si="0"/>
        <v>5352708.5</v>
      </c>
      <c r="F14" s="467"/>
      <c r="G14" s="467">
        <v>464998.8</v>
      </c>
      <c r="H14" s="467"/>
      <c r="I14" s="467">
        <f t="shared" si="1"/>
        <v>4887709.7</v>
      </c>
      <c r="J14" s="467">
        <v>200000</v>
      </c>
      <c r="K14" s="467">
        <v>0.2</v>
      </c>
      <c r="L14" s="467">
        <f t="shared" si="2"/>
        <v>977541.940000001</v>
      </c>
      <c r="M14" s="467">
        <f t="shared" si="3"/>
        <v>1177541.94</v>
      </c>
      <c r="N14" s="467">
        <f t="shared" si="4"/>
        <v>1642540.74</v>
      </c>
      <c r="O14" s="467">
        <f t="shared" si="5"/>
        <v>3710167.76</v>
      </c>
      <c r="P14" s="467">
        <f t="shared" si="6"/>
        <v>21000</v>
      </c>
      <c r="Q14" s="467">
        <f t="shared" si="7"/>
        <v>33000</v>
      </c>
      <c r="R14" s="467">
        <f t="shared" si="8"/>
        <v>75000</v>
      </c>
      <c r="S14" s="467">
        <f t="shared" si="9"/>
        <v>95000</v>
      </c>
      <c r="T14" s="467">
        <f t="shared" si="10"/>
        <v>336000</v>
      </c>
      <c r="U14" s="467">
        <f t="shared" si="11"/>
        <v>122440.262400001</v>
      </c>
      <c r="V14" s="467">
        <f t="shared" si="12"/>
        <v>682440.262400001</v>
      </c>
      <c r="W14" s="474">
        <v>12</v>
      </c>
      <c r="X14" s="467">
        <f t="shared" si="13"/>
        <v>56870.0218666667</v>
      </c>
      <c r="Y14" s="467"/>
      <c r="Z14" s="467">
        <f t="shared" si="14"/>
        <v>56870.0218666667</v>
      </c>
      <c r="AA14" s="479">
        <v>44846.6165886667</v>
      </c>
      <c r="AB14" s="479">
        <f t="shared" si="15"/>
        <v>12023.405278</v>
      </c>
      <c r="AC14" s="479"/>
      <c r="AD14" s="479"/>
      <c r="AE14" s="479"/>
    </row>
    <row r="15" ht="18" spans="1:31">
      <c r="A15" s="464">
        <v>12</v>
      </c>
      <c r="B15" s="11" t="s">
        <v>45</v>
      </c>
      <c r="C15" s="465">
        <v>416373.25</v>
      </c>
      <c r="D15" s="466">
        <v>12</v>
      </c>
      <c r="E15" s="467">
        <f t="shared" si="0"/>
        <v>4996479</v>
      </c>
      <c r="F15" s="467"/>
      <c r="G15" s="468">
        <v>451678.08</v>
      </c>
      <c r="H15" s="467"/>
      <c r="I15" s="467">
        <f t="shared" si="1"/>
        <v>4544800.92</v>
      </c>
      <c r="J15" s="467">
        <v>200000</v>
      </c>
      <c r="K15" s="467">
        <v>0.2</v>
      </c>
      <c r="L15" s="467">
        <f t="shared" si="2"/>
        <v>908960.184</v>
      </c>
      <c r="M15" s="467">
        <f t="shared" si="3"/>
        <v>1108960.184</v>
      </c>
      <c r="N15" s="467">
        <f t="shared" si="4"/>
        <v>1560638.264</v>
      </c>
      <c r="O15" s="467">
        <f t="shared" si="5"/>
        <v>3435840.736</v>
      </c>
      <c r="P15" s="467">
        <f t="shared" si="6"/>
        <v>21000</v>
      </c>
      <c r="Q15" s="467">
        <f t="shared" si="7"/>
        <v>33000</v>
      </c>
      <c r="R15" s="467">
        <f t="shared" si="8"/>
        <v>75000</v>
      </c>
      <c r="S15" s="467">
        <f t="shared" si="9"/>
        <v>95000</v>
      </c>
      <c r="T15" s="467">
        <f t="shared" si="10"/>
        <v>336000</v>
      </c>
      <c r="U15" s="467">
        <f t="shared" si="11"/>
        <v>56601.77664</v>
      </c>
      <c r="V15" s="467">
        <f t="shared" si="12"/>
        <v>616601.77664</v>
      </c>
      <c r="W15" s="474">
        <v>12</v>
      </c>
      <c r="X15" s="467">
        <f t="shared" si="13"/>
        <v>51383.4813866667</v>
      </c>
      <c r="Y15" s="467"/>
      <c r="Z15" s="467">
        <f t="shared" si="14"/>
        <v>51383.4813866667</v>
      </c>
      <c r="AA15" s="479">
        <v>46666.6666666667</v>
      </c>
      <c r="AB15" s="479">
        <f t="shared" si="15"/>
        <v>4716.81471999997</v>
      </c>
      <c r="AC15" s="479"/>
      <c r="AD15" s="479"/>
      <c r="AE15" s="479"/>
    </row>
    <row r="16" ht="18" spans="1:31">
      <c r="A16" s="464">
        <v>13</v>
      </c>
      <c r="B16" s="11" t="s">
        <v>48</v>
      </c>
      <c r="C16" s="465">
        <v>331059.041666667</v>
      </c>
      <c r="D16" s="466">
        <v>12</v>
      </c>
      <c r="E16" s="467">
        <f t="shared" si="0"/>
        <v>3972708.5</v>
      </c>
      <c r="F16" s="467"/>
      <c r="G16" s="467">
        <v>425036.64</v>
      </c>
      <c r="H16" s="467"/>
      <c r="I16" s="467">
        <f t="shared" si="1"/>
        <v>3547671.86</v>
      </c>
      <c r="J16" s="467">
        <v>200000</v>
      </c>
      <c r="K16" s="467">
        <v>0.2</v>
      </c>
      <c r="L16" s="467">
        <f t="shared" si="2"/>
        <v>709534.372000001</v>
      </c>
      <c r="M16" s="467">
        <f t="shared" si="3"/>
        <v>909534.372000001</v>
      </c>
      <c r="N16" s="467">
        <f t="shared" si="4"/>
        <v>1334571.012</v>
      </c>
      <c r="O16" s="467">
        <f t="shared" si="5"/>
        <v>2638137.488</v>
      </c>
      <c r="P16" s="467">
        <f t="shared" si="6"/>
        <v>21000</v>
      </c>
      <c r="Q16" s="467">
        <f t="shared" si="7"/>
        <v>33000</v>
      </c>
      <c r="R16" s="467">
        <f t="shared" si="8"/>
        <v>75000</v>
      </c>
      <c r="S16" s="467">
        <f t="shared" si="9"/>
        <v>95000</v>
      </c>
      <c r="T16" s="467">
        <f t="shared" si="10"/>
        <v>218008.872480001</v>
      </c>
      <c r="U16" s="467"/>
      <c r="V16" s="467">
        <f t="shared" si="12"/>
        <v>442008.872480001</v>
      </c>
      <c r="W16" s="474">
        <v>12</v>
      </c>
      <c r="X16" s="467">
        <f t="shared" si="13"/>
        <v>36834.0727066667</v>
      </c>
      <c r="Y16" s="467"/>
      <c r="Z16" s="467">
        <f t="shared" si="14"/>
        <v>36834.0727066667</v>
      </c>
      <c r="AA16" s="479">
        <v>46666.6666666667</v>
      </c>
      <c r="AB16" s="479">
        <f t="shared" si="15"/>
        <v>-9832.59395999999</v>
      </c>
      <c r="AC16" s="479"/>
      <c r="AD16" s="479"/>
      <c r="AE16" s="479"/>
    </row>
    <row r="17" ht="18" spans="1:31">
      <c r="A17" s="464">
        <v>14</v>
      </c>
      <c r="B17" s="11" t="s">
        <v>50</v>
      </c>
      <c r="C17" s="465">
        <v>274457.958333333</v>
      </c>
      <c r="D17" s="466">
        <v>12</v>
      </c>
      <c r="E17" s="467">
        <f t="shared" si="0"/>
        <v>3293495.5</v>
      </c>
      <c r="F17" s="467"/>
      <c r="G17" s="467">
        <v>424132.72</v>
      </c>
      <c r="H17" s="467"/>
      <c r="I17" s="467">
        <f t="shared" si="1"/>
        <v>2869362.78</v>
      </c>
      <c r="J17" s="467">
        <v>200000</v>
      </c>
      <c r="K17" s="467">
        <v>0.2</v>
      </c>
      <c r="L17" s="467">
        <f t="shared" si="2"/>
        <v>573872.555999999</v>
      </c>
      <c r="M17" s="467">
        <f t="shared" si="3"/>
        <v>773872.555999999</v>
      </c>
      <c r="N17" s="467">
        <f t="shared" si="4"/>
        <v>1198005.276</v>
      </c>
      <c r="O17" s="467">
        <f t="shared" si="5"/>
        <v>2095490.224</v>
      </c>
      <c r="P17" s="467">
        <f t="shared" si="6"/>
        <v>21000</v>
      </c>
      <c r="Q17" s="467">
        <f t="shared" si="7"/>
        <v>33000</v>
      </c>
      <c r="R17" s="467">
        <f t="shared" si="8"/>
        <v>75000</v>
      </c>
      <c r="S17" s="467">
        <f t="shared" si="9"/>
        <v>95000</v>
      </c>
      <c r="T17" s="467">
        <f t="shared" si="10"/>
        <v>104052.947039999</v>
      </c>
      <c r="U17" s="467"/>
      <c r="V17" s="467">
        <f t="shared" si="12"/>
        <v>328052.947039999</v>
      </c>
      <c r="W17" s="474">
        <v>12</v>
      </c>
      <c r="X17" s="467">
        <f t="shared" si="13"/>
        <v>27337.7455866666</v>
      </c>
      <c r="Y17" s="467"/>
      <c r="Z17" s="467">
        <f t="shared" si="14"/>
        <v>27337.7455866666</v>
      </c>
      <c r="AA17" s="479">
        <v>42046.0636866667</v>
      </c>
      <c r="AB17" s="479">
        <f t="shared" si="15"/>
        <v>-14708.3181000001</v>
      </c>
      <c r="AC17" s="479"/>
      <c r="AD17" s="479"/>
      <c r="AE17" s="479"/>
    </row>
    <row r="18" ht="18" spans="1:31">
      <c r="A18" s="464">
        <v>15</v>
      </c>
      <c r="B18" s="18" t="s">
        <v>53</v>
      </c>
      <c r="C18" s="465">
        <v>368013.458333333</v>
      </c>
      <c r="D18" s="466">
        <v>12</v>
      </c>
      <c r="E18" s="467">
        <f t="shared" si="0"/>
        <v>4416161.5</v>
      </c>
      <c r="F18" s="467"/>
      <c r="G18" s="467">
        <v>411759.28</v>
      </c>
      <c r="H18" s="467"/>
      <c r="I18" s="467">
        <f t="shared" si="1"/>
        <v>4004402.22</v>
      </c>
      <c r="J18" s="467">
        <v>200000</v>
      </c>
      <c r="K18" s="467">
        <v>0.2</v>
      </c>
      <c r="L18" s="467">
        <f t="shared" si="2"/>
        <v>800880.443999999</v>
      </c>
      <c r="M18" s="467">
        <f t="shared" si="3"/>
        <v>1000880.444</v>
      </c>
      <c r="N18" s="467">
        <f t="shared" si="4"/>
        <v>1412639.724</v>
      </c>
      <c r="O18" s="467">
        <f t="shared" si="5"/>
        <v>3003521.776</v>
      </c>
      <c r="P18" s="467">
        <f t="shared" si="6"/>
        <v>21000</v>
      </c>
      <c r="Q18" s="467">
        <f t="shared" si="7"/>
        <v>33000</v>
      </c>
      <c r="R18" s="467">
        <f t="shared" si="8"/>
        <v>75000</v>
      </c>
      <c r="S18" s="467">
        <f t="shared" si="9"/>
        <v>95000</v>
      </c>
      <c r="T18" s="467">
        <f t="shared" si="10"/>
        <v>294739.572959999</v>
      </c>
      <c r="U18" s="467"/>
      <c r="V18" s="467">
        <f t="shared" si="12"/>
        <v>518739.572959999</v>
      </c>
      <c r="W18" s="474">
        <v>12</v>
      </c>
      <c r="X18" s="467">
        <f t="shared" si="13"/>
        <v>43228.2977466666</v>
      </c>
      <c r="Y18" s="467"/>
      <c r="Z18" s="467">
        <f t="shared" si="14"/>
        <v>43228.2977466666</v>
      </c>
      <c r="AA18" s="479">
        <v>46666.6666666667</v>
      </c>
      <c r="AB18" s="479">
        <f t="shared" si="15"/>
        <v>-3438.36892000009</v>
      </c>
      <c r="AC18" s="479"/>
      <c r="AD18" s="479"/>
      <c r="AE18" s="479"/>
    </row>
    <row r="19" ht="18" spans="1:31">
      <c r="A19" s="464">
        <v>16</v>
      </c>
      <c r="B19" s="18" t="s">
        <v>56</v>
      </c>
      <c r="C19" s="465">
        <v>230124.458333333</v>
      </c>
      <c r="D19" s="466">
        <v>12</v>
      </c>
      <c r="E19" s="467">
        <f t="shared" si="0"/>
        <v>2761493.5</v>
      </c>
      <c r="F19" s="467">
        <f>618.53*12</f>
        <v>7422.36</v>
      </c>
      <c r="G19" s="467">
        <v>399385.84</v>
      </c>
      <c r="H19" s="467"/>
      <c r="I19" s="467">
        <f t="shared" si="1"/>
        <v>2354685.3</v>
      </c>
      <c r="J19" s="467">
        <v>200000</v>
      </c>
      <c r="K19" s="467">
        <v>0.2</v>
      </c>
      <c r="L19" s="467">
        <f t="shared" si="2"/>
        <v>470937.059999999</v>
      </c>
      <c r="M19" s="467">
        <f t="shared" si="3"/>
        <v>670937.059999999</v>
      </c>
      <c r="N19" s="467">
        <f t="shared" si="4"/>
        <v>1077745.26</v>
      </c>
      <c r="O19" s="467">
        <f t="shared" si="5"/>
        <v>1683748.24</v>
      </c>
      <c r="P19" s="467">
        <f t="shared" si="6"/>
        <v>21000</v>
      </c>
      <c r="Q19" s="467">
        <f t="shared" si="7"/>
        <v>33000</v>
      </c>
      <c r="R19" s="467">
        <f t="shared" si="8"/>
        <v>75000</v>
      </c>
      <c r="S19" s="467">
        <f t="shared" si="9"/>
        <v>95000</v>
      </c>
      <c r="T19" s="467">
        <f t="shared" si="10"/>
        <v>17587.1303999993</v>
      </c>
      <c r="U19" s="467"/>
      <c r="V19" s="467">
        <f t="shared" si="12"/>
        <v>241587.130399999</v>
      </c>
      <c r="W19" s="474">
        <v>12</v>
      </c>
      <c r="X19" s="467">
        <f t="shared" si="13"/>
        <v>20132.2608666666</v>
      </c>
      <c r="Y19" s="467"/>
      <c r="Z19" s="467">
        <f t="shared" si="14"/>
        <v>20132.2608666666</v>
      </c>
      <c r="AA19" s="479">
        <v>46666.6666666667</v>
      </c>
      <c r="AB19" s="479">
        <f t="shared" si="15"/>
        <v>-26534.4058000001</v>
      </c>
      <c r="AC19" s="479"/>
      <c r="AD19" s="479"/>
      <c r="AE19" s="479"/>
    </row>
    <row r="20" ht="18" spans="1:31">
      <c r="A20" s="464">
        <v>17</v>
      </c>
      <c r="B20" s="18" t="s">
        <v>59</v>
      </c>
      <c r="C20" s="465">
        <v>255124.458333333</v>
      </c>
      <c r="D20" s="466">
        <v>12</v>
      </c>
      <c r="E20" s="467">
        <f t="shared" si="0"/>
        <v>3061493.5</v>
      </c>
      <c r="F20" s="467"/>
      <c r="G20" s="467">
        <v>362779.36</v>
      </c>
      <c r="H20" s="467"/>
      <c r="I20" s="467">
        <f t="shared" si="1"/>
        <v>2698714.14</v>
      </c>
      <c r="J20" s="467">
        <v>200000</v>
      </c>
      <c r="K20" s="467">
        <v>0.2</v>
      </c>
      <c r="L20" s="467">
        <f t="shared" si="2"/>
        <v>539742.827999999</v>
      </c>
      <c r="M20" s="467">
        <f t="shared" si="3"/>
        <v>739742.827999999</v>
      </c>
      <c r="N20" s="467">
        <f t="shared" si="4"/>
        <v>1102522.188</v>
      </c>
      <c r="O20" s="467">
        <f t="shared" si="5"/>
        <v>1958971.312</v>
      </c>
      <c r="P20" s="467">
        <f t="shared" si="6"/>
        <v>21000</v>
      </c>
      <c r="Q20" s="467">
        <f t="shared" si="7"/>
        <v>33000</v>
      </c>
      <c r="R20" s="467">
        <f t="shared" si="8"/>
        <v>75000</v>
      </c>
      <c r="S20" s="467">
        <f t="shared" si="9"/>
        <v>95000</v>
      </c>
      <c r="T20" s="467">
        <f t="shared" si="10"/>
        <v>75383.9755199993</v>
      </c>
      <c r="U20" s="467"/>
      <c r="V20" s="467">
        <f t="shared" si="12"/>
        <v>299383.975519999</v>
      </c>
      <c r="W20" s="474">
        <v>12</v>
      </c>
      <c r="X20" s="467">
        <f t="shared" si="13"/>
        <v>24948.6646266666</v>
      </c>
      <c r="Y20" s="467"/>
      <c r="Z20" s="467">
        <f t="shared" si="14"/>
        <v>24948.6646266666</v>
      </c>
      <c r="AA20" s="479">
        <v>52497.7703786666</v>
      </c>
      <c r="AB20" s="479">
        <f t="shared" si="15"/>
        <v>-27549.105752</v>
      </c>
      <c r="AC20" s="479"/>
      <c r="AD20" s="479"/>
      <c r="AE20" s="479"/>
    </row>
    <row r="21" ht="18" spans="1:31">
      <c r="A21" s="464">
        <v>18</v>
      </c>
      <c r="B21" s="11" t="s">
        <v>60</v>
      </c>
      <c r="C21" s="465">
        <v>293947.583333333</v>
      </c>
      <c r="D21" s="466">
        <v>12</v>
      </c>
      <c r="E21" s="467">
        <f t="shared" si="0"/>
        <v>3527371</v>
      </c>
      <c r="F21" s="467"/>
      <c r="G21" s="467">
        <v>339372</v>
      </c>
      <c r="H21" s="467"/>
      <c r="I21" s="467">
        <f t="shared" si="1"/>
        <v>3187999</v>
      </c>
      <c r="J21" s="467">
        <v>200000</v>
      </c>
      <c r="K21" s="467">
        <v>0.2</v>
      </c>
      <c r="L21" s="467">
        <f t="shared" si="2"/>
        <v>637599.799999999</v>
      </c>
      <c r="M21" s="467">
        <f t="shared" si="3"/>
        <v>837599.799999999</v>
      </c>
      <c r="N21" s="467">
        <f t="shared" si="4"/>
        <v>1176971.8</v>
      </c>
      <c r="O21" s="467">
        <f t="shared" si="5"/>
        <v>2350399.2</v>
      </c>
      <c r="P21" s="467">
        <f t="shared" si="6"/>
        <v>21000</v>
      </c>
      <c r="Q21" s="467">
        <f t="shared" si="7"/>
        <v>33000</v>
      </c>
      <c r="R21" s="467">
        <f t="shared" si="8"/>
        <v>75000</v>
      </c>
      <c r="S21" s="467">
        <f t="shared" si="9"/>
        <v>95000</v>
      </c>
      <c r="T21" s="467">
        <f t="shared" si="10"/>
        <v>157583.831999999</v>
      </c>
      <c r="U21" s="467"/>
      <c r="V21" s="467">
        <f t="shared" si="12"/>
        <v>381583.831999999</v>
      </c>
      <c r="W21" s="474">
        <v>12</v>
      </c>
      <c r="X21" s="467">
        <f t="shared" si="13"/>
        <v>31798.6526666666</v>
      </c>
      <c r="Y21" s="467"/>
      <c r="Z21" s="467">
        <f t="shared" si="14"/>
        <v>31798.6526666666</v>
      </c>
      <c r="AA21" s="479">
        <v>46666.6666666667</v>
      </c>
      <c r="AB21" s="479">
        <f t="shared" si="15"/>
        <v>-14868.0140000001</v>
      </c>
      <c r="AC21" s="479"/>
      <c r="AD21" s="479"/>
      <c r="AE21" s="479"/>
    </row>
    <row r="22" ht="18" spans="1:31">
      <c r="A22" s="464">
        <v>19</v>
      </c>
      <c r="B22" s="14" t="s">
        <v>63</v>
      </c>
      <c r="C22" s="465">
        <v>326756.25</v>
      </c>
      <c r="D22" s="466">
        <v>12</v>
      </c>
      <c r="E22" s="467">
        <f t="shared" si="0"/>
        <v>3921075</v>
      </c>
      <c r="F22" s="467"/>
      <c r="G22" s="467">
        <v>339372</v>
      </c>
      <c r="H22" s="467"/>
      <c r="I22" s="467">
        <f t="shared" si="1"/>
        <v>3581703</v>
      </c>
      <c r="J22" s="467">
        <v>200000</v>
      </c>
      <c r="K22" s="467">
        <v>0.2</v>
      </c>
      <c r="L22" s="467">
        <f t="shared" si="2"/>
        <v>716340.6</v>
      </c>
      <c r="M22" s="467">
        <f t="shared" si="3"/>
        <v>916340.6</v>
      </c>
      <c r="N22" s="467">
        <f t="shared" si="4"/>
        <v>1255712.6</v>
      </c>
      <c r="O22" s="467">
        <f t="shared" si="5"/>
        <v>2665362.4</v>
      </c>
      <c r="P22" s="467">
        <f t="shared" si="6"/>
        <v>21000</v>
      </c>
      <c r="Q22" s="467">
        <f t="shared" si="7"/>
        <v>33000</v>
      </c>
      <c r="R22" s="467">
        <f t="shared" si="8"/>
        <v>75000</v>
      </c>
      <c r="S22" s="467">
        <f t="shared" si="9"/>
        <v>95000</v>
      </c>
      <c r="T22" s="467">
        <f t="shared" si="10"/>
        <v>223726.104</v>
      </c>
      <c r="U22" s="467"/>
      <c r="V22" s="467">
        <f t="shared" si="12"/>
        <v>447726.104</v>
      </c>
      <c r="W22" s="474">
        <v>12</v>
      </c>
      <c r="X22" s="467">
        <f t="shared" si="13"/>
        <v>37310.5086666667</v>
      </c>
      <c r="Y22" s="467"/>
      <c r="Z22" s="467">
        <f t="shared" si="14"/>
        <v>37310.5086666667</v>
      </c>
      <c r="AA22" s="479">
        <v>46666.6666666667</v>
      </c>
      <c r="AB22" s="479">
        <f t="shared" si="15"/>
        <v>-9356.15800000004</v>
      </c>
      <c r="AC22" s="479"/>
      <c r="AD22" s="479"/>
      <c r="AE22" s="479"/>
    </row>
    <row r="23" ht="18" spans="1:31">
      <c r="A23" s="464">
        <v>20</v>
      </c>
      <c r="B23" s="11" t="s">
        <v>66</v>
      </c>
      <c r="C23" s="465">
        <v>231756.25</v>
      </c>
      <c r="D23" s="466">
        <v>12</v>
      </c>
      <c r="E23" s="467">
        <f t="shared" si="0"/>
        <v>2781075</v>
      </c>
      <c r="F23" s="467"/>
      <c r="G23" s="467">
        <v>281308.48</v>
      </c>
      <c r="H23" s="467"/>
      <c r="I23" s="467">
        <f t="shared" si="1"/>
        <v>2499766.52</v>
      </c>
      <c r="J23" s="467">
        <v>200000</v>
      </c>
      <c r="K23" s="467">
        <v>0.2</v>
      </c>
      <c r="L23" s="467">
        <f t="shared" si="2"/>
        <v>499953.304</v>
      </c>
      <c r="M23" s="467">
        <f t="shared" si="3"/>
        <v>699953.304</v>
      </c>
      <c r="N23" s="467">
        <f t="shared" si="4"/>
        <v>981261.784</v>
      </c>
      <c r="O23" s="467">
        <f t="shared" si="5"/>
        <v>1799813.216</v>
      </c>
      <c r="P23" s="467">
        <f t="shared" si="6"/>
        <v>21000</v>
      </c>
      <c r="Q23" s="467">
        <f t="shared" si="7"/>
        <v>33000</v>
      </c>
      <c r="R23" s="467">
        <f t="shared" si="8"/>
        <v>75000</v>
      </c>
      <c r="S23" s="467">
        <f t="shared" si="9"/>
        <v>95000</v>
      </c>
      <c r="T23" s="467">
        <f t="shared" si="10"/>
        <v>41960.77536</v>
      </c>
      <c r="U23" s="467"/>
      <c r="V23" s="467">
        <f t="shared" si="12"/>
        <v>265960.77536</v>
      </c>
      <c r="W23" s="474">
        <v>12</v>
      </c>
      <c r="X23" s="467">
        <f t="shared" si="13"/>
        <v>22163.3979466667</v>
      </c>
      <c r="Y23" s="467"/>
      <c r="Z23" s="467">
        <f t="shared" si="14"/>
        <v>22163.3979466667</v>
      </c>
      <c r="AA23" s="479">
        <v>42371.8157286667</v>
      </c>
      <c r="AB23" s="479">
        <f t="shared" si="15"/>
        <v>-20208.417782</v>
      </c>
      <c r="AC23" s="479"/>
      <c r="AD23" s="479"/>
      <c r="AE23" s="479"/>
    </row>
    <row r="24" ht="18" spans="1:31">
      <c r="A24" s="464">
        <v>21</v>
      </c>
      <c r="B24" s="14" t="s">
        <v>68</v>
      </c>
      <c r="C24" s="465">
        <v>276514.833333333</v>
      </c>
      <c r="D24" s="466">
        <v>12</v>
      </c>
      <c r="E24" s="467">
        <f t="shared" si="0"/>
        <v>3318178</v>
      </c>
      <c r="F24" s="467"/>
      <c r="G24" s="467">
        <v>259662.4</v>
      </c>
      <c r="H24" s="467"/>
      <c r="I24" s="467">
        <f t="shared" si="1"/>
        <v>3058515.6</v>
      </c>
      <c r="J24" s="467">
        <v>200000</v>
      </c>
      <c r="K24" s="467">
        <v>0.2</v>
      </c>
      <c r="L24" s="467">
        <f t="shared" si="2"/>
        <v>611703.119999999</v>
      </c>
      <c r="M24" s="467">
        <f t="shared" si="3"/>
        <v>811703.119999999</v>
      </c>
      <c r="N24" s="467">
        <f t="shared" si="4"/>
        <v>1071365.52</v>
      </c>
      <c r="O24" s="467">
        <f t="shared" si="5"/>
        <v>2246812.48</v>
      </c>
      <c r="P24" s="467">
        <f t="shared" si="6"/>
        <v>21000</v>
      </c>
      <c r="Q24" s="467">
        <f t="shared" si="7"/>
        <v>33000</v>
      </c>
      <c r="R24" s="467">
        <f t="shared" si="8"/>
        <v>75000</v>
      </c>
      <c r="S24" s="467">
        <f t="shared" si="9"/>
        <v>95000</v>
      </c>
      <c r="T24" s="467">
        <f t="shared" si="10"/>
        <v>135830.620799999</v>
      </c>
      <c r="U24" s="467"/>
      <c r="V24" s="467">
        <f t="shared" si="12"/>
        <v>359830.620799999</v>
      </c>
      <c r="W24" s="474">
        <v>12</v>
      </c>
      <c r="X24" s="467">
        <f t="shared" si="13"/>
        <v>29985.8850666666</v>
      </c>
      <c r="Y24" s="467"/>
      <c r="Z24" s="467">
        <f t="shared" si="14"/>
        <v>29985.8850666666</v>
      </c>
      <c r="AA24" s="479">
        <v>23036.0123466667</v>
      </c>
      <c r="AB24" s="479">
        <f t="shared" si="15"/>
        <v>6949.87271999991</v>
      </c>
      <c r="AC24" s="479"/>
      <c r="AD24" s="479"/>
      <c r="AE24" s="479"/>
    </row>
    <row r="25" ht="18" spans="1:31">
      <c r="A25" s="464">
        <v>22</v>
      </c>
      <c r="B25" s="14" t="s">
        <v>71</v>
      </c>
      <c r="C25" s="465">
        <v>176514.833333333</v>
      </c>
      <c r="D25" s="466">
        <v>12</v>
      </c>
      <c r="E25" s="467">
        <f t="shared" si="0"/>
        <v>2118178</v>
      </c>
      <c r="F25" s="467"/>
      <c r="G25" s="467">
        <v>259662.4</v>
      </c>
      <c r="H25" s="467"/>
      <c r="I25" s="467">
        <f t="shared" si="1"/>
        <v>1858515.6</v>
      </c>
      <c r="J25" s="467">
        <v>200000</v>
      </c>
      <c r="K25" s="467">
        <v>0.2</v>
      </c>
      <c r="L25" s="467">
        <f t="shared" si="2"/>
        <v>371703.119999999</v>
      </c>
      <c r="M25" s="467">
        <f t="shared" si="3"/>
        <v>571703.119999999</v>
      </c>
      <c r="N25" s="467">
        <f t="shared" si="4"/>
        <v>831365.519999999</v>
      </c>
      <c r="O25" s="467">
        <f t="shared" si="5"/>
        <v>1286812.48</v>
      </c>
      <c r="P25" s="467">
        <f t="shared" si="6"/>
        <v>21000</v>
      </c>
      <c r="Q25" s="467">
        <f t="shared" si="7"/>
        <v>33000</v>
      </c>
      <c r="R25" s="467">
        <f t="shared" si="8"/>
        <v>75000</v>
      </c>
      <c r="S25" s="467">
        <f t="shared" si="9"/>
        <v>35494.3711999994</v>
      </c>
      <c r="T25" s="467">
        <f t="shared" si="10"/>
        <v>0</v>
      </c>
      <c r="U25" s="467"/>
      <c r="V25" s="467">
        <f t="shared" si="12"/>
        <v>164494.371199999</v>
      </c>
      <c r="W25" s="474">
        <v>12</v>
      </c>
      <c r="X25" s="467">
        <f t="shared" si="13"/>
        <v>13707.8642666666</v>
      </c>
      <c r="Y25" s="467"/>
      <c r="Z25" s="467">
        <f t="shared" si="14"/>
        <v>13707.8642666666</v>
      </c>
      <c r="AA25" s="479">
        <v>23036.0123466667</v>
      </c>
      <c r="AB25" s="479">
        <f t="shared" si="15"/>
        <v>-9328.14808000008</v>
      </c>
      <c r="AC25" s="479"/>
      <c r="AD25" s="479"/>
      <c r="AE25" s="479"/>
    </row>
    <row r="26" ht="18" spans="1:31">
      <c r="A26" s="464">
        <v>23</v>
      </c>
      <c r="B26" s="4" t="s">
        <v>73</v>
      </c>
      <c r="C26" s="465">
        <v>165240.833333333</v>
      </c>
      <c r="D26" s="466">
        <v>12</v>
      </c>
      <c r="E26" s="467">
        <f t="shared" si="0"/>
        <v>1982890</v>
      </c>
      <c r="F26" s="467"/>
      <c r="G26" s="467">
        <v>259662.4</v>
      </c>
      <c r="H26" s="467"/>
      <c r="I26" s="467">
        <f t="shared" si="1"/>
        <v>1723227.6</v>
      </c>
      <c r="J26" s="467">
        <v>200000</v>
      </c>
      <c r="K26" s="467">
        <v>0.2</v>
      </c>
      <c r="L26" s="467">
        <f t="shared" si="2"/>
        <v>344645.519999999</v>
      </c>
      <c r="M26" s="467">
        <f t="shared" si="3"/>
        <v>544645.519999999</v>
      </c>
      <c r="N26" s="467">
        <f t="shared" si="4"/>
        <v>804307.919999999</v>
      </c>
      <c r="O26" s="467">
        <f t="shared" si="5"/>
        <v>1178582.08</v>
      </c>
      <c r="P26" s="467">
        <f t="shared" si="6"/>
        <v>21000</v>
      </c>
      <c r="Q26" s="467">
        <f t="shared" si="7"/>
        <v>33000</v>
      </c>
      <c r="R26" s="467">
        <f t="shared" si="8"/>
        <v>75000</v>
      </c>
      <c r="S26" s="467">
        <f t="shared" si="9"/>
        <v>14930.5951999994</v>
      </c>
      <c r="T26" s="467">
        <f t="shared" si="10"/>
        <v>0</v>
      </c>
      <c r="U26" s="467"/>
      <c r="V26" s="467">
        <f t="shared" si="12"/>
        <v>143930.595199999</v>
      </c>
      <c r="W26" s="474">
        <v>12</v>
      </c>
      <c r="X26" s="467">
        <f t="shared" si="13"/>
        <v>11994.2162666666</v>
      </c>
      <c r="Y26" s="467"/>
      <c r="Z26" s="467">
        <f t="shared" si="14"/>
        <v>11994.2162666666</v>
      </c>
      <c r="AA26" s="479">
        <v>29756.0123466667</v>
      </c>
      <c r="AB26" s="479">
        <f t="shared" si="15"/>
        <v>-17761.7960800001</v>
      </c>
      <c r="AC26" s="479"/>
      <c r="AD26" s="479"/>
      <c r="AE26" s="479"/>
    </row>
    <row r="27" ht="18" spans="1:31">
      <c r="A27" s="464">
        <v>24</v>
      </c>
      <c r="B27" s="18" t="s">
        <v>76</v>
      </c>
      <c r="C27" s="465">
        <v>165240.833333333</v>
      </c>
      <c r="D27" s="466">
        <v>12</v>
      </c>
      <c r="E27" s="467">
        <f t="shared" si="0"/>
        <v>1982890</v>
      </c>
      <c r="F27" s="467"/>
      <c r="G27" s="467">
        <v>252638.72</v>
      </c>
      <c r="H27" s="467"/>
      <c r="I27" s="467">
        <f t="shared" si="1"/>
        <v>1730251.28</v>
      </c>
      <c r="J27" s="467">
        <v>200000</v>
      </c>
      <c r="K27" s="467">
        <v>0.2</v>
      </c>
      <c r="L27" s="467">
        <f t="shared" si="2"/>
        <v>346050.255999999</v>
      </c>
      <c r="M27" s="467">
        <f t="shared" si="3"/>
        <v>546050.255999999</v>
      </c>
      <c r="N27" s="467">
        <f t="shared" si="4"/>
        <v>798688.975999999</v>
      </c>
      <c r="O27" s="467">
        <f t="shared" si="5"/>
        <v>1184201.024</v>
      </c>
      <c r="P27" s="467">
        <f t="shared" si="6"/>
        <v>21000</v>
      </c>
      <c r="Q27" s="467">
        <f t="shared" si="7"/>
        <v>33000</v>
      </c>
      <c r="R27" s="467">
        <f t="shared" si="8"/>
        <v>75000</v>
      </c>
      <c r="S27" s="467">
        <f t="shared" si="9"/>
        <v>15998.1945599994</v>
      </c>
      <c r="T27" s="467">
        <f t="shared" si="10"/>
        <v>0</v>
      </c>
      <c r="U27" s="467"/>
      <c r="V27" s="467">
        <f t="shared" si="12"/>
        <v>144998.194559999</v>
      </c>
      <c r="W27" s="474">
        <v>12</v>
      </c>
      <c r="X27" s="467">
        <f t="shared" si="13"/>
        <v>12083.1828799999</v>
      </c>
      <c r="Y27" s="467"/>
      <c r="Z27" s="467">
        <f t="shared" si="14"/>
        <v>12083.1828799999</v>
      </c>
      <c r="AA27" s="479">
        <v>22338.4826046667</v>
      </c>
      <c r="AB27" s="479">
        <f t="shared" si="15"/>
        <v>-10255.2997246668</v>
      </c>
      <c r="AC27" s="479"/>
      <c r="AD27" s="479"/>
      <c r="AE27" s="479"/>
    </row>
    <row r="28" ht="18" spans="1:31">
      <c r="A28" s="464">
        <v>25</v>
      </c>
      <c r="B28" s="11" t="s">
        <v>77</v>
      </c>
      <c r="C28" s="465">
        <v>185240.833333333</v>
      </c>
      <c r="D28" s="466">
        <v>12</v>
      </c>
      <c r="E28" s="467">
        <f t="shared" si="0"/>
        <v>2222890</v>
      </c>
      <c r="F28" s="467"/>
      <c r="G28" s="467">
        <v>245615.04</v>
      </c>
      <c r="H28" s="467"/>
      <c r="I28" s="467">
        <f t="shared" si="1"/>
        <v>1977274.96</v>
      </c>
      <c r="J28" s="467">
        <v>200000</v>
      </c>
      <c r="K28" s="467">
        <v>0.2</v>
      </c>
      <c r="L28" s="467">
        <f t="shared" si="2"/>
        <v>395454.991999999</v>
      </c>
      <c r="M28" s="467">
        <f t="shared" si="3"/>
        <v>595454.991999999</v>
      </c>
      <c r="N28" s="467">
        <f t="shared" si="4"/>
        <v>841070.031999999</v>
      </c>
      <c r="O28" s="467">
        <f t="shared" si="5"/>
        <v>1381819.968</v>
      </c>
      <c r="P28" s="467">
        <f t="shared" si="6"/>
        <v>21000</v>
      </c>
      <c r="Q28" s="467">
        <f t="shared" si="7"/>
        <v>33000</v>
      </c>
      <c r="R28" s="467">
        <f t="shared" si="8"/>
        <v>75000</v>
      </c>
      <c r="S28" s="467">
        <f t="shared" si="9"/>
        <v>53545.7939199994</v>
      </c>
      <c r="T28" s="467">
        <f t="shared" si="10"/>
        <v>0</v>
      </c>
      <c r="U28" s="467"/>
      <c r="V28" s="467">
        <f t="shared" si="12"/>
        <v>182545.793919999</v>
      </c>
      <c r="W28" s="474">
        <v>12</v>
      </c>
      <c r="X28" s="467">
        <f t="shared" si="13"/>
        <v>15212.1494933333</v>
      </c>
      <c r="Y28" s="467"/>
      <c r="Z28" s="467">
        <f t="shared" si="14"/>
        <v>15212.1494933333</v>
      </c>
      <c r="AA28" s="479">
        <v>21640.9528626667</v>
      </c>
      <c r="AB28" s="479">
        <f t="shared" si="15"/>
        <v>-6428.80336933342</v>
      </c>
      <c r="AC28" s="479"/>
      <c r="AD28" s="479"/>
      <c r="AE28" s="479"/>
    </row>
    <row r="29" ht="18" spans="1:31">
      <c r="A29" s="464">
        <v>26</v>
      </c>
      <c r="B29" s="18" t="s">
        <v>78</v>
      </c>
      <c r="C29" s="465">
        <v>161582.666666667</v>
      </c>
      <c r="D29" s="466">
        <v>12</v>
      </c>
      <c r="E29" s="467">
        <f t="shared" si="0"/>
        <v>1938992</v>
      </c>
      <c r="F29" s="467"/>
      <c r="G29" s="467">
        <v>245615.04</v>
      </c>
      <c r="H29" s="467"/>
      <c r="I29" s="467">
        <f t="shared" si="1"/>
        <v>1693376.96</v>
      </c>
      <c r="J29" s="467">
        <v>200000</v>
      </c>
      <c r="K29" s="467">
        <v>0.2</v>
      </c>
      <c r="L29" s="467">
        <f t="shared" si="2"/>
        <v>338675.392000001</v>
      </c>
      <c r="M29" s="467">
        <f t="shared" si="3"/>
        <v>538675.392000001</v>
      </c>
      <c r="N29" s="467">
        <f t="shared" si="4"/>
        <v>784290.432000001</v>
      </c>
      <c r="O29" s="467">
        <f t="shared" si="5"/>
        <v>1154701.568</v>
      </c>
      <c r="P29" s="467">
        <f t="shared" si="6"/>
        <v>21000</v>
      </c>
      <c r="Q29" s="467">
        <f t="shared" si="7"/>
        <v>33000</v>
      </c>
      <c r="R29" s="467">
        <f t="shared" si="8"/>
        <v>75000</v>
      </c>
      <c r="S29" s="467">
        <f t="shared" si="9"/>
        <v>10393.2979200006</v>
      </c>
      <c r="T29" s="467">
        <f t="shared" si="10"/>
        <v>0</v>
      </c>
      <c r="U29" s="467"/>
      <c r="V29" s="467">
        <f t="shared" si="12"/>
        <v>139393.297920001</v>
      </c>
      <c r="W29" s="474">
        <v>12</v>
      </c>
      <c r="X29" s="467">
        <f t="shared" si="13"/>
        <v>11616.1081600001</v>
      </c>
      <c r="Y29" s="467"/>
      <c r="Z29" s="467">
        <f t="shared" si="14"/>
        <v>11616.1081600001</v>
      </c>
      <c r="AA29" s="479">
        <v>21640.9528626667</v>
      </c>
      <c r="AB29" s="479">
        <f t="shared" si="15"/>
        <v>-10024.8447026666</v>
      </c>
      <c r="AC29" s="479"/>
      <c r="AD29" s="479"/>
      <c r="AE29" s="479"/>
    </row>
    <row r="30" ht="18" spans="1:31">
      <c r="A30" s="464">
        <v>27</v>
      </c>
      <c r="B30" s="18" t="s">
        <v>81</v>
      </c>
      <c r="C30" s="465">
        <v>157924.5</v>
      </c>
      <c r="D30" s="466">
        <v>12</v>
      </c>
      <c r="E30" s="467">
        <f t="shared" si="0"/>
        <v>1895094</v>
      </c>
      <c r="F30" s="467"/>
      <c r="G30" s="467">
        <v>259662.4</v>
      </c>
      <c r="H30" s="467"/>
      <c r="I30" s="467">
        <f t="shared" si="1"/>
        <v>1635431.6</v>
      </c>
      <c r="J30" s="467">
        <v>200000</v>
      </c>
      <c r="K30" s="467">
        <v>0.2</v>
      </c>
      <c r="L30" s="467">
        <f t="shared" si="2"/>
        <v>327086.32</v>
      </c>
      <c r="M30" s="467">
        <f t="shared" si="3"/>
        <v>527086.32</v>
      </c>
      <c r="N30" s="467">
        <f t="shared" si="4"/>
        <v>786748.72</v>
      </c>
      <c r="O30" s="467">
        <f t="shared" si="5"/>
        <v>1108345.28</v>
      </c>
      <c r="P30" s="467">
        <f t="shared" si="6"/>
        <v>21000</v>
      </c>
      <c r="Q30" s="467">
        <f t="shared" si="7"/>
        <v>33000</v>
      </c>
      <c r="R30" s="467">
        <f t="shared" si="8"/>
        <v>75000</v>
      </c>
      <c r="S30" s="467">
        <f t="shared" si="9"/>
        <v>1585.60319999996</v>
      </c>
      <c r="T30" s="467">
        <f t="shared" si="10"/>
        <v>0</v>
      </c>
      <c r="U30" s="467"/>
      <c r="V30" s="467">
        <f t="shared" si="12"/>
        <v>130585.6032</v>
      </c>
      <c r="W30" s="474">
        <v>12</v>
      </c>
      <c r="X30" s="467">
        <f t="shared" si="13"/>
        <v>10882.1336</v>
      </c>
      <c r="Y30" s="467"/>
      <c r="Z30" s="467">
        <f t="shared" si="14"/>
        <v>10882.1336</v>
      </c>
      <c r="AA30" s="479">
        <v>22338.4826046667</v>
      </c>
      <c r="AB30" s="479">
        <f t="shared" si="15"/>
        <v>-11456.3490046667</v>
      </c>
      <c r="AC30" s="479"/>
      <c r="AD30" s="479"/>
      <c r="AE30" s="479"/>
    </row>
    <row r="31" ht="18" spans="1:31">
      <c r="A31" s="464">
        <v>28</v>
      </c>
      <c r="B31" s="18" t="s">
        <v>84</v>
      </c>
      <c r="C31" s="465">
        <v>157924.5</v>
      </c>
      <c r="D31" s="466">
        <v>12</v>
      </c>
      <c r="E31" s="467">
        <f t="shared" si="0"/>
        <v>1895094</v>
      </c>
      <c r="F31" s="467"/>
      <c r="G31" s="468">
        <v>221406.64</v>
      </c>
      <c r="H31" s="467"/>
      <c r="I31" s="467">
        <f t="shared" si="1"/>
        <v>1673687.36</v>
      </c>
      <c r="J31" s="467">
        <v>200000</v>
      </c>
      <c r="K31" s="467">
        <v>0.2</v>
      </c>
      <c r="L31" s="467">
        <f t="shared" si="2"/>
        <v>334737.472</v>
      </c>
      <c r="M31" s="467">
        <f t="shared" si="3"/>
        <v>534737.472</v>
      </c>
      <c r="N31" s="467">
        <f t="shared" si="4"/>
        <v>756144.112</v>
      </c>
      <c r="O31" s="467">
        <f t="shared" si="5"/>
        <v>1138949.888</v>
      </c>
      <c r="P31" s="467">
        <f t="shared" si="6"/>
        <v>21000</v>
      </c>
      <c r="Q31" s="467">
        <f t="shared" si="7"/>
        <v>33000</v>
      </c>
      <c r="R31" s="467">
        <f t="shared" si="8"/>
        <v>75000</v>
      </c>
      <c r="S31" s="467">
        <f t="shared" si="9"/>
        <v>7400.47871999996</v>
      </c>
      <c r="T31" s="467">
        <f t="shared" si="10"/>
        <v>0</v>
      </c>
      <c r="U31" s="467"/>
      <c r="V31" s="467">
        <f t="shared" si="12"/>
        <v>136400.47872</v>
      </c>
      <c r="W31" s="474">
        <v>12</v>
      </c>
      <c r="X31" s="467">
        <f t="shared" si="13"/>
        <v>11366.70656</v>
      </c>
      <c r="Y31" s="467"/>
      <c r="Z31" s="467">
        <f t="shared" si="14"/>
        <v>11366.70656</v>
      </c>
      <c r="AA31" s="479">
        <v>17572.8850026667</v>
      </c>
      <c r="AB31" s="479">
        <f t="shared" si="15"/>
        <v>-6206.1784426667</v>
      </c>
      <c r="AC31" s="479"/>
      <c r="AD31" s="479"/>
      <c r="AE31" s="479"/>
    </row>
    <row r="32" ht="18" spans="1:31">
      <c r="A32" s="464">
        <v>29</v>
      </c>
      <c r="B32" s="18" t="s">
        <v>85</v>
      </c>
      <c r="C32" s="465">
        <v>165240.833333333</v>
      </c>
      <c r="D32" s="466">
        <v>12</v>
      </c>
      <c r="E32" s="467">
        <f t="shared" si="0"/>
        <v>1982890</v>
      </c>
      <c r="F32" s="467"/>
      <c r="G32" s="468">
        <f>17956.78*12</f>
        <v>215481.36</v>
      </c>
      <c r="H32" s="467"/>
      <c r="I32" s="467">
        <f t="shared" si="1"/>
        <v>1767408.64</v>
      </c>
      <c r="J32" s="467">
        <v>200000</v>
      </c>
      <c r="K32" s="467">
        <v>0.2</v>
      </c>
      <c r="L32" s="467">
        <f t="shared" si="2"/>
        <v>353481.727999999</v>
      </c>
      <c r="M32" s="467">
        <f t="shared" si="3"/>
        <v>553481.727999999</v>
      </c>
      <c r="N32" s="467">
        <f t="shared" si="4"/>
        <v>768963.087999999</v>
      </c>
      <c r="O32" s="467">
        <f t="shared" si="5"/>
        <v>1213926.912</v>
      </c>
      <c r="P32" s="467">
        <f t="shared" si="6"/>
        <v>21000</v>
      </c>
      <c r="Q32" s="467">
        <f t="shared" si="7"/>
        <v>33000</v>
      </c>
      <c r="R32" s="467">
        <f t="shared" si="8"/>
        <v>75000</v>
      </c>
      <c r="S32" s="467">
        <f t="shared" si="9"/>
        <v>21646.1132799994</v>
      </c>
      <c r="T32" s="467">
        <f t="shared" si="10"/>
        <v>0</v>
      </c>
      <c r="U32" s="467"/>
      <c r="V32" s="467">
        <f t="shared" si="12"/>
        <v>150646.113279999</v>
      </c>
      <c r="W32" s="474">
        <v>12</v>
      </c>
      <c r="X32" s="467">
        <f t="shared" si="13"/>
        <v>12553.8427733333</v>
      </c>
      <c r="Y32" s="467"/>
      <c r="Z32" s="467">
        <f t="shared" si="14"/>
        <v>12553.8427733333</v>
      </c>
      <c r="AA32" s="479">
        <v>16512.6821906667</v>
      </c>
      <c r="AB32" s="479">
        <f t="shared" si="15"/>
        <v>-3958.83941733342</v>
      </c>
      <c r="AC32" s="479"/>
      <c r="AD32" s="479"/>
      <c r="AE32" s="479"/>
    </row>
    <row r="33" ht="18" spans="1:31">
      <c r="A33" s="464"/>
      <c r="B33" s="18" t="s">
        <v>87</v>
      </c>
      <c r="C33" s="465">
        <v>157924.5</v>
      </c>
      <c r="D33" s="466">
        <v>12</v>
      </c>
      <c r="E33" s="467">
        <f t="shared" si="0"/>
        <v>1895094</v>
      </c>
      <c r="F33" s="467"/>
      <c r="G33" s="468">
        <f>17956.78*12</f>
        <v>215481.36</v>
      </c>
      <c r="H33" s="467"/>
      <c r="I33" s="467">
        <f t="shared" si="1"/>
        <v>1679612.64</v>
      </c>
      <c r="J33" s="467">
        <v>200000</v>
      </c>
      <c r="K33" s="467">
        <v>0.2</v>
      </c>
      <c r="L33" s="467">
        <f t="shared" si="2"/>
        <v>335922.528</v>
      </c>
      <c r="M33" s="467">
        <f t="shared" si="3"/>
        <v>535922.528</v>
      </c>
      <c r="N33" s="467">
        <f t="shared" si="4"/>
        <v>751403.888</v>
      </c>
      <c r="O33" s="467">
        <f t="shared" si="5"/>
        <v>1143690.112</v>
      </c>
      <c r="P33" s="467">
        <f t="shared" si="6"/>
        <v>21000</v>
      </c>
      <c r="Q33" s="467">
        <f t="shared" si="7"/>
        <v>33000</v>
      </c>
      <c r="R33" s="467">
        <f t="shared" si="8"/>
        <v>75000</v>
      </c>
      <c r="S33" s="467">
        <f t="shared" si="9"/>
        <v>8301.12127999999</v>
      </c>
      <c r="T33" s="467">
        <f t="shared" si="10"/>
        <v>0</v>
      </c>
      <c r="U33" s="467"/>
      <c r="V33" s="467">
        <f t="shared" si="12"/>
        <v>137301.12128</v>
      </c>
      <c r="W33" s="474">
        <v>12</v>
      </c>
      <c r="X33" s="467">
        <f t="shared" si="13"/>
        <v>11441.7601066667</v>
      </c>
      <c r="Y33" s="467"/>
      <c r="Z33" s="467">
        <f t="shared" si="14"/>
        <v>11441.7601066667</v>
      </c>
      <c r="AA33" s="479"/>
      <c r="AB33" s="479"/>
      <c r="AC33" s="479"/>
      <c r="AD33" s="479"/>
      <c r="AE33" s="479"/>
    </row>
    <row r="34" ht="18" spans="1:31">
      <c r="A34" s="464"/>
      <c r="B34" s="18" t="s">
        <v>88</v>
      </c>
      <c r="C34" s="465">
        <v>157924.5</v>
      </c>
      <c r="D34" s="466">
        <v>12</v>
      </c>
      <c r="E34" s="467">
        <f t="shared" si="0"/>
        <v>1895094</v>
      </c>
      <c r="F34" s="467"/>
      <c r="G34" s="468">
        <f>17956.78*12</f>
        <v>215481.36</v>
      </c>
      <c r="H34" s="467"/>
      <c r="I34" s="467">
        <f t="shared" si="1"/>
        <v>1679612.64</v>
      </c>
      <c r="J34" s="467">
        <v>200000</v>
      </c>
      <c r="K34" s="467">
        <v>0.2</v>
      </c>
      <c r="L34" s="467">
        <f t="shared" si="2"/>
        <v>335922.528</v>
      </c>
      <c r="M34" s="467">
        <f t="shared" si="3"/>
        <v>535922.528</v>
      </c>
      <c r="N34" s="467">
        <f t="shared" si="4"/>
        <v>751403.888</v>
      </c>
      <c r="O34" s="467">
        <f t="shared" si="5"/>
        <v>1143690.112</v>
      </c>
      <c r="P34" s="467">
        <f t="shared" si="6"/>
        <v>21000</v>
      </c>
      <c r="Q34" s="467">
        <f t="shared" si="7"/>
        <v>33000</v>
      </c>
      <c r="R34" s="467">
        <f t="shared" si="8"/>
        <v>75000</v>
      </c>
      <c r="S34" s="467">
        <f t="shared" si="9"/>
        <v>8301.12127999999</v>
      </c>
      <c r="T34" s="467">
        <f t="shared" si="10"/>
        <v>0</v>
      </c>
      <c r="U34" s="467"/>
      <c r="V34" s="467">
        <f t="shared" si="12"/>
        <v>137301.12128</v>
      </c>
      <c r="W34" s="474">
        <v>12</v>
      </c>
      <c r="X34" s="467">
        <f t="shared" si="13"/>
        <v>11441.7601066667</v>
      </c>
      <c r="Y34" s="467"/>
      <c r="Z34" s="467">
        <f t="shared" si="14"/>
        <v>11441.7601066667</v>
      </c>
      <c r="AA34" s="479"/>
      <c r="AB34" s="479"/>
      <c r="AC34" s="479"/>
      <c r="AD34" s="479"/>
      <c r="AE34" s="479"/>
    </row>
    <row r="35" ht="18" spans="1:31">
      <c r="A35" s="464">
        <v>31</v>
      </c>
      <c r="B35" s="18" t="s">
        <v>90</v>
      </c>
      <c r="C35" s="467">
        <v>137229.875</v>
      </c>
      <c r="D35" s="466">
        <v>12</v>
      </c>
      <c r="E35" s="467">
        <f t="shared" si="0"/>
        <v>1646758.5</v>
      </c>
      <c r="F35" s="470"/>
      <c r="G35" s="468">
        <f>17956.78*12</f>
        <v>215481.36</v>
      </c>
      <c r="H35" s="470"/>
      <c r="I35" s="467">
        <f t="shared" si="1"/>
        <v>1431277.14</v>
      </c>
      <c r="J35" s="467">
        <v>200000</v>
      </c>
      <c r="K35" s="467">
        <v>0.2</v>
      </c>
      <c r="L35" s="467">
        <f t="shared" si="2"/>
        <v>286255.428</v>
      </c>
      <c r="M35" s="467">
        <f t="shared" si="3"/>
        <v>486255.428</v>
      </c>
      <c r="N35" s="467">
        <f t="shared" si="4"/>
        <v>701736.788</v>
      </c>
      <c r="O35" s="467">
        <f t="shared" si="5"/>
        <v>945021.712</v>
      </c>
      <c r="P35" s="467">
        <f t="shared" si="6"/>
        <v>21000</v>
      </c>
      <c r="Q35" s="467">
        <f t="shared" si="7"/>
        <v>33000</v>
      </c>
      <c r="R35" s="467">
        <f t="shared" si="8"/>
        <v>51753.2568</v>
      </c>
      <c r="S35" s="467">
        <f t="shared" si="9"/>
        <v>0</v>
      </c>
      <c r="T35" s="467">
        <f t="shared" si="10"/>
        <v>0</v>
      </c>
      <c r="U35" s="467"/>
      <c r="V35" s="467">
        <f t="shared" si="12"/>
        <v>105753.2568</v>
      </c>
      <c r="W35" s="474">
        <v>12</v>
      </c>
      <c r="X35" s="467">
        <f t="shared" si="13"/>
        <v>8812.7714</v>
      </c>
      <c r="Y35" s="470"/>
      <c r="Z35" s="467">
        <f t="shared" si="14"/>
        <v>8812.7714</v>
      </c>
      <c r="AA35" s="479"/>
      <c r="AB35" s="479"/>
      <c r="AC35" s="479"/>
      <c r="AD35" s="479"/>
      <c r="AE35" s="479"/>
    </row>
    <row r="36" ht="36" spans="1:31">
      <c r="A36" s="464">
        <v>32</v>
      </c>
      <c r="B36" s="18" t="s">
        <v>93</v>
      </c>
      <c r="C36" s="467">
        <v>134143.791666667</v>
      </c>
      <c r="D36" s="466">
        <v>12</v>
      </c>
      <c r="E36" s="467">
        <f t="shared" si="0"/>
        <v>1609725.5</v>
      </c>
      <c r="F36" s="470"/>
      <c r="G36" s="468">
        <f>17956.78*12</f>
        <v>215481.36</v>
      </c>
      <c r="H36" s="470"/>
      <c r="I36" s="467">
        <f t="shared" si="1"/>
        <v>1394244.14</v>
      </c>
      <c r="J36" s="467">
        <v>200000</v>
      </c>
      <c r="K36" s="467">
        <v>0.2</v>
      </c>
      <c r="L36" s="467">
        <f t="shared" si="2"/>
        <v>278848.828000001</v>
      </c>
      <c r="M36" s="467">
        <f t="shared" si="3"/>
        <v>478848.828000001</v>
      </c>
      <c r="N36" s="467">
        <f t="shared" si="4"/>
        <v>694330.188000001</v>
      </c>
      <c r="O36" s="467">
        <f t="shared" si="5"/>
        <v>915395.312000003</v>
      </c>
      <c r="P36" s="467">
        <f t="shared" si="6"/>
        <v>21000</v>
      </c>
      <c r="Q36" s="467">
        <f t="shared" si="7"/>
        <v>33000</v>
      </c>
      <c r="R36" s="467">
        <f t="shared" si="8"/>
        <v>47309.2968000005</v>
      </c>
      <c r="S36" s="467">
        <f t="shared" si="9"/>
        <v>0</v>
      </c>
      <c r="T36" s="467">
        <f t="shared" si="10"/>
        <v>0</v>
      </c>
      <c r="U36" s="467"/>
      <c r="V36" s="467">
        <f t="shared" si="12"/>
        <v>101309.296800001</v>
      </c>
      <c r="W36" s="474">
        <v>12</v>
      </c>
      <c r="X36" s="467">
        <f t="shared" si="13"/>
        <v>8442.44140000004</v>
      </c>
      <c r="Y36" s="470"/>
      <c r="Z36" s="467">
        <f t="shared" si="14"/>
        <v>8442.44140000004</v>
      </c>
      <c r="AA36" s="479"/>
      <c r="AB36" s="479"/>
      <c r="AC36" s="479"/>
      <c r="AD36" s="479"/>
      <c r="AE36" s="479"/>
    </row>
    <row r="37" ht="18" spans="1:31">
      <c r="A37" s="464"/>
      <c r="B37" s="18"/>
      <c r="C37" s="467"/>
      <c r="D37" s="466"/>
      <c r="E37" s="467"/>
      <c r="F37" s="470"/>
      <c r="G37" s="470"/>
      <c r="H37" s="470"/>
      <c r="I37" s="467"/>
      <c r="J37" s="467"/>
      <c r="K37" s="467"/>
      <c r="L37" s="467"/>
      <c r="M37" s="467"/>
      <c r="N37" s="467"/>
      <c r="O37" s="467"/>
      <c r="P37" s="467"/>
      <c r="Q37" s="467"/>
      <c r="R37" s="467"/>
      <c r="S37" s="467"/>
      <c r="T37" s="467"/>
      <c r="U37" s="467"/>
      <c r="V37" s="467"/>
      <c r="W37" s="474"/>
      <c r="X37" s="467"/>
      <c r="Y37" s="470"/>
      <c r="Z37" s="467"/>
      <c r="AA37" s="479"/>
      <c r="AB37" s="479"/>
      <c r="AC37" s="479"/>
      <c r="AD37" s="479"/>
      <c r="AE37" s="479"/>
    </row>
    <row r="38" ht="18" spans="1:31">
      <c r="A38" s="464"/>
      <c r="B38" s="18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8" spans="1:31">
      <c r="A39" s="464"/>
      <c r="B39" s="18" t="s">
        <v>98</v>
      </c>
      <c r="C39" s="473">
        <v>767860</v>
      </c>
      <c r="D39" s="467">
        <v>12</v>
      </c>
      <c r="E39" s="467">
        <f t="shared" ref="E39:E42" si="16">C39*D39</f>
        <v>9214320</v>
      </c>
      <c r="F39" s="467"/>
      <c r="G39" s="468">
        <v>1378291.2</v>
      </c>
      <c r="H39" s="467"/>
      <c r="I39" s="467">
        <f t="shared" ref="I39:I42" si="17">E39-F39-G39-H39</f>
        <v>7836028.8</v>
      </c>
      <c r="J39" s="467">
        <v>200000</v>
      </c>
      <c r="K39" s="467">
        <v>0.2</v>
      </c>
      <c r="L39" s="467">
        <f t="shared" ref="L39:L42" si="18">I39*K39</f>
        <v>1567205.76</v>
      </c>
      <c r="M39" s="467">
        <f t="shared" ref="M39:M42" si="19">J39+L39</f>
        <v>1767205.76</v>
      </c>
      <c r="N39" s="467">
        <f t="shared" ref="N39:N42" si="20">F39+G39+H39+M39</f>
        <v>3145496.96</v>
      </c>
      <c r="O39" s="467">
        <f t="shared" ref="O39:O42" si="21">E39-N39</f>
        <v>6068823.04</v>
      </c>
      <c r="P39" s="467">
        <f t="shared" ref="P39:P42" si="22">IF(O39&lt;300000,0.07*O39,21000)</f>
        <v>21000</v>
      </c>
      <c r="Q39" s="467">
        <f t="shared" ref="Q39:Q42" si="23">IF((O39-300000)&lt;0,0,IF((O39-300000)&lt;300000,0.11*(O39-300000),33000))</f>
        <v>33000</v>
      </c>
      <c r="R39" s="467">
        <f t="shared" ref="R39:R42" si="24">IF((O39-600000)&lt;0,0,IF((O39-600000)&lt;500000,0.15*(O39-600000),75000))</f>
        <v>75000</v>
      </c>
      <c r="S39" s="467">
        <f t="shared" ref="S39:S42" si="25">IF((O39-1100000)&lt;0,0,IF((O39-1100000)&lt;500000,0.19*(O39-1100000),95000))</f>
        <v>95000</v>
      </c>
      <c r="T39" s="467">
        <f t="shared" ref="T39:T42" si="26">IF((O39-1600000)&lt;0,0,IF((O39-1600000)&lt;1600000,0.21*(O39-1600000),336000))</f>
        <v>336000</v>
      </c>
      <c r="U39" s="467">
        <f>24%*(O39-3200000)</f>
        <v>688517.5296</v>
      </c>
      <c r="V39" s="467">
        <f t="shared" ref="V39:V42" si="27">P39+Q39+R39+S39+T39+U39</f>
        <v>1248517.5296</v>
      </c>
      <c r="W39" s="467">
        <v>12</v>
      </c>
      <c r="X39" s="467">
        <f t="shared" ref="X39:X42" si="28">V39/W39</f>
        <v>104043.127466667</v>
      </c>
      <c r="Y39" s="467"/>
      <c r="Z39" s="467">
        <f t="shared" ref="Z39:Z42" si="29">X39</f>
        <v>104043.127466667</v>
      </c>
      <c r="AA39" s="467">
        <v>161106.806858667</v>
      </c>
      <c r="AB39" s="467">
        <f t="shared" ref="AB39:AB42" si="30">Z39-AA39</f>
        <v>-57063.6793920003</v>
      </c>
      <c r="AC39" s="479"/>
      <c r="AD39" s="479"/>
      <c r="AE39" s="479"/>
    </row>
    <row r="40" ht="18" spans="1:31">
      <c r="A40" s="464"/>
      <c r="B40" s="18" t="s">
        <v>101</v>
      </c>
      <c r="C40" s="473">
        <v>176514.833333333</v>
      </c>
      <c r="D40" s="466">
        <v>12</v>
      </c>
      <c r="E40" s="467">
        <f t="shared" si="16"/>
        <v>2118178</v>
      </c>
      <c r="F40" s="467"/>
      <c r="G40" s="468">
        <v>281308.48</v>
      </c>
      <c r="H40" s="467"/>
      <c r="I40" s="467">
        <f t="shared" si="17"/>
        <v>1836869.52</v>
      </c>
      <c r="J40" s="467">
        <v>200000</v>
      </c>
      <c r="K40" s="467">
        <v>0.2</v>
      </c>
      <c r="L40" s="467">
        <f t="shared" si="18"/>
        <v>367373.903999999</v>
      </c>
      <c r="M40" s="467">
        <f t="shared" si="19"/>
        <v>567373.903999999</v>
      </c>
      <c r="N40" s="467">
        <f t="shared" si="20"/>
        <v>848682.383999999</v>
      </c>
      <c r="O40" s="467">
        <f t="shared" si="21"/>
        <v>1269495.616</v>
      </c>
      <c r="P40" s="467">
        <f t="shared" si="22"/>
        <v>21000</v>
      </c>
      <c r="Q40" s="467">
        <f t="shared" si="23"/>
        <v>33000</v>
      </c>
      <c r="R40" s="467">
        <f t="shared" si="24"/>
        <v>75000</v>
      </c>
      <c r="S40" s="467">
        <f t="shared" si="25"/>
        <v>32204.1670399994</v>
      </c>
      <c r="T40" s="467">
        <f t="shared" si="26"/>
        <v>0</v>
      </c>
      <c r="U40" s="467"/>
      <c r="V40" s="467">
        <f t="shared" si="27"/>
        <v>161204.167039999</v>
      </c>
      <c r="W40" s="467">
        <v>12</v>
      </c>
      <c r="X40" s="467">
        <f t="shared" si="28"/>
        <v>13433.6805866666</v>
      </c>
      <c r="Y40" s="467"/>
      <c r="Z40" s="467">
        <f t="shared" si="29"/>
        <v>13433.6805866666</v>
      </c>
      <c r="AA40" s="479">
        <v>17042.7138666667</v>
      </c>
      <c r="AB40" s="467">
        <f t="shared" si="30"/>
        <v>-3609.03328000009</v>
      </c>
      <c r="AC40" s="479"/>
      <c r="AD40" s="479"/>
      <c r="AE40" s="479"/>
    </row>
    <row r="41" ht="18" spans="1:31">
      <c r="A41" s="464">
        <v>33</v>
      </c>
      <c r="B41" s="11" t="s">
        <v>103</v>
      </c>
      <c r="C41" s="473">
        <v>180482.791666667</v>
      </c>
      <c r="D41" s="466">
        <v>12</v>
      </c>
      <c r="E41" s="467">
        <f t="shared" si="16"/>
        <v>2165793.5</v>
      </c>
      <c r="F41" s="467"/>
      <c r="G41" s="468">
        <v>288926.96</v>
      </c>
      <c r="H41" s="467"/>
      <c r="I41" s="467">
        <f t="shared" si="17"/>
        <v>1876866.54</v>
      </c>
      <c r="J41" s="467">
        <v>200000</v>
      </c>
      <c r="K41" s="467">
        <v>0.2</v>
      </c>
      <c r="L41" s="467">
        <f t="shared" si="18"/>
        <v>375373.308000001</v>
      </c>
      <c r="M41" s="467">
        <f t="shared" si="19"/>
        <v>575373.308000001</v>
      </c>
      <c r="N41" s="467">
        <f t="shared" si="20"/>
        <v>864300.268000001</v>
      </c>
      <c r="O41" s="467">
        <f t="shared" si="21"/>
        <v>1301493.232</v>
      </c>
      <c r="P41" s="467">
        <f t="shared" si="22"/>
        <v>21000</v>
      </c>
      <c r="Q41" s="467">
        <f t="shared" si="23"/>
        <v>33000</v>
      </c>
      <c r="R41" s="467">
        <f t="shared" si="24"/>
        <v>75000</v>
      </c>
      <c r="S41" s="467">
        <f t="shared" si="25"/>
        <v>38283.7140800006</v>
      </c>
      <c r="T41" s="467">
        <f t="shared" si="26"/>
        <v>0</v>
      </c>
      <c r="U41" s="467"/>
      <c r="V41" s="467">
        <f t="shared" si="27"/>
        <v>167283.714080001</v>
      </c>
      <c r="W41" s="467">
        <v>12</v>
      </c>
      <c r="X41" s="467">
        <f t="shared" si="28"/>
        <v>13940.3095066667</v>
      </c>
      <c r="Y41" s="467"/>
      <c r="Z41" s="467">
        <f t="shared" si="29"/>
        <v>13940.3095066667</v>
      </c>
      <c r="AA41" s="479">
        <v>26339.0784066667</v>
      </c>
      <c r="AB41" s="467">
        <f t="shared" si="30"/>
        <v>-12398.7689</v>
      </c>
      <c r="AC41" s="479"/>
      <c r="AD41" s="479"/>
      <c r="AE41" s="479"/>
    </row>
    <row r="42" ht="18" spans="1:31">
      <c r="A42" s="464">
        <v>33</v>
      </c>
      <c r="B42" s="11" t="s">
        <v>105</v>
      </c>
      <c r="C42" s="473">
        <v>157924.5</v>
      </c>
      <c r="D42" s="466">
        <v>12</v>
      </c>
      <c r="E42" s="467">
        <f t="shared" si="16"/>
        <v>1895094</v>
      </c>
      <c r="F42" s="467"/>
      <c r="G42" s="468">
        <v>288926.96</v>
      </c>
      <c r="H42" s="467"/>
      <c r="I42" s="467">
        <f t="shared" si="17"/>
        <v>1606167.04</v>
      </c>
      <c r="J42" s="467">
        <v>200000</v>
      </c>
      <c r="K42" s="467">
        <v>0.2</v>
      </c>
      <c r="L42" s="467">
        <f t="shared" si="18"/>
        <v>321233.408</v>
      </c>
      <c r="M42" s="467">
        <f t="shared" si="19"/>
        <v>521233.408</v>
      </c>
      <c r="N42" s="467">
        <f t="shared" si="20"/>
        <v>810160.368</v>
      </c>
      <c r="O42" s="467">
        <f t="shared" si="21"/>
        <v>1084933.632</v>
      </c>
      <c r="P42" s="467">
        <f t="shared" si="22"/>
        <v>21000</v>
      </c>
      <c r="Q42" s="467">
        <f t="shared" si="23"/>
        <v>33000</v>
      </c>
      <c r="R42" s="467">
        <f t="shared" si="24"/>
        <v>72740.0448</v>
      </c>
      <c r="S42" s="467">
        <f t="shared" si="25"/>
        <v>0</v>
      </c>
      <c r="T42" s="467">
        <f t="shared" si="26"/>
        <v>0</v>
      </c>
      <c r="U42" s="467"/>
      <c r="V42" s="467">
        <f t="shared" si="27"/>
        <v>126740.0448</v>
      </c>
      <c r="W42" s="467">
        <v>12</v>
      </c>
      <c r="X42" s="467">
        <f t="shared" si="28"/>
        <v>10561.6704</v>
      </c>
      <c r="Y42" s="467"/>
      <c r="Z42" s="467">
        <f t="shared" si="29"/>
        <v>10561.6704</v>
      </c>
      <c r="AA42" s="479">
        <v>26339.0784066667</v>
      </c>
      <c r="AB42" s="467">
        <f t="shared" si="30"/>
        <v>-15777.4080066667</v>
      </c>
      <c r="AC42" s="479"/>
      <c r="AD42" s="479"/>
      <c r="AE42" s="479"/>
    </row>
    <row r="43" ht="18" spans="1:31">
      <c r="A43" s="464"/>
      <c r="B43" s="14"/>
      <c r="C43" s="473"/>
      <c r="D43" s="466"/>
      <c r="E43" s="467"/>
      <c r="F43" s="470"/>
      <c r="G43" s="470"/>
      <c r="H43" s="470"/>
      <c r="I43" s="467"/>
      <c r="J43" s="467"/>
      <c r="K43" s="467"/>
      <c r="L43" s="467"/>
      <c r="M43" s="467"/>
      <c r="N43" s="467"/>
      <c r="O43" s="467"/>
      <c r="P43" s="467"/>
      <c r="Q43" s="467"/>
      <c r="R43" s="467"/>
      <c r="S43" s="467"/>
      <c r="T43" s="467"/>
      <c r="U43" s="467"/>
      <c r="V43" s="467"/>
      <c r="W43" s="474"/>
      <c r="X43" s="467"/>
      <c r="Y43" s="470"/>
      <c r="Z43" s="467"/>
      <c r="AA43" s="479"/>
      <c r="AB43" s="479"/>
      <c r="AC43" s="479"/>
      <c r="AD43" s="479"/>
      <c r="AE43" s="479"/>
    </row>
    <row r="44" ht="17.5" spans="1:31">
      <c r="A44" s="464"/>
      <c r="B44" s="23" t="s">
        <v>107</v>
      </c>
      <c r="C44" s="467"/>
      <c r="D44" s="466"/>
      <c r="E44" s="467"/>
      <c r="F44" s="470"/>
      <c r="G44" s="470"/>
      <c r="H44" s="470"/>
      <c r="I44" s="467"/>
      <c r="J44" s="467"/>
      <c r="K44" s="467"/>
      <c r="L44" s="467"/>
      <c r="M44" s="467"/>
      <c r="N44" s="467"/>
      <c r="O44" s="467"/>
      <c r="P44" s="467"/>
      <c r="Q44" s="467"/>
      <c r="R44" s="467"/>
      <c r="S44" s="467"/>
      <c r="T44" s="467"/>
      <c r="U44" s="467"/>
      <c r="V44" s="467"/>
      <c r="W44" s="474"/>
      <c r="X44" s="467"/>
      <c r="Y44" s="470"/>
      <c r="Z44" s="467"/>
      <c r="AA44" s="479"/>
      <c r="AB44" s="479"/>
      <c r="AC44" s="479"/>
      <c r="AD44" s="479"/>
      <c r="AE44" s="479"/>
    </row>
    <row r="45" ht="36" spans="1:31">
      <c r="A45" s="464">
        <v>35</v>
      </c>
      <c r="B45" s="11" t="s">
        <v>501</v>
      </c>
      <c r="C45" s="465">
        <v>1635720</v>
      </c>
      <c r="D45" s="466">
        <v>12</v>
      </c>
      <c r="E45" s="467">
        <f t="shared" ref="E45:E54" si="31">C45*D45</f>
        <v>19628640</v>
      </c>
      <c r="F45" s="467"/>
      <c r="G45" s="468">
        <v>1378291.2</v>
      </c>
      <c r="H45" s="467"/>
      <c r="I45" s="467">
        <f t="shared" ref="I45:I54" si="32">E45-F45-G45-H45</f>
        <v>18250348.8</v>
      </c>
      <c r="J45" s="467">
        <v>200000</v>
      </c>
      <c r="K45" s="467">
        <v>0.2</v>
      </c>
      <c r="L45" s="467">
        <f t="shared" ref="L45:L54" si="33">I45*K45</f>
        <v>3650069.76</v>
      </c>
      <c r="M45" s="467">
        <f t="shared" ref="M45:M54" si="34">J45+L45</f>
        <v>3850069.76</v>
      </c>
      <c r="N45" s="467">
        <f t="shared" ref="N45:N54" si="35">F45+G45+H45+M45</f>
        <v>5228360.96</v>
      </c>
      <c r="O45" s="467">
        <f t="shared" ref="O45:O54" si="36">E45-N45</f>
        <v>14400279.04</v>
      </c>
      <c r="P45" s="467">
        <f t="shared" ref="P45:P54" si="37">IF(O45&lt;300000,0.07*O45,21000)</f>
        <v>21000</v>
      </c>
      <c r="Q45" s="467">
        <f t="shared" ref="Q45:Q54" si="38">IF((O45-300000)&lt;0,0,IF((O45-300000)&lt;300000,0.11*(O45-300000),33000))</f>
        <v>33000</v>
      </c>
      <c r="R45" s="467">
        <f t="shared" ref="R45:R54" si="39">IF((O45-600000)&lt;0,0,IF((O45-600000)&lt;500000,0.15*(O45-600000),75000))</f>
        <v>75000</v>
      </c>
      <c r="S45" s="467">
        <f t="shared" ref="S45:S54" si="40">IF((O45-1100000)&lt;0,0,IF((O45-1100000)&lt;500000,0.19*(O45-1100000),95000))</f>
        <v>95000</v>
      </c>
      <c r="T45" s="467">
        <f t="shared" ref="T45:T54" si="41">IF((O45-1600000)&lt;0,0,IF((O45-1600000)&lt;1600000,0.21*(O45-1600000),336000))</f>
        <v>336000</v>
      </c>
      <c r="U45" s="467">
        <f>0.24*(O45-3200000)</f>
        <v>2688066.9696</v>
      </c>
      <c r="V45" s="467">
        <f t="shared" ref="V45:V54" si="42">P45+Q45+R45+S45+T45+U45</f>
        <v>3248066.9696</v>
      </c>
      <c r="W45" s="474">
        <v>12</v>
      </c>
      <c r="X45" s="467">
        <f t="shared" ref="X45:X54" si="43">V45/W45</f>
        <v>270672.247466667</v>
      </c>
      <c r="Y45" s="467"/>
      <c r="Z45" s="467">
        <f t="shared" ref="Z45:Z54" si="44">X45</f>
        <v>270672.247466667</v>
      </c>
      <c r="AA45" s="479">
        <v>180306.806858667</v>
      </c>
      <c r="AB45" s="479">
        <f t="shared" ref="AB45:AB54" si="45">Z45-AA45</f>
        <v>90365.4406079996</v>
      </c>
      <c r="AC45" s="479"/>
      <c r="AD45" s="479"/>
      <c r="AE45" s="479"/>
    </row>
    <row r="46" ht="18" spans="1:31">
      <c r="A46" s="464">
        <v>36</v>
      </c>
      <c r="B46" s="11" t="s">
        <v>491</v>
      </c>
      <c r="C46" s="467">
        <v>780675.583333333</v>
      </c>
      <c r="D46" s="466">
        <v>12</v>
      </c>
      <c r="E46" s="467">
        <f t="shared" si="31"/>
        <v>9368107</v>
      </c>
      <c r="F46" s="470"/>
      <c r="G46" s="468">
        <v>595848.56</v>
      </c>
      <c r="H46" s="470"/>
      <c r="I46" s="467">
        <f t="shared" si="32"/>
        <v>8772258.44</v>
      </c>
      <c r="J46" s="467">
        <v>200000</v>
      </c>
      <c r="K46" s="467">
        <v>0.2</v>
      </c>
      <c r="L46" s="467">
        <f t="shared" si="33"/>
        <v>1754451.688</v>
      </c>
      <c r="M46" s="467">
        <f t="shared" si="34"/>
        <v>1954451.688</v>
      </c>
      <c r="N46" s="467">
        <f t="shared" si="35"/>
        <v>2550300.248</v>
      </c>
      <c r="O46" s="467">
        <f t="shared" si="36"/>
        <v>6817806.752</v>
      </c>
      <c r="P46" s="467">
        <f t="shared" si="37"/>
        <v>21000</v>
      </c>
      <c r="Q46" s="467">
        <f t="shared" si="38"/>
        <v>33000</v>
      </c>
      <c r="R46" s="467">
        <f t="shared" si="39"/>
        <v>75000</v>
      </c>
      <c r="S46" s="467">
        <f t="shared" si="40"/>
        <v>95000</v>
      </c>
      <c r="T46" s="467">
        <f t="shared" si="41"/>
        <v>336000</v>
      </c>
      <c r="U46" s="467">
        <f t="shared" ref="U46:U52" si="46">24%*(O46-3200000)</f>
        <v>868273.620479999</v>
      </c>
      <c r="V46" s="467">
        <f t="shared" si="42"/>
        <v>1428273.62048</v>
      </c>
      <c r="W46" s="474">
        <v>12</v>
      </c>
      <c r="X46" s="467">
        <f t="shared" si="43"/>
        <v>119022.801706667</v>
      </c>
      <c r="Y46" s="470"/>
      <c r="Z46" s="467">
        <f t="shared" si="44"/>
        <v>119022.801706667</v>
      </c>
      <c r="AA46" s="479">
        <v>79956.9391466667</v>
      </c>
      <c r="AB46" s="479">
        <f t="shared" si="45"/>
        <v>39065.8625599999</v>
      </c>
      <c r="AC46" s="479"/>
      <c r="AD46" s="479"/>
      <c r="AE46" s="479"/>
    </row>
    <row r="47" ht="18" spans="1:31">
      <c r="A47" s="464">
        <v>37</v>
      </c>
      <c r="B47" s="11" t="s">
        <v>108</v>
      </c>
      <c r="C47" s="467">
        <v>919203.583333333</v>
      </c>
      <c r="D47" s="466">
        <v>12</v>
      </c>
      <c r="E47" s="467">
        <f t="shared" si="31"/>
        <v>11030443</v>
      </c>
      <c r="F47" s="470"/>
      <c r="G47" s="468">
        <v>709635.44</v>
      </c>
      <c r="H47" s="470"/>
      <c r="I47" s="467">
        <f t="shared" si="32"/>
        <v>10320807.56</v>
      </c>
      <c r="J47" s="467">
        <v>200000</v>
      </c>
      <c r="K47" s="467">
        <v>0.2</v>
      </c>
      <c r="L47" s="467">
        <f t="shared" si="33"/>
        <v>2064161.512</v>
      </c>
      <c r="M47" s="467">
        <f t="shared" si="34"/>
        <v>2264161.512</v>
      </c>
      <c r="N47" s="467">
        <f t="shared" si="35"/>
        <v>2973796.952</v>
      </c>
      <c r="O47" s="467">
        <f t="shared" si="36"/>
        <v>8056646.048</v>
      </c>
      <c r="P47" s="467">
        <f t="shared" si="37"/>
        <v>21000</v>
      </c>
      <c r="Q47" s="467">
        <f t="shared" si="38"/>
        <v>33000</v>
      </c>
      <c r="R47" s="467">
        <f t="shared" si="39"/>
        <v>75000</v>
      </c>
      <c r="S47" s="467">
        <f t="shared" si="40"/>
        <v>95000</v>
      </c>
      <c r="T47" s="467">
        <f t="shared" si="41"/>
        <v>336000</v>
      </c>
      <c r="U47" s="467">
        <f t="shared" si="46"/>
        <v>1165595.05152</v>
      </c>
      <c r="V47" s="467">
        <f t="shared" si="42"/>
        <v>1725595.05152</v>
      </c>
      <c r="W47" s="474">
        <v>12</v>
      </c>
      <c r="X47" s="467">
        <f t="shared" si="43"/>
        <v>143799.587626667</v>
      </c>
      <c r="Y47" s="470"/>
      <c r="Z47" s="467">
        <f t="shared" si="44"/>
        <v>143799.587626667</v>
      </c>
      <c r="AA47" s="479">
        <v>97273.5138506667</v>
      </c>
      <c r="AB47" s="479">
        <f t="shared" si="45"/>
        <v>46526.0737759999</v>
      </c>
      <c r="AC47" s="479"/>
      <c r="AD47" s="479"/>
      <c r="AE47" s="479"/>
    </row>
    <row r="48" ht="18" spans="1:31">
      <c r="A48" s="464">
        <v>38</v>
      </c>
      <c r="B48" s="11" t="s">
        <v>111</v>
      </c>
      <c r="C48" s="467">
        <v>780675.583333333</v>
      </c>
      <c r="D48" s="466">
        <v>12</v>
      </c>
      <c r="E48" s="467">
        <f t="shared" si="31"/>
        <v>9368107</v>
      </c>
      <c r="F48" s="470"/>
      <c r="G48" s="468">
        <v>595848.56</v>
      </c>
      <c r="H48" s="470"/>
      <c r="I48" s="467">
        <f t="shared" si="32"/>
        <v>8772258.44</v>
      </c>
      <c r="J48" s="467">
        <v>200000</v>
      </c>
      <c r="K48" s="467">
        <v>0.2</v>
      </c>
      <c r="L48" s="467">
        <f t="shared" si="33"/>
        <v>1754451.688</v>
      </c>
      <c r="M48" s="467">
        <f t="shared" si="34"/>
        <v>1954451.688</v>
      </c>
      <c r="N48" s="467">
        <f t="shared" si="35"/>
        <v>2550300.248</v>
      </c>
      <c r="O48" s="467">
        <f t="shared" si="36"/>
        <v>6817806.752</v>
      </c>
      <c r="P48" s="467">
        <f t="shared" si="37"/>
        <v>21000</v>
      </c>
      <c r="Q48" s="467">
        <f t="shared" si="38"/>
        <v>33000</v>
      </c>
      <c r="R48" s="467">
        <f t="shared" si="39"/>
        <v>75000</v>
      </c>
      <c r="S48" s="467">
        <f t="shared" si="40"/>
        <v>95000</v>
      </c>
      <c r="T48" s="467">
        <f t="shared" si="41"/>
        <v>336000</v>
      </c>
      <c r="U48" s="467">
        <f t="shared" si="46"/>
        <v>868273.620479999</v>
      </c>
      <c r="V48" s="467">
        <f t="shared" si="42"/>
        <v>1428273.62048</v>
      </c>
      <c r="W48" s="474">
        <v>12</v>
      </c>
      <c r="X48" s="467">
        <f t="shared" si="43"/>
        <v>119022.801706667</v>
      </c>
      <c r="Y48" s="470"/>
      <c r="Z48" s="467">
        <f t="shared" si="44"/>
        <v>119022.801706667</v>
      </c>
      <c r="AA48" s="479">
        <v>79956.9391466667</v>
      </c>
      <c r="AB48" s="479">
        <f t="shared" si="45"/>
        <v>39065.8625599999</v>
      </c>
      <c r="AC48" s="479"/>
      <c r="AD48" s="479"/>
      <c r="AE48" s="479"/>
    </row>
    <row r="49" ht="18" spans="1:31">
      <c r="A49" s="464">
        <v>39</v>
      </c>
      <c r="B49" s="11" t="s">
        <v>113</v>
      </c>
      <c r="C49" s="467">
        <v>780675.583333333</v>
      </c>
      <c r="D49" s="466">
        <v>12</v>
      </c>
      <c r="E49" s="467">
        <f t="shared" si="31"/>
        <v>9368107</v>
      </c>
      <c r="F49" s="467">
        <f>'[6]JANUARY 2024'!$V$47*12</f>
        <v>10052.25</v>
      </c>
      <c r="G49" s="468">
        <v>595848.56</v>
      </c>
      <c r="H49" s="470"/>
      <c r="I49" s="467">
        <f t="shared" si="32"/>
        <v>8762206.19</v>
      </c>
      <c r="J49" s="467">
        <v>200000</v>
      </c>
      <c r="K49" s="467">
        <v>0.2</v>
      </c>
      <c r="L49" s="467">
        <f t="shared" si="33"/>
        <v>1752441.238</v>
      </c>
      <c r="M49" s="467">
        <f t="shared" si="34"/>
        <v>1952441.238</v>
      </c>
      <c r="N49" s="467">
        <f t="shared" si="35"/>
        <v>2558342.048</v>
      </c>
      <c r="O49" s="467">
        <f t="shared" si="36"/>
        <v>6809764.952</v>
      </c>
      <c r="P49" s="467">
        <f t="shared" si="37"/>
        <v>21000</v>
      </c>
      <c r="Q49" s="467">
        <f t="shared" si="38"/>
        <v>33000</v>
      </c>
      <c r="R49" s="467">
        <f t="shared" si="39"/>
        <v>75000</v>
      </c>
      <c r="S49" s="467">
        <f t="shared" si="40"/>
        <v>95000</v>
      </c>
      <c r="T49" s="467">
        <f t="shared" si="41"/>
        <v>336000</v>
      </c>
      <c r="U49" s="467">
        <f t="shared" si="46"/>
        <v>866343.588479999</v>
      </c>
      <c r="V49" s="467">
        <f t="shared" si="42"/>
        <v>1426343.58848</v>
      </c>
      <c r="W49" s="474">
        <v>12</v>
      </c>
      <c r="X49" s="467">
        <f t="shared" si="43"/>
        <v>118861.965706667</v>
      </c>
      <c r="Y49" s="470"/>
      <c r="Z49" s="467">
        <f t="shared" si="44"/>
        <v>118861.965706667</v>
      </c>
      <c r="AA49" s="479">
        <v>79796.1031466666</v>
      </c>
      <c r="AB49" s="479">
        <f t="shared" si="45"/>
        <v>39065.86256</v>
      </c>
      <c r="AC49" s="479"/>
      <c r="AD49" s="479"/>
      <c r="AE49" s="479"/>
    </row>
    <row r="50" ht="18" spans="1:31">
      <c r="A50" s="464">
        <v>40</v>
      </c>
      <c r="B50" s="11" t="s">
        <v>114</v>
      </c>
      <c r="C50" s="467">
        <v>742118.083333333</v>
      </c>
      <c r="D50" s="466">
        <v>12</v>
      </c>
      <c r="E50" s="467">
        <f t="shared" si="31"/>
        <v>8905417</v>
      </c>
      <c r="F50" s="467"/>
      <c r="G50" s="468">
        <v>558833.36</v>
      </c>
      <c r="H50" s="470"/>
      <c r="I50" s="467">
        <f t="shared" si="32"/>
        <v>8346583.64</v>
      </c>
      <c r="J50" s="467">
        <v>200000</v>
      </c>
      <c r="K50" s="467">
        <v>0.2</v>
      </c>
      <c r="L50" s="467">
        <f t="shared" si="33"/>
        <v>1669316.728</v>
      </c>
      <c r="M50" s="467">
        <f t="shared" si="34"/>
        <v>1869316.728</v>
      </c>
      <c r="N50" s="467">
        <f t="shared" si="35"/>
        <v>2428150.088</v>
      </c>
      <c r="O50" s="467">
        <f t="shared" si="36"/>
        <v>6477266.912</v>
      </c>
      <c r="P50" s="467">
        <f t="shared" si="37"/>
        <v>21000</v>
      </c>
      <c r="Q50" s="467">
        <f t="shared" si="38"/>
        <v>33000</v>
      </c>
      <c r="R50" s="467">
        <f t="shared" si="39"/>
        <v>75000</v>
      </c>
      <c r="S50" s="467">
        <f t="shared" si="40"/>
        <v>95000</v>
      </c>
      <c r="T50" s="467">
        <f t="shared" si="41"/>
        <v>336000</v>
      </c>
      <c r="U50" s="467">
        <f t="shared" si="46"/>
        <v>786544.058879999</v>
      </c>
      <c r="V50" s="467">
        <f t="shared" si="42"/>
        <v>1346544.05888</v>
      </c>
      <c r="W50" s="474">
        <v>12</v>
      </c>
      <c r="X50" s="467">
        <f t="shared" si="43"/>
        <v>112212.004906667</v>
      </c>
      <c r="Y50" s="470"/>
      <c r="Z50" s="467">
        <f t="shared" si="44"/>
        <v>112212.004906667</v>
      </c>
      <c r="AA50" s="479">
        <v>75572.9156906667</v>
      </c>
      <c r="AB50" s="479">
        <f t="shared" si="45"/>
        <v>36639.0892159999</v>
      </c>
      <c r="AC50" s="479"/>
      <c r="AD50" s="479"/>
      <c r="AE50" s="479"/>
    </row>
    <row r="51" ht="18" spans="1:31">
      <c r="A51" s="464">
        <v>41</v>
      </c>
      <c r="B51" s="14" t="s">
        <v>115</v>
      </c>
      <c r="C51" s="467">
        <v>610498</v>
      </c>
      <c r="D51" s="466">
        <v>12</v>
      </c>
      <c r="E51" s="467">
        <f t="shared" si="31"/>
        <v>7325976</v>
      </c>
      <c r="F51" s="467"/>
      <c r="G51" s="468">
        <v>451678.08</v>
      </c>
      <c r="H51" s="470"/>
      <c r="I51" s="467">
        <f t="shared" si="32"/>
        <v>6874297.92</v>
      </c>
      <c r="J51" s="467">
        <v>200000</v>
      </c>
      <c r="K51" s="467">
        <v>0.2</v>
      </c>
      <c r="L51" s="467">
        <f t="shared" si="33"/>
        <v>1374859.584</v>
      </c>
      <c r="M51" s="467">
        <f t="shared" si="34"/>
        <v>1574859.584</v>
      </c>
      <c r="N51" s="467">
        <f t="shared" si="35"/>
        <v>2026537.664</v>
      </c>
      <c r="O51" s="467">
        <f t="shared" si="36"/>
        <v>5299438.336</v>
      </c>
      <c r="P51" s="467">
        <f t="shared" si="37"/>
        <v>21000</v>
      </c>
      <c r="Q51" s="467">
        <f t="shared" si="38"/>
        <v>33000</v>
      </c>
      <c r="R51" s="467">
        <f t="shared" si="39"/>
        <v>75000</v>
      </c>
      <c r="S51" s="467">
        <f t="shared" si="40"/>
        <v>95000</v>
      </c>
      <c r="T51" s="467">
        <f t="shared" si="41"/>
        <v>336000</v>
      </c>
      <c r="U51" s="467">
        <f t="shared" si="46"/>
        <v>503865.20064</v>
      </c>
      <c r="V51" s="467">
        <f t="shared" si="42"/>
        <v>1063865.20064</v>
      </c>
      <c r="W51" s="474">
        <v>12</v>
      </c>
      <c r="X51" s="467">
        <f t="shared" si="43"/>
        <v>88655.4333866667</v>
      </c>
      <c r="Y51" s="470"/>
      <c r="Z51" s="467">
        <f t="shared" si="44"/>
        <v>88655.4333866667</v>
      </c>
      <c r="AA51" s="479">
        <v>58026.6094346667</v>
      </c>
      <c r="AB51" s="479">
        <f t="shared" si="45"/>
        <v>30628.823952</v>
      </c>
      <c r="AC51" s="479"/>
      <c r="AD51" s="479"/>
      <c r="AE51" s="479"/>
    </row>
    <row r="52" ht="18" spans="1:31">
      <c r="A52" s="464">
        <v>42</v>
      </c>
      <c r="B52" s="11" t="s">
        <v>116</v>
      </c>
      <c r="C52" s="467">
        <v>400965.583333333</v>
      </c>
      <c r="D52" s="466">
        <v>12</v>
      </c>
      <c r="E52" s="467">
        <f t="shared" si="31"/>
        <v>4811587</v>
      </c>
      <c r="F52" s="467"/>
      <c r="G52" s="468">
        <v>288926.96</v>
      </c>
      <c r="H52" s="470"/>
      <c r="I52" s="467">
        <f t="shared" si="32"/>
        <v>4522660.04</v>
      </c>
      <c r="J52" s="467">
        <v>200000</v>
      </c>
      <c r="K52" s="467">
        <v>0.2</v>
      </c>
      <c r="L52" s="467">
        <f t="shared" si="33"/>
        <v>904532.007999999</v>
      </c>
      <c r="M52" s="467">
        <f t="shared" si="34"/>
        <v>1104532.008</v>
      </c>
      <c r="N52" s="467">
        <f t="shared" si="35"/>
        <v>1393458.968</v>
      </c>
      <c r="O52" s="467">
        <f t="shared" si="36"/>
        <v>3418128.032</v>
      </c>
      <c r="P52" s="467">
        <f t="shared" si="37"/>
        <v>21000</v>
      </c>
      <c r="Q52" s="467">
        <f t="shared" si="38"/>
        <v>33000</v>
      </c>
      <c r="R52" s="467">
        <f t="shared" si="39"/>
        <v>75000</v>
      </c>
      <c r="S52" s="467">
        <f t="shared" si="40"/>
        <v>95000</v>
      </c>
      <c r="T52" s="467">
        <f t="shared" si="41"/>
        <v>336000</v>
      </c>
      <c r="U52" s="467">
        <f t="shared" si="46"/>
        <v>52350.7276799992</v>
      </c>
      <c r="V52" s="467">
        <f t="shared" si="42"/>
        <v>612350.727679999</v>
      </c>
      <c r="W52" s="474">
        <v>12</v>
      </c>
      <c r="X52" s="467">
        <f t="shared" si="43"/>
        <v>51029.2273066666</v>
      </c>
      <c r="Y52" s="470"/>
      <c r="Z52" s="467">
        <f t="shared" si="44"/>
        <v>51029.2273066666</v>
      </c>
      <c r="AA52" s="479">
        <v>33059.0784066667</v>
      </c>
      <c r="AB52" s="479">
        <f t="shared" si="45"/>
        <v>17970.1488999999</v>
      </c>
      <c r="AC52" s="479"/>
      <c r="AD52" s="479"/>
      <c r="AE52" s="479"/>
    </row>
    <row r="53" ht="18" spans="1:31">
      <c r="A53" s="464">
        <v>43</v>
      </c>
      <c r="B53" s="11" t="s">
        <v>118</v>
      </c>
      <c r="C53" s="467">
        <v>363165.333333333</v>
      </c>
      <c r="D53" s="466">
        <v>12</v>
      </c>
      <c r="E53" s="467">
        <f t="shared" si="31"/>
        <v>4357984</v>
      </c>
      <c r="F53" s="467"/>
      <c r="G53" s="468">
        <v>252638.72</v>
      </c>
      <c r="H53" s="470"/>
      <c r="I53" s="467">
        <f t="shared" si="32"/>
        <v>4105345.28</v>
      </c>
      <c r="J53" s="467">
        <v>200000</v>
      </c>
      <c r="K53" s="467">
        <v>0.2</v>
      </c>
      <c r="L53" s="467">
        <f t="shared" si="33"/>
        <v>821069.055999999</v>
      </c>
      <c r="M53" s="467">
        <f t="shared" si="34"/>
        <v>1021069.056</v>
      </c>
      <c r="N53" s="467">
        <f t="shared" si="35"/>
        <v>1273707.776</v>
      </c>
      <c r="O53" s="467">
        <f t="shared" si="36"/>
        <v>3084276.224</v>
      </c>
      <c r="P53" s="467">
        <f t="shared" si="37"/>
        <v>21000</v>
      </c>
      <c r="Q53" s="467">
        <f t="shared" si="38"/>
        <v>33000</v>
      </c>
      <c r="R53" s="467">
        <f t="shared" si="39"/>
        <v>75000</v>
      </c>
      <c r="S53" s="467">
        <f t="shared" si="40"/>
        <v>95000</v>
      </c>
      <c r="T53" s="467">
        <f t="shared" si="41"/>
        <v>311698.007039999</v>
      </c>
      <c r="U53" s="467"/>
      <c r="V53" s="467">
        <f t="shared" si="42"/>
        <v>535698.007039999</v>
      </c>
      <c r="W53" s="474">
        <v>12</v>
      </c>
      <c r="X53" s="467">
        <f t="shared" si="43"/>
        <v>44641.5005866666</v>
      </c>
      <c r="Y53" s="470"/>
      <c r="Z53" s="467">
        <f t="shared" si="44"/>
        <v>44641.5005866666</v>
      </c>
      <c r="AA53" s="479">
        <v>29058.4826046667</v>
      </c>
      <c r="AB53" s="479">
        <f t="shared" si="45"/>
        <v>15583.0179819999</v>
      </c>
      <c r="AC53" s="479"/>
      <c r="AD53" s="479"/>
      <c r="AE53" s="479"/>
    </row>
    <row r="54" ht="18" spans="1:31">
      <c r="A54" s="464">
        <v>44</v>
      </c>
      <c r="B54" s="11" t="s">
        <v>119</v>
      </c>
      <c r="C54" s="467">
        <v>363165.333333333</v>
      </c>
      <c r="D54" s="466">
        <v>12</v>
      </c>
      <c r="E54" s="467">
        <f t="shared" si="31"/>
        <v>4357984</v>
      </c>
      <c r="F54" s="467"/>
      <c r="G54" s="468">
        <v>252638.72</v>
      </c>
      <c r="H54" s="470"/>
      <c r="I54" s="467">
        <f t="shared" si="32"/>
        <v>4105345.28</v>
      </c>
      <c r="J54" s="467">
        <v>200000</v>
      </c>
      <c r="K54" s="467">
        <v>0.2</v>
      </c>
      <c r="L54" s="467">
        <f t="shared" si="33"/>
        <v>821069.055999999</v>
      </c>
      <c r="M54" s="467">
        <f t="shared" si="34"/>
        <v>1021069.056</v>
      </c>
      <c r="N54" s="467">
        <f t="shared" si="35"/>
        <v>1273707.776</v>
      </c>
      <c r="O54" s="467">
        <f t="shared" si="36"/>
        <v>3084276.224</v>
      </c>
      <c r="P54" s="467">
        <f t="shared" si="37"/>
        <v>21000</v>
      </c>
      <c r="Q54" s="467">
        <f t="shared" si="38"/>
        <v>33000</v>
      </c>
      <c r="R54" s="467">
        <f t="shared" si="39"/>
        <v>75000</v>
      </c>
      <c r="S54" s="467">
        <f t="shared" si="40"/>
        <v>95000</v>
      </c>
      <c r="T54" s="467">
        <f t="shared" si="41"/>
        <v>311698.007039999</v>
      </c>
      <c r="U54" s="467"/>
      <c r="V54" s="467">
        <f t="shared" si="42"/>
        <v>535698.007039999</v>
      </c>
      <c r="W54" s="474">
        <v>12</v>
      </c>
      <c r="X54" s="467">
        <f t="shared" si="43"/>
        <v>44641.5005866666</v>
      </c>
      <c r="Y54" s="470"/>
      <c r="Z54" s="467">
        <f t="shared" si="44"/>
        <v>44641.5005866666</v>
      </c>
      <c r="AA54" s="479">
        <v>28360.9528626667</v>
      </c>
      <c r="AB54" s="479">
        <f t="shared" si="45"/>
        <v>16280.5477239999</v>
      </c>
      <c r="AC54" s="479"/>
      <c r="AD54" s="479"/>
      <c r="AE54" s="479"/>
    </row>
    <row r="55" ht="17.5" spans="1:31">
      <c r="A55" s="464"/>
      <c r="B55" s="22"/>
      <c r="C55" s="472"/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17.5" spans="1:31">
      <c r="A56" s="464"/>
      <c r="B56" s="22"/>
      <c r="C56" s="472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7.5" spans="1:31">
      <c r="A57" s="464"/>
      <c r="B57" s="20" t="s">
        <v>120</v>
      </c>
      <c r="C57" s="467"/>
      <c r="D57" s="466"/>
      <c r="E57" s="467"/>
      <c r="F57" s="467"/>
      <c r="G57" s="470"/>
      <c r="H57" s="470"/>
      <c r="I57" s="467"/>
      <c r="J57" s="467"/>
      <c r="K57" s="467"/>
      <c r="L57" s="467"/>
      <c r="M57" s="467"/>
      <c r="N57" s="467"/>
      <c r="O57" s="467"/>
      <c r="P57" s="467"/>
      <c r="Q57" s="467"/>
      <c r="R57" s="467"/>
      <c r="S57" s="467"/>
      <c r="T57" s="467"/>
      <c r="U57" s="467"/>
      <c r="V57" s="467"/>
      <c r="W57" s="474"/>
      <c r="X57" s="467"/>
      <c r="Y57" s="470"/>
      <c r="Z57" s="467"/>
      <c r="AA57" s="479"/>
      <c r="AB57" s="479"/>
      <c r="AC57" s="479"/>
      <c r="AD57" s="479"/>
      <c r="AE57" s="479"/>
    </row>
    <row r="58" ht="18" spans="1:31">
      <c r="A58" s="464">
        <v>47</v>
      </c>
      <c r="B58" s="11" t="s">
        <v>121</v>
      </c>
      <c r="C58" s="467">
        <v>1635720</v>
      </c>
      <c r="D58" s="466">
        <v>12</v>
      </c>
      <c r="E58" s="467">
        <f t="shared" ref="E58:E71" si="47">C58*D58</f>
        <v>19628640</v>
      </c>
      <c r="F58" s="467"/>
      <c r="G58" s="468">
        <v>1378291.2</v>
      </c>
      <c r="H58" s="470"/>
      <c r="I58" s="467">
        <f t="shared" ref="I58:I71" si="48">E58-F58-G58-H58</f>
        <v>18250348.8</v>
      </c>
      <c r="J58" s="467">
        <v>200000</v>
      </c>
      <c r="K58" s="467">
        <v>0.2</v>
      </c>
      <c r="L58" s="467">
        <f t="shared" ref="L58:L71" si="49">I58*K58</f>
        <v>3650069.76</v>
      </c>
      <c r="M58" s="467">
        <f t="shared" ref="M58:M71" si="50">J58+L58</f>
        <v>3850069.76</v>
      </c>
      <c r="N58" s="467">
        <f t="shared" ref="N58:N71" si="51">F58+G58+H58+M58</f>
        <v>5228360.96</v>
      </c>
      <c r="O58" s="467">
        <f t="shared" ref="O58:O71" si="52">E58-N58</f>
        <v>14400279.04</v>
      </c>
      <c r="P58" s="467">
        <f t="shared" ref="P58:P71" si="53">IF(O58&lt;300000,0.07*O58,21000)</f>
        <v>21000</v>
      </c>
      <c r="Q58" s="467">
        <f t="shared" ref="Q58:Q71" si="54">IF((O58-300000)&lt;0,0,IF((O58-300000)&lt;300000,0.11*(O58-300000),33000))</f>
        <v>33000</v>
      </c>
      <c r="R58" s="467">
        <f t="shared" ref="R58:R71" si="55">IF((O58-600000)&lt;0,0,IF((O58-600000)&lt;500000,0.15*(O58-600000),75000))</f>
        <v>75000</v>
      </c>
      <c r="S58" s="467">
        <f t="shared" ref="S58:S71" si="56">IF((O58-1100000)&lt;0,0,IF((O58-1100000)&lt;500000,0.19*(O58-1100000),95000))</f>
        <v>95000</v>
      </c>
      <c r="T58" s="467">
        <f t="shared" ref="T58:T71" si="57">IF((O58-1600000)&lt;0,0,IF((O58-1600000)&lt;1600000,0.21*(O58-1600000),336000))</f>
        <v>336000</v>
      </c>
      <c r="U58" s="467">
        <f t="shared" ref="U58:U71" si="58">24%*(O58-3200000)</f>
        <v>2688066.9696</v>
      </c>
      <c r="V58" s="467">
        <f t="shared" ref="V58:V71" si="59">P58+Q58+R58+S58+T58+U58</f>
        <v>3248066.9696</v>
      </c>
      <c r="W58" s="474">
        <v>12</v>
      </c>
      <c r="X58" s="467">
        <f t="shared" ref="X58:X71" si="60">V58/W58</f>
        <v>270672.247466667</v>
      </c>
      <c r="Y58" s="470"/>
      <c r="Z58" s="467">
        <f t="shared" ref="Z58:Z71" si="61">X58</f>
        <v>270672.247466667</v>
      </c>
      <c r="AA58" s="479">
        <v>180306.806858667</v>
      </c>
      <c r="AB58" s="479">
        <f t="shared" ref="AB58:AB71" si="62">Z58-AA58</f>
        <v>90365.4406079996</v>
      </c>
      <c r="AC58" s="479"/>
      <c r="AD58" s="479"/>
      <c r="AE58" s="479"/>
    </row>
    <row r="59" ht="18" spans="1:31">
      <c r="A59" s="464">
        <v>48</v>
      </c>
      <c r="B59" s="11" t="s">
        <v>123</v>
      </c>
      <c r="C59" s="467">
        <v>700675.583333333</v>
      </c>
      <c r="D59" s="466">
        <v>12</v>
      </c>
      <c r="E59" s="467">
        <f t="shared" si="47"/>
        <v>8408107</v>
      </c>
      <c r="F59" s="467"/>
      <c r="G59" s="467">
        <v>595848.56</v>
      </c>
      <c r="H59" s="470"/>
      <c r="I59" s="467">
        <f t="shared" si="48"/>
        <v>7812258.44</v>
      </c>
      <c r="J59" s="467">
        <v>200000</v>
      </c>
      <c r="K59" s="467">
        <v>0.2</v>
      </c>
      <c r="L59" s="467">
        <f t="shared" si="49"/>
        <v>1562451.688</v>
      </c>
      <c r="M59" s="467">
        <f t="shared" si="50"/>
        <v>1762451.688</v>
      </c>
      <c r="N59" s="467">
        <f t="shared" si="51"/>
        <v>2358300.248</v>
      </c>
      <c r="O59" s="467">
        <f t="shared" si="52"/>
        <v>6049806.752</v>
      </c>
      <c r="P59" s="467">
        <f t="shared" si="53"/>
        <v>21000</v>
      </c>
      <c r="Q59" s="467">
        <f t="shared" si="54"/>
        <v>33000</v>
      </c>
      <c r="R59" s="467">
        <f t="shared" si="55"/>
        <v>75000</v>
      </c>
      <c r="S59" s="467">
        <f t="shared" si="56"/>
        <v>95000</v>
      </c>
      <c r="T59" s="467">
        <f t="shared" si="57"/>
        <v>336000</v>
      </c>
      <c r="U59" s="467">
        <f t="shared" si="58"/>
        <v>683953.620479999</v>
      </c>
      <c r="V59" s="467">
        <f t="shared" si="59"/>
        <v>1243953.62048</v>
      </c>
      <c r="W59" s="474">
        <v>12</v>
      </c>
      <c r="X59" s="467">
        <f t="shared" si="60"/>
        <v>103662.801706667</v>
      </c>
      <c r="Y59" s="470"/>
      <c r="Z59" s="467">
        <f t="shared" si="61"/>
        <v>103662.801706667</v>
      </c>
      <c r="AA59" s="479">
        <v>64596.9391466667</v>
      </c>
      <c r="AB59" s="479">
        <f t="shared" si="62"/>
        <v>39065.8625599999</v>
      </c>
      <c r="AC59" s="479"/>
      <c r="AD59" s="479"/>
      <c r="AE59" s="479"/>
    </row>
    <row r="60" ht="17.5" spans="1:31">
      <c r="A60" s="464"/>
      <c r="B60" s="20"/>
      <c r="C60" s="467"/>
      <c r="D60" s="466"/>
      <c r="E60" s="467"/>
      <c r="F60" s="467"/>
      <c r="G60" s="470">
        <v>0</v>
      </c>
      <c r="H60" s="470"/>
      <c r="I60" s="467"/>
      <c r="J60" s="467"/>
      <c r="K60" s="467"/>
      <c r="L60" s="467"/>
      <c r="M60" s="467"/>
      <c r="N60" s="467"/>
      <c r="O60" s="467"/>
      <c r="P60" s="467"/>
      <c r="Q60" s="467"/>
      <c r="R60" s="467"/>
      <c r="S60" s="467"/>
      <c r="T60" s="467"/>
      <c r="U60" s="467"/>
      <c r="V60" s="467"/>
      <c r="W60" s="474"/>
      <c r="X60" s="467"/>
      <c r="Y60" s="470"/>
      <c r="Z60" s="467"/>
      <c r="AA60" s="479"/>
      <c r="AB60" s="479"/>
      <c r="AC60" s="479"/>
      <c r="AD60" s="479"/>
      <c r="AE60" s="479"/>
    </row>
    <row r="61" ht="35" spans="1:31">
      <c r="A61" s="464">
        <v>49</v>
      </c>
      <c r="B61" s="20" t="s">
        <v>126</v>
      </c>
      <c r="C61" s="467"/>
      <c r="D61" s="466"/>
      <c r="E61" s="467"/>
      <c r="F61" s="467"/>
      <c r="G61" s="470">
        <v>0</v>
      </c>
      <c r="H61" s="470"/>
      <c r="I61" s="467"/>
      <c r="J61" s="467"/>
      <c r="K61" s="467"/>
      <c r="L61" s="467"/>
      <c r="M61" s="467"/>
      <c r="N61" s="467"/>
      <c r="O61" s="467"/>
      <c r="P61" s="467"/>
      <c r="Q61" s="467"/>
      <c r="R61" s="467"/>
      <c r="S61" s="467"/>
      <c r="T61" s="467"/>
      <c r="U61" s="467"/>
      <c r="V61" s="467"/>
      <c r="W61" s="474"/>
      <c r="X61" s="467"/>
      <c r="Y61" s="470"/>
      <c r="Z61" s="467"/>
      <c r="AA61" s="479"/>
      <c r="AB61" s="479"/>
      <c r="AC61" s="479"/>
      <c r="AD61" s="479"/>
      <c r="AE61" s="479"/>
    </row>
    <row r="62" ht="18" spans="1:31">
      <c r="A62" s="464">
        <v>50</v>
      </c>
      <c r="B62" s="11" t="s">
        <v>127</v>
      </c>
      <c r="C62" s="467">
        <v>1635720</v>
      </c>
      <c r="D62" s="466">
        <v>12</v>
      </c>
      <c r="E62" s="467">
        <f t="shared" si="47"/>
        <v>19628640</v>
      </c>
      <c r="F62" s="467"/>
      <c r="G62" s="468">
        <v>0</v>
      </c>
      <c r="H62" s="470"/>
      <c r="I62" s="467">
        <f t="shared" si="48"/>
        <v>19628640</v>
      </c>
      <c r="J62" s="467">
        <v>200000</v>
      </c>
      <c r="K62" s="467">
        <v>0.2</v>
      </c>
      <c r="L62" s="467">
        <f t="shared" si="49"/>
        <v>3925728</v>
      </c>
      <c r="M62" s="467">
        <f t="shared" si="50"/>
        <v>4125728</v>
      </c>
      <c r="N62" s="467">
        <f t="shared" si="51"/>
        <v>4125728</v>
      </c>
      <c r="O62" s="467">
        <f t="shared" si="52"/>
        <v>15502912</v>
      </c>
      <c r="P62" s="467">
        <f t="shared" si="53"/>
        <v>21000</v>
      </c>
      <c r="Q62" s="467">
        <f t="shared" si="54"/>
        <v>33000</v>
      </c>
      <c r="R62" s="467">
        <f t="shared" si="55"/>
        <v>75000</v>
      </c>
      <c r="S62" s="467">
        <f t="shared" si="56"/>
        <v>95000</v>
      </c>
      <c r="T62" s="467">
        <f t="shared" si="57"/>
        <v>336000</v>
      </c>
      <c r="U62" s="467">
        <f t="shared" si="58"/>
        <v>2952698.88</v>
      </c>
      <c r="V62" s="467">
        <f t="shared" si="59"/>
        <v>3512698.88</v>
      </c>
      <c r="W62" s="474">
        <v>12</v>
      </c>
      <c r="X62" s="467">
        <f t="shared" si="60"/>
        <v>292724.906666667</v>
      </c>
      <c r="Y62" s="470"/>
      <c r="Z62" s="467">
        <f t="shared" si="61"/>
        <v>292724.906666667</v>
      </c>
      <c r="AA62" s="479">
        <v>180306.806858667</v>
      </c>
      <c r="AB62" s="479">
        <f t="shared" si="62"/>
        <v>112418.099808</v>
      </c>
      <c r="AC62" s="479"/>
      <c r="AD62" s="479"/>
      <c r="AE62" s="479"/>
    </row>
    <row r="63" ht="23.25" customHeight="1" spans="1:31">
      <c r="A63" s="464">
        <v>51</v>
      </c>
      <c r="B63" s="351" t="s">
        <v>129</v>
      </c>
      <c r="C63" s="467">
        <v>761396.833333333</v>
      </c>
      <c r="D63" s="466">
        <v>12</v>
      </c>
      <c r="E63" s="467">
        <f t="shared" si="47"/>
        <v>9136762</v>
      </c>
      <c r="F63" s="467"/>
      <c r="G63" s="473">
        <f>48111.7466666667*12</f>
        <v>577340.96</v>
      </c>
      <c r="H63" s="470"/>
      <c r="I63" s="467">
        <f t="shared" si="48"/>
        <v>8559421.04</v>
      </c>
      <c r="J63" s="467">
        <v>200000</v>
      </c>
      <c r="K63" s="467">
        <v>0.2</v>
      </c>
      <c r="L63" s="467">
        <f t="shared" si="49"/>
        <v>1711884.208</v>
      </c>
      <c r="M63" s="467">
        <f t="shared" si="50"/>
        <v>1911884.208</v>
      </c>
      <c r="N63" s="467">
        <f t="shared" si="51"/>
        <v>2489225.168</v>
      </c>
      <c r="O63" s="467">
        <f t="shared" si="52"/>
        <v>6647536.832</v>
      </c>
      <c r="P63" s="467">
        <f t="shared" si="53"/>
        <v>21000</v>
      </c>
      <c r="Q63" s="467">
        <f t="shared" si="54"/>
        <v>33000</v>
      </c>
      <c r="R63" s="467">
        <f t="shared" si="55"/>
        <v>75000</v>
      </c>
      <c r="S63" s="467">
        <f t="shared" si="56"/>
        <v>95000</v>
      </c>
      <c r="T63" s="467">
        <f t="shared" si="57"/>
        <v>336000</v>
      </c>
      <c r="U63" s="467">
        <f t="shared" si="58"/>
        <v>827408.839679999</v>
      </c>
      <c r="V63" s="467">
        <f t="shared" si="59"/>
        <v>1387408.83968</v>
      </c>
      <c r="W63" s="474">
        <v>12</v>
      </c>
      <c r="X63" s="467">
        <f t="shared" si="60"/>
        <v>115617.403306667</v>
      </c>
      <c r="Y63" s="470"/>
      <c r="Z63" s="467">
        <f t="shared" si="61"/>
        <v>115617.403306667</v>
      </c>
      <c r="AA63" s="479">
        <v>77764.9802666667</v>
      </c>
      <c r="AB63" s="479">
        <f t="shared" si="62"/>
        <v>37852.4230399999</v>
      </c>
      <c r="AC63" s="479"/>
      <c r="AD63" s="479"/>
      <c r="AE63" s="479"/>
    </row>
    <row r="64" ht="18" spans="1:31">
      <c r="A64" s="464">
        <v>52</v>
      </c>
      <c r="B64" s="11" t="s">
        <v>132</v>
      </c>
      <c r="C64" s="467">
        <v>582746.5</v>
      </c>
      <c r="D64" s="466">
        <v>12</v>
      </c>
      <c r="E64" s="467">
        <f t="shared" si="47"/>
        <v>6992958</v>
      </c>
      <c r="F64" s="467"/>
      <c r="G64" s="468">
        <v>425036.64</v>
      </c>
      <c r="H64" s="470"/>
      <c r="I64" s="467">
        <f t="shared" si="48"/>
        <v>6567921.36</v>
      </c>
      <c r="J64" s="467">
        <v>200000</v>
      </c>
      <c r="K64" s="467">
        <v>0.2</v>
      </c>
      <c r="L64" s="467">
        <f t="shared" si="49"/>
        <v>1313584.272</v>
      </c>
      <c r="M64" s="467">
        <f t="shared" si="50"/>
        <v>1513584.272</v>
      </c>
      <c r="N64" s="467">
        <f t="shared" si="51"/>
        <v>1938620.912</v>
      </c>
      <c r="O64" s="467">
        <f t="shared" si="52"/>
        <v>5054337.088</v>
      </c>
      <c r="P64" s="467">
        <f t="shared" si="53"/>
        <v>21000</v>
      </c>
      <c r="Q64" s="467">
        <f t="shared" si="54"/>
        <v>33000</v>
      </c>
      <c r="R64" s="467">
        <f t="shared" si="55"/>
        <v>75000</v>
      </c>
      <c r="S64" s="467">
        <f t="shared" si="56"/>
        <v>95000</v>
      </c>
      <c r="T64" s="467">
        <f t="shared" si="57"/>
        <v>336000</v>
      </c>
      <c r="U64" s="467">
        <f t="shared" si="58"/>
        <v>445040.90112</v>
      </c>
      <c r="V64" s="467">
        <f t="shared" si="59"/>
        <v>1005040.90112</v>
      </c>
      <c r="W64" s="474">
        <v>12</v>
      </c>
      <c r="X64" s="467">
        <f t="shared" si="60"/>
        <v>83753.4084266666</v>
      </c>
      <c r="Y64" s="470"/>
      <c r="Z64" s="467">
        <f t="shared" si="61"/>
        <v>83753.4084266666</v>
      </c>
      <c r="AA64" s="479">
        <v>54931.2492266667</v>
      </c>
      <c r="AB64" s="479">
        <f t="shared" si="62"/>
        <v>28822.1591999999</v>
      </c>
      <c r="AC64" s="479"/>
      <c r="AD64" s="479"/>
      <c r="AE64" s="479"/>
    </row>
    <row r="65" ht="18" spans="1:31">
      <c r="A65" s="464">
        <v>53</v>
      </c>
      <c r="B65" s="18" t="s">
        <v>486</v>
      </c>
      <c r="C65" s="467">
        <v>548915.916666667</v>
      </c>
      <c r="D65" s="466">
        <v>12</v>
      </c>
      <c r="E65" s="467">
        <f t="shared" si="47"/>
        <v>6586991</v>
      </c>
      <c r="F65" s="467"/>
      <c r="G65" s="468">
        <v>411759.28</v>
      </c>
      <c r="H65" s="470"/>
      <c r="I65" s="467">
        <f t="shared" si="48"/>
        <v>6175231.72</v>
      </c>
      <c r="J65" s="467">
        <v>200000</v>
      </c>
      <c r="K65" s="467">
        <v>0.2</v>
      </c>
      <c r="L65" s="467">
        <f t="shared" si="49"/>
        <v>1235046.344</v>
      </c>
      <c r="M65" s="467">
        <f t="shared" si="50"/>
        <v>1435046.344</v>
      </c>
      <c r="N65" s="467">
        <f t="shared" si="51"/>
        <v>1846805.624</v>
      </c>
      <c r="O65" s="467">
        <f t="shared" si="52"/>
        <v>4740185.376</v>
      </c>
      <c r="P65" s="467">
        <f t="shared" si="53"/>
        <v>21000</v>
      </c>
      <c r="Q65" s="467">
        <f t="shared" si="54"/>
        <v>33000</v>
      </c>
      <c r="R65" s="467">
        <f t="shared" si="55"/>
        <v>75000</v>
      </c>
      <c r="S65" s="467">
        <f t="shared" si="56"/>
        <v>95000</v>
      </c>
      <c r="T65" s="467">
        <f t="shared" si="57"/>
        <v>336000</v>
      </c>
      <c r="U65" s="467">
        <f t="shared" si="58"/>
        <v>369644.490240001</v>
      </c>
      <c r="V65" s="467">
        <f t="shared" si="59"/>
        <v>929644.490240001</v>
      </c>
      <c r="W65" s="474">
        <v>12</v>
      </c>
      <c r="X65" s="467">
        <f t="shared" si="60"/>
        <v>77470.3741866667</v>
      </c>
      <c r="Y65" s="470"/>
      <c r="Z65" s="467">
        <f t="shared" si="61"/>
        <v>77470.3741866667</v>
      </c>
      <c r="AA65" s="479">
        <v>49548.7761866667</v>
      </c>
      <c r="AB65" s="479">
        <f t="shared" si="62"/>
        <v>27921.598</v>
      </c>
      <c r="AC65" s="479"/>
      <c r="AD65" s="479"/>
      <c r="AE65" s="479"/>
    </row>
    <row r="66" ht="18" spans="1:31">
      <c r="A66" s="464">
        <v>54</v>
      </c>
      <c r="B66" s="14" t="s">
        <v>519</v>
      </c>
      <c r="C66" s="467">
        <v>624373.75</v>
      </c>
      <c r="D66" s="466">
        <v>12</v>
      </c>
      <c r="E66" s="467">
        <f t="shared" si="47"/>
        <v>7492485</v>
      </c>
      <c r="F66" s="467"/>
      <c r="G66" s="468">
        <v>464998.8</v>
      </c>
      <c r="H66" s="470"/>
      <c r="I66" s="467">
        <f t="shared" si="48"/>
        <v>7027486.2</v>
      </c>
      <c r="J66" s="467">
        <v>200000</v>
      </c>
      <c r="K66" s="467">
        <v>0.2</v>
      </c>
      <c r="L66" s="467">
        <f t="shared" si="49"/>
        <v>1405497.24</v>
      </c>
      <c r="M66" s="467">
        <f t="shared" si="50"/>
        <v>1605497.24</v>
      </c>
      <c r="N66" s="467">
        <f t="shared" si="51"/>
        <v>2070496.04</v>
      </c>
      <c r="O66" s="467">
        <f t="shared" si="52"/>
        <v>5421988.96</v>
      </c>
      <c r="P66" s="467">
        <f t="shared" si="53"/>
        <v>21000</v>
      </c>
      <c r="Q66" s="467">
        <f t="shared" si="54"/>
        <v>33000</v>
      </c>
      <c r="R66" s="467">
        <f t="shared" si="55"/>
        <v>75000</v>
      </c>
      <c r="S66" s="467">
        <f t="shared" si="56"/>
        <v>95000</v>
      </c>
      <c r="T66" s="467">
        <f t="shared" si="57"/>
        <v>336000</v>
      </c>
      <c r="U66" s="467">
        <f t="shared" si="58"/>
        <v>533277.3504</v>
      </c>
      <c r="V66" s="467">
        <f t="shared" si="59"/>
        <v>1093277.3504</v>
      </c>
      <c r="W66" s="474">
        <v>12</v>
      </c>
      <c r="X66" s="467">
        <f t="shared" si="60"/>
        <v>91106.4458666667</v>
      </c>
      <c r="Y66" s="470"/>
      <c r="Z66" s="467">
        <f t="shared" si="61"/>
        <v>91106.4458666667</v>
      </c>
      <c r="AA66" s="479">
        <v>46666.6666666667</v>
      </c>
      <c r="AB66" s="479">
        <f t="shared" si="62"/>
        <v>44439.7792</v>
      </c>
      <c r="AC66" s="479"/>
      <c r="AD66" s="479"/>
      <c r="AE66" s="479"/>
    </row>
    <row r="67" ht="18" spans="1:31">
      <c r="A67" s="464">
        <v>55</v>
      </c>
      <c r="B67" s="11" t="s">
        <v>134</v>
      </c>
      <c r="C67" s="467">
        <v>475703.833333333</v>
      </c>
      <c r="D67" s="466">
        <v>12</v>
      </c>
      <c r="E67" s="467">
        <f t="shared" si="47"/>
        <v>5708446</v>
      </c>
      <c r="F67" s="467"/>
      <c r="G67" s="468">
        <v>351075.68</v>
      </c>
      <c r="H67" s="470"/>
      <c r="I67" s="467">
        <f t="shared" si="48"/>
        <v>5357370.32</v>
      </c>
      <c r="J67" s="467">
        <v>200000</v>
      </c>
      <c r="K67" s="467">
        <v>0.2</v>
      </c>
      <c r="L67" s="467">
        <f t="shared" si="49"/>
        <v>1071474.064</v>
      </c>
      <c r="M67" s="467">
        <f t="shared" si="50"/>
        <v>1271474.064</v>
      </c>
      <c r="N67" s="467">
        <f t="shared" si="51"/>
        <v>1622549.744</v>
      </c>
      <c r="O67" s="467">
        <f t="shared" si="52"/>
        <v>4085896.256</v>
      </c>
      <c r="P67" s="467">
        <f t="shared" si="53"/>
        <v>21000</v>
      </c>
      <c r="Q67" s="467">
        <f t="shared" si="54"/>
        <v>33000</v>
      </c>
      <c r="R67" s="467">
        <f t="shared" si="55"/>
        <v>75000</v>
      </c>
      <c r="S67" s="467">
        <f t="shared" si="56"/>
        <v>95000</v>
      </c>
      <c r="T67" s="467">
        <f t="shared" si="57"/>
        <v>336000</v>
      </c>
      <c r="U67" s="467">
        <f t="shared" si="58"/>
        <v>212615.101439999</v>
      </c>
      <c r="V67" s="467">
        <f t="shared" si="59"/>
        <v>772615.101439999</v>
      </c>
      <c r="W67" s="474">
        <v>12</v>
      </c>
      <c r="X67" s="467">
        <f t="shared" si="60"/>
        <v>64384.5917866666</v>
      </c>
      <c r="Y67" s="470"/>
      <c r="Z67" s="467">
        <f t="shared" si="61"/>
        <v>64384.5917866666</v>
      </c>
      <c r="AA67" s="479">
        <v>41338.9510986667</v>
      </c>
      <c r="AB67" s="479">
        <f t="shared" si="62"/>
        <v>23045.6406879999</v>
      </c>
      <c r="AC67" s="479"/>
      <c r="AD67" s="479"/>
      <c r="AE67" s="479"/>
    </row>
    <row r="68" ht="18" spans="1:31">
      <c r="A68" s="464">
        <v>56</v>
      </c>
      <c r="B68" s="11" t="s">
        <v>136</v>
      </c>
      <c r="C68" s="467">
        <v>475703.833333333</v>
      </c>
      <c r="D68" s="466">
        <v>12</v>
      </c>
      <c r="E68" s="467">
        <f t="shared" si="47"/>
        <v>5708446</v>
      </c>
      <c r="F68" s="467"/>
      <c r="G68" s="468">
        <v>351075.68</v>
      </c>
      <c r="H68" s="470"/>
      <c r="I68" s="467">
        <f t="shared" si="48"/>
        <v>5357370.32</v>
      </c>
      <c r="J68" s="467">
        <v>200000</v>
      </c>
      <c r="K68" s="467">
        <v>0.2</v>
      </c>
      <c r="L68" s="467">
        <f t="shared" si="49"/>
        <v>1071474.064</v>
      </c>
      <c r="M68" s="467">
        <f t="shared" si="50"/>
        <v>1271474.064</v>
      </c>
      <c r="N68" s="467">
        <f t="shared" si="51"/>
        <v>1622549.744</v>
      </c>
      <c r="O68" s="467">
        <f t="shared" si="52"/>
        <v>4085896.256</v>
      </c>
      <c r="P68" s="467">
        <f t="shared" si="53"/>
        <v>21000</v>
      </c>
      <c r="Q68" s="467">
        <f t="shared" si="54"/>
        <v>33000</v>
      </c>
      <c r="R68" s="467">
        <f t="shared" si="55"/>
        <v>75000</v>
      </c>
      <c r="S68" s="467">
        <f t="shared" si="56"/>
        <v>95000</v>
      </c>
      <c r="T68" s="467">
        <f t="shared" si="57"/>
        <v>336000</v>
      </c>
      <c r="U68" s="467">
        <f t="shared" si="58"/>
        <v>212615.101439999</v>
      </c>
      <c r="V68" s="467">
        <f t="shared" si="59"/>
        <v>772615.101439999</v>
      </c>
      <c r="W68" s="474">
        <v>12</v>
      </c>
      <c r="X68" s="467">
        <f t="shared" si="60"/>
        <v>64384.5917866666</v>
      </c>
      <c r="Y68" s="470"/>
      <c r="Z68" s="467">
        <f t="shared" si="61"/>
        <v>64384.5917866666</v>
      </c>
      <c r="AA68" s="479">
        <v>41338.9510986667</v>
      </c>
      <c r="AB68" s="479">
        <f t="shared" si="62"/>
        <v>23045.6406879999</v>
      </c>
      <c r="AC68" s="479"/>
      <c r="AD68" s="479"/>
      <c r="AE68" s="479"/>
    </row>
    <row r="69" ht="18" spans="1:31">
      <c r="A69" s="464">
        <v>57</v>
      </c>
      <c r="B69" s="11" t="s">
        <v>137</v>
      </c>
      <c r="C69" s="467">
        <v>475703.833333333</v>
      </c>
      <c r="D69" s="466">
        <v>12</v>
      </c>
      <c r="E69" s="467">
        <f t="shared" si="47"/>
        <v>5708446</v>
      </c>
      <c r="F69" s="467"/>
      <c r="G69" s="468">
        <v>351075.68</v>
      </c>
      <c r="H69" s="470"/>
      <c r="I69" s="467">
        <f t="shared" si="48"/>
        <v>5357370.32</v>
      </c>
      <c r="J69" s="467">
        <v>200000</v>
      </c>
      <c r="K69" s="467">
        <v>0.2</v>
      </c>
      <c r="L69" s="467">
        <f t="shared" si="49"/>
        <v>1071474.064</v>
      </c>
      <c r="M69" s="467">
        <f t="shared" si="50"/>
        <v>1271474.064</v>
      </c>
      <c r="N69" s="467">
        <f t="shared" si="51"/>
        <v>1622549.744</v>
      </c>
      <c r="O69" s="467">
        <f t="shared" si="52"/>
        <v>4085896.256</v>
      </c>
      <c r="P69" s="467">
        <f t="shared" si="53"/>
        <v>21000</v>
      </c>
      <c r="Q69" s="467">
        <f t="shared" si="54"/>
        <v>33000</v>
      </c>
      <c r="R69" s="467">
        <f t="shared" si="55"/>
        <v>75000</v>
      </c>
      <c r="S69" s="467">
        <f t="shared" si="56"/>
        <v>95000</v>
      </c>
      <c r="T69" s="467">
        <f t="shared" si="57"/>
        <v>336000</v>
      </c>
      <c r="U69" s="467">
        <f t="shared" si="58"/>
        <v>212615.101439999</v>
      </c>
      <c r="V69" s="467">
        <f t="shared" si="59"/>
        <v>772615.101439999</v>
      </c>
      <c r="W69" s="474">
        <v>12</v>
      </c>
      <c r="X69" s="467">
        <f t="shared" si="60"/>
        <v>64384.5917866666</v>
      </c>
      <c r="Y69" s="470"/>
      <c r="Z69" s="467">
        <f t="shared" si="61"/>
        <v>64384.5917866666</v>
      </c>
      <c r="AA69" s="479">
        <v>41338.9510986667</v>
      </c>
      <c r="AB69" s="479">
        <f t="shared" si="62"/>
        <v>23045.6406879999</v>
      </c>
      <c r="AC69" s="479"/>
      <c r="AD69" s="479"/>
      <c r="AE69" s="479"/>
    </row>
    <row r="70" ht="18" spans="1:31">
      <c r="A70" s="464">
        <v>58</v>
      </c>
      <c r="B70" s="11" t="s">
        <v>138</v>
      </c>
      <c r="C70" s="467">
        <v>487895.166666667</v>
      </c>
      <c r="D70" s="466">
        <v>12</v>
      </c>
      <c r="E70" s="467">
        <f t="shared" si="47"/>
        <v>5854742</v>
      </c>
      <c r="F70" s="467"/>
      <c r="G70" s="468">
        <v>362779.36</v>
      </c>
      <c r="H70" s="470"/>
      <c r="I70" s="467">
        <f t="shared" si="48"/>
        <v>5491962.64</v>
      </c>
      <c r="J70" s="467">
        <v>200000</v>
      </c>
      <c r="K70" s="467">
        <v>0.2</v>
      </c>
      <c r="L70" s="467">
        <f t="shared" si="49"/>
        <v>1098392.528</v>
      </c>
      <c r="M70" s="467">
        <f t="shared" si="50"/>
        <v>1298392.528</v>
      </c>
      <c r="N70" s="467">
        <f t="shared" si="51"/>
        <v>1661171.888</v>
      </c>
      <c r="O70" s="467">
        <f t="shared" si="52"/>
        <v>4193570.112</v>
      </c>
      <c r="P70" s="467">
        <f t="shared" si="53"/>
        <v>21000</v>
      </c>
      <c r="Q70" s="467">
        <f t="shared" si="54"/>
        <v>33000</v>
      </c>
      <c r="R70" s="467">
        <f t="shared" si="55"/>
        <v>75000</v>
      </c>
      <c r="S70" s="467">
        <f t="shared" si="56"/>
        <v>95000</v>
      </c>
      <c r="T70" s="467">
        <f t="shared" si="57"/>
        <v>336000</v>
      </c>
      <c r="U70" s="467">
        <f t="shared" si="58"/>
        <v>238456.826880001</v>
      </c>
      <c r="V70" s="467">
        <f t="shared" si="59"/>
        <v>798456.826880001</v>
      </c>
      <c r="W70" s="474">
        <v>12</v>
      </c>
      <c r="X70" s="467">
        <f t="shared" si="60"/>
        <v>66538.0689066667</v>
      </c>
      <c r="Y70" s="470"/>
      <c r="Z70" s="467">
        <f t="shared" si="61"/>
        <v>66538.0689066667</v>
      </c>
      <c r="AA70" s="479">
        <v>43368.8824146667</v>
      </c>
      <c r="AB70" s="479">
        <f t="shared" si="62"/>
        <v>23169.186492</v>
      </c>
      <c r="AC70" s="479"/>
      <c r="AD70" s="479"/>
      <c r="AE70" s="479"/>
    </row>
    <row r="71" ht="18" spans="1:31">
      <c r="A71" s="464">
        <v>59</v>
      </c>
      <c r="B71" s="11" t="s">
        <v>140</v>
      </c>
      <c r="C71" s="467">
        <v>400965.583333333</v>
      </c>
      <c r="D71" s="466">
        <v>12</v>
      </c>
      <c r="E71" s="467">
        <f t="shared" si="47"/>
        <v>4811587</v>
      </c>
      <c r="F71" s="467"/>
      <c r="G71" s="472">
        <v>288926.96</v>
      </c>
      <c r="H71" s="470"/>
      <c r="I71" s="467">
        <f t="shared" si="48"/>
        <v>4522660.04</v>
      </c>
      <c r="J71" s="467">
        <v>200000</v>
      </c>
      <c r="K71" s="467">
        <v>0.2</v>
      </c>
      <c r="L71" s="467">
        <f t="shared" si="49"/>
        <v>904532.007999999</v>
      </c>
      <c r="M71" s="467">
        <f t="shared" si="50"/>
        <v>1104532.008</v>
      </c>
      <c r="N71" s="467">
        <f t="shared" si="51"/>
        <v>1393458.968</v>
      </c>
      <c r="O71" s="467">
        <f t="shared" si="52"/>
        <v>3418128.032</v>
      </c>
      <c r="P71" s="467">
        <f t="shared" si="53"/>
        <v>21000</v>
      </c>
      <c r="Q71" s="467">
        <f t="shared" si="54"/>
        <v>33000</v>
      </c>
      <c r="R71" s="467">
        <f t="shared" si="55"/>
        <v>75000</v>
      </c>
      <c r="S71" s="467">
        <f t="shared" si="56"/>
        <v>95000</v>
      </c>
      <c r="T71" s="467">
        <f t="shared" si="57"/>
        <v>336000</v>
      </c>
      <c r="U71" s="467">
        <f t="shared" si="58"/>
        <v>52350.7276799992</v>
      </c>
      <c r="V71" s="467">
        <f t="shared" si="59"/>
        <v>612350.727679999</v>
      </c>
      <c r="W71" s="474">
        <v>12</v>
      </c>
      <c r="X71" s="467">
        <f t="shared" si="60"/>
        <v>51029.2273066666</v>
      </c>
      <c r="Y71" s="470"/>
      <c r="Z71" s="467">
        <f t="shared" si="61"/>
        <v>51029.2273066666</v>
      </c>
      <c r="AA71" s="479">
        <v>33825.9865626667</v>
      </c>
      <c r="AB71" s="479">
        <f t="shared" si="62"/>
        <v>17203.2407439999</v>
      </c>
      <c r="AC71" s="479"/>
      <c r="AD71" s="479"/>
      <c r="AE71" s="479"/>
    </row>
    <row r="72" ht="17.5" spans="1:31">
      <c r="A72" s="464">
        <v>60</v>
      </c>
      <c r="B72" s="20"/>
      <c r="C72" s="467"/>
      <c r="D72" s="466"/>
      <c r="E72" s="467"/>
      <c r="F72" s="467"/>
      <c r="G72" s="470"/>
      <c r="H72" s="470"/>
      <c r="I72" s="467"/>
      <c r="J72" s="467"/>
      <c r="K72" s="467"/>
      <c r="L72" s="467"/>
      <c r="M72" s="467"/>
      <c r="N72" s="467"/>
      <c r="O72" s="467"/>
      <c r="P72" s="467"/>
      <c r="Q72" s="467"/>
      <c r="R72" s="467"/>
      <c r="S72" s="467"/>
      <c r="T72" s="467"/>
      <c r="U72" s="467"/>
      <c r="V72" s="467"/>
      <c r="W72" s="474"/>
      <c r="X72" s="467"/>
      <c r="Y72" s="470"/>
      <c r="Z72" s="467"/>
      <c r="AA72" s="479"/>
      <c r="AB72" s="479"/>
      <c r="AC72" s="479"/>
      <c r="AD72" s="479"/>
      <c r="AE72" s="479"/>
    </row>
    <row r="73" ht="17.5" spans="1:31">
      <c r="A73" s="464">
        <v>61</v>
      </c>
      <c r="B73" s="22"/>
      <c r="C73" s="467"/>
      <c r="D73" s="466"/>
      <c r="E73" s="467"/>
      <c r="F73" s="467"/>
      <c r="G73" s="470"/>
      <c r="H73" s="470"/>
      <c r="I73" s="467"/>
      <c r="J73" s="467"/>
      <c r="K73" s="467"/>
      <c r="L73" s="467"/>
      <c r="M73" s="467"/>
      <c r="N73" s="467"/>
      <c r="O73" s="467"/>
      <c r="P73" s="467"/>
      <c r="Q73" s="467"/>
      <c r="R73" s="467"/>
      <c r="S73" s="467"/>
      <c r="T73" s="467"/>
      <c r="U73" s="467"/>
      <c r="V73" s="467"/>
      <c r="W73" s="474"/>
      <c r="X73" s="467"/>
      <c r="Y73" s="470"/>
      <c r="Z73" s="467"/>
      <c r="AA73" s="479"/>
      <c r="AB73" s="479"/>
      <c r="AC73" s="479"/>
      <c r="AD73" s="479"/>
      <c r="AE73" s="479"/>
    </row>
    <row r="74" ht="17.5" spans="1:31">
      <c r="A74" s="464"/>
      <c r="B74" s="20" t="s">
        <v>141</v>
      </c>
      <c r="C74" s="467"/>
      <c r="D74" s="466"/>
      <c r="E74" s="467"/>
      <c r="F74" s="467"/>
      <c r="G74" s="470"/>
      <c r="H74" s="470"/>
      <c r="I74" s="467"/>
      <c r="J74" s="467"/>
      <c r="K74" s="467"/>
      <c r="L74" s="467"/>
      <c r="M74" s="467"/>
      <c r="N74" s="467"/>
      <c r="O74" s="467"/>
      <c r="P74" s="467"/>
      <c r="Q74" s="467"/>
      <c r="R74" s="467"/>
      <c r="S74" s="467"/>
      <c r="T74" s="467"/>
      <c r="U74" s="467"/>
      <c r="V74" s="467"/>
      <c r="W74" s="474"/>
      <c r="X74" s="467"/>
      <c r="Y74" s="470"/>
      <c r="Z74" s="467"/>
      <c r="AA74" s="479"/>
      <c r="AB74" s="479"/>
      <c r="AC74" s="479"/>
      <c r="AD74" s="479"/>
      <c r="AE74" s="479"/>
    </row>
    <row r="75" ht="18" spans="1:31">
      <c r="A75" s="464"/>
      <c r="B75" s="11" t="s">
        <v>142</v>
      </c>
      <c r="C75" s="467">
        <v>1635720</v>
      </c>
      <c r="D75" s="466">
        <v>12</v>
      </c>
      <c r="E75" s="467">
        <f t="shared" ref="E75:E81" si="63">C75*D75</f>
        <v>19628640</v>
      </c>
      <c r="F75" s="467"/>
      <c r="G75" s="468">
        <v>1378291.2</v>
      </c>
      <c r="H75" s="470"/>
      <c r="I75" s="467">
        <f t="shared" ref="I75:I81" si="64">E75-F75-G75-H75</f>
        <v>18250348.8</v>
      </c>
      <c r="J75" s="467">
        <v>200000</v>
      </c>
      <c r="K75" s="467">
        <v>0.2</v>
      </c>
      <c r="L75" s="467">
        <f t="shared" ref="L75:L81" si="65">I75*K75</f>
        <v>3650069.76</v>
      </c>
      <c r="M75" s="467">
        <f t="shared" ref="M75:M81" si="66">J75+L75</f>
        <v>3850069.76</v>
      </c>
      <c r="N75" s="467">
        <f t="shared" ref="N75:N81" si="67">F75+G75+H75+M75</f>
        <v>5228360.96</v>
      </c>
      <c r="O75" s="467">
        <f t="shared" ref="O75:O81" si="68">E75-N75</f>
        <v>14400279.04</v>
      </c>
      <c r="P75" s="467">
        <f t="shared" ref="P75:P81" si="69">IF(O75&lt;300000,0.07*O75,21000)</f>
        <v>21000</v>
      </c>
      <c r="Q75" s="467">
        <f t="shared" ref="Q75:Q81" si="70">IF((O75-300000)&lt;0,0,IF((O75-300000)&lt;300000,0.11*(O75-300000),33000))</f>
        <v>33000</v>
      </c>
      <c r="R75" s="467">
        <f t="shared" ref="R75:R81" si="71">IF((O75-600000)&lt;0,0,IF((O75-600000)&lt;500000,0.15*(O75-600000),75000))</f>
        <v>75000</v>
      </c>
      <c r="S75" s="467">
        <f t="shared" ref="S75:S81" si="72">IF((O75-1100000)&lt;0,0,IF((O75-1100000)&lt;500000,0.19*(O75-1100000),95000))</f>
        <v>95000</v>
      </c>
      <c r="T75" s="467">
        <f t="shared" ref="T75:T81" si="73">IF((O75-1600000)&lt;0,0,IF((O75-1600000)&lt;1600000,0.21*(O75-1600000),336000))</f>
        <v>336000</v>
      </c>
      <c r="U75" s="467">
        <f t="shared" ref="U75:U78" si="74">24%*(O75-3200000)</f>
        <v>2688066.9696</v>
      </c>
      <c r="V75" s="467">
        <f t="shared" ref="V75:V81" si="75">P75+Q75+R75+S75+T75+U75</f>
        <v>3248066.9696</v>
      </c>
      <c r="W75" s="474">
        <v>12</v>
      </c>
      <c r="X75" s="467">
        <f t="shared" ref="X75:X81" si="76">V75/W75</f>
        <v>270672.247466667</v>
      </c>
      <c r="Y75" s="470"/>
      <c r="Z75" s="467">
        <f t="shared" ref="Z75:Z81" si="77">X75</f>
        <v>270672.247466667</v>
      </c>
      <c r="AA75" s="479">
        <v>180306.806858667</v>
      </c>
      <c r="AB75" s="479">
        <f t="shared" ref="AB75:AB81" si="78">Z75-AA75</f>
        <v>90365.4406079996</v>
      </c>
      <c r="AC75" s="479"/>
      <c r="AD75" s="479"/>
      <c r="AE75" s="479"/>
    </row>
    <row r="76" ht="18" spans="1:31">
      <c r="A76" s="464">
        <v>62</v>
      </c>
      <c r="B76" s="14" t="s">
        <v>520</v>
      </c>
      <c r="C76" s="467">
        <v>761396.833333333</v>
      </c>
      <c r="D76" s="466">
        <v>12</v>
      </c>
      <c r="E76" s="467">
        <f t="shared" si="63"/>
        <v>9136762</v>
      </c>
      <c r="F76" s="467"/>
      <c r="G76" s="468">
        <v>0</v>
      </c>
      <c r="H76" s="470"/>
      <c r="I76" s="467">
        <f t="shared" si="64"/>
        <v>9136762</v>
      </c>
      <c r="J76" s="467">
        <v>200000</v>
      </c>
      <c r="K76" s="467">
        <v>0.2</v>
      </c>
      <c r="L76" s="467">
        <f t="shared" si="65"/>
        <v>1827352.4</v>
      </c>
      <c r="M76" s="467">
        <f t="shared" si="66"/>
        <v>2027352.4</v>
      </c>
      <c r="N76" s="467">
        <f t="shared" si="67"/>
        <v>2027352.4</v>
      </c>
      <c r="O76" s="467">
        <f t="shared" si="68"/>
        <v>7109409.6</v>
      </c>
      <c r="P76" s="467">
        <f t="shared" si="69"/>
        <v>21000</v>
      </c>
      <c r="Q76" s="467">
        <f t="shared" si="70"/>
        <v>33000</v>
      </c>
      <c r="R76" s="467">
        <f t="shared" si="71"/>
        <v>75000</v>
      </c>
      <c r="S76" s="467">
        <f t="shared" si="72"/>
        <v>95000</v>
      </c>
      <c r="T76" s="467">
        <f t="shared" si="73"/>
        <v>336000</v>
      </c>
      <c r="U76" s="467">
        <f t="shared" si="74"/>
        <v>938258.303999999</v>
      </c>
      <c r="V76" s="467">
        <f t="shared" si="75"/>
        <v>1498258.304</v>
      </c>
      <c r="W76" s="474">
        <v>12</v>
      </c>
      <c r="X76" s="467">
        <f t="shared" si="76"/>
        <v>124854.858666667</v>
      </c>
      <c r="Y76" s="470"/>
      <c r="Z76" s="467">
        <f t="shared" si="77"/>
        <v>124854.858666667</v>
      </c>
      <c r="AA76" s="479">
        <v>77764.9802666667</v>
      </c>
      <c r="AB76" s="479">
        <f t="shared" si="78"/>
        <v>47089.8783999999</v>
      </c>
      <c r="AC76" s="479"/>
      <c r="AD76" s="479"/>
      <c r="AE76" s="479"/>
    </row>
    <row r="77" ht="36" spans="1:31">
      <c r="A77" s="464">
        <v>63</v>
      </c>
      <c r="B77" s="18" t="s">
        <v>521</v>
      </c>
      <c r="C77" s="467">
        <f>700675.583333333+80000</f>
        <v>780675.583333333</v>
      </c>
      <c r="D77" s="466">
        <v>12</v>
      </c>
      <c r="E77" s="467">
        <f t="shared" si="63"/>
        <v>9368107</v>
      </c>
      <c r="F77" s="467"/>
      <c r="G77" s="468">
        <v>0</v>
      </c>
      <c r="H77" s="470"/>
      <c r="I77" s="467">
        <f t="shared" si="64"/>
        <v>9368107</v>
      </c>
      <c r="J77" s="467">
        <v>200000</v>
      </c>
      <c r="K77" s="467">
        <v>0.2</v>
      </c>
      <c r="L77" s="467">
        <f t="shared" si="65"/>
        <v>1873621.4</v>
      </c>
      <c r="M77" s="467">
        <f t="shared" si="66"/>
        <v>2073621.4</v>
      </c>
      <c r="N77" s="467">
        <f t="shared" si="67"/>
        <v>2073621.4</v>
      </c>
      <c r="O77" s="467">
        <f t="shared" si="68"/>
        <v>7294485.6</v>
      </c>
      <c r="P77" s="467">
        <f t="shared" si="69"/>
        <v>21000</v>
      </c>
      <c r="Q77" s="467">
        <f t="shared" si="70"/>
        <v>33000</v>
      </c>
      <c r="R77" s="467">
        <f t="shared" si="71"/>
        <v>75000</v>
      </c>
      <c r="S77" s="467">
        <f t="shared" si="72"/>
        <v>95000</v>
      </c>
      <c r="T77" s="467">
        <f t="shared" si="73"/>
        <v>336000</v>
      </c>
      <c r="U77" s="467">
        <f t="shared" si="74"/>
        <v>982676.543999999</v>
      </c>
      <c r="V77" s="467">
        <f t="shared" si="75"/>
        <v>1542676.544</v>
      </c>
      <c r="W77" s="474">
        <v>12</v>
      </c>
      <c r="X77" s="467">
        <f t="shared" si="76"/>
        <v>128556.378666667</v>
      </c>
      <c r="Y77" s="470"/>
      <c r="Z77" s="467">
        <f t="shared" si="77"/>
        <v>128556.378666667</v>
      </c>
      <c r="AA77" s="479">
        <v>64596.9391466667</v>
      </c>
      <c r="AB77" s="479">
        <f t="shared" si="78"/>
        <v>63959.4395199999</v>
      </c>
      <c r="AC77" s="479"/>
      <c r="AD77" s="479"/>
      <c r="AE77" s="479"/>
    </row>
    <row r="78" ht="18" spans="1:31">
      <c r="A78" s="464">
        <v>64</v>
      </c>
      <c r="B78" s="11" t="s">
        <v>146</v>
      </c>
      <c r="C78" s="467">
        <v>596622.25</v>
      </c>
      <c r="D78" s="466">
        <v>12</v>
      </c>
      <c r="E78" s="467">
        <f t="shared" si="63"/>
        <v>7159467</v>
      </c>
      <c r="F78" s="467">
        <f>'[6]JANUARY 2024'!$V$78*12</f>
        <v>8019.795</v>
      </c>
      <c r="G78" s="468">
        <v>438357.36</v>
      </c>
      <c r="H78" s="470"/>
      <c r="I78" s="467">
        <f t="shared" si="64"/>
        <v>6713089.845</v>
      </c>
      <c r="J78" s="467">
        <v>200000</v>
      </c>
      <c r="K78" s="467">
        <v>0.2</v>
      </c>
      <c r="L78" s="467">
        <f t="shared" si="65"/>
        <v>1342617.969</v>
      </c>
      <c r="M78" s="467">
        <f t="shared" si="66"/>
        <v>1542617.969</v>
      </c>
      <c r="N78" s="467">
        <f t="shared" si="67"/>
        <v>1988995.124</v>
      </c>
      <c r="O78" s="467">
        <f t="shared" si="68"/>
        <v>5170471.876</v>
      </c>
      <c r="P78" s="467">
        <f t="shared" si="69"/>
        <v>21000</v>
      </c>
      <c r="Q78" s="467">
        <f t="shared" si="70"/>
        <v>33000</v>
      </c>
      <c r="R78" s="467">
        <f t="shared" si="71"/>
        <v>75000</v>
      </c>
      <c r="S78" s="467">
        <f t="shared" si="72"/>
        <v>95000</v>
      </c>
      <c r="T78" s="467">
        <f t="shared" si="73"/>
        <v>336000</v>
      </c>
      <c r="U78" s="467">
        <f t="shared" si="74"/>
        <v>472913.25024</v>
      </c>
      <c r="V78" s="467">
        <f t="shared" si="75"/>
        <v>1032913.25024</v>
      </c>
      <c r="W78" s="474">
        <v>12</v>
      </c>
      <c r="X78" s="467">
        <f t="shared" si="76"/>
        <v>86076.1041866667</v>
      </c>
      <c r="Y78" s="470"/>
      <c r="Z78" s="467">
        <f t="shared" si="77"/>
        <v>86076.1041866667</v>
      </c>
      <c r="AA78" s="479">
        <v>56350.5861866667</v>
      </c>
      <c r="AB78" s="479">
        <f t="shared" si="78"/>
        <v>29725.518</v>
      </c>
      <c r="AC78" s="479"/>
      <c r="AD78" s="479"/>
      <c r="AE78" s="479"/>
    </row>
    <row r="79" ht="18" spans="1:31">
      <c r="A79" s="464">
        <v>65</v>
      </c>
      <c r="B79" s="11" t="s">
        <v>149</v>
      </c>
      <c r="C79" s="467">
        <v>408901.5</v>
      </c>
      <c r="D79" s="466">
        <v>12</v>
      </c>
      <c r="E79" s="467">
        <f t="shared" si="63"/>
        <v>4906818</v>
      </c>
      <c r="F79" s="467"/>
      <c r="G79" s="468">
        <v>296545.44</v>
      </c>
      <c r="H79" s="470"/>
      <c r="I79" s="467">
        <f t="shared" si="64"/>
        <v>4610272.56</v>
      </c>
      <c r="J79" s="467">
        <v>200000</v>
      </c>
      <c r="K79" s="467">
        <v>0.2</v>
      </c>
      <c r="L79" s="467">
        <f t="shared" si="65"/>
        <v>922054.512</v>
      </c>
      <c r="M79" s="467">
        <f t="shared" si="66"/>
        <v>1122054.512</v>
      </c>
      <c r="N79" s="467">
        <f t="shared" si="67"/>
        <v>1418599.952</v>
      </c>
      <c r="O79" s="467">
        <f t="shared" si="68"/>
        <v>3488218.048</v>
      </c>
      <c r="P79" s="467">
        <f t="shared" si="69"/>
        <v>21000</v>
      </c>
      <c r="Q79" s="467">
        <f t="shared" si="70"/>
        <v>33000</v>
      </c>
      <c r="R79" s="467">
        <f t="shared" si="71"/>
        <v>75000</v>
      </c>
      <c r="S79" s="467">
        <f t="shared" si="72"/>
        <v>95000</v>
      </c>
      <c r="T79" s="467">
        <f t="shared" si="73"/>
        <v>336000</v>
      </c>
      <c r="U79" s="467">
        <f>0.24*(O79-3200000)</f>
        <v>69172.33152</v>
      </c>
      <c r="V79" s="467">
        <f t="shared" si="75"/>
        <v>629172.33152</v>
      </c>
      <c r="W79" s="474">
        <v>12</v>
      </c>
      <c r="X79" s="467">
        <f t="shared" si="76"/>
        <v>52431.0276266667</v>
      </c>
      <c r="Y79" s="470"/>
      <c r="Z79" s="467">
        <f t="shared" si="77"/>
        <v>52431.0276266667</v>
      </c>
      <c r="AA79" s="479">
        <v>17507.5489666667</v>
      </c>
      <c r="AB79" s="479">
        <f t="shared" si="78"/>
        <v>34923.47866</v>
      </c>
      <c r="AC79" s="479"/>
      <c r="AD79" s="479"/>
      <c r="AE79" s="479"/>
    </row>
    <row r="80" ht="24.75" customHeight="1" spans="1:31">
      <c r="A80" s="464"/>
      <c r="B80" s="11" t="s">
        <v>151</v>
      </c>
      <c r="C80" s="467">
        <v>363165.333333333</v>
      </c>
      <c r="D80" s="466">
        <v>12</v>
      </c>
      <c r="E80" s="467">
        <f t="shared" si="63"/>
        <v>4357984</v>
      </c>
      <c r="F80" s="467"/>
      <c r="G80" s="468">
        <v>252638.72</v>
      </c>
      <c r="H80" s="470"/>
      <c r="I80" s="467">
        <f t="shared" si="64"/>
        <v>4105345.28</v>
      </c>
      <c r="J80" s="467">
        <v>200000</v>
      </c>
      <c r="K80" s="467">
        <v>0.2</v>
      </c>
      <c r="L80" s="467">
        <f t="shared" si="65"/>
        <v>821069.055999999</v>
      </c>
      <c r="M80" s="467">
        <f t="shared" si="66"/>
        <v>1021069.056</v>
      </c>
      <c r="N80" s="467">
        <f t="shared" si="67"/>
        <v>1273707.776</v>
      </c>
      <c r="O80" s="467">
        <f t="shared" si="68"/>
        <v>3084276.224</v>
      </c>
      <c r="P80" s="467">
        <f t="shared" si="69"/>
        <v>21000</v>
      </c>
      <c r="Q80" s="467">
        <f t="shared" si="70"/>
        <v>33000</v>
      </c>
      <c r="R80" s="467">
        <f t="shared" si="71"/>
        <v>75000</v>
      </c>
      <c r="S80" s="467">
        <f t="shared" si="72"/>
        <v>95000</v>
      </c>
      <c r="T80" s="467">
        <f t="shared" si="73"/>
        <v>311698.007039999</v>
      </c>
      <c r="U80" s="467"/>
      <c r="V80" s="467">
        <f t="shared" si="75"/>
        <v>535698.007039999</v>
      </c>
      <c r="W80" s="474">
        <v>12</v>
      </c>
      <c r="X80" s="467">
        <f t="shared" si="76"/>
        <v>44641.5005866666</v>
      </c>
      <c r="Y80" s="470"/>
      <c r="Z80" s="467">
        <f t="shared" si="77"/>
        <v>44641.5005866666</v>
      </c>
      <c r="AA80" s="479">
        <v>29058.4826046667</v>
      </c>
      <c r="AB80" s="479">
        <f t="shared" si="78"/>
        <v>15583.0179819999</v>
      </c>
      <c r="AC80" s="479"/>
      <c r="AD80" s="479"/>
      <c r="AE80" s="479"/>
    </row>
    <row r="81" ht="18" spans="1:31">
      <c r="A81" s="464"/>
      <c r="B81" s="11" t="s">
        <v>153</v>
      </c>
      <c r="C81" s="467">
        <v>324459.75</v>
      </c>
      <c r="D81" s="466">
        <v>12</v>
      </c>
      <c r="E81" s="467">
        <f t="shared" si="63"/>
        <v>3893517</v>
      </c>
      <c r="F81" s="467"/>
      <c r="G81" s="468">
        <v>215481.36</v>
      </c>
      <c r="H81" s="470"/>
      <c r="I81" s="467">
        <f t="shared" si="64"/>
        <v>3678035.64</v>
      </c>
      <c r="J81" s="467">
        <v>200000</v>
      </c>
      <c r="K81" s="467">
        <v>0.2</v>
      </c>
      <c r="L81" s="467">
        <f t="shared" si="65"/>
        <v>735607.128</v>
      </c>
      <c r="M81" s="467">
        <f t="shared" si="66"/>
        <v>935607.128</v>
      </c>
      <c r="N81" s="467">
        <f t="shared" si="67"/>
        <v>1151088.488</v>
      </c>
      <c r="O81" s="467">
        <f t="shared" si="68"/>
        <v>2742428.512</v>
      </c>
      <c r="P81" s="467">
        <f t="shared" si="69"/>
        <v>21000</v>
      </c>
      <c r="Q81" s="467">
        <f t="shared" si="70"/>
        <v>33000</v>
      </c>
      <c r="R81" s="467">
        <f t="shared" si="71"/>
        <v>75000</v>
      </c>
      <c r="S81" s="467">
        <f t="shared" si="72"/>
        <v>95000</v>
      </c>
      <c r="T81" s="467">
        <f t="shared" si="73"/>
        <v>239909.98752</v>
      </c>
      <c r="U81" s="467"/>
      <c r="V81" s="467">
        <f t="shared" si="75"/>
        <v>463909.98752</v>
      </c>
      <c r="W81" s="474">
        <v>12</v>
      </c>
      <c r="X81" s="467">
        <f t="shared" si="76"/>
        <v>38659.1656266667</v>
      </c>
      <c r="Y81" s="470"/>
      <c r="Z81" s="467">
        <f t="shared" si="77"/>
        <v>38659.1656266667</v>
      </c>
      <c r="AA81" s="479">
        <v>24751.1704626667</v>
      </c>
      <c r="AB81" s="479">
        <f t="shared" si="78"/>
        <v>13907.995164</v>
      </c>
      <c r="AC81" s="479"/>
      <c r="AD81" s="479"/>
      <c r="AE81" s="479"/>
    </row>
    <row r="82" ht="17.5" spans="1:31">
      <c r="A82" s="464"/>
      <c r="B82" s="20" t="s">
        <v>96</v>
      </c>
      <c r="C82" s="467"/>
      <c r="D82" s="466"/>
      <c r="E82" s="467"/>
      <c r="F82" s="467"/>
      <c r="G82" s="470"/>
      <c r="H82" s="470"/>
      <c r="I82" s="467"/>
      <c r="J82" s="467"/>
      <c r="K82" s="467"/>
      <c r="L82" s="467"/>
      <c r="M82" s="467"/>
      <c r="N82" s="467"/>
      <c r="O82" s="467"/>
      <c r="P82" s="467"/>
      <c r="Q82" s="467"/>
      <c r="R82" s="467"/>
      <c r="S82" s="467"/>
      <c r="T82" s="467"/>
      <c r="U82" s="467"/>
      <c r="V82" s="467"/>
      <c r="W82" s="474"/>
      <c r="X82" s="467"/>
      <c r="Y82" s="470"/>
      <c r="Z82" s="467"/>
      <c r="AA82" s="479"/>
      <c r="AB82" s="479"/>
      <c r="AC82" s="479"/>
      <c r="AD82" s="479"/>
      <c r="AE82" s="479"/>
    </row>
    <row r="83" ht="17.5" spans="1:31">
      <c r="A83" s="464">
        <v>66</v>
      </c>
      <c r="B83" s="20"/>
      <c r="C83" s="467"/>
      <c r="D83" s="466"/>
      <c r="E83" s="467"/>
      <c r="F83" s="467"/>
      <c r="G83" s="470"/>
      <c r="H83" s="470"/>
      <c r="I83" s="467"/>
      <c r="J83" s="467"/>
      <c r="K83" s="467"/>
      <c r="L83" s="467"/>
      <c r="M83" s="467"/>
      <c r="N83" s="467"/>
      <c r="O83" s="467"/>
      <c r="P83" s="467"/>
      <c r="Q83" s="467"/>
      <c r="R83" s="467"/>
      <c r="S83" s="467"/>
      <c r="T83" s="467"/>
      <c r="U83" s="467"/>
      <c r="V83" s="467"/>
      <c r="W83" s="474"/>
      <c r="X83" s="467"/>
      <c r="Y83" s="470"/>
      <c r="Z83" s="467"/>
      <c r="AA83" s="479"/>
      <c r="AB83" s="479"/>
      <c r="AC83" s="479"/>
      <c r="AD83" s="479"/>
      <c r="AE83" s="479"/>
    </row>
    <row r="84" ht="35" spans="1:31">
      <c r="A84" s="464">
        <v>67</v>
      </c>
      <c r="B84" s="20" t="s">
        <v>155</v>
      </c>
      <c r="C84" s="467"/>
      <c r="AB84" s="296" t="s">
        <v>522</v>
      </c>
      <c r="AC84" s="479"/>
      <c r="AD84" s="479"/>
      <c r="AE84" s="479"/>
    </row>
    <row r="85" ht="18" spans="1:31">
      <c r="A85" s="464">
        <v>68</v>
      </c>
      <c r="B85" s="11" t="s">
        <v>156</v>
      </c>
      <c r="C85" s="467">
        <f>880675.583333333+100000</f>
        <v>980675.583333333</v>
      </c>
      <c r="D85" s="466">
        <v>12</v>
      </c>
      <c r="E85" s="467">
        <f t="shared" ref="E85:E94" si="79">C85*D85</f>
        <v>11768107</v>
      </c>
      <c r="F85" s="467"/>
      <c r="G85" s="468">
        <v>595848.56</v>
      </c>
      <c r="H85" s="470"/>
      <c r="I85" s="467">
        <f t="shared" ref="I85:I94" si="80">E85-F85-G85-H85</f>
        <v>11172258.44</v>
      </c>
      <c r="J85" s="467">
        <v>200000</v>
      </c>
      <c r="K85" s="467">
        <v>0.2</v>
      </c>
      <c r="L85" s="467">
        <f t="shared" ref="L85:L94" si="81">I85*K85</f>
        <v>2234451.688</v>
      </c>
      <c r="M85" s="467">
        <f t="shared" ref="M85:M94" si="82">J85+L85</f>
        <v>2434451.688</v>
      </c>
      <c r="N85" s="467">
        <f t="shared" ref="N85:N94" si="83">F85+G85+H85+M85</f>
        <v>3030300.248</v>
      </c>
      <c r="O85" s="467">
        <f t="shared" ref="O85:O94" si="84">E85-N85</f>
        <v>8737806.752</v>
      </c>
      <c r="P85" s="467">
        <f t="shared" ref="P85:P94" si="85">IF(O85&lt;300000,0.07*O85,21000)</f>
        <v>21000</v>
      </c>
      <c r="Q85" s="467">
        <f t="shared" ref="Q85:Q94" si="86">IF((O85-300000)&lt;0,0,IF((O85-300000)&lt;300000,0.11*(O85-300000),33000))</f>
        <v>33000</v>
      </c>
      <c r="R85" s="467">
        <f t="shared" ref="R85:R94" si="87">IF((O85-600000)&lt;0,0,IF((O85-600000)&lt;500000,0.15*(O85-600000),75000))</f>
        <v>75000</v>
      </c>
      <c r="S85" s="467">
        <f t="shared" ref="S85:S94" si="88">IF((O85-1100000)&lt;0,0,IF((O85-1100000)&lt;500000,0.19*(O85-1100000),95000))</f>
        <v>95000</v>
      </c>
      <c r="T85" s="467">
        <f t="shared" ref="T85:T94" si="89">IF((O85-1600000)&lt;0,0,IF((O85-1600000)&lt;1600000,0.21*(O85-1600000),336000))</f>
        <v>336000</v>
      </c>
      <c r="U85" s="467">
        <f t="shared" ref="U85:U93" si="90">24%*(O85-3200000)</f>
        <v>1329073.62048</v>
      </c>
      <c r="V85" s="467">
        <f t="shared" ref="V85:V94" si="91">P85+Q85+R85+S85+T85+U85</f>
        <v>1889073.62048</v>
      </c>
      <c r="W85" s="474">
        <v>12</v>
      </c>
      <c r="X85" s="467">
        <f t="shared" ref="X85:X94" si="92">V85/W85</f>
        <v>157422.801706667</v>
      </c>
      <c r="Y85" s="470"/>
      <c r="Z85" s="467">
        <f t="shared" ref="Z85:Z94" si="93">X85</f>
        <v>157422.801706667</v>
      </c>
      <c r="AA85" s="467">
        <v>99156.9391466667</v>
      </c>
      <c r="AB85" s="479">
        <f t="shared" ref="AB85:AB94" si="94">Z85-AA85</f>
        <v>58265.8625599999</v>
      </c>
      <c r="AC85" s="479" t="s">
        <v>156</v>
      </c>
      <c r="AD85" s="479"/>
      <c r="AE85" s="479"/>
    </row>
    <row r="86" ht="18" spans="1:31">
      <c r="A86" s="464">
        <v>69</v>
      </c>
      <c r="B86" s="11" t="s">
        <v>157</v>
      </c>
      <c r="C86" s="467">
        <v>780675.583333333</v>
      </c>
      <c r="D86" s="466">
        <v>12</v>
      </c>
      <c r="E86" s="467">
        <f t="shared" si="79"/>
        <v>9368107</v>
      </c>
      <c r="F86" s="467">
        <f>'[6]JANUARY 2024'!$V$86*12</f>
        <v>10052.25</v>
      </c>
      <c r="G86" s="468">
        <v>595848.56</v>
      </c>
      <c r="H86" s="470"/>
      <c r="I86" s="467">
        <f t="shared" si="80"/>
        <v>8762206.19</v>
      </c>
      <c r="J86" s="467">
        <v>200000</v>
      </c>
      <c r="K86" s="467">
        <v>0.2</v>
      </c>
      <c r="L86" s="467">
        <f t="shared" si="81"/>
        <v>1752441.238</v>
      </c>
      <c r="M86" s="467">
        <f t="shared" si="82"/>
        <v>1952441.238</v>
      </c>
      <c r="N86" s="467">
        <f t="shared" si="83"/>
        <v>2558342.048</v>
      </c>
      <c r="O86" s="467">
        <f t="shared" si="84"/>
        <v>6809764.952</v>
      </c>
      <c r="P86" s="467">
        <f t="shared" si="85"/>
        <v>21000</v>
      </c>
      <c r="Q86" s="467">
        <f t="shared" si="86"/>
        <v>33000</v>
      </c>
      <c r="R86" s="467">
        <f t="shared" si="87"/>
        <v>75000</v>
      </c>
      <c r="S86" s="467">
        <f t="shared" si="88"/>
        <v>95000</v>
      </c>
      <c r="T86" s="467">
        <f t="shared" si="89"/>
        <v>336000</v>
      </c>
      <c r="U86" s="467">
        <f t="shared" si="90"/>
        <v>866343.588479999</v>
      </c>
      <c r="V86" s="467">
        <f t="shared" si="91"/>
        <v>1426343.58848</v>
      </c>
      <c r="W86" s="474">
        <v>12</v>
      </c>
      <c r="X86" s="467">
        <f t="shared" si="92"/>
        <v>118861.965706667</v>
      </c>
      <c r="Y86" s="470"/>
      <c r="Z86" s="467">
        <f t="shared" si="93"/>
        <v>118861.965706667</v>
      </c>
      <c r="AA86" s="467">
        <v>98996.1031466667</v>
      </c>
      <c r="AB86" s="479">
        <f t="shared" si="94"/>
        <v>19865.8625599999</v>
      </c>
      <c r="AC86" s="479" t="s">
        <v>157</v>
      </c>
      <c r="AD86" s="479"/>
      <c r="AE86" s="479"/>
    </row>
    <row r="87" ht="36" spans="1:31">
      <c r="A87" s="464">
        <v>70</v>
      </c>
      <c r="B87" s="11" t="s">
        <v>158</v>
      </c>
      <c r="C87" s="467">
        <v>587895.166666667</v>
      </c>
      <c r="D87" s="466">
        <v>12</v>
      </c>
      <c r="E87" s="467">
        <f t="shared" si="79"/>
        <v>7054742</v>
      </c>
      <c r="F87" s="467"/>
      <c r="G87" s="468">
        <v>558833.36</v>
      </c>
      <c r="H87" s="470"/>
      <c r="I87" s="467">
        <f t="shared" si="80"/>
        <v>6495908.64</v>
      </c>
      <c r="J87" s="467">
        <v>200000</v>
      </c>
      <c r="K87" s="467">
        <v>0.2</v>
      </c>
      <c r="L87" s="467">
        <f t="shared" si="81"/>
        <v>1299181.728</v>
      </c>
      <c r="M87" s="467">
        <f t="shared" si="82"/>
        <v>1499181.728</v>
      </c>
      <c r="N87" s="467">
        <f t="shared" si="83"/>
        <v>2058015.088</v>
      </c>
      <c r="O87" s="467">
        <f t="shared" si="84"/>
        <v>4996726.912</v>
      </c>
      <c r="P87" s="467">
        <f t="shared" si="85"/>
        <v>21000</v>
      </c>
      <c r="Q87" s="467">
        <f t="shared" si="86"/>
        <v>33000</v>
      </c>
      <c r="R87" s="467">
        <f t="shared" si="87"/>
        <v>75000</v>
      </c>
      <c r="S87" s="467">
        <f t="shared" si="88"/>
        <v>95000</v>
      </c>
      <c r="T87" s="467">
        <f t="shared" si="89"/>
        <v>336000</v>
      </c>
      <c r="U87" s="467">
        <f t="shared" si="90"/>
        <v>431214.458880001</v>
      </c>
      <c r="V87" s="467">
        <f t="shared" si="91"/>
        <v>991214.458880001</v>
      </c>
      <c r="W87" s="474">
        <v>12</v>
      </c>
      <c r="X87" s="467">
        <f t="shared" si="92"/>
        <v>82601.2049066667</v>
      </c>
      <c r="Y87" s="470"/>
      <c r="Z87" s="467">
        <f t="shared" si="93"/>
        <v>82601.2049066667</v>
      </c>
      <c r="AA87" s="467">
        <v>79956.9391466667</v>
      </c>
      <c r="AB87" s="479">
        <f t="shared" si="94"/>
        <v>2644.26576000001</v>
      </c>
      <c r="AC87" s="479" t="s">
        <v>158</v>
      </c>
      <c r="AD87" s="479"/>
      <c r="AE87" s="479"/>
    </row>
    <row r="88" ht="18" spans="1:31">
      <c r="A88" s="464">
        <v>71</v>
      </c>
      <c r="B88" s="11" t="s">
        <v>159</v>
      </c>
      <c r="C88" s="467">
        <v>582746.5</v>
      </c>
      <c r="D88" s="466">
        <v>12</v>
      </c>
      <c r="E88" s="467">
        <f t="shared" si="79"/>
        <v>6992958</v>
      </c>
      <c r="F88" s="467"/>
      <c r="G88" s="468">
        <v>424132.72</v>
      </c>
      <c r="H88" s="470"/>
      <c r="I88" s="467">
        <f t="shared" si="80"/>
        <v>6568825.28</v>
      </c>
      <c r="J88" s="467">
        <v>200000</v>
      </c>
      <c r="K88" s="467">
        <v>0.2</v>
      </c>
      <c r="L88" s="467">
        <f t="shared" si="81"/>
        <v>1313765.056</v>
      </c>
      <c r="M88" s="467">
        <f t="shared" si="82"/>
        <v>1513765.056</v>
      </c>
      <c r="N88" s="467">
        <f t="shared" si="83"/>
        <v>1937897.776</v>
      </c>
      <c r="O88" s="467">
        <f t="shared" si="84"/>
        <v>5055060.224</v>
      </c>
      <c r="P88" s="467">
        <f t="shared" si="85"/>
        <v>21000</v>
      </c>
      <c r="Q88" s="467">
        <f t="shared" si="86"/>
        <v>33000</v>
      </c>
      <c r="R88" s="467">
        <f t="shared" si="87"/>
        <v>75000</v>
      </c>
      <c r="S88" s="467">
        <f t="shared" si="88"/>
        <v>95000</v>
      </c>
      <c r="T88" s="467">
        <f t="shared" si="89"/>
        <v>336000</v>
      </c>
      <c r="U88" s="467">
        <f t="shared" si="90"/>
        <v>445214.45376</v>
      </c>
      <c r="V88" s="467">
        <f t="shared" si="91"/>
        <v>1005214.45376</v>
      </c>
      <c r="W88" s="474">
        <v>12</v>
      </c>
      <c r="X88" s="467">
        <f t="shared" si="92"/>
        <v>83767.8711466667</v>
      </c>
      <c r="Y88" s="470"/>
      <c r="Z88" s="467">
        <f t="shared" si="93"/>
        <v>83767.8711466667</v>
      </c>
      <c r="AA88" s="467">
        <v>75574.6772906667</v>
      </c>
      <c r="AB88" s="479">
        <f t="shared" si="94"/>
        <v>8193.19385599995</v>
      </c>
      <c r="AC88" s="479" t="s">
        <v>159</v>
      </c>
      <c r="AD88" s="479"/>
      <c r="AE88" s="479"/>
    </row>
    <row r="89" ht="18" spans="1:31">
      <c r="A89" s="464">
        <v>72</v>
      </c>
      <c r="B89" s="11" t="s">
        <v>160</v>
      </c>
      <c r="C89" s="467">
        <v>548915.916666667</v>
      </c>
      <c r="D89" s="466">
        <v>12</v>
      </c>
      <c r="E89" s="467">
        <f t="shared" si="79"/>
        <v>6586991</v>
      </c>
      <c r="F89" s="467"/>
      <c r="G89" s="468">
        <v>411759.28</v>
      </c>
      <c r="H89" s="470"/>
      <c r="I89" s="467">
        <f t="shared" si="80"/>
        <v>6175231.72</v>
      </c>
      <c r="J89" s="467">
        <v>200000</v>
      </c>
      <c r="K89" s="467">
        <v>0.2</v>
      </c>
      <c r="L89" s="467">
        <f t="shared" si="81"/>
        <v>1235046.344</v>
      </c>
      <c r="M89" s="467">
        <f t="shared" si="82"/>
        <v>1435046.344</v>
      </c>
      <c r="N89" s="467">
        <f t="shared" si="83"/>
        <v>1846805.624</v>
      </c>
      <c r="O89" s="467">
        <f t="shared" si="84"/>
        <v>4740185.376</v>
      </c>
      <c r="P89" s="467">
        <f t="shared" si="85"/>
        <v>21000</v>
      </c>
      <c r="Q89" s="467">
        <f t="shared" si="86"/>
        <v>33000</v>
      </c>
      <c r="R89" s="467">
        <f t="shared" si="87"/>
        <v>75000</v>
      </c>
      <c r="S89" s="467">
        <f t="shared" si="88"/>
        <v>95000</v>
      </c>
      <c r="T89" s="467">
        <f t="shared" si="89"/>
        <v>336000</v>
      </c>
      <c r="U89" s="467">
        <f t="shared" si="90"/>
        <v>369644.490240001</v>
      </c>
      <c r="V89" s="467">
        <f t="shared" si="91"/>
        <v>929644.490240001</v>
      </c>
      <c r="W89" s="474">
        <v>12</v>
      </c>
      <c r="X89" s="467">
        <f t="shared" si="92"/>
        <v>77470.3741866667</v>
      </c>
      <c r="Y89" s="470"/>
      <c r="Z89" s="467">
        <f t="shared" si="93"/>
        <v>77470.3741866667</v>
      </c>
      <c r="AA89" s="467">
        <v>50985.9775466667</v>
      </c>
      <c r="AB89" s="479">
        <f t="shared" si="94"/>
        <v>26484.39664</v>
      </c>
      <c r="AC89" s="479" t="s">
        <v>160</v>
      </c>
      <c r="AD89" s="479"/>
      <c r="AE89" s="479"/>
    </row>
    <row r="90" ht="36" spans="1:31">
      <c r="A90" s="464">
        <v>73</v>
      </c>
      <c r="B90" s="11" t="s">
        <v>161</v>
      </c>
      <c r="C90" s="467">
        <v>568870.75</v>
      </c>
      <c r="D90" s="466">
        <v>12</v>
      </c>
      <c r="E90" s="467">
        <f t="shared" si="79"/>
        <v>6826449</v>
      </c>
      <c r="F90" s="467"/>
      <c r="G90" s="468">
        <v>411715.92</v>
      </c>
      <c r="H90" s="470"/>
      <c r="I90" s="467">
        <f t="shared" si="80"/>
        <v>6414733.08</v>
      </c>
      <c r="J90" s="467">
        <v>200000</v>
      </c>
      <c r="K90" s="467">
        <v>0.2</v>
      </c>
      <c r="L90" s="467">
        <f t="shared" si="81"/>
        <v>1282946.616</v>
      </c>
      <c r="M90" s="467">
        <f t="shared" si="82"/>
        <v>1482946.616</v>
      </c>
      <c r="N90" s="467">
        <f t="shared" si="83"/>
        <v>1894662.536</v>
      </c>
      <c r="O90" s="467">
        <f t="shared" si="84"/>
        <v>4931786.464</v>
      </c>
      <c r="P90" s="467">
        <f t="shared" si="85"/>
        <v>21000</v>
      </c>
      <c r="Q90" s="467">
        <f t="shared" si="86"/>
        <v>33000</v>
      </c>
      <c r="R90" s="467">
        <f t="shared" si="87"/>
        <v>75000</v>
      </c>
      <c r="S90" s="467">
        <f t="shared" si="88"/>
        <v>95000</v>
      </c>
      <c r="T90" s="467">
        <f t="shared" si="89"/>
        <v>336000</v>
      </c>
      <c r="U90" s="467">
        <f t="shared" si="90"/>
        <v>415628.75136</v>
      </c>
      <c r="V90" s="467">
        <f t="shared" si="91"/>
        <v>975628.75136</v>
      </c>
      <c r="W90" s="474">
        <v>12</v>
      </c>
      <c r="X90" s="467">
        <f t="shared" si="92"/>
        <v>81302.3959466667</v>
      </c>
      <c r="Y90" s="470"/>
      <c r="Z90" s="467">
        <f t="shared" si="93"/>
        <v>81302.3959466667</v>
      </c>
      <c r="AA90" s="467">
        <v>49548.7761866667</v>
      </c>
      <c r="AB90" s="479">
        <f t="shared" si="94"/>
        <v>31753.61976</v>
      </c>
      <c r="AC90" s="479" t="s">
        <v>161</v>
      </c>
      <c r="AD90" s="479"/>
      <c r="AE90" s="479"/>
    </row>
    <row r="91" ht="18" spans="1:31">
      <c r="A91" s="464">
        <v>74</v>
      </c>
      <c r="B91" s="11" t="s">
        <v>163</v>
      </c>
      <c r="C91" s="467">
        <v>475703.833333333</v>
      </c>
      <c r="D91" s="466">
        <v>12</v>
      </c>
      <c r="E91" s="467">
        <f t="shared" si="79"/>
        <v>5708446</v>
      </c>
      <c r="F91" s="467"/>
      <c r="G91" s="473">
        <f>29256.3066666667*12</f>
        <v>351075.68</v>
      </c>
      <c r="H91" s="470"/>
      <c r="I91" s="467">
        <f t="shared" si="80"/>
        <v>5357370.32</v>
      </c>
      <c r="J91" s="467">
        <v>200000</v>
      </c>
      <c r="K91" s="467">
        <v>0.2</v>
      </c>
      <c r="L91" s="467">
        <f t="shared" si="81"/>
        <v>1071474.064</v>
      </c>
      <c r="M91" s="467">
        <f t="shared" si="82"/>
        <v>1271474.064</v>
      </c>
      <c r="N91" s="467">
        <f t="shared" si="83"/>
        <v>1622549.744</v>
      </c>
      <c r="O91" s="467">
        <f t="shared" si="84"/>
        <v>4085896.256</v>
      </c>
      <c r="P91" s="467">
        <f t="shared" si="85"/>
        <v>21000</v>
      </c>
      <c r="Q91" s="467">
        <f t="shared" si="86"/>
        <v>33000</v>
      </c>
      <c r="R91" s="467">
        <f t="shared" si="87"/>
        <v>75000</v>
      </c>
      <c r="S91" s="467">
        <f t="shared" si="88"/>
        <v>95000</v>
      </c>
      <c r="T91" s="467">
        <f t="shared" si="89"/>
        <v>336000</v>
      </c>
      <c r="U91" s="467">
        <f t="shared" si="90"/>
        <v>212615.101439999</v>
      </c>
      <c r="V91" s="467">
        <f t="shared" si="91"/>
        <v>772615.101439999</v>
      </c>
      <c r="W91" s="474">
        <v>12</v>
      </c>
      <c r="X91" s="467">
        <f t="shared" si="92"/>
        <v>64384.5917866666</v>
      </c>
      <c r="Y91" s="470"/>
      <c r="Z91" s="467">
        <f t="shared" si="93"/>
        <v>64384.5917866666</v>
      </c>
      <c r="AA91" s="467">
        <v>53384.0535626667</v>
      </c>
      <c r="AB91" s="479">
        <f t="shared" si="94"/>
        <v>11000.5382239999</v>
      </c>
      <c r="AC91" s="479" t="s">
        <v>163</v>
      </c>
      <c r="AD91" s="479"/>
      <c r="AE91" s="479"/>
    </row>
    <row r="92" ht="24" customHeight="1" spans="1:31">
      <c r="A92" s="464">
        <v>75</v>
      </c>
      <c r="B92" s="11" t="s">
        <v>164</v>
      </c>
      <c r="C92" s="467">
        <v>510248.916666667</v>
      </c>
      <c r="D92" s="466">
        <v>12</v>
      </c>
      <c r="E92" s="467">
        <f t="shared" si="79"/>
        <v>6122987</v>
      </c>
      <c r="F92" s="467">
        <f>'[6]JANUARY 2024'!$V$92*12</f>
        <v>6922.497</v>
      </c>
      <c r="G92" s="468">
        <v>374638.96</v>
      </c>
      <c r="H92" s="470"/>
      <c r="I92" s="467">
        <f t="shared" si="80"/>
        <v>5741425.543</v>
      </c>
      <c r="J92" s="467">
        <v>200000</v>
      </c>
      <c r="K92" s="467">
        <v>0.2</v>
      </c>
      <c r="L92" s="467">
        <f t="shared" si="81"/>
        <v>1148285.1086</v>
      </c>
      <c r="M92" s="467">
        <f t="shared" si="82"/>
        <v>1348285.1086</v>
      </c>
      <c r="N92" s="467">
        <f t="shared" si="83"/>
        <v>1729846.5656</v>
      </c>
      <c r="O92" s="467">
        <f t="shared" si="84"/>
        <v>4393140.4344</v>
      </c>
      <c r="P92" s="467">
        <f t="shared" si="85"/>
        <v>21000</v>
      </c>
      <c r="Q92" s="467">
        <f t="shared" si="86"/>
        <v>33000</v>
      </c>
      <c r="R92" s="467">
        <f t="shared" si="87"/>
        <v>75000</v>
      </c>
      <c r="S92" s="467">
        <f t="shared" si="88"/>
        <v>95000</v>
      </c>
      <c r="T92" s="467">
        <f t="shared" si="89"/>
        <v>336000</v>
      </c>
      <c r="U92" s="467">
        <f t="shared" si="90"/>
        <v>286353.704256001</v>
      </c>
      <c r="V92" s="467">
        <f t="shared" si="91"/>
        <v>846353.704256001</v>
      </c>
      <c r="W92" s="474">
        <v>12</v>
      </c>
      <c r="X92" s="467">
        <f t="shared" si="92"/>
        <v>70529.4753546667</v>
      </c>
      <c r="Y92" s="470"/>
      <c r="Z92" s="467">
        <f t="shared" si="93"/>
        <v>70529.4753546667</v>
      </c>
      <c r="AA92" s="467">
        <v>41242.0361406667</v>
      </c>
      <c r="AB92" s="479">
        <f t="shared" si="94"/>
        <v>29287.439214</v>
      </c>
      <c r="AC92" s="479" t="s">
        <v>164</v>
      </c>
      <c r="AD92" s="479"/>
      <c r="AE92" s="479"/>
    </row>
    <row r="93" ht="18" spans="1:31">
      <c r="A93" s="464">
        <v>76</v>
      </c>
      <c r="B93" s="11" t="s">
        <v>167</v>
      </c>
      <c r="C93" s="467">
        <v>400965.583333333</v>
      </c>
      <c r="D93" s="466">
        <v>12</v>
      </c>
      <c r="E93" s="467">
        <f t="shared" si="79"/>
        <v>4811587</v>
      </c>
      <c r="F93" s="467"/>
      <c r="G93" s="468">
        <v>288926.96</v>
      </c>
      <c r="H93" s="470"/>
      <c r="I93" s="467">
        <f t="shared" si="80"/>
        <v>4522660.04</v>
      </c>
      <c r="J93" s="467">
        <v>200000</v>
      </c>
      <c r="K93" s="467">
        <v>0.2</v>
      </c>
      <c r="L93" s="467">
        <f t="shared" si="81"/>
        <v>904532.007999999</v>
      </c>
      <c r="M93" s="467">
        <f t="shared" si="82"/>
        <v>1104532.008</v>
      </c>
      <c r="N93" s="467">
        <f t="shared" si="83"/>
        <v>1393458.968</v>
      </c>
      <c r="O93" s="467">
        <f t="shared" si="84"/>
        <v>3418128.032</v>
      </c>
      <c r="P93" s="467">
        <f t="shared" si="85"/>
        <v>21000</v>
      </c>
      <c r="Q93" s="467">
        <f t="shared" si="86"/>
        <v>33000</v>
      </c>
      <c r="R93" s="467">
        <f t="shared" si="87"/>
        <v>75000</v>
      </c>
      <c r="S93" s="467">
        <f t="shared" si="88"/>
        <v>95000</v>
      </c>
      <c r="T93" s="467">
        <f t="shared" si="89"/>
        <v>336000</v>
      </c>
      <c r="U93" s="467">
        <f t="shared" si="90"/>
        <v>52350.7276799992</v>
      </c>
      <c r="V93" s="467">
        <f t="shared" si="91"/>
        <v>612350.727679999</v>
      </c>
      <c r="W93" s="474">
        <v>12</v>
      </c>
      <c r="X93" s="467">
        <f t="shared" si="92"/>
        <v>51029.2273066666</v>
      </c>
      <c r="Y93" s="470"/>
      <c r="Z93" s="467">
        <f t="shared" si="93"/>
        <v>51029.2273066666</v>
      </c>
      <c r="AA93" s="467">
        <v>45414.4562526667</v>
      </c>
      <c r="AB93" s="479">
        <f t="shared" si="94"/>
        <v>5614.7710539999</v>
      </c>
      <c r="AC93" s="479" t="s">
        <v>167</v>
      </c>
      <c r="AD93" s="479"/>
      <c r="AE93" s="479"/>
    </row>
    <row r="94" ht="18" spans="1:31">
      <c r="A94" s="464"/>
      <c r="B94" s="11" t="s">
        <v>169</v>
      </c>
      <c r="C94" s="467">
        <v>330631.916666667</v>
      </c>
      <c r="D94" s="466">
        <v>12</v>
      </c>
      <c r="E94" s="467">
        <f t="shared" si="79"/>
        <v>3967583</v>
      </c>
      <c r="F94" s="467"/>
      <c r="G94" s="468">
        <v>221406.64</v>
      </c>
      <c r="H94" s="470"/>
      <c r="I94" s="467">
        <f t="shared" si="80"/>
        <v>3746176.36</v>
      </c>
      <c r="J94" s="467">
        <v>200000</v>
      </c>
      <c r="K94" s="467">
        <v>0.2</v>
      </c>
      <c r="L94" s="467">
        <f t="shared" si="81"/>
        <v>749235.272000001</v>
      </c>
      <c r="M94" s="467">
        <f t="shared" si="82"/>
        <v>949235.272000001</v>
      </c>
      <c r="N94" s="467">
        <f t="shared" si="83"/>
        <v>1170641.912</v>
      </c>
      <c r="O94" s="467">
        <f t="shared" si="84"/>
        <v>2796941.088</v>
      </c>
      <c r="P94" s="467">
        <f t="shared" si="85"/>
        <v>21000</v>
      </c>
      <c r="Q94" s="467">
        <f t="shared" si="86"/>
        <v>33000</v>
      </c>
      <c r="R94" s="467">
        <f t="shared" si="87"/>
        <v>75000</v>
      </c>
      <c r="S94" s="467">
        <f t="shared" si="88"/>
        <v>95000</v>
      </c>
      <c r="T94" s="467">
        <f t="shared" si="89"/>
        <v>251357.628480001</v>
      </c>
      <c r="U94" s="467"/>
      <c r="V94" s="467">
        <f t="shared" si="91"/>
        <v>475357.628480001</v>
      </c>
      <c r="W94" s="474">
        <v>12</v>
      </c>
      <c r="X94" s="467">
        <f t="shared" si="92"/>
        <v>39613.1357066667</v>
      </c>
      <c r="Y94" s="470"/>
      <c r="Z94" s="467">
        <f t="shared" si="93"/>
        <v>39613.1357066667</v>
      </c>
      <c r="AA94" s="467">
        <v>33825.9865626667</v>
      </c>
      <c r="AB94" s="479">
        <f t="shared" si="94"/>
        <v>5787.14914400001</v>
      </c>
      <c r="AC94" s="479" t="s">
        <v>169</v>
      </c>
      <c r="AD94" s="479"/>
      <c r="AE94" s="479"/>
    </row>
    <row r="95" ht="17.5" spans="1:31">
      <c r="A95" s="464"/>
      <c r="B95" s="20"/>
      <c r="C95" s="467"/>
      <c r="D95" s="466"/>
      <c r="E95" s="467"/>
      <c r="F95" s="467"/>
      <c r="G95" s="470"/>
      <c r="H95" s="470"/>
      <c r="I95" s="467"/>
      <c r="J95" s="467"/>
      <c r="K95" s="467"/>
      <c r="L95" s="467"/>
      <c r="M95" s="467"/>
      <c r="N95" s="467"/>
      <c r="O95" s="467"/>
      <c r="P95" s="467"/>
      <c r="Q95" s="467"/>
      <c r="R95" s="467"/>
      <c r="S95" s="467"/>
      <c r="T95" s="467"/>
      <c r="U95" s="467"/>
      <c r="V95" s="467"/>
      <c r="W95" s="474"/>
      <c r="X95" s="467"/>
      <c r="Y95" s="470"/>
      <c r="Z95" s="467"/>
      <c r="AA95" s="479"/>
      <c r="AB95" s="479"/>
      <c r="AC95" s="479"/>
      <c r="AD95" s="479"/>
      <c r="AE95" s="479"/>
    </row>
    <row r="96" ht="17.5" spans="1:31">
      <c r="A96" s="464"/>
      <c r="B96" s="22"/>
      <c r="C96" s="467"/>
      <c r="D96" s="466"/>
      <c r="E96" s="467"/>
      <c r="F96" s="467"/>
      <c r="G96" s="470"/>
      <c r="H96" s="470"/>
      <c r="I96" s="467"/>
      <c r="J96" s="467"/>
      <c r="K96" s="467"/>
      <c r="L96" s="467"/>
      <c r="M96" s="467"/>
      <c r="N96" s="467"/>
      <c r="O96" s="467"/>
      <c r="P96" s="467"/>
      <c r="Q96" s="467"/>
      <c r="R96" s="467"/>
      <c r="S96" s="467"/>
      <c r="T96" s="467"/>
      <c r="U96" s="467"/>
      <c r="V96" s="467"/>
      <c r="W96" s="474"/>
      <c r="X96" s="467"/>
      <c r="Y96" s="470"/>
      <c r="Z96" s="467"/>
      <c r="AA96" s="479"/>
      <c r="AB96" s="479"/>
      <c r="AC96" s="479"/>
      <c r="AD96" s="479"/>
      <c r="AE96" s="479"/>
    </row>
    <row r="97" ht="17.5" spans="1:31">
      <c r="A97" s="464">
        <v>78</v>
      </c>
      <c r="B97" s="20" t="s">
        <v>172</v>
      </c>
      <c r="C97" s="467"/>
      <c r="AC97" s="479"/>
      <c r="AD97" s="479"/>
      <c r="AE97" s="479"/>
    </row>
    <row r="98" ht="18" spans="1:31">
      <c r="A98" s="464">
        <v>79</v>
      </c>
      <c r="B98" s="14" t="s">
        <v>173</v>
      </c>
      <c r="C98" s="467">
        <v>1452042.67</v>
      </c>
      <c r="D98" s="466">
        <v>12</v>
      </c>
      <c r="E98" s="467">
        <f t="shared" ref="E98:E101" si="95">C98*D98</f>
        <v>17424512.04</v>
      </c>
      <c r="F98" s="467">
        <f>'[6]JANUARY 2024'!$V$98*12</f>
        <v>12795.951</v>
      </c>
      <c r="G98" s="468">
        <f>(0.08*1352042.67)*12</f>
        <v>1297960.9632</v>
      </c>
      <c r="H98" s="470"/>
      <c r="I98" s="467">
        <f t="shared" ref="I98:I101" si="96">E98-F98-G98-H98</f>
        <v>16113755.1258</v>
      </c>
      <c r="J98" s="467">
        <v>200000</v>
      </c>
      <c r="K98" s="467">
        <v>0.2</v>
      </c>
      <c r="L98" s="467">
        <f t="shared" ref="L98:L101" si="97">I98*K98</f>
        <v>3222751.02516</v>
      </c>
      <c r="M98" s="467">
        <f t="shared" ref="M98:M101" si="98">J98+L98</f>
        <v>3422751.02516</v>
      </c>
      <c r="N98" s="467">
        <f t="shared" ref="N98:N101" si="99">F98+G98+H98+M98</f>
        <v>4733507.93936</v>
      </c>
      <c r="O98" s="467">
        <f t="shared" ref="O98:O101" si="100">E98-N98</f>
        <v>12691004.10064</v>
      </c>
      <c r="P98" s="467">
        <f t="shared" ref="P98:P101" si="101">IF(O98&lt;300000,0.07*O98,21000)</f>
        <v>21000</v>
      </c>
      <c r="Q98" s="467">
        <f t="shared" ref="Q98:Q101" si="102">IF((O98-300000)&lt;0,0,IF((O98-300000)&lt;300000,0.11*(O98-300000),33000))</f>
        <v>33000</v>
      </c>
      <c r="R98" s="467">
        <f t="shared" ref="R98:R101" si="103">IF((O98-600000)&lt;0,0,IF((O98-600000)&lt;500000,0.15*(O98-600000),75000))</f>
        <v>75000</v>
      </c>
      <c r="S98" s="467">
        <f t="shared" ref="S98:S101" si="104">IF((O98-1100000)&lt;0,0,IF((O98-1100000)&lt;500000,0.19*(O98-1100000),95000))</f>
        <v>95000</v>
      </c>
      <c r="T98" s="467">
        <f t="shared" ref="T98:T101" si="105">IF((O98-1600000)&lt;0,0,IF((O98-1600000)&lt;1600000,0.21*(O98-1600000),336000))</f>
        <v>336000</v>
      </c>
      <c r="U98" s="467">
        <f t="shared" ref="U98:U100" si="106">24%*(O98-3200000)</f>
        <v>2277840.9841536</v>
      </c>
      <c r="V98" s="467">
        <f t="shared" ref="V98:V101" si="107">P98+Q98+R98+S98+T98+U98</f>
        <v>2837840.9841536</v>
      </c>
      <c r="W98" s="474">
        <v>12</v>
      </c>
      <c r="X98" s="467">
        <f t="shared" ref="X98:X101" si="108">V98/W98</f>
        <v>236486.748679467</v>
      </c>
      <c r="Y98" s="470"/>
      <c r="Z98" s="467">
        <f t="shared" ref="Z98:Z101" si="109">X98</f>
        <v>236486.748679467</v>
      </c>
      <c r="AA98" s="479">
        <v>82423.2162026667</v>
      </c>
      <c r="AB98" s="479">
        <f t="shared" ref="AB98:AB101" si="110">Z98-AA98</f>
        <v>154063.5324768</v>
      </c>
      <c r="AC98" s="479" t="s">
        <v>173</v>
      </c>
      <c r="AD98" s="479"/>
      <c r="AE98" s="479"/>
    </row>
    <row r="99" ht="18" spans="1:31">
      <c r="A99" s="464">
        <v>80</v>
      </c>
      <c r="B99" s="11" t="s">
        <v>176</v>
      </c>
      <c r="C99" s="467">
        <v>526622.25</v>
      </c>
      <c r="D99" s="466">
        <v>12</v>
      </c>
      <c r="E99" s="467">
        <f t="shared" si="95"/>
        <v>6319467</v>
      </c>
      <c r="F99" s="467"/>
      <c r="G99" s="468">
        <v>438357.36</v>
      </c>
      <c r="H99" s="470"/>
      <c r="I99" s="467">
        <f t="shared" si="96"/>
        <v>5881109.64</v>
      </c>
      <c r="J99" s="467">
        <v>200000</v>
      </c>
      <c r="K99" s="467">
        <v>0.2</v>
      </c>
      <c r="L99" s="467">
        <f t="shared" si="97"/>
        <v>1176221.928</v>
      </c>
      <c r="M99" s="467">
        <f t="shared" si="98"/>
        <v>1376221.928</v>
      </c>
      <c r="N99" s="467">
        <f t="shared" si="99"/>
        <v>1814579.288</v>
      </c>
      <c r="O99" s="467">
        <f t="shared" si="100"/>
        <v>4504887.712</v>
      </c>
      <c r="P99" s="467">
        <f t="shared" si="101"/>
        <v>21000</v>
      </c>
      <c r="Q99" s="467">
        <f t="shared" si="102"/>
        <v>33000</v>
      </c>
      <c r="R99" s="467">
        <f t="shared" si="103"/>
        <v>75000</v>
      </c>
      <c r="S99" s="467">
        <f t="shared" si="104"/>
        <v>95000</v>
      </c>
      <c r="T99" s="467">
        <f t="shared" si="105"/>
        <v>336000</v>
      </c>
      <c r="U99" s="467">
        <f t="shared" si="106"/>
        <v>313173.05088</v>
      </c>
      <c r="V99" s="467">
        <f t="shared" si="107"/>
        <v>873173.05088</v>
      </c>
      <c r="W99" s="474">
        <v>12</v>
      </c>
      <c r="X99" s="467">
        <f t="shared" si="108"/>
        <v>72764.4209066667</v>
      </c>
      <c r="Y99" s="470"/>
      <c r="Z99" s="467">
        <f t="shared" si="109"/>
        <v>72764.4209066667</v>
      </c>
      <c r="AA99" s="479">
        <v>82627.9514186667</v>
      </c>
      <c r="AB99" s="479">
        <f t="shared" si="110"/>
        <v>-9863.53051200004</v>
      </c>
      <c r="AC99" s="479" t="s">
        <v>176</v>
      </c>
      <c r="AD99" s="479"/>
      <c r="AE99" s="479"/>
    </row>
    <row r="100" ht="18" spans="1:31">
      <c r="A100" s="464">
        <v>81</v>
      </c>
      <c r="B100" s="11" t="s">
        <v>180</v>
      </c>
      <c r="C100" s="467">
        <v>437895.166666667</v>
      </c>
      <c r="D100" s="466">
        <v>12</v>
      </c>
      <c r="E100" s="467">
        <f t="shared" si="95"/>
        <v>5254742</v>
      </c>
      <c r="F100" s="467"/>
      <c r="G100" s="468">
        <v>362779.36</v>
      </c>
      <c r="H100" s="470"/>
      <c r="I100" s="467">
        <f t="shared" si="96"/>
        <v>4891962.64</v>
      </c>
      <c r="J100" s="467">
        <v>200000</v>
      </c>
      <c r="K100" s="467">
        <v>0.2</v>
      </c>
      <c r="L100" s="467">
        <f t="shared" si="97"/>
        <v>978392.528000001</v>
      </c>
      <c r="M100" s="467">
        <f t="shared" si="98"/>
        <v>1178392.528</v>
      </c>
      <c r="N100" s="467">
        <f t="shared" si="99"/>
        <v>1541171.888</v>
      </c>
      <c r="O100" s="467">
        <f t="shared" si="100"/>
        <v>3713570.112</v>
      </c>
      <c r="P100" s="467">
        <f t="shared" si="101"/>
        <v>21000</v>
      </c>
      <c r="Q100" s="467">
        <f t="shared" si="102"/>
        <v>33000</v>
      </c>
      <c r="R100" s="467">
        <f t="shared" si="103"/>
        <v>75000</v>
      </c>
      <c r="S100" s="467">
        <f t="shared" si="104"/>
        <v>95000</v>
      </c>
      <c r="T100" s="467">
        <f t="shared" si="105"/>
        <v>336000</v>
      </c>
      <c r="U100" s="467">
        <f t="shared" si="106"/>
        <v>123256.826880001</v>
      </c>
      <c r="V100" s="467">
        <f t="shared" si="107"/>
        <v>683256.826880001</v>
      </c>
      <c r="W100" s="474">
        <v>12</v>
      </c>
      <c r="X100" s="467">
        <f t="shared" si="108"/>
        <v>56938.0689066667</v>
      </c>
      <c r="Y100" s="470"/>
      <c r="Z100" s="467">
        <f t="shared" si="109"/>
        <v>56938.0689066667</v>
      </c>
      <c r="AA100" s="479">
        <v>43492.3733766667</v>
      </c>
      <c r="AB100" s="479">
        <f t="shared" si="110"/>
        <v>13445.69553</v>
      </c>
      <c r="AC100" s="479" t="s">
        <v>180</v>
      </c>
      <c r="AD100" s="479"/>
      <c r="AE100" s="479"/>
    </row>
    <row r="101" ht="18" spans="1:31">
      <c r="A101" s="464"/>
      <c r="B101" s="11" t="s">
        <v>182</v>
      </c>
      <c r="C101" s="467">
        <v>360965.583333333</v>
      </c>
      <c r="D101" s="466">
        <v>12</v>
      </c>
      <c r="E101" s="467">
        <f t="shared" si="95"/>
        <v>4331587</v>
      </c>
      <c r="F101" s="467"/>
      <c r="G101" s="468">
        <v>288926.96</v>
      </c>
      <c r="H101" s="470"/>
      <c r="I101" s="467">
        <f t="shared" si="96"/>
        <v>4042660.04</v>
      </c>
      <c r="J101" s="467">
        <v>200000</v>
      </c>
      <c r="K101" s="467">
        <v>0.2</v>
      </c>
      <c r="L101" s="467">
        <f t="shared" si="97"/>
        <v>808532.007999999</v>
      </c>
      <c r="M101" s="467">
        <f t="shared" si="98"/>
        <v>1008532.008</v>
      </c>
      <c r="N101" s="467">
        <f t="shared" si="99"/>
        <v>1297458.968</v>
      </c>
      <c r="O101" s="467">
        <f t="shared" si="100"/>
        <v>3034128.032</v>
      </c>
      <c r="P101" s="467">
        <f t="shared" si="101"/>
        <v>21000</v>
      </c>
      <c r="Q101" s="467">
        <f t="shared" si="102"/>
        <v>33000</v>
      </c>
      <c r="R101" s="467">
        <f t="shared" si="103"/>
        <v>75000</v>
      </c>
      <c r="S101" s="467">
        <f t="shared" si="104"/>
        <v>95000</v>
      </c>
      <c r="T101" s="467">
        <f t="shared" si="105"/>
        <v>301166.886719999</v>
      </c>
      <c r="U101" s="467"/>
      <c r="V101" s="467">
        <f t="shared" si="107"/>
        <v>525166.886719999</v>
      </c>
      <c r="W101" s="474">
        <v>12</v>
      </c>
      <c r="X101" s="467">
        <f t="shared" si="108"/>
        <v>43763.9072266666</v>
      </c>
      <c r="Y101" s="470"/>
      <c r="Z101" s="467">
        <f t="shared" si="109"/>
        <v>43763.9072266666</v>
      </c>
      <c r="AA101" s="479">
        <v>34968.8824146667</v>
      </c>
      <c r="AB101" s="479">
        <f t="shared" si="110"/>
        <v>8795.02481199991</v>
      </c>
      <c r="AC101" s="479" t="s">
        <v>182</v>
      </c>
      <c r="AD101" s="479"/>
      <c r="AE101" s="479"/>
    </row>
    <row r="102" ht="17.5" spans="1:31">
      <c r="A102" s="464"/>
      <c r="B102" s="20" t="s">
        <v>96</v>
      </c>
      <c r="C102" s="467"/>
      <c r="D102" s="466"/>
      <c r="E102" s="467"/>
      <c r="F102" s="467"/>
      <c r="G102" s="470">
        <v>0</v>
      </c>
      <c r="H102" s="470"/>
      <c r="I102" s="467"/>
      <c r="J102" s="467"/>
      <c r="K102" s="467"/>
      <c r="L102" s="467"/>
      <c r="M102" s="467"/>
      <c r="N102" s="467"/>
      <c r="O102" s="467"/>
      <c r="P102" s="467"/>
      <c r="Q102" s="467"/>
      <c r="R102" s="467"/>
      <c r="S102" s="467"/>
      <c r="T102" s="467"/>
      <c r="U102" s="467"/>
      <c r="V102" s="467"/>
      <c r="W102" s="474"/>
      <c r="X102" s="467"/>
      <c r="Y102" s="470"/>
      <c r="Z102" s="467"/>
      <c r="AA102" s="479"/>
      <c r="AB102" s="479"/>
      <c r="AC102" s="479"/>
      <c r="AD102" s="479"/>
      <c r="AE102" s="479"/>
    </row>
    <row r="103" ht="17.5" spans="1:31">
      <c r="A103" s="464">
        <v>83</v>
      </c>
      <c r="B103" s="22"/>
      <c r="C103" s="467"/>
      <c r="G103" s="296">
        <v>0</v>
      </c>
      <c r="AC103" s="479"/>
      <c r="AD103" s="479"/>
      <c r="AE103" s="479"/>
    </row>
    <row r="104" ht="35" spans="1:31">
      <c r="A104" s="464">
        <v>84</v>
      </c>
      <c r="B104" s="20" t="s">
        <v>184</v>
      </c>
      <c r="C104" s="467"/>
      <c r="G104" s="296">
        <v>0</v>
      </c>
      <c r="AB104" s="296" t="s">
        <v>518</v>
      </c>
      <c r="AC104" s="479"/>
      <c r="AD104" s="479"/>
      <c r="AE104" s="479"/>
    </row>
    <row r="105" ht="18" spans="1:31">
      <c r="A105" s="464">
        <v>85</v>
      </c>
      <c r="B105" s="11" t="s">
        <v>185</v>
      </c>
      <c r="C105" s="467">
        <v>1635720</v>
      </c>
      <c r="D105" s="466">
        <v>12</v>
      </c>
      <c r="E105" s="467">
        <f t="shared" ref="E105:E111" si="111">C105*D105</f>
        <v>19628640</v>
      </c>
      <c r="F105" s="467"/>
      <c r="G105" s="468">
        <v>1378291.2</v>
      </c>
      <c r="H105" s="470"/>
      <c r="I105" s="467">
        <f t="shared" ref="I105:I110" si="112">E105-F105-G105-H105</f>
        <v>18250348.8</v>
      </c>
      <c r="J105" s="467">
        <v>200000</v>
      </c>
      <c r="K105" s="467">
        <v>0.2</v>
      </c>
      <c r="L105" s="467">
        <f t="shared" ref="L105:L111" si="113">I105*K105</f>
        <v>3650069.76</v>
      </c>
      <c r="M105" s="467">
        <f t="shared" ref="M105:M111" si="114">J105+L105</f>
        <v>3850069.76</v>
      </c>
      <c r="N105" s="467">
        <f t="shared" ref="N105:N110" si="115">F105+G105+H105+M105</f>
        <v>5228360.96</v>
      </c>
      <c r="O105" s="467">
        <f t="shared" ref="O105:O111" si="116">E105-N105</f>
        <v>14400279.04</v>
      </c>
      <c r="P105" s="467">
        <f t="shared" ref="P105:P111" si="117">IF(O105&lt;300000,0.07*O105,21000)</f>
        <v>21000</v>
      </c>
      <c r="Q105" s="467">
        <f t="shared" ref="Q105:Q111" si="118">IF((O105-300000)&lt;0,0,IF((O105-300000)&lt;300000,0.11*(O105-300000),33000))</f>
        <v>33000</v>
      </c>
      <c r="R105" s="467">
        <f t="shared" ref="R105:R111" si="119">IF((O105-600000)&lt;0,0,IF((O105-600000)&lt;500000,0.15*(O105-600000),75000))</f>
        <v>75000</v>
      </c>
      <c r="S105" s="467">
        <f t="shared" ref="S105:S111" si="120">IF((O105-1100000)&lt;0,0,IF((O105-1100000)&lt;500000,0.19*(O105-1100000),95000))</f>
        <v>95000</v>
      </c>
      <c r="T105" s="467">
        <f t="shared" ref="T105:T111" si="121">IF((O105-1600000)&lt;0,0,IF((O105-1600000)&lt;1600000,0.21*(O105-1600000),336000))</f>
        <v>336000</v>
      </c>
      <c r="U105" s="467">
        <f t="shared" ref="U105:U107" si="122">24%*(O105-3200000)</f>
        <v>2688066.9696</v>
      </c>
      <c r="V105" s="467">
        <f t="shared" ref="V105:V111" si="123">P105+Q105+R105+S105+T105+U105</f>
        <v>3248066.9696</v>
      </c>
      <c r="W105" s="474">
        <v>12</v>
      </c>
      <c r="X105" s="467">
        <f t="shared" ref="X105:X111" si="124">V105/W105</f>
        <v>270672.247466667</v>
      </c>
      <c r="Y105" s="470"/>
      <c r="Z105" s="467">
        <f t="shared" ref="Z105:Z111" si="125">X105</f>
        <v>270672.247466667</v>
      </c>
      <c r="AA105" s="479">
        <v>180306.806858667</v>
      </c>
      <c r="AB105" s="479">
        <f t="shared" ref="AB105:AB111" si="126">Z105-AA105</f>
        <v>90365.4406079996</v>
      </c>
      <c r="AC105" s="479" t="s">
        <v>185</v>
      </c>
      <c r="AD105" s="479"/>
      <c r="AE105" s="479"/>
    </row>
    <row r="106" ht="18" spans="1:31">
      <c r="A106" s="464">
        <v>86</v>
      </c>
      <c r="B106" s="11" t="s">
        <v>187</v>
      </c>
      <c r="C106" s="467">
        <v>942373.166666667</v>
      </c>
      <c r="D106" s="466">
        <v>12</v>
      </c>
      <c r="E106" s="467">
        <f t="shared" si="111"/>
        <v>11308478</v>
      </c>
      <c r="F106" s="467">
        <f>'[6]JANUARY 2024'!$V$106*12</f>
        <v>12795.951</v>
      </c>
      <c r="G106" s="468">
        <v>731878.24</v>
      </c>
      <c r="H106" s="470"/>
      <c r="I106" s="467">
        <f t="shared" si="112"/>
        <v>10563803.809</v>
      </c>
      <c r="J106" s="467">
        <v>200000</v>
      </c>
      <c r="K106" s="467">
        <v>0.2</v>
      </c>
      <c r="L106" s="467">
        <f t="shared" si="113"/>
        <v>2112760.7618</v>
      </c>
      <c r="M106" s="467">
        <f t="shared" si="114"/>
        <v>2312760.7618</v>
      </c>
      <c r="N106" s="467">
        <f t="shared" si="115"/>
        <v>3057434.9528</v>
      </c>
      <c r="O106" s="467">
        <f t="shared" si="116"/>
        <v>8251043.0472</v>
      </c>
      <c r="P106" s="467">
        <f t="shared" si="117"/>
        <v>21000</v>
      </c>
      <c r="Q106" s="467">
        <f t="shared" si="118"/>
        <v>33000</v>
      </c>
      <c r="R106" s="467">
        <f t="shared" si="119"/>
        <v>75000</v>
      </c>
      <c r="S106" s="467">
        <f t="shared" si="120"/>
        <v>95000</v>
      </c>
      <c r="T106" s="467">
        <f t="shared" si="121"/>
        <v>336000</v>
      </c>
      <c r="U106" s="467">
        <f t="shared" si="122"/>
        <v>1212250.331328</v>
      </c>
      <c r="V106" s="467">
        <f t="shared" si="123"/>
        <v>1772250.331328</v>
      </c>
      <c r="W106" s="474">
        <v>12</v>
      </c>
      <c r="X106" s="467">
        <f t="shared" si="124"/>
        <v>147687.527610667</v>
      </c>
      <c r="Y106" s="470"/>
      <c r="Z106" s="467">
        <f t="shared" si="125"/>
        <v>147687.527610667</v>
      </c>
      <c r="AA106" s="479">
        <v>99703.2162026667</v>
      </c>
      <c r="AB106" s="479">
        <f t="shared" si="126"/>
        <v>47984.311408</v>
      </c>
      <c r="AC106" s="479" t="s">
        <v>187</v>
      </c>
      <c r="AD106" s="479"/>
      <c r="AE106" s="479"/>
    </row>
    <row r="107" ht="18" spans="1:31">
      <c r="A107" s="464">
        <v>87</v>
      </c>
      <c r="B107" s="11" t="s">
        <v>190</v>
      </c>
      <c r="C107" s="467">
        <v>603237.855191667</v>
      </c>
      <c r="D107" s="466">
        <v>12</v>
      </c>
      <c r="E107" s="467">
        <f t="shared" si="111"/>
        <v>7238854.2623</v>
      </c>
      <c r="F107" s="467">
        <f>'[6]JANUARY 2024'!$V$107*12</f>
        <v>7901.79</v>
      </c>
      <c r="G107" s="468">
        <v>424132.72</v>
      </c>
      <c r="H107" s="470"/>
      <c r="I107" s="467">
        <f t="shared" si="112"/>
        <v>6806819.7523</v>
      </c>
      <c r="J107" s="467">
        <v>200000</v>
      </c>
      <c r="K107" s="467">
        <v>0.2</v>
      </c>
      <c r="L107" s="467">
        <f t="shared" si="113"/>
        <v>1361363.95046</v>
      </c>
      <c r="M107" s="467">
        <f t="shared" si="114"/>
        <v>1561363.95046</v>
      </c>
      <c r="N107" s="467">
        <f t="shared" si="115"/>
        <v>1993398.46046</v>
      </c>
      <c r="O107" s="467">
        <f t="shared" si="116"/>
        <v>5245455.80184</v>
      </c>
      <c r="P107" s="467">
        <f t="shared" si="117"/>
        <v>21000</v>
      </c>
      <c r="Q107" s="467">
        <f t="shared" si="118"/>
        <v>33000</v>
      </c>
      <c r="R107" s="467">
        <f t="shared" si="119"/>
        <v>75000</v>
      </c>
      <c r="S107" s="467">
        <f t="shared" si="120"/>
        <v>95000</v>
      </c>
      <c r="T107" s="467">
        <f t="shared" si="121"/>
        <v>336000</v>
      </c>
      <c r="U107" s="467">
        <f t="shared" si="122"/>
        <v>490909.392441601</v>
      </c>
      <c r="V107" s="467">
        <f t="shared" si="123"/>
        <v>1050909.3924416</v>
      </c>
      <c r="W107" s="474">
        <v>12</v>
      </c>
      <c r="X107" s="467">
        <f t="shared" si="124"/>
        <v>87575.7827034667</v>
      </c>
      <c r="Y107" s="470"/>
      <c r="Z107" s="467">
        <f t="shared" si="125"/>
        <v>87575.7827034667</v>
      </c>
      <c r="AA107" s="479">
        <v>180180.378218667</v>
      </c>
      <c r="AB107" s="479">
        <f t="shared" si="126"/>
        <v>-92604.5955152003</v>
      </c>
      <c r="AC107" s="479" t="s">
        <v>190</v>
      </c>
      <c r="AD107" s="479"/>
      <c r="AE107" s="479"/>
    </row>
    <row r="108" ht="18" spans="1:31">
      <c r="A108" s="464">
        <v>88</v>
      </c>
      <c r="B108" s="11" t="s">
        <v>193</v>
      </c>
      <c r="C108" s="467">
        <v>601625.033321667</v>
      </c>
      <c r="D108" s="466">
        <v>12</v>
      </c>
      <c r="E108" s="467">
        <f t="shared" si="111"/>
        <v>7219500.39986</v>
      </c>
      <c r="F108" s="467"/>
      <c r="G108" s="468">
        <v>424132.72</v>
      </c>
      <c r="H108" s="470"/>
      <c r="I108" s="467">
        <f t="shared" si="112"/>
        <v>6795367.67986</v>
      </c>
      <c r="J108" s="467">
        <v>200000</v>
      </c>
      <c r="K108" s="467">
        <v>0.2</v>
      </c>
      <c r="L108" s="467">
        <f t="shared" si="113"/>
        <v>1359073.535972</v>
      </c>
      <c r="M108" s="467">
        <f t="shared" si="114"/>
        <v>1559073.535972</v>
      </c>
      <c r="N108" s="467">
        <f t="shared" si="115"/>
        <v>1983206.255972</v>
      </c>
      <c r="O108" s="467">
        <f t="shared" si="116"/>
        <v>5236294.143888</v>
      </c>
      <c r="P108" s="467">
        <f t="shared" si="117"/>
        <v>21000</v>
      </c>
      <c r="Q108" s="467">
        <f t="shared" si="118"/>
        <v>33000</v>
      </c>
      <c r="R108" s="467">
        <f t="shared" si="119"/>
        <v>75000</v>
      </c>
      <c r="S108" s="467">
        <f t="shared" si="120"/>
        <v>95000</v>
      </c>
      <c r="T108" s="467">
        <f t="shared" si="121"/>
        <v>336000</v>
      </c>
      <c r="U108" s="467">
        <f>0.24*(O108-3200000)</f>
        <v>488710.594533121</v>
      </c>
      <c r="V108" s="467">
        <f t="shared" si="123"/>
        <v>1048710.59453312</v>
      </c>
      <c r="W108" s="474">
        <v>12</v>
      </c>
      <c r="X108" s="467">
        <f t="shared" si="124"/>
        <v>87392.5495444267</v>
      </c>
      <c r="Y108" s="470"/>
      <c r="Z108" s="467">
        <f t="shared" si="125"/>
        <v>87392.5495444267</v>
      </c>
      <c r="AA108" s="479">
        <v>99907.9514186667</v>
      </c>
      <c r="AB108" s="479">
        <f t="shared" si="126"/>
        <v>-12515.40187424</v>
      </c>
      <c r="AC108" s="479" t="s">
        <v>193</v>
      </c>
      <c r="AD108" s="479"/>
      <c r="AE108" s="479"/>
    </row>
    <row r="109" ht="18" spans="1:31">
      <c r="A109" s="464">
        <v>89</v>
      </c>
      <c r="B109" s="11" t="s">
        <v>194</v>
      </c>
      <c r="C109" s="467">
        <v>374481.864146667</v>
      </c>
      <c r="D109" s="466">
        <v>12</v>
      </c>
      <c r="E109" s="467">
        <f t="shared" si="111"/>
        <v>4493782.36976</v>
      </c>
      <c r="F109" s="467"/>
      <c r="G109" s="468">
        <v>239182.48</v>
      </c>
      <c r="H109" s="470"/>
      <c r="I109" s="467">
        <f t="shared" si="112"/>
        <v>4254599.88976</v>
      </c>
      <c r="J109" s="467">
        <v>200000</v>
      </c>
      <c r="K109" s="467">
        <v>0.2</v>
      </c>
      <c r="L109" s="467">
        <f t="shared" si="113"/>
        <v>850919.977952001</v>
      </c>
      <c r="M109" s="467">
        <f t="shared" si="114"/>
        <v>1050919.977952</v>
      </c>
      <c r="N109" s="467">
        <f t="shared" si="115"/>
        <v>1290102.457952</v>
      </c>
      <c r="O109" s="467">
        <f t="shared" si="116"/>
        <v>3203679.911808</v>
      </c>
      <c r="P109" s="467">
        <f t="shared" si="117"/>
        <v>21000</v>
      </c>
      <c r="Q109" s="467">
        <f t="shared" si="118"/>
        <v>33000</v>
      </c>
      <c r="R109" s="467">
        <f t="shared" si="119"/>
        <v>75000</v>
      </c>
      <c r="S109" s="467">
        <f t="shared" si="120"/>
        <v>95000</v>
      </c>
      <c r="T109" s="467">
        <f t="shared" si="121"/>
        <v>336000</v>
      </c>
      <c r="U109" s="467">
        <f>0.24*(O109-3200000)</f>
        <v>883.178833920769</v>
      </c>
      <c r="V109" s="467">
        <f t="shared" si="123"/>
        <v>560883.178833921</v>
      </c>
      <c r="W109" s="474">
        <v>12</v>
      </c>
      <c r="X109" s="467">
        <f t="shared" si="124"/>
        <v>46740.2649028267</v>
      </c>
      <c r="Y109" s="470"/>
      <c r="Z109" s="467">
        <f t="shared" si="125"/>
        <v>46740.2649028267</v>
      </c>
      <c r="AA109" s="479">
        <v>58941.1017434667</v>
      </c>
      <c r="AB109" s="479">
        <f t="shared" si="126"/>
        <v>-12200.83684064</v>
      </c>
      <c r="AC109" s="479" t="s">
        <v>194</v>
      </c>
      <c r="AD109" s="479"/>
      <c r="AE109" s="479"/>
    </row>
    <row r="110" ht="36" spans="1:31">
      <c r="A110" s="464"/>
      <c r="B110" s="18" t="s">
        <v>197</v>
      </c>
      <c r="C110" s="467">
        <v>367926.021</v>
      </c>
      <c r="D110" s="466">
        <v>12</v>
      </c>
      <c r="E110" s="467">
        <f t="shared" si="111"/>
        <v>4415112.252</v>
      </c>
      <c r="F110" s="467"/>
      <c r="G110" s="468">
        <v>233257.2</v>
      </c>
      <c r="H110" s="470"/>
      <c r="I110" s="467">
        <f t="shared" si="112"/>
        <v>4181855.052</v>
      </c>
      <c r="J110" s="467">
        <v>200000</v>
      </c>
      <c r="K110" s="467">
        <v>0.2</v>
      </c>
      <c r="L110" s="467">
        <f t="shared" si="113"/>
        <v>836371.0104</v>
      </c>
      <c r="M110" s="467">
        <f t="shared" si="114"/>
        <v>1036371.0104</v>
      </c>
      <c r="N110" s="467">
        <f t="shared" si="115"/>
        <v>1269628.2104</v>
      </c>
      <c r="O110" s="467">
        <f t="shared" si="116"/>
        <v>3145484.0416</v>
      </c>
      <c r="P110" s="467">
        <f t="shared" si="117"/>
        <v>21000</v>
      </c>
      <c r="Q110" s="467">
        <f t="shared" si="118"/>
        <v>33000</v>
      </c>
      <c r="R110" s="467">
        <f t="shared" si="119"/>
        <v>75000</v>
      </c>
      <c r="S110" s="467">
        <f t="shared" si="120"/>
        <v>95000</v>
      </c>
      <c r="T110" s="467">
        <f t="shared" si="121"/>
        <v>324551.648736</v>
      </c>
      <c r="U110" s="467"/>
      <c r="V110" s="467">
        <f t="shared" si="123"/>
        <v>548551.648736</v>
      </c>
      <c r="W110" s="474">
        <v>12</v>
      </c>
      <c r="X110" s="467">
        <f t="shared" si="124"/>
        <v>45712.6373946667</v>
      </c>
      <c r="Y110" s="470"/>
      <c r="Z110" s="467">
        <f t="shared" si="125"/>
        <v>45712.6373946667</v>
      </c>
      <c r="AA110" s="479">
        <v>58631.4399444267</v>
      </c>
      <c r="AB110" s="479">
        <f t="shared" si="126"/>
        <v>-12918.80254976</v>
      </c>
      <c r="AC110" s="479" t="s">
        <v>197</v>
      </c>
      <c r="AD110" s="479"/>
      <c r="AE110" s="479"/>
    </row>
    <row r="111" ht="18" spans="1:31">
      <c r="A111" s="464"/>
      <c r="B111" s="18" t="s">
        <v>199</v>
      </c>
      <c r="C111" s="467">
        <v>355198.112111667</v>
      </c>
      <c r="D111" s="466">
        <v>12</v>
      </c>
      <c r="E111" s="467">
        <f t="shared" si="111"/>
        <v>4262377.34534</v>
      </c>
      <c r="G111" s="468">
        <v>221406.64</v>
      </c>
      <c r="H111" s="470"/>
      <c r="I111" s="467">
        <f>E111-F112-G111-H111</f>
        <v>4040970.70534</v>
      </c>
      <c r="J111" s="467">
        <v>200000</v>
      </c>
      <c r="K111" s="467">
        <v>0.2</v>
      </c>
      <c r="L111" s="467">
        <f t="shared" si="113"/>
        <v>808194.141068001</v>
      </c>
      <c r="M111" s="467">
        <f t="shared" si="114"/>
        <v>1008194.141068</v>
      </c>
      <c r="N111" s="467">
        <f>F112+G111+H111+M111</f>
        <v>1229600.781068</v>
      </c>
      <c r="O111" s="467">
        <f t="shared" si="116"/>
        <v>3032776.564272</v>
      </c>
      <c r="P111" s="467">
        <f t="shared" si="117"/>
        <v>21000</v>
      </c>
      <c r="Q111" s="467">
        <f t="shared" si="118"/>
        <v>33000</v>
      </c>
      <c r="R111" s="467">
        <f t="shared" si="119"/>
        <v>75000</v>
      </c>
      <c r="S111" s="467">
        <f t="shared" si="120"/>
        <v>95000</v>
      </c>
      <c r="T111" s="467">
        <f t="shared" si="121"/>
        <v>300883.078497121</v>
      </c>
      <c r="U111" s="467"/>
      <c r="V111" s="467">
        <f t="shared" si="123"/>
        <v>524883.078497121</v>
      </c>
      <c r="W111" s="474">
        <v>12</v>
      </c>
      <c r="X111" s="467">
        <f t="shared" si="124"/>
        <v>43740.2565414267</v>
      </c>
      <c r="Y111" s="470"/>
      <c r="Z111" s="467">
        <f t="shared" si="125"/>
        <v>43740.2565414267</v>
      </c>
      <c r="AA111" s="479">
        <v>31871.3352033067</v>
      </c>
      <c r="AB111" s="479">
        <f t="shared" si="126"/>
        <v>11868.92133812</v>
      </c>
      <c r="AC111" s="479" t="s">
        <v>199</v>
      </c>
      <c r="AD111" s="479"/>
      <c r="AE111" s="479"/>
    </row>
    <row r="112" ht="17.5" spans="1:31">
      <c r="A112" s="464"/>
      <c r="B112" s="20" t="s">
        <v>96</v>
      </c>
      <c r="C112" s="467"/>
      <c r="D112" s="466"/>
      <c r="E112" s="467"/>
      <c r="F112" s="467"/>
      <c r="G112" s="468"/>
      <c r="H112" s="470"/>
      <c r="I112" s="467"/>
      <c r="J112" s="467"/>
      <c r="K112" s="467"/>
      <c r="L112" s="467"/>
      <c r="M112" s="467"/>
      <c r="N112" s="467"/>
      <c r="O112" s="467"/>
      <c r="P112" s="467"/>
      <c r="Q112" s="467"/>
      <c r="R112" s="467"/>
      <c r="S112" s="467"/>
      <c r="T112" s="467"/>
      <c r="U112" s="467"/>
      <c r="V112" s="467"/>
      <c r="W112" s="474"/>
      <c r="X112" s="467"/>
      <c r="Y112" s="470"/>
      <c r="Z112" s="467"/>
      <c r="AA112" s="479"/>
      <c r="AB112" s="479"/>
      <c r="AC112" s="479"/>
      <c r="AD112" s="479"/>
      <c r="AE112" s="479"/>
    </row>
    <row r="113" ht="17.5" spans="1:31">
      <c r="A113" s="464">
        <v>90</v>
      </c>
      <c r="B113" s="20"/>
      <c r="C113" s="467"/>
      <c r="G113" s="468"/>
      <c r="U113" s="467"/>
      <c r="AC113" s="479"/>
      <c r="AD113" s="479"/>
      <c r="AE113" s="479"/>
    </row>
    <row r="114" ht="35" spans="1:31">
      <c r="A114" s="464">
        <v>91</v>
      </c>
      <c r="B114" s="20" t="s">
        <v>200</v>
      </c>
      <c r="C114" s="467"/>
      <c r="G114" s="468"/>
      <c r="U114" s="467"/>
      <c r="AC114" s="479"/>
      <c r="AD114" s="479"/>
      <c r="AE114" s="479"/>
    </row>
    <row r="115" ht="36" spans="1:31">
      <c r="A115" s="464">
        <v>92</v>
      </c>
      <c r="B115" s="14" t="s">
        <v>201</v>
      </c>
      <c r="C115" s="467">
        <v>761396.833333333</v>
      </c>
      <c r="D115" s="466">
        <v>12</v>
      </c>
      <c r="E115" s="467">
        <f t="shared" ref="E115:E117" si="127">C115*D115</f>
        <v>9136762</v>
      </c>
      <c r="F115" s="467">
        <f>'[6]JANUARY 2024'!$V$115*12</f>
        <v>9678.96</v>
      </c>
      <c r="G115" s="468">
        <v>577340.96</v>
      </c>
      <c r="H115" s="470"/>
      <c r="I115" s="467">
        <f t="shared" ref="I115:I117" si="128">E115-F115-G115-H115</f>
        <v>8549742.07999999</v>
      </c>
      <c r="J115" s="467">
        <v>200000</v>
      </c>
      <c r="K115" s="467">
        <v>0.2</v>
      </c>
      <c r="L115" s="467">
        <f t="shared" ref="L115:L117" si="129">I115*K115</f>
        <v>1709948.416</v>
      </c>
      <c r="M115" s="467">
        <f t="shared" ref="M115:M117" si="130">J115+L115</f>
        <v>1909948.416</v>
      </c>
      <c r="N115" s="467">
        <f t="shared" ref="N115:N117" si="131">F115+G115+H115+M115</f>
        <v>2496968.336</v>
      </c>
      <c r="O115" s="467">
        <f t="shared" ref="O115:O117" si="132">E115-N115</f>
        <v>6639793.664</v>
      </c>
      <c r="P115" s="467">
        <f t="shared" ref="P115:P117" si="133">IF(O115&lt;300000,0.07*O115,21000)</f>
        <v>21000</v>
      </c>
      <c r="Q115" s="467">
        <f t="shared" ref="Q115:Q117" si="134">IF((O115-300000)&lt;0,0,IF((O115-300000)&lt;300000,0.11*(O115-300000),33000))</f>
        <v>33000</v>
      </c>
      <c r="R115" s="467">
        <f t="shared" ref="R115:R117" si="135">IF((O115-600000)&lt;0,0,IF((O115-600000)&lt;500000,0.15*(O115-600000),75000))</f>
        <v>75000</v>
      </c>
      <c r="S115" s="467">
        <f t="shared" ref="S115:S117" si="136">IF((O115-1100000)&lt;0,0,IF((O115-1100000)&lt;500000,0.19*(O115-1100000),95000))</f>
        <v>95000</v>
      </c>
      <c r="T115" s="467">
        <f t="shared" ref="T115:T117" si="137">IF((O115-1600000)&lt;0,0,IF((O115-1600000)&lt;1600000,0.21*(O115-1600000),336000))</f>
        <v>336000</v>
      </c>
      <c r="U115" s="467">
        <f t="shared" ref="U115:U117" si="138">0.24*(O115-3200000)</f>
        <v>825550.479359999</v>
      </c>
      <c r="V115" s="467">
        <f t="shared" ref="V115:V117" si="139">P115+Q115+R115+S115+T115+U115</f>
        <v>1385550.47936</v>
      </c>
      <c r="W115" s="474">
        <v>12</v>
      </c>
      <c r="X115" s="467">
        <f t="shared" ref="X115:X117" si="140">V115/W115</f>
        <v>115462.539946667</v>
      </c>
      <c r="Y115" s="470"/>
      <c r="Z115" s="467">
        <f t="shared" ref="Z115:Z117" si="141">X115</f>
        <v>115462.539946667</v>
      </c>
      <c r="AA115" s="479">
        <v>77610.1169066667</v>
      </c>
      <c r="AB115" s="479">
        <f t="shared" ref="AB115:AB117" si="142">Z115-AA115</f>
        <v>37852.4230399999</v>
      </c>
      <c r="AC115" s="479"/>
      <c r="AD115" s="479"/>
      <c r="AE115" s="479"/>
    </row>
    <row r="116" ht="18" spans="1:31">
      <c r="A116" s="464">
        <v>93</v>
      </c>
      <c r="B116" s="11" t="s">
        <v>202</v>
      </c>
      <c r="C116" s="467">
        <v>487895.166666667</v>
      </c>
      <c r="D116" s="466">
        <v>12</v>
      </c>
      <c r="E116" s="467">
        <f t="shared" si="127"/>
        <v>5854742</v>
      </c>
      <c r="F116" s="467"/>
      <c r="G116" s="468">
        <v>362779.36</v>
      </c>
      <c r="H116" s="470"/>
      <c r="I116" s="467">
        <f t="shared" si="128"/>
        <v>5491962.64</v>
      </c>
      <c r="J116" s="467">
        <v>200000</v>
      </c>
      <c r="K116" s="467">
        <v>0.2</v>
      </c>
      <c r="L116" s="467">
        <f t="shared" si="129"/>
        <v>1098392.528</v>
      </c>
      <c r="M116" s="467">
        <f t="shared" si="130"/>
        <v>1298392.528</v>
      </c>
      <c r="N116" s="467">
        <f t="shared" si="131"/>
        <v>1661171.888</v>
      </c>
      <c r="O116" s="467">
        <f t="shared" si="132"/>
        <v>4193570.112</v>
      </c>
      <c r="P116" s="467">
        <f t="shared" si="133"/>
        <v>21000</v>
      </c>
      <c r="Q116" s="467">
        <f t="shared" si="134"/>
        <v>33000</v>
      </c>
      <c r="R116" s="467">
        <f t="shared" si="135"/>
        <v>75000</v>
      </c>
      <c r="S116" s="467">
        <f t="shared" si="136"/>
        <v>95000</v>
      </c>
      <c r="T116" s="467">
        <f t="shared" si="137"/>
        <v>336000</v>
      </c>
      <c r="U116" s="467">
        <f t="shared" si="138"/>
        <v>238456.826880001</v>
      </c>
      <c r="V116" s="467">
        <f t="shared" si="139"/>
        <v>798456.826880001</v>
      </c>
      <c r="W116" s="474">
        <v>12</v>
      </c>
      <c r="X116" s="467">
        <f t="shared" si="140"/>
        <v>66538.0689066667</v>
      </c>
      <c r="Y116" s="470"/>
      <c r="Z116" s="467">
        <f t="shared" si="141"/>
        <v>66538.0689066667</v>
      </c>
      <c r="AA116" s="479">
        <v>43368.8824146667</v>
      </c>
      <c r="AB116" s="479">
        <f t="shared" si="142"/>
        <v>23169.186492</v>
      </c>
      <c r="AC116" s="479"/>
      <c r="AD116" s="479"/>
      <c r="AE116" s="479"/>
    </row>
    <row r="117" ht="18" spans="1:31">
      <c r="A117" s="464">
        <v>94</v>
      </c>
      <c r="B117" s="11" t="s">
        <v>204</v>
      </c>
      <c r="C117" s="473">
        <v>450086.5</v>
      </c>
      <c r="D117" s="466">
        <v>12</v>
      </c>
      <c r="E117" s="467">
        <f t="shared" si="127"/>
        <v>5401038</v>
      </c>
      <c r="F117" s="467">
        <f>'[6]JANUARY 2024'!$V$117*12</f>
        <v>6919.455</v>
      </c>
      <c r="G117" s="468">
        <v>374483.04</v>
      </c>
      <c r="H117" s="470"/>
      <c r="I117" s="467">
        <f t="shared" si="128"/>
        <v>5019635.505</v>
      </c>
      <c r="J117" s="467">
        <v>200000</v>
      </c>
      <c r="K117" s="467">
        <v>0.2</v>
      </c>
      <c r="L117" s="467">
        <f t="shared" si="129"/>
        <v>1003927.101</v>
      </c>
      <c r="M117" s="467">
        <f t="shared" si="130"/>
        <v>1203927.101</v>
      </c>
      <c r="N117" s="467">
        <f t="shared" si="131"/>
        <v>1585329.596</v>
      </c>
      <c r="O117" s="467">
        <f t="shared" si="132"/>
        <v>3815708.404</v>
      </c>
      <c r="P117" s="467">
        <f t="shared" si="133"/>
        <v>21000</v>
      </c>
      <c r="Q117" s="467">
        <f t="shared" si="134"/>
        <v>33000</v>
      </c>
      <c r="R117" s="467">
        <f t="shared" si="135"/>
        <v>75000</v>
      </c>
      <c r="S117" s="467">
        <f t="shared" si="136"/>
        <v>95000</v>
      </c>
      <c r="T117" s="467">
        <f t="shared" si="137"/>
        <v>336000</v>
      </c>
      <c r="U117" s="467">
        <f t="shared" si="138"/>
        <v>147770.01696</v>
      </c>
      <c r="V117" s="467">
        <f t="shared" si="139"/>
        <v>707770.01696</v>
      </c>
      <c r="W117" s="474">
        <v>12</v>
      </c>
      <c r="X117" s="467">
        <f t="shared" si="140"/>
        <v>58980.8347466667</v>
      </c>
      <c r="Y117" s="470"/>
      <c r="Z117" s="467">
        <f t="shared" si="141"/>
        <v>58980.8347466667</v>
      </c>
      <c r="AA117" s="479">
        <v>35221.9540866667</v>
      </c>
      <c r="AB117" s="479">
        <f t="shared" si="142"/>
        <v>23758.88066</v>
      </c>
      <c r="AC117" s="479"/>
      <c r="AD117" s="479"/>
      <c r="AE117" s="479"/>
    </row>
    <row r="118" ht="17.5" spans="1:31">
      <c r="A118" s="464">
        <v>95</v>
      </c>
      <c r="B118" s="20"/>
      <c r="C118" s="467"/>
      <c r="D118" s="466"/>
      <c r="E118" s="467"/>
      <c r="F118" s="467"/>
      <c r="G118" s="470"/>
      <c r="H118" s="470"/>
      <c r="I118" s="467"/>
      <c r="J118" s="467"/>
      <c r="K118" s="467"/>
      <c r="L118" s="467"/>
      <c r="M118" s="467"/>
      <c r="N118" s="467"/>
      <c r="O118" s="467"/>
      <c r="P118" s="467"/>
      <c r="Q118" s="467"/>
      <c r="R118" s="467"/>
      <c r="S118" s="467"/>
      <c r="T118" s="467"/>
      <c r="U118" s="467"/>
      <c r="V118" s="467"/>
      <c r="W118" s="474"/>
      <c r="X118" s="467"/>
      <c r="Y118" s="470"/>
      <c r="Z118" s="467"/>
      <c r="AA118" s="479"/>
      <c r="AB118" s="479"/>
      <c r="AC118" s="479"/>
      <c r="AD118" s="479"/>
      <c r="AE118" s="479"/>
    </row>
    <row r="119" ht="17.5" spans="1:31">
      <c r="A119" s="464">
        <v>96</v>
      </c>
      <c r="B119" s="22"/>
      <c r="C119" s="467"/>
      <c r="U119" s="480"/>
      <c r="AC119" s="479"/>
      <c r="AD119" s="479"/>
      <c r="AE119" s="479"/>
    </row>
    <row r="120" ht="17.5" spans="1:31">
      <c r="A120" s="464">
        <v>97</v>
      </c>
      <c r="B120" s="20" t="s">
        <v>213</v>
      </c>
      <c r="C120" s="467"/>
      <c r="U120" s="480"/>
      <c r="AC120" s="479"/>
      <c r="AD120" s="479"/>
      <c r="AE120" s="479"/>
    </row>
    <row r="121" ht="18" spans="1:31">
      <c r="A121" s="464">
        <v>98</v>
      </c>
      <c r="B121" s="11" t="s">
        <v>214</v>
      </c>
      <c r="C121" s="467">
        <v>1635720</v>
      </c>
      <c r="D121" s="466">
        <v>12</v>
      </c>
      <c r="E121" s="467">
        <f t="shared" ref="E121:E130" si="143">C121*D121</f>
        <v>19628640</v>
      </c>
      <c r="F121" s="467">
        <f>2043.5005*12</f>
        <v>24522.006</v>
      </c>
      <c r="G121" s="468">
        <v>1378291.2</v>
      </c>
      <c r="H121" s="470"/>
      <c r="I121" s="467">
        <f t="shared" ref="I121:I130" si="144">E121-F121-G121-H121</f>
        <v>18225826.794</v>
      </c>
      <c r="J121" s="467">
        <v>200000</v>
      </c>
      <c r="K121" s="467">
        <v>0.2</v>
      </c>
      <c r="L121" s="467">
        <f t="shared" ref="L121:L130" si="145">I121*K121</f>
        <v>3645165.3588</v>
      </c>
      <c r="M121" s="467">
        <f t="shared" ref="M121:M130" si="146">J121+L121</f>
        <v>3845165.3588</v>
      </c>
      <c r="N121" s="467">
        <f t="shared" ref="N121:N130" si="147">F121+G121+H121+M121</f>
        <v>5247978.5648</v>
      </c>
      <c r="O121" s="467">
        <f t="shared" ref="O121:O130" si="148">E121-N121</f>
        <v>14380661.4352</v>
      </c>
      <c r="P121" s="467">
        <f t="shared" ref="P121:P130" si="149">IF(O121&lt;300000,0.07*O121,21000)</f>
        <v>21000</v>
      </c>
      <c r="Q121" s="467">
        <f t="shared" ref="Q121:Q130" si="150">IF((O121-300000)&lt;0,0,IF((O121-300000)&lt;300000,0.11*(O121-300000),33000))</f>
        <v>33000</v>
      </c>
      <c r="R121" s="467">
        <f t="shared" ref="R121:R130" si="151">IF((O121-600000)&lt;0,0,IF((O121-600000)&lt;500000,0.15*(O121-600000),75000))</f>
        <v>75000</v>
      </c>
      <c r="S121" s="467">
        <f t="shared" ref="S121:S130" si="152">IF((O121-1100000)&lt;0,0,IF((O121-1100000)&lt;500000,0.19*(O121-1100000),95000))</f>
        <v>95000</v>
      </c>
      <c r="T121" s="467">
        <f t="shared" ref="T121:T130" si="153">IF((O121-1600000)&lt;0,0,IF((O121-1600000)&lt;1600000,0.21*(O121-1600000),336000))</f>
        <v>336000</v>
      </c>
      <c r="U121" s="467">
        <f t="shared" ref="U121:U127" si="154">0.24*(O121-3200000)</f>
        <v>2683358.744448</v>
      </c>
      <c r="V121" s="467">
        <f t="shared" ref="V121:V130" si="155">P121+Q121+R121+S121+T121+U121</f>
        <v>3243358.744448</v>
      </c>
      <c r="W121" s="474">
        <v>12</v>
      </c>
      <c r="X121" s="467">
        <f t="shared" ref="X121:X130" si="156">V121/W121</f>
        <v>270279.895370667</v>
      </c>
      <c r="Y121" s="470"/>
      <c r="Z121" s="467">
        <f t="shared" ref="Z121:Z130" si="157">X121</f>
        <v>270279.895370667</v>
      </c>
      <c r="AA121" s="479">
        <v>179914.454762667</v>
      </c>
      <c r="AB121" s="479">
        <f t="shared" ref="AB121:AB130" si="158">Z121-AA121</f>
        <v>90365.4406079997</v>
      </c>
      <c r="AC121" s="479"/>
      <c r="AD121" s="479"/>
      <c r="AE121" s="479"/>
    </row>
    <row r="122" ht="18" spans="1:31">
      <c r="A122" s="464">
        <v>99</v>
      </c>
      <c r="B122" s="11" t="s">
        <v>216</v>
      </c>
      <c r="C122" s="467">
        <v>929203.583333333</v>
      </c>
      <c r="D122" s="466">
        <v>12</v>
      </c>
      <c r="E122" s="467">
        <f t="shared" si="143"/>
        <v>11150443</v>
      </c>
      <c r="F122" s="467">
        <f>1028.94225*12</f>
        <v>12347.307</v>
      </c>
      <c r="G122" s="468">
        <v>709635.44</v>
      </c>
      <c r="H122" s="470"/>
      <c r="I122" s="467">
        <f t="shared" si="144"/>
        <v>10428460.253</v>
      </c>
      <c r="J122" s="467">
        <v>200000</v>
      </c>
      <c r="K122" s="467">
        <v>0.2</v>
      </c>
      <c r="L122" s="467">
        <f t="shared" si="145"/>
        <v>2085692.0506</v>
      </c>
      <c r="M122" s="467">
        <f t="shared" si="146"/>
        <v>2285692.0506</v>
      </c>
      <c r="N122" s="467">
        <f t="shared" si="147"/>
        <v>3007674.7976</v>
      </c>
      <c r="O122" s="467">
        <f t="shared" si="148"/>
        <v>8142768.2024</v>
      </c>
      <c r="P122" s="467">
        <f t="shared" si="149"/>
        <v>21000</v>
      </c>
      <c r="Q122" s="467">
        <f t="shared" si="150"/>
        <v>33000</v>
      </c>
      <c r="R122" s="467">
        <f t="shared" si="151"/>
        <v>75000</v>
      </c>
      <c r="S122" s="467">
        <f t="shared" si="152"/>
        <v>95000</v>
      </c>
      <c r="T122" s="467">
        <f t="shared" si="153"/>
        <v>336000</v>
      </c>
      <c r="U122" s="467">
        <f t="shared" si="154"/>
        <v>1186264.368576</v>
      </c>
      <c r="V122" s="467">
        <f t="shared" si="155"/>
        <v>1746264.368576</v>
      </c>
      <c r="W122" s="474">
        <v>12</v>
      </c>
      <c r="X122" s="467">
        <f t="shared" si="156"/>
        <v>145522.030714667</v>
      </c>
      <c r="Y122" s="470"/>
      <c r="Z122" s="467">
        <f t="shared" si="157"/>
        <v>145522.030714667</v>
      </c>
      <c r="AA122" s="479">
        <v>98995.9569386667</v>
      </c>
      <c r="AB122" s="479">
        <f t="shared" si="158"/>
        <v>46526.0737759999</v>
      </c>
      <c r="AC122" s="479"/>
      <c r="AD122" s="479"/>
      <c r="AE122" s="479"/>
    </row>
    <row r="123" ht="18" spans="1:31">
      <c r="A123" s="464"/>
      <c r="B123" s="14" t="s">
        <v>218</v>
      </c>
      <c r="C123" s="467">
        <v>830675.583333333</v>
      </c>
      <c r="D123" s="466">
        <v>12</v>
      </c>
      <c r="E123" s="467">
        <f t="shared" si="143"/>
        <v>9968107</v>
      </c>
      <c r="F123" s="467">
        <f>837.6875*12</f>
        <v>10052.25</v>
      </c>
      <c r="G123" s="468">
        <v>595848.56</v>
      </c>
      <c r="H123" s="470"/>
      <c r="I123" s="467">
        <f t="shared" si="144"/>
        <v>9362206.19</v>
      </c>
      <c r="J123" s="467">
        <v>200000</v>
      </c>
      <c r="K123" s="467">
        <v>0.2</v>
      </c>
      <c r="L123" s="467">
        <f t="shared" si="145"/>
        <v>1872441.238</v>
      </c>
      <c r="M123" s="467">
        <f t="shared" si="146"/>
        <v>2072441.238</v>
      </c>
      <c r="N123" s="467">
        <f t="shared" si="147"/>
        <v>2678342.048</v>
      </c>
      <c r="O123" s="467">
        <f t="shared" si="148"/>
        <v>7289764.952</v>
      </c>
      <c r="P123" s="467">
        <f t="shared" si="149"/>
        <v>21000</v>
      </c>
      <c r="Q123" s="467">
        <f t="shared" si="150"/>
        <v>33000</v>
      </c>
      <c r="R123" s="467">
        <f t="shared" si="151"/>
        <v>75000</v>
      </c>
      <c r="S123" s="467">
        <f t="shared" si="152"/>
        <v>95000</v>
      </c>
      <c r="T123" s="467">
        <f t="shared" si="153"/>
        <v>336000</v>
      </c>
      <c r="U123" s="467">
        <f t="shared" si="154"/>
        <v>981543.588479999</v>
      </c>
      <c r="V123" s="467">
        <f t="shared" si="155"/>
        <v>1541543.58848</v>
      </c>
      <c r="W123" s="474">
        <v>12</v>
      </c>
      <c r="X123" s="467">
        <f t="shared" si="156"/>
        <v>128461.965706667</v>
      </c>
      <c r="Y123" s="470"/>
      <c r="Z123" s="467">
        <f t="shared" si="157"/>
        <v>128461.965706667</v>
      </c>
      <c r="AA123" s="479">
        <v>89396.1031466666</v>
      </c>
      <c r="AB123" s="479">
        <f t="shared" si="158"/>
        <v>39065.86256</v>
      </c>
      <c r="AC123" s="479"/>
      <c r="AD123" s="479"/>
      <c r="AE123" s="479"/>
    </row>
    <row r="124" ht="18" spans="1:31">
      <c r="A124" s="464"/>
      <c r="B124" s="14" t="s">
        <v>523</v>
      </c>
      <c r="C124" s="467">
        <v>662118.083333333</v>
      </c>
      <c r="D124" s="466">
        <v>12</v>
      </c>
      <c r="E124" s="467">
        <f t="shared" si="143"/>
        <v>7945417</v>
      </c>
      <c r="F124" s="467"/>
      <c r="G124" s="468">
        <v>0</v>
      </c>
      <c r="H124" s="470"/>
      <c r="I124" s="467">
        <f t="shared" si="144"/>
        <v>7945417</v>
      </c>
      <c r="J124" s="467">
        <v>200000</v>
      </c>
      <c r="K124" s="467">
        <v>0.2</v>
      </c>
      <c r="L124" s="467">
        <f t="shared" si="145"/>
        <v>1589083.4</v>
      </c>
      <c r="M124" s="467">
        <f t="shared" si="146"/>
        <v>1789083.4</v>
      </c>
      <c r="N124" s="467">
        <f t="shared" si="147"/>
        <v>1789083.4</v>
      </c>
      <c r="O124" s="467">
        <f t="shared" si="148"/>
        <v>6156333.6</v>
      </c>
      <c r="P124" s="467">
        <f t="shared" si="149"/>
        <v>21000</v>
      </c>
      <c r="Q124" s="467">
        <f t="shared" si="150"/>
        <v>33000</v>
      </c>
      <c r="R124" s="467">
        <f t="shared" si="151"/>
        <v>75000</v>
      </c>
      <c r="S124" s="467">
        <f t="shared" si="152"/>
        <v>95000</v>
      </c>
      <c r="T124" s="467">
        <f t="shared" si="153"/>
        <v>336000</v>
      </c>
      <c r="U124" s="467">
        <f t="shared" si="154"/>
        <v>709520.063999999</v>
      </c>
      <c r="V124" s="467">
        <f t="shared" si="155"/>
        <v>1269520.064</v>
      </c>
      <c r="W124" s="474">
        <v>12</v>
      </c>
      <c r="X124" s="467">
        <f t="shared" si="156"/>
        <v>105793.338666667</v>
      </c>
      <c r="Y124" s="470"/>
      <c r="Z124" s="467">
        <f t="shared" si="157"/>
        <v>105793.338666667</v>
      </c>
      <c r="AA124" s="479">
        <v>60214.6772906667</v>
      </c>
      <c r="AB124" s="479">
        <f t="shared" si="158"/>
        <v>45578.6613759999</v>
      </c>
      <c r="AC124" s="479"/>
      <c r="AD124" s="479"/>
      <c r="AE124" s="479"/>
    </row>
    <row r="125" ht="18" spans="1:31">
      <c r="A125" s="464">
        <v>101</v>
      </c>
      <c r="B125" s="11" t="s">
        <v>220</v>
      </c>
      <c r="C125" s="467">
        <v>540498</v>
      </c>
      <c r="D125" s="466">
        <v>12</v>
      </c>
      <c r="E125" s="467">
        <f t="shared" si="143"/>
        <v>6485976</v>
      </c>
      <c r="F125" s="467"/>
      <c r="G125" s="468">
        <v>451678.08</v>
      </c>
      <c r="H125" s="470"/>
      <c r="I125" s="467">
        <f t="shared" si="144"/>
        <v>6034297.92</v>
      </c>
      <c r="J125" s="467">
        <v>200000</v>
      </c>
      <c r="K125" s="467">
        <v>0.2</v>
      </c>
      <c r="L125" s="467">
        <f t="shared" si="145"/>
        <v>1206859.584</v>
      </c>
      <c r="M125" s="467">
        <f t="shared" si="146"/>
        <v>1406859.584</v>
      </c>
      <c r="N125" s="467">
        <f t="shared" si="147"/>
        <v>1858537.664</v>
      </c>
      <c r="O125" s="467">
        <f t="shared" si="148"/>
        <v>4627438.336</v>
      </c>
      <c r="P125" s="467">
        <f t="shared" si="149"/>
        <v>21000</v>
      </c>
      <c r="Q125" s="467">
        <f t="shared" si="150"/>
        <v>33000</v>
      </c>
      <c r="R125" s="467">
        <f t="shared" si="151"/>
        <v>75000</v>
      </c>
      <c r="S125" s="467">
        <f t="shared" si="152"/>
        <v>95000</v>
      </c>
      <c r="T125" s="467">
        <f t="shared" si="153"/>
        <v>336000</v>
      </c>
      <c r="U125" s="467">
        <f t="shared" si="154"/>
        <v>342585.20064</v>
      </c>
      <c r="V125" s="467">
        <f t="shared" si="155"/>
        <v>902585.20064</v>
      </c>
      <c r="W125" s="474">
        <v>12</v>
      </c>
      <c r="X125" s="467">
        <f t="shared" si="156"/>
        <v>75215.4333866667</v>
      </c>
      <c r="Y125" s="470"/>
      <c r="Z125" s="467">
        <f t="shared" si="157"/>
        <v>75215.4333866667</v>
      </c>
      <c r="AA125" s="479">
        <v>44846.6165886667</v>
      </c>
      <c r="AB125" s="479">
        <f t="shared" si="158"/>
        <v>30368.816798</v>
      </c>
      <c r="AC125" s="479"/>
      <c r="AD125" s="479"/>
      <c r="AE125" s="479"/>
    </row>
    <row r="126" ht="18" spans="1:31">
      <c r="A126" s="464">
        <v>103</v>
      </c>
      <c r="B126" s="11" t="s">
        <v>223</v>
      </c>
      <c r="C126" s="467">
        <v>512746.5</v>
      </c>
      <c r="D126" s="466">
        <v>12</v>
      </c>
      <c r="E126" s="467">
        <f t="shared" si="143"/>
        <v>6152958</v>
      </c>
      <c r="F126" s="473">
        <f>646.3525*12</f>
        <v>7756.23</v>
      </c>
      <c r="G126" s="468">
        <v>425036.64</v>
      </c>
      <c r="H126" s="470"/>
      <c r="I126" s="467">
        <f t="shared" si="144"/>
        <v>5720165.13</v>
      </c>
      <c r="J126" s="467">
        <v>200000</v>
      </c>
      <c r="K126" s="467">
        <v>0.2</v>
      </c>
      <c r="L126" s="467">
        <f t="shared" si="145"/>
        <v>1144033.026</v>
      </c>
      <c r="M126" s="467">
        <f t="shared" si="146"/>
        <v>1344033.026</v>
      </c>
      <c r="N126" s="467">
        <f t="shared" si="147"/>
        <v>1776825.896</v>
      </c>
      <c r="O126" s="467">
        <f t="shared" si="148"/>
        <v>4376132.104</v>
      </c>
      <c r="P126" s="467">
        <f t="shared" si="149"/>
        <v>21000</v>
      </c>
      <c r="Q126" s="467">
        <f t="shared" si="150"/>
        <v>33000</v>
      </c>
      <c r="R126" s="467">
        <f t="shared" si="151"/>
        <v>75000</v>
      </c>
      <c r="S126" s="467">
        <f t="shared" si="152"/>
        <v>95000</v>
      </c>
      <c r="T126" s="467">
        <f t="shared" si="153"/>
        <v>336000</v>
      </c>
      <c r="U126" s="467">
        <f t="shared" si="154"/>
        <v>282271.70496</v>
      </c>
      <c r="V126" s="467">
        <f t="shared" si="155"/>
        <v>842271.70496</v>
      </c>
      <c r="W126" s="474">
        <v>12</v>
      </c>
      <c r="X126" s="467">
        <f t="shared" si="156"/>
        <v>70189.3087466667</v>
      </c>
      <c r="Y126" s="470"/>
      <c r="Z126" s="467">
        <f t="shared" si="157"/>
        <v>70189.3087466667</v>
      </c>
      <c r="AA126" s="479">
        <v>42029.5891866667</v>
      </c>
      <c r="AB126" s="479">
        <f t="shared" si="158"/>
        <v>28159.71956</v>
      </c>
      <c r="AC126" s="479"/>
      <c r="AD126" s="479"/>
      <c r="AE126" s="479"/>
    </row>
    <row r="127" ht="18" spans="1:31">
      <c r="A127" s="464">
        <v>105</v>
      </c>
      <c r="B127" s="11" t="s">
        <v>225</v>
      </c>
      <c r="C127" s="467">
        <v>526622.25</v>
      </c>
      <c r="D127" s="466">
        <v>12</v>
      </c>
      <c r="E127" s="467">
        <f t="shared" si="143"/>
        <v>6319467</v>
      </c>
      <c r="F127" s="473">
        <f>668.31625*12</f>
        <v>8019.795</v>
      </c>
      <c r="G127" s="468">
        <v>438357.36</v>
      </c>
      <c r="H127" s="470"/>
      <c r="I127" s="467">
        <f t="shared" si="144"/>
        <v>5873089.845</v>
      </c>
      <c r="J127" s="467">
        <v>200000</v>
      </c>
      <c r="K127" s="467">
        <v>0.2</v>
      </c>
      <c r="L127" s="467">
        <f t="shared" si="145"/>
        <v>1174617.969</v>
      </c>
      <c r="M127" s="467">
        <f t="shared" si="146"/>
        <v>1374617.969</v>
      </c>
      <c r="N127" s="467">
        <f t="shared" si="147"/>
        <v>1820995.124</v>
      </c>
      <c r="O127" s="467">
        <f t="shared" si="148"/>
        <v>4498471.876</v>
      </c>
      <c r="P127" s="467">
        <f t="shared" si="149"/>
        <v>21000</v>
      </c>
      <c r="Q127" s="467">
        <f t="shared" si="150"/>
        <v>33000</v>
      </c>
      <c r="R127" s="467">
        <f t="shared" si="151"/>
        <v>75000</v>
      </c>
      <c r="S127" s="467">
        <f t="shared" si="152"/>
        <v>95000</v>
      </c>
      <c r="T127" s="467">
        <f t="shared" si="153"/>
        <v>336000</v>
      </c>
      <c r="U127" s="467">
        <f t="shared" si="154"/>
        <v>311633.25024</v>
      </c>
      <c r="V127" s="467">
        <f t="shared" si="155"/>
        <v>871633.25024</v>
      </c>
      <c r="W127" s="474">
        <v>12</v>
      </c>
      <c r="X127" s="467">
        <f t="shared" si="156"/>
        <v>72636.1041866667</v>
      </c>
      <c r="Y127" s="470"/>
      <c r="Z127" s="467">
        <f t="shared" si="157"/>
        <v>72636.1041866667</v>
      </c>
      <c r="AA127" s="479">
        <v>43380.0962466667</v>
      </c>
      <c r="AB127" s="479">
        <f t="shared" si="158"/>
        <v>29256.00794</v>
      </c>
      <c r="AC127" s="479"/>
      <c r="AD127" s="479"/>
      <c r="AE127" s="479"/>
    </row>
    <row r="128" ht="18" spans="1:31">
      <c r="A128" s="464">
        <v>106</v>
      </c>
      <c r="B128" s="11" t="s">
        <v>226</v>
      </c>
      <c r="C128" s="467">
        <v>330481.666666667</v>
      </c>
      <c r="D128" s="466">
        <v>12</v>
      </c>
      <c r="E128" s="467">
        <f t="shared" si="143"/>
        <v>3965780</v>
      </c>
      <c r="F128" s="467"/>
      <c r="G128" s="468">
        <v>259662.4</v>
      </c>
      <c r="H128" s="470"/>
      <c r="I128" s="467">
        <f t="shared" si="144"/>
        <v>3706117.6</v>
      </c>
      <c r="J128" s="467">
        <v>200000</v>
      </c>
      <c r="K128" s="467">
        <v>0.2</v>
      </c>
      <c r="L128" s="467">
        <f t="shared" si="145"/>
        <v>741223.520000001</v>
      </c>
      <c r="M128" s="467">
        <f t="shared" si="146"/>
        <v>941223.520000001</v>
      </c>
      <c r="N128" s="467">
        <f t="shared" si="147"/>
        <v>1200885.92</v>
      </c>
      <c r="O128" s="467">
        <f t="shared" si="148"/>
        <v>2764894.08</v>
      </c>
      <c r="P128" s="467">
        <f t="shared" si="149"/>
        <v>21000</v>
      </c>
      <c r="Q128" s="467">
        <f t="shared" si="150"/>
        <v>33000</v>
      </c>
      <c r="R128" s="467">
        <f t="shared" si="151"/>
        <v>75000</v>
      </c>
      <c r="S128" s="467">
        <f t="shared" si="152"/>
        <v>95000</v>
      </c>
      <c r="T128" s="467">
        <f t="shared" si="153"/>
        <v>244627.756800001</v>
      </c>
      <c r="U128" s="467"/>
      <c r="V128" s="467">
        <f t="shared" si="155"/>
        <v>468627.756800001</v>
      </c>
      <c r="W128" s="474">
        <v>12</v>
      </c>
      <c r="X128" s="467">
        <f t="shared" si="156"/>
        <v>39052.3130666667</v>
      </c>
      <c r="Y128" s="470"/>
      <c r="Z128" s="467">
        <f t="shared" si="157"/>
        <v>39052.3130666667</v>
      </c>
      <c r="AA128" s="479">
        <v>23036.0123466667</v>
      </c>
      <c r="AB128" s="479">
        <f t="shared" si="158"/>
        <v>16016.30072</v>
      </c>
      <c r="AC128" s="479"/>
      <c r="AD128" s="479"/>
      <c r="AE128" s="479"/>
    </row>
    <row r="129" ht="18" spans="1:31">
      <c r="A129" s="464">
        <v>107</v>
      </c>
      <c r="B129" s="18" t="s">
        <v>228</v>
      </c>
      <c r="C129" s="467">
        <v>274459.75</v>
      </c>
      <c r="D129" s="466">
        <v>12</v>
      </c>
      <c r="E129" s="467">
        <f t="shared" si="143"/>
        <v>3293517</v>
      </c>
      <c r="F129" s="467"/>
      <c r="G129" s="468">
        <v>215481.36</v>
      </c>
      <c r="H129" s="470"/>
      <c r="I129" s="467">
        <f t="shared" si="144"/>
        <v>3078035.64</v>
      </c>
      <c r="J129" s="467">
        <v>200000</v>
      </c>
      <c r="K129" s="467">
        <v>0.2</v>
      </c>
      <c r="L129" s="467">
        <f t="shared" si="145"/>
        <v>615607.128</v>
      </c>
      <c r="M129" s="467">
        <f t="shared" si="146"/>
        <v>815607.128</v>
      </c>
      <c r="N129" s="467">
        <f t="shared" si="147"/>
        <v>1031088.488</v>
      </c>
      <c r="O129" s="467">
        <f t="shared" si="148"/>
        <v>2262428.512</v>
      </c>
      <c r="P129" s="467">
        <f t="shared" si="149"/>
        <v>21000</v>
      </c>
      <c r="Q129" s="467">
        <f t="shared" si="150"/>
        <v>33000</v>
      </c>
      <c r="R129" s="467">
        <f t="shared" si="151"/>
        <v>75000</v>
      </c>
      <c r="S129" s="467">
        <f t="shared" si="152"/>
        <v>95000</v>
      </c>
      <c r="T129" s="467">
        <f t="shared" si="153"/>
        <v>139109.98752</v>
      </c>
      <c r="U129" s="467"/>
      <c r="V129" s="467">
        <f t="shared" si="155"/>
        <v>363109.98752</v>
      </c>
      <c r="W129" s="474">
        <v>12</v>
      </c>
      <c r="X129" s="467">
        <f t="shared" si="156"/>
        <v>30259.1656266667</v>
      </c>
      <c r="Y129" s="470"/>
      <c r="Z129" s="467">
        <f t="shared" si="157"/>
        <v>30259.1656266667</v>
      </c>
      <c r="AA129" s="479">
        <v>17042.7138666667</v>
      </c>
      <c r="AB129" s="479">
        <f t="shared" si="158"/>
        <v>13216.45176</v>
      </c>
      <c r="AC129" s="479"/>
      <c r="AD129" s="479"/>
      <c r="AE129" s="479"/>
    </row>
    <row r="130" ht="18" spans="1:31">
      <c r="A130" s="464">
        <v>108</v>
      </c>
      <c r="B130" s="18" t="s">
        <v>230</v>
      </c>
      <c r="C130" s="467">
        <v>274459.75</v>
      </c>
      <c r="D130" s="466">
        <v>12</v>
      </c>
      <c r="E130" s="467">
        <f t="shared" si="143"/>
        <v>3293517</v>
      </c>
      <c r="F130" s="467"/>
      <c r="G130" s="468">
        <v>215481.36</v>
      </c>
      <c r="H130" s="470"/>
      <c r="I130" s="467">
        <f t="shared" si="144"/>
        <v>3078035.64</v>
      </c>
      <c r="J130" s="467">
        <v>200000</v>
      </c>
      <c r="K130" s="467">
        <v>0.2</v>
      </c>
      <c r="L130" s="467">
        <f t="shared" si="145"/>
        <v>615607.128</v>
      </c>
      <c r="M130" s="467">
        <f t="shared" si="146"/>
        <v>815607.128</v>
      </c>
      <c r="N130" s="467">
        <f t="shared" si="147"/>
        <v>1031088.488</v>
      </c>
      <c r="O130" s="467">
        <f t="shared" si="148"/>
        <v>2262428.512</v>
      </c>
      <c r="P130" s="467">
        <f t="shared" si="149"/>
        <v>21000</v>
      </c>
      <c r="Q130" s="467">
        <f t="shared" si="150"/>
        <v>33000</v>
      </c>
      <c r="R130" s="467">
        <f t="shared" si="151"/>
        <v>75000</v>
      </c>
      <c r="S130" s="467">
        <f t="shared" si="152"/>
        <v>95000</v>
      </c>
      <c r="T130" s="467">
        <f t="shared" si="153"/>
        <v>139109.98752</v>
      </c>
      <c r="U130" s="467"/>
      <c r="V130" s="467">
        <f t="shared" si="155"/>
        <v>363109.98752</v>
      </c>
      <c r="W130" s="474">
        <v>12</v>
      </c>
      <c r="X130" s="467">
        <f t="shared" si="156"/>
        <v>30259.1656266667</v>
      </c>
      <c r="Y130" s="470"/>
      <c r="Z130" s="467">
        <f t="shared" si="157"/>
        <v>30259.1656266667</v>
      </c>
      <c r="AA130" s="479">
        <v>17042.7138666667</v>
      </c>
      <c r="AB130" s="479">
        <f t="shared" si="158"/>
        <v>13216.45176</v>
      </c>
      <c r="AC130" s="479"/>
      <c r="AD130" s="479"/>
      <c r="AE130" s="479"/>
    </row>
    <row r="131" ht="17.5" spans="1:31">
      <c r="A131" s="464">
        <v>109</v>
      </c>
      <c r="B131" s="20" t="s">
        <v>96</v>
      </c>
      <c r="C131" s="467"/>
      <c r="D131" s="466"/>
      <c r="E131" s="467"/>
      <c r="F131" s="467"/>
      <c r="G131" s="470"/>
      <c r="H131" s="470"/>
      <c r="I131" s="467"/>
      <c r="J131" s="467"/>
      <c r="K131" s="467"/>
      <c r="L131" s="467"/>
      <c r="M131" s="467"/>
      <c r="N131" s="467"/>
      <c r="O131" s="467"/>
      <c r="P131" s="467"/>
      <c r="Q131" s="467"/>
      <c r="R131" s="467"/>
      <c r="S131" s="467"/>
      <c r="T131" s="467"/>
      <c r="U131" s="467"/>
      <c r="V131" s="467"/>
      <c r="W131" s="474"/>
      <c r="X131" s="467"/>
      <c r="Y131" s="470"/>
      <c r="Z131" s="467"/>
      <c r="AA131" s="479"/>
      <c r="AB131" s="479"/>
      <c r="AC131" s="479"/>
      <c r="AD131" s="479"/>
      <c r="AE131" s="479"/>
    </row>
    <row r="132" ht="17.5" spans="1:31">
      <c r="A132" s="464">
        <v>110</v>
      </c>
      <c r="B132" s="22"/>
      <c r="C132" s="467"/>
      <c r="U132" s="480"/>
      <c r="AC132" s="479"/>
      <c r="AD132" s="479"/>
      <c r="AE132" s="479"/>
    </row>
    <row r="133" ht="17.5" spans="1:31">
      <c r="A133" s="464">
        <v>111</v>
      </c>
      <c r="B133" s="20" t="s">
        <v>234</v>
      </c>
      <c r="C133" s="467"/>
      <c r="U133" s="480"/>
      <c r="AC133" s="479"/>
      <c r="AD133" s="479"/>
      <c r="AE133" s="479"/>
    </row>
    <row r="134" ht="18" spans="1:31">
      <c r="A134" s="464">
        <v>112</v>
      </c>
      <c r="B134" s="11" t="s">
        <v>235</v>
      </c>
      <c r="C134" s="467">
        <v>1535720</v>
      </c>
      <c r="D134" s="466">
        <v>12</v>
      </c>
      <c r="E134" s="467">
        <f t="shared" ref="E134:E192" si="159">C134*D134</f>
        <v>18428640</v>
      </c>
      <c r="F134" s="467"/>
      <c r="G134" s="468">
        <v>1378291.2</v>
      </c>
      <c r="H134" s="470"/>
      <c r="I134" s="467">
        <f t="shared" ref="I134:I192" si="160">E134-F134-G134-H134</f>
        <v>17050348.8</v>
      </c>
      <c r="J134" s="467">
        <v>200000</v>
      </c>
      <c r="K134" s="467">
        <v>0.2</v>
      </c>
      <c r="L134" s="467">
        <f t="shared" ref="L134:L192" si="161">I134*K134</f>
        <v>3410069.76</v>
      </c>
      <c r="M134" s="467">
        <f t="shared" ref="M134:M192" si="162">J134+L134</f>
        <v>3610069.76</v>
      </c>
      <c r="N134" s="467">
        <f t="shared" ref="N134:N192" si="163">F134+G134+H134+M134</f>
        <v>4988360.96</v>
      </c>
      <c r="O134" s="467">
        <f t="shared" ref="O134:O192" si="164">E134-N134</f>
        <v>13440279.04</v>
      </c>
      <c r="P134" s="467">
        <f t="shared" ref="P134:P192" si="165">IF(O134&lt;300000,0.07*O134,21000)</f>
        <v>21000</v>
      </c>
      <c r="Q134" s="467">
        <f t="shared" ref="Q134:Q192" si="166">IF((O134-300000)&lt;0,0,IF((O134-300000)&lt;300000,0.11*(O134-300000),33000))</f>
        <v>33000</v>
      </c>
      <c r="R134" s="467">
        <f t="shared" ref="R134:R192" si="167">IF((O134-600000)&lt;0,0,IF((O134-600000)&lt;500000,0.15*(O134-600000),75000))</f>
        <v>75000</v>
      </c>
      <c r="S134" s="467">
        <f t="shared" ref="S134:S192" si="168">IF((O134-1100000)&lt;0,0,IF((O134-1100000)&lt;500000,0.19*(O134-1100000),95000))</f>
        <v>95000</v>
      </c>
      <c r="T134" s="467">
        <f t="shared" ref="T134:T192" si="169">IF((O134-1600000)&lt;0,0,IF((O134-1600000)&lt;1600000,0.21*(O134-1600000),336000))</f>
        <v>336000</v>
      </c>
      <c r="U134" s="467">
        <f t="shared" ref="U134:U146" si="170">0.24*(O134-3200000)</f>
        <v>2457666.9696</v>
      </c>
      <c r="V134" s="467">
        <f t="shared" ref="V134:V192" si="171">P134+Q134+R134+S134+T134+U134</f>
        <v>3017666.9696</v>
      </c>
      <c r="W134" s="474">
        <v>12</v>
      </c>
      <c r="X134" s="467">
        <f t="shared" ref="X134:X192" si="172">V134/W134</f>
        <v>251472.247466667</v>
      </c>
      <c r="Y134" s="470"/>
      <c r="Z134" s="467">
        <f t="shared" ref="Z134:Z192" si="173">X134</f>
        <v>251472.247466667</v>
      </c>
      <c r="AA134" s="479">
        <v>161106.806858667</v>
      </c>
      <c r="AB134" s="479">
        <f t="shared" ref="AB134:AB192" si="174">Z134-AA134</f>
        <v>90365.4406079996</v>
      </c>
      <c r="AC134" s="479"/>
      <c r="AD134" s="479"/>
      <c r="AE134" s="479"/>
    </row>
    <row r="135" ht="18" spans="1:31">
      <c r="A135" s="464">
        <v>113</v>
      </c>
      <c r="B135" s="11" t="s">
        <v>524</v>
      </c>
      <c r="C135" s="467">
        <v>852373.166666667</v>
      </c>
      <c r="D135" s="466">
        <v>12</v>
      </c>
      <c r="E135" s="467">
        <f t="shared" si="159"/>
        <v>10228478</v>
      </c>
      <c r="F135" s="467"/>
      <c r="G135" s="468">
        <v>0</v>
      </c>
      <c r="H135" s="470"/>
      <c r="I135" s="467">
        <f t="shared" si="160"/>
        <v>10228478</v>
      </c>
      <c r="J135" s="467">
        <v>200000</v>
      </c>
      <c r="K135" s="467">
        <v>0.2</v>
      </c>
      <c r="L135" s="467">
        <f t="shared" si="161"/>
        <v>2045695.6</v>
      </c>
      <c r="M135" s="467">
        <f t="shared" si="162"/>
        <v>2245695.6</v>
      </c>
      <c r="N135" s="467">
        <f t="shared" si="163"/>
        <v>2245695.6</v>
      </c>
      <c r="O135" s="467">
        <f t="shared" si="164"/>
        <v>7982782.4</v>
      </c>
      <c r="P135" s="467">
        <f t="shared" si="165"/>
        <v>21000</v>
      </c>
      <c r="Q135" s="467">
        <f t="shared" si="166"/>
        <v>33000</v>
      </c>
      <c r="R135" s="467">
        <f t="shared" si="167"/>
        <v>75000</v>
      </c>
      <c r="S135" s="467">
        <f t="shared" si="168"/>
        <v>95000</v>
      </c>
      <c r="T135" s="467">
        <f t="shared" si="169"/>
        <v>336000</v>
      </c>
      <c r="U135" s="467">
        <f t="shared" si="170"/>
        <v>1147867.776</v>
      </c>
      <c r="V135" s="467">
        <f t="shared" si="171"/>
        <v>1707867.776</v>
      </c>
      <c r="W135" s="474">
        <v>12</v>
      </c>
      <c r="X135" s="467">
        <f t="shared" si="172"/>
        <v>142322.314666667</v>
      </c>
      <c r="Y135" s="470"/>
      <c r="Z135" s="467">
        <f t="shared" si="173"/>
        <v>142322.314666667</v>
      </c>
      <c r="AA135" s="479">
        <v>82627.9514186667</v>
      </c>
      <c r="AB135" s="479">
        <f t="shared" si="174"/>
        <v>59694.363248</v>
      </c>
      <c r="AC135" s="479"/>
      <c r="AD135" s="479"/>
      <c r="AE135" s="479"/>
    </row>
    <row r="136" ht="18" spans="1:31">
      <c r="A136" s="464">
        <v>114</v>
      </c>
      <c r="B136" s="14" t="s">
        <v>237</v>
      </c>
      <c r="C136" s="467">
        <v>902373.166666667</v>
      </c>
      <c r="D136" s="466">
        <v>12</v>
      </c>
      <c r="E136" s="467">
        <f t="shared" si="159"/>
        <v>10828478</v>
      </c>
      <c r="F136" s="467">
        <f>1066.32925*12</f>
        <v>12795.951</v>
      </c>
      <c r="G136" s="468">
        <v>731878.24</v>
      </c>
      <c r="H136" s="470"/>
      <c r="I136" s="467">
        <f t="shared" si="160"/>
        <v>10083803.809</v>
      </c>
      <c r="J136" s="467">
        <v>200000</v>
      </c>
      <c r="K136" s="467">
        <v>0.2</v>
      </c>
      <c r="L136" s="467">
        <f t="shared" si="161"/>
        <v>2016760.7618</v>
      </c>
      <c r="M136" s="467">
        <f t="shared" si="162"/>
        <v>2216760.7618</v>
      </c>
      <c r="N136" s="467">
        <f t="shared" si="163"/>
        <v>2961434.9528</v>
      </c>
      <c r="O136" s="467">
        <f t="shared" si="164"/>
        <v>7867043.0472</v>
      </c>
      <c r="P136" s="467">
        <f t="shared" si="165"/>
        <v>21000</v>
      </c>
      <c r="Q136" s="467">
        <f t="shared" si="166"/>
        <v>33000</v>
      </c>
      <c r="R136" s="467">
        <f t="shared" si="167"/>
        <v>75000</v>
      </c>
      <c r="S136" s="467">
        <f t="shared" si="168"/>
        <v>95000</v>
      </c>
      <c r="T136" s="467">
        <f t="shared" si="169"/>
        <v>336000</v>
      </c>
      <c r="U136" s="467">
        <f t="shared" si="170"/>
        <v>1120090.331328</v>
      </c>
      <c r="V136" s="467">
        <f t="shared" si="171"/>
        <v>1680090.331328</v>
      </c>
      <c r="W136" s="474">
        <v>12</v>
      </c>
      <c r="X136" s="467">
        <f t="shared" si="172"/>
        <v>140007.527610667</v>
      </c>
      <c r="Y136" s="470"/>
      <c r="Z136" s="467">
        <f t="shared" si="173"/>
        <v>140007.527610667</v>
      </c>
      <c r="AA136" s="479">
        <v>92023.2162026667</v>
      </c>
      <c r="AB136" s="479">
        <f t="shared" si="174"/>
        <v>47984.311408</v>
      </c>
      <c r="AC136" s="479"/>
      <c r="AD136" s="479"/>
      <c r="AE136" s="479"/>
    </row>
    <row r="137" ht="18" spans="1:31">
      <c r="A137" s="464">
        <v>115</v>
      </c>
      <c r="B137" s="11" t="s">
        <v>239</v>
      </c>
      <c r="C137" s="467">
        <v>554373.75</v>
      </c>
      <c r="D137" s="466">
        <v>12</v>
      </c>
      <c r="E137" s="467">
        <f t="shared" si="159"/>
        <v>6652485</v>
      </c>
      <c r="F137" s="467">
        <f t="shared" ref="F137:F139" si="175">712.24525*12</f>
        <v>8546.943</v>
      </c>
      <c r="G137" s="468">
        <v>464998.8</v>
      </c>
      <c r="H137" s="470"/>
      <c r="I137" s="467">
        <f t="shared" si="160"/>
        <v>6178939.257</v>
      </c>
      <c r="J137" s="467">
        <v>200000</v>
      </c>
      <c r="K137" s="467">
        <v>0.2</v>
      </c>
      <c r="L137" s="467">
        <f t="shared" si="161"/>
        <v>1235787.8514</v>
      </c>
      <c r="M137" s="467">
        <f t="shared" si="162"/>
        <v>1435787.8514</v>
      </c>
      <c r="N137" s="467">
        <f t="shared" si="163"/>
        <v>1909333.5944</v>
      </c>
      <c r="O137" s="467">
        <f t="shared" si="164"/>
        <v>4743151.4056</v>
      </c>
      <c r="P137" s="467">
        <f t="shared" si="165"/>
        <v>21000</v>
      </c>
      <c r="Q137" s="467">
        <f t="shared" si="166"/>
        <v>33000</v>
      </c>
      <c r="R137" s="467">
        <f t="shared" si="167"/>
        <v>75000</v>
      </c>
      <c r="S137" s="467">
        <f t="shared" si="168"/>
        <v>95000</v>
      </c>
      <c r="T137" s="467">
        <f t="shared" si="169"/>
        <v>336000</v>
      </c>
      <c r="U137" s="467">
        <f t="shared" si="170"/>
        <v>370356.337344</v>
      </c>
      <c r="V137" s="467">
        <f t="shared" si="171"/>
        <v>930356.337344</v>
      </c>
      <c r="W137" s="474">
        <v>12</v>
      </c>
      <c r="X137" s="467">
        <f t="shared" si="172"/>
        <v>77529.6947786667</v>
      </c>
      <c r="Y137" s="470"/>
      <c r="Z137" s="467">
        <f t="shared" si="173"/>
        <v>77529.6947786667</v>
      </c>
      <c r="AA137" s="479">
        <v>46081.2025986667</v>
      </c>
      <c r="AB137" s="479">
        <f t="shared" si="174"/>
        <v>31448.49218</v>
      </c>
      <c r="AC137" s="479"/>
      <c r="AD137" s="479"/>
      <c r="AE137" s="479"/>
    </row>
    <row r="138" ht="18" spans="1:31">
      <c r="A138" s="464">
        <v>116</v>
      </c>
      <c r="B138" s="11" t="s">
        <v>241</v>
      </c>
      <c r="C138" s="467">
        <v>554373.75</v>
      </c>
      <c r="D138" s="466">
        <v>12</v>
      </c>
      <c r="E138" s="467">
        <f t="shared" si="159"/>
        <v>6652485</v>
      </c>
      <c r="F138" s="467">
        <f t="shared" si="175"/>
        <v>8546.943</v>
      </c>
      <c r="G138" s="468">
        <v>464998.8</v>
      </c>
      <c r="H138" s="470"/>
      <c r="I138" s="467">
        <f t="shared" si="160"/>
        <v>6178939.257</v>
      </c>
      <c r="J138" s="467">
        <v>200000</v>
      </c>
      <c r="K138" s="467">
        <v>0.2</v>
      </c>
      <c r="L138" s="467">
        <f t="shared" si="161"/>
        <v>1235787.8514</v>
      </c>
      <c r="M138" s="467">
        <f t="shared" si="162"/>
        <v>1435787.8514</v>
      </c>
      <c r="N138" s="467">
        <f t="shared" si="163"/>
        <v>1909333.5944</v>
      </c>
      <c r="O138" s="467">
        <f t="shared" si="164"/>
        <v>4743151.4056</v>
      </c>
      <c r="P138" s="467">
        <f t="shared" si="165"/>
        <v>21000</v>
      </c>
      <c r="Q138" s="467">
        <f t="shared" si="166"/>
        <v>33000</v>
      </c>
      <c r="R138" s="467">
        <f t="shared" si="167"/>
        <v>75000</v>
      </c>
      <c r="S138" s="467">
        <f t="shared" si="168"/>
        <v>95000</v>
      </c>
      <c r="T138" s="467">
        <f t="shared" si="169"/>
        <v>336000</v>
      </c>
      <c r="U138" s="467">
        <f t="shared" si="170"/>
        <v>370356.337344</v>
      </c>
      <c r="V138" s="467">
        <f t="shared" si="171"/>
        <v>930356.337344</v>
      </c>
      <c r="W138" s="474">
        <v>12</v>
      </c>
      <c r="X138" s="467">
        <f t="shared" si="172"/>
        <v>77529.6947786667</v>
      </c>
      <c r="Y138" s="470"/>
      <c r="Z138" s="467">
        <f t="shared" si="173"/>
        <v>77529.6947786667</v>
      </c>
      <c r="AA138" s="479">
        <v>46081.2025986667</v>
      </c>
      <c r="AB138" s="479">
        <f t="shared" si="174"/>
        <v>31448.49218</v>
      </c>
      <c r="AC138" s="479"/>
      <c r="AD138" s="479"/>
      <c r="AE138" s="479"/>
    </row>
    <row r="139" ht="18" spans="1:31">
      <c r="A139" s="464">
        <v>117</v>
      </c>
      <c r="B139" s="11" t="s">
        <v>243</v>
      </c>
      <c r="C139" s="467">
        <v>554373.75</v>
      </c>
      <c r="D139" s="466">
        <v>12</v>
      </c>
      <c r="E139" s="467">
        <f t="shared" si="159"/>
        <v>6652485</v>
      </c>
      <c r="F139" s="467">
        <f t="shared" si="175"/>
        <v>8546.943</v>
      </c>
      <c r="G139" s="468">
        <v>464998.8</v>
      </c>
      <c r="H139" s="470"/>
      <c r="I139" s="467">
        <f t="shared" si="160"/>
        <v>6178939.257</v>
      </c>
      <c r="J139" s="467">
        <v>200000</v>
      </c>
      <c r="K139" s="467">
        <v>0.2</v>
      </c>
      <c r="L139" s="467">
        <f t="shared" si="161"/>
        <v>1235787.8514</v>
      </c>
      <c r="M139" s="467">
        <f t="shared" si="162"/>
        <v>1435787.8514</v>
      </c>
      <c r="N139" s="467">
        <f t="shared" si="163"/>
        <v>1909333.5944</v>
      </c>
      <c r="O139" s="467">
        <f t="shared" si="164"/>
        <v>4743151.4056</v>
      </c>
      <c r="P139" s="467">
        <f t="shared" si="165"/>
        <v>21000</v>
      </c>
      <c r="Q139" s="467">
        <f t="shared" si="166"/>
        <v>33000</v>
      </c>
      <c r="R139" s="467">
        <f t="shared" si="167"/>
        <v>75000</v>
      </c>
      <c r="S139" s="467">
        <f t="shared" si="168"/>
        <v>95000</v>
      </c>
      <c r="T139" s="467">
        <f t="shared" si="169"/>
        <v>336000</v>
      </c>
      <c r="U139" s="467">
        <f t="shared" si="170"/>
        <v>370356.337344</v>
      </c>
      <c r="V139" s="467">
        <f t="shared" si="171"/>
        <v>930356.337344</v>
      </c>
      <c r="W139" s="474">
        <v>12</v>
      </c>
      <c r="X139" s="467">
        <f t="shared" si="172"/>
        <v>77529.6947786667</v>
      </c>
      <c r="Y139" s="470"/>
      <c r="Z139" s="467">
        <f t="shared" si="173"/>
        <v>77529.6947786667</v>
      </c>
      <c r="AA139" s="479">
        <v>46081.2025986667</v>
      </c>
      <c r="AB139" s="479">
        <f t="shared" si="174"/>
        <v>31448.49218</v>
      </c>
      <c r="AC139" s="479"/>
      <c r="AD139" s="479"/>
      <c r="AE139" s="479"/>
    </row>
    <row r="140" ht="18" spans="1:31">
      <c r="A140" s="464">
        <v>118</v>
      </c>
      <c r="B140" s="11" t="s">
        <v>178</v>
      </c>
      <c r="C140" s="467">
        <v>450086.5</v>
      </c>
      <c r="D140" s="466">
        <v>12</v>
      </c>
      <c r="E140" s="467">
        <f t="shared" si="159"/>
        <v>5401038</v>
      </c>
      <c r="F140" s="467">
        <f>576.62125*12</f>
        <v>6919.455</v>
      </c>
      <c r="G140" s="468">
        <v>374483.04</v>
      </c>
      <c r="H140" s="470"/>
      <c r="I140" s="467">
        <f t="shared" si="160"/>
        <v>5019635.505</v>
      </c>
      <c r="J140" s="467">
        <v>200000</v>
      </c>
      <c r="K140" s="467">
        <v>0.2</v>
      </c>
      <c r="L140" s="467">
        <f t="shared" si="161"/>
        <v>1003927.101</v>
      </c>
      <c r="M140" s="467">
        <f t="shared" si="162"/>
        <v>1203927.101</v>
      </c>
      <c r="N140" s="467">
        <f t="shared" si="163"/>
        <v>1585329.596</v>
      </c>
      <c r="O140" s="467">
        <f t="shared" si="164"/>
        <v>3815708.404</v>
      </c>
      <c r="P140" s="467">
        <f t="shared" si="165"/>
        <v>21000</v>
      </c>
      <c r="Q140" s="467">
        <f t="shared" si="166"/>
        <v>33000</v>
      </c>
      <c r="R140" s="467">
        <f t="shared" si="167"/>
        <v>75000</v>
      </c>
      <c r="S140" s="467">
        <f t="shared" si="168"/>
        <v>95000</v>
      </c>
      <c r="T140" s="467">
        <f t="shared" si="169"/>
        <v>336000</v>
      </c>
      <c r="U140" s="467">
        <f t="shared" si="170"/>
        <v>147770.01696</v>
      </c>
      <c r="V140" s="467">
        <f t="shared" si="171"/>
        <v>707770.01696</v>
      </c>
      <c r="W140" s="474">
        <v>12</v>
      </c>
      <c r="X140" s="467">
        <f t="shared" si="172"/>
        <v>58980.8347466667</v>
      </c>
      <c r="Y140" s="470"/>
      <c r="Z140" s="467">
        <f t="shared" si="173"/>
        <v>58980.8347466667</v>
      </c>
      <c r="AA140" s="479">
        <v>35221.9540866667</v>
      </c>
      <c r="AB140" s="479">
        <f t="shared" si="174"/>
        <v>23758.88066</v>
      </c>
      <c r="AC140" s="479"/>
      <c r="AD140" s="479"/>
      <c r="AE140" s="479"/>
    </row>
    <row r="141" ht="18" spans="1:31">
      <c r="A141" s="464">
        <v>119</v>
      </c>
      <c r="B141" s="11" t="s">
        <v>244</v>
      </c>
      <c r="C141" s="467">
        <v>450086.5</v>
      </c>
      <c r="D141" s="466">
        <v>12</v>
      </c>
      <c r="E141" s="467">
        <f t="shared" si="159"/>
        <v>5401038</v>
      </c>
      <c r="F141" s="467"/>
      <c r="G141" s="468">
        <v>374483.04</v>
      </c>
      <c r="H141" s="470"/>
      <c r="I141" s="467">
        <f t="shared" si="160"/>
        <v>5026554.96</v>
      </c>
      <c r="J141" s="467">
        <v>200000</v>
      </c>
      <c r="K141" s="467">
        <v>0.2</v>
      </c>
      <c r="L141" s="467">
        <f t="shared" si="161"/>
        <v>1005310.992</v>
      </c>
      <c r="M141" s="467">
        <f t="shared" si="162"/>
        <v>1205310.992</v>
      </c>
      <c r="N141" s="467">
        <f t="shared" si="163"/>
        <v>1579794.032</v>
      </c>
      <c r="O141" s="467">
        <f t="shared" si="164"/>
        <v>3821243.968</v>
      </c>
      <c r="P141" s="467">
        <f t="shared" si="165"/>
        <v>21000</v>
      </c>
      <c r="Q141" s="467">
        <f t="shared" si="166"/>
        <v>33000</v>
      </c>
      <c r="R141" s="467">
        <f t="shared" si="167"/>
        <v>75000</v>
      </c>
      <c r="S141" s="467">
        <f t="shared" si="168"/>
        <v>95000</v>
      </c>
      <c r="T141" s="467">
        <f t="shared" si="169"/>
        <v>336000</v>
      </c>
      <c r="U141" s="467">
        <f t="shared" si="170"/>
        <v>149098.55232</v>
      </c>
      <c r="V141" s="467">
        <f t="shared" si="171"/>
        <v>709098.55232</v>
      </c>
      <c r="W141" s="474">
        <v>12</v>
      </c>
      <c r="X141" s="467">
        <f t="shared" si="172"/>
        <v>59091.5460266667</v>
      </c>
      <c r="Y141" s="470"/>
      <c r="Z141" s="467">
        <f t="shared" si="173"/>
        <v>59091.5460266667</v>
      </c>
      <c r="AA141" s="479">
        <v>35318.8264566667</v>
      </c>
      <c r="AB141" s="479">
        <f t="shared" si="174"/>
        <v>23772.71957</v>
      </c>
      <c r="AC141" s="479"/>
      <c r="AD141" s="479"/>
      <c r="AE141" s="479"/>
    </row>
    <row r="142" ht="18" spans="1:31">
      <c r="A142" s="464">
        <v>120</v>
      </c>
      <c r="B142" s="11" t="s">
        <v>245</v>
      </c>
      <c r="C142" s="467">
        <v>450086.5</v>
      </c>
      <c r="D142" s="466">
        <v>12</v>
      </c>
      <c r="E142" s="467">
        <f t="shared" si="159"/>
        <v>5401038</v>
      </c>
      <c r="F142" s="467"/>
      <c r="G142" s="468">
        <v>374483.04</v>
      </c>
      <c r="H142" s="470"/>
      <c r="I142" s="467">
        <f t="shared" si="160"/>
        <v>5026554.96</v>
      </c>
      <c r="J142" s="467">
        <v>200000</v>
      </c>
      <c r="K142" s="467">
        <v>0.2</v>
      </c>
      <c r="L142" s="467">
        <f t="shared" si="161"/>
        <v>1005310.992</v>
      </c>
      <c r="M142" s="467">
        <f t="shared" si="162"/>
        <v>1205310.992</v>
      </c>
      <c r="N142" s="467">
        <f t="shared" si="163"/>
        <v>1579794.032</v>
      </c>
      <c r="O142" s="467">
        <f t="shared" si="164"/>
        <v>3821243.968</v>
      </c>
      <c r="P142" s="467">
        <f t="shared" si="165"/>
        <v>21000</v>
      </c>
      <c r="Q142" s="467">
        <f t="shared" si="166"/>
        <v>33000</v>
      </c>
      <c r="R142" s="467">
        <f t="shared" si="167"/>
        <v>75000</v>
      </c>
      <c r="S142" s="467">
        <f t="shared" si="168"/>
        <v>95000</v>
      </c>
      <c r="T142" s="467">
        <f t="shared" si="169"/>
        <v>336000</v>
      </c>
      <c r="U142" s="467">
        <f t="shared" si="170"/>
        <v>149098.55232</v>
      </c>
      <c r="V142" s="467">
        <f t="shared" si="171"/>
        <v>709098.55232</v>
      </c>
      <c r="W142" s="474">
        <v>12</v>
      </c>
      <c r="X142" s="467">
        <f t="shared" si="172"/>
        <v>59091.5460266667</v>
      </c>
      <c r="Y142" s="470"/>
      <c r="Z142" s="467">
        <f t="shared" si="173"/>
        <v>59091.5460266667</v>
      </c>
      <c r="AA142" s="479">
        <v>35318.8264566667</v>
      </c>
      <c r="AB142" s="479">
        <f t="shared" si="174"/>
        <v>23772.71957</v>
      </c>
      <c r="AC142" s="479"/>
      <c r="AD142" s="479"/>
      <c r="AE142" s="479"/>
    </row>
    <row r="143" ht="18" spans="1:31">
      <c r="A143" s="464">
        <v>121</v>
      </c>
      <c r="B143" s="11" t="s">
        <v>247</v>
      </c>
      <c r="C143" s="467">
        <v>437895.166666667</v>
      </c>
      <c r="D143" s="466">
        <v>12</v>
      </c>
      <c r="E143" s="467">
        <f t="shared" si="159"/>
        <v>5254742</v>
      </c>
      <c r="F143" s="467"/>
      <c r="G143" s="468">
        <v>362779.36</v>
      </c>
      <c r="H143" s="470"/>
      <c r="I143" s="467">
        <f t="shared" si="160"/>
        <v>4891962.64</v>
      </c>
      <c r="J143" s="467">
        <v>200000</v>
      </c>
      <c r="K143" s="467">
        <v>0.2</v>
      </c>
      <c r="L143" s="467">
        <f t="shared" si="161"/>
        <v>978392.528000001</v>
      </c>
      <c r="M143" s="467">
        <f t="shared" si="162"/>
        <v>1178392.528</v>
      </c>
      <c r="N143" s="467">
        <f t="shared" si="163"/>
        <v>1541171.888</v>
      </c>
      <c r="O143" s="467">
        <f t="shared" si="164"/>
        <v>3713570.112</v>
      </c>
      <c r="P143" s="467">
        <f t="shared" si="165"/>
        <v>21000</v>
      </c>
      <c r="Q143" s="467">
        <f t="shared" si="166"/>
        <v>33000</v>
      </c>
      <c r="R143" s="467">
        <f t="shared" si="167"/>
        <v>75000</v>
      </c>
      <c r="S143" s="467">
        <f t="shared" si="168"/>
        <v>95000</v>
      </c>
      <c r="T143" s="467">
        <f t="shared" si="169"/>
        <v>336000</v>
      </c>
      <c r="U143" s="467">
        <f t="shared" si="170"/>
        <v>123256.826880001</v>
      </c>
      <c r="V143" s="467">
        <f t="shared" si="171"/>
        <v>683256.826880001</v>
      </c>
      <c r="W143" s="474">
        <v>12</v>
      </c>
      <c r="X143" s="467">
        <f t="shared" si="172"/>
        <v>56938.0689066667</v>
      </c>
      <c r="Y143" s="470"/>
      <c r="Z143" s="467">
        <f t="shared" si="173"/>
        <v>56938.0689066667</v>
      </c>
      <c r="AA143" s="479">
        <v>34968.8824146667</v>
      </c>
      <c r="AB143" s="479">
        <f t="shared" si="174"/>
        <v>21969.186492</v>
      </c>
      <c r="AC143" s="479"/>
      <c r="AD143" s="479"/>
      <c r="AE143" s="479"/>
    </row>
    <row r="144" ht="18" spans="1:31">
      <c r="A144" s="464">
        <v>122</v>
      </c>
      <c r="B144" s="11" t="s">
        <v>249</v>
      </c>
      <c r="C144" s="467">
        <v>425703.833333333</v>
      </c>
      <c r="D144" s="466">
        <v>12</v>
      </c>
      <c r="E144" s="467">
        <f t="shared" si="159"/>
        <v>5108446</v>
      </c>
      <c r="F144" s="467">
        <f>538.022*12</f>
        <v>6456.264</v>
      </c>
      <c r="G144" s="468">
        <v>351075.68</v>
      </c>
      <c r="H144" s="470"/>
      <c r="I144" s="467">
        <f t="shared" si="160"/>
        <v>4750914.056</v>
      </c>
      <c r="J144" s="467">
        <v>200000</v>
      </c>
      <c r="K144" s="467">
        <v>0.2</v>
      </c>
      <c r="L144" s="467">
        <f t="shared" si="161"/>
        <v>950182.811199999</v>
      </c>
      <c r="M144" s="467">
        <f t="shared" si="162"/>
        <v>1150182.8112</v>
      </c>
      <c r="N144" s="467">
        <f t="shared" si="163"/>
        <v>1507714.7552</v>
      </c>
      <c r="O144" s="467">
        <f t="shared" si="164"/>
        <v>3600731.2448</v>
      </c>
      <c r="P144" s="467">
        <f t="shared" si="165"/>
        <v>21000</v>
      </c>
      <c r="Q144" s="467">
        <f t="shared" si="166"/>
        <v>33000</v>
      </c>
      <c r="R144" s="467">
        <f t="shared" si="167"/>
        <v>75000</v>
      </c>
      <c r="S144" s="467">
        <f t="shared" si="168"/>
        <v>95000</v>
      </c>
      <c r="T144" s="467">
        <f t="shared" si="169"/>
        <v>336000</v>
      </c>
      <c r="U144" s="467">
        <f t="shared" si="170"/>
        <v>96175.4987519992</v>
      </c>
      <c r="V144" s="467">
        <f t="shared" si="171"/>
        <v>656175.498751999</v>
      </c>
      <c r="W144" s="474">
        <v>12</v>
      </c>
      <c r="X144" s="467">
        <f t="shared" si="172"/>
        <v>54681.2915626666</v>
      </c>
      <c r="Y144" s="470"/>
      <c r="Z144" s="467">
        <f t="shared" si="173"/>
        <v>54681.2915626666</v>
      </c>
      <c r="AA144" s="479">
        <v>32848.5634026667</v>
      </c>
      <c r="AB144" s="479">
        <f t="shared" si="174"/>
        <v>21832.7281599999</v>
      </c>
      <c r="AC144" s="479"/>
      <c r="AD144" s="479"/>
      <c r="AE144" s="479"/>
    </row>
    <row r="145" ht="18" spans="1:31">
      <c r="A145" s="464">
        <v>123</v>
      </c>
      <c r="B145" s="11" t="s">
        <v>251</v>
      </c>
      <c r="C145" s="467">
        <v>450086.5</v>
      </c>
      <c r="D145" s="466">
        <v>12</v>
      </c>
      <c r="E145" s="467">
        <f t="shared" si="159"/>
        <v>5401038</v>
      </c>
      <c r="F145" s="467">
        <f>576.62125*12</f>
        <v>6919.455</v>
      </c>
      <c r="G145" s="468">
        <v>374483.04</v>
      </c>
      <c r="H145" s="470"/>
      <c r="I145" s="467">
        <f t="shared" si="160"/>
        <v>5019635.505</v>
      </c>
      <c r="J145" s="467">
        <v>200000</v>
      </c>
      <c r="K145" s="467">
        <v>0.2</v>
      </c>
      <c r="L145" s="467">
        <f t="shared" si="161"/>
        <v>1003927.101</v>
      </c>
      <c r="M145" s="467">
        <f t="shared" si="162"/>
        <v>1203927.101</v>
      </c>
      <c r="N145" s="467">
        <f t="shared" si="163"/>
        <v>1585329.596</v>
      </c>
      <c r="O145" s="467">
        <f t="shared" si="164"/>
        <v>3815708.404</v>
      </c>
      <c r="P145" s="467">
        <f t="shared" si="165"/>
        <v>21000</v>
      </c>
      <c r="Q145" s="467">
        <f t="shared" si="166"/>
        <v>33000</v>
      </c>
      <c r="R145" s="467">
        <f t="shared" si="167"/>
        <v>75000</v>
      </c>
      <c r="S145" s="467">
        <f t="shared" si="168"/>
        <v>95000</v>
      </c>
      <c r="T145" s="467">
        <f t="shared" si="169"/>
        <v>336000</v>
      </c>
      <c r="U145" s="467">
        <f t="shared" si="170"/>
        <v>147770.01696</v>
      </c>
      <c r="V145" s="467">
        <f t="shared" si="171"/>
        <v>707770.01696</v>
      </c>
      <c r="W145" s="474">
        <v>12</v>
      </c>
      <c r="X145" s="467">
        <f t="shared" si="172"/>
        <v>58980.8347466667</v>
      </c>
      <c r="Y145" s="470"/>
      <c r="Z145" s="467">
        <f t="shared" si="173"/>
        <v>58980.8347466667</v>
      </c>
      <c r="AA145" s="479">
        <v>35221.9540866667</v>
      </c>
      <c r="AB145" s="479">
        <f t="shared" si="174"/>
        <v>23758.88066</v>
      </c>
      <c r="AC145" s="479"/>
      <c r="AD145" s="479"/>
      <c r="AE145" s="479"/>
    </row>
    <row r="146" ht="18" spans="1:31">
      <c r="A146" s="464">
        <v>124</v>
      </c>
      <c r="B146" s="18" t="s">
        <v>254</v>
      </c>
      <c r="C146" s="467">
        <v>413512.5</v>
      </c>
      <c r="D146" s="466">
        <v>12</v>
      </c>
      <c r="E146" s="467">
        <f t="shared" si="159"/>
        <v>4962150</v>
      </c>
      <c r="F146" s="467">
        <v>0</v>
      </c>
      <c r="G146" s="468">
        <v>339372</v>
      </c>
      <c r="H146" s="470"/>
      <c r="I146" s="467">
        <f t="shared" si="160"/>
        <v>4622778</v>
      </c>
      <c r="J146" s="467">
        <v>200000</v>
      </c>
      <c r="K146" s="467">
        <v>0.2</v>
      </c>
      <c r="L146" s="467">
        <f t="shared" si="161"/>
        <v>924555.6</v>
      </c>
      <c r="M146" s="467">
        <f t="shared" si="162"/>
        <v>1124555.6</v>
      </c>
      <c r="N146" s="467">
        <f t="shared" si="163"/>
        <v>1463927.6</v>
      </c>
      <c r="O146" s="467">
        <f t="shared" si="164"/>
        <v>3498222.4</v>
      </c>
      <c r="P146" s="467">
        <f t="shared" si="165"/>
        <v>21000</v>
      </c>
      <c r="Q146" s="467">
        <f t="shared" si="166"/>
        <v>33000</v>
      </c>
      <c r="R146" s="467">
        <f t="shared" si="167"/>
        <v>75000</v>
      </c>
      <c r="S146" s="467">
        <f t="shared" si="168"/>
        <v>95000</v>
      </c>
      <c r="T146" s="467">
        <f t="shared" si="169"/>
        <v>336000</v>
      </c>
      <c r="U146" s="467">
        <f t="shared" si="170"/>
        <v>71573.376</v>
      </c>
      <c r="V146" s="467">
        <f t="shared" si="171"/>
        <v>631573.376</v>
      </c>
      <c r="W146" s="474">
        <v>12</v>
      </c>
      <c r="X146" s="467">
        <f t="shared" si="172"/>
        <v>52631.1146666667</v>
      </c>
      <c r="Y146" s="470"/>
      <c r="Z146" s="467">
        <f t="shared" si="173"/>
        <v>52631.1146666667</v>
      </c>
      <c r="AA146" s="479">
        <v>31749.1752666667</v>
      </c>
      <c r="AB146" s="479">
        <f t="shared" si="174"/>
        <v>20881.9394</v>
      </c>
      <c r="AC146" s="479"/>
      <c r="AD146" s="479"/>
      <c r="AE146" s="479"/>
    </row>
    <row r="147" ht="18" spans="1:31">
      <c r="A147" s="464">
        <v>125</v>
      </c>
      <c r="B147" s="11" t="s">
        <v>256</v>
      </c>
      <c r="C147" s="467">
        <v>368901.5</v>
      </c>
      <c r="D147" s="466">
        <v>12</v>
      </c>
      <c r="E147" s="467">
        <f t="shared" si="159"/>
        <v>4426818</v>
      </c>
      <c r="F147" s="467"/>
      <c r="G147" s="468">
        <v>296545.44</v>
      </c>
      <c r="H147" s="470"/>
      <c r="I147" s="467">
        <f t="shared" si="160"/>
        <v>4130272.56</v>
      </c>
      <c r="J147" s="467">
        <v>200000</v>
      </c>
      <c r="K147" s="467">
        <v>0.2</v>
      </c>
      <c r="L147" s="467">
        <f t="shared" si="161"/>
        <v>826054.512</v>
      </c>
      <c r="M147" s="467">
        <f t="shared" si="162"/>
        <v>1026054.512</v>
      </c>
      <c r="N147" s="467">
        <f t="shared" si="163"/>
        <v>1322599.952</v>
      </c>
      <c r="O147" s="467">
        <f t="shared" si="164"/>
        <v>3104218.048</v>
      </c>
      <c r="P147" s="467">
        <f t="shared" si="165"/>
        <v>21000</v>
      </c>
      <c r="Q147" s="467">
        <f t="shared" si="166"/>
        <v>33000</v>
      </c>
      <c r="R147" s="467">
        <f t="shared" si="167"/>
        <v>75000</v>
      </c>
      <c r="S147" s="467">
        <f t="shared" si="168"/>
        <v>95000</v>
      </c>
      <c r="T147" s="467">
        <f t="shared" si="169"/>
        <v>315885.79008</v>
      </c>
      <c r="U147" s="467"/>
      <c r="V147" s="467">
        <f t="shared" si="171"/>
        <v>539885.79008</v>
      </c>
      <c r="W147" s="474">
        <v>12</v>
      </c>
      <c r="X147" s="467">
        <f t="shared" si="172"/>
        <v>44990.4825066667</v>
      </c>
      <c r="Y147" s="470"/>
      <c r="Z147" s="467">
        <f t="shared" si="173"/>
        <v>44990.4825066667</v>
      </c>
      <c r="AA147" s="479">
        <v>27105.9865626667</v>
      </c>
      <c r="AB147" s="479">
        <f t="shared" si="174"/>
        <v>17884.495944</v>
      </c>
      <c r="AC147" s="479"/>
      <c r="AD147" s="479"/>
      <c r="AE147" s="479"/>
    </row>
    <row r="148" ht="18" spans="1:31">
      <c r="A148" s="464">
        <v>126</v>
      </c>
      <c r="B148" s="11" t="s">
        <v>257</v>
      </c>
      <c r="C148" s="467">
        <v>376837.416666667</v>
      </c>
      <c r="D148" s="466">
        <v>12</v>
      </c>
      <c r="E148" s="467">
        <f t="shared" si="159"/>
        <v>4522049</v>
      </c>
      <c r="F148" s="467">
        <f>469.4825*12</f>
        <v>5633.79</v>
      </c>
      <c r="G148" s="468">
        <v>304163.92</v>
      </c>
      <c r="H148" s="470"/>
      <c r="I148" s="467">
        <f t="shared" si="160"/>
        <v>4212251.29</v>
      </c>
      <c r="J148" s="467">
        <v>200000</v>
      </c>
      <c r="K148" s="467">
        <v>0.2</v>
      </c>
      <c r="L148" s="467">
        <f t="shared" si="161"/>
        <v>842450.258000001</v>
      </c>
      <c r="M148" s="467">
        <f t="shared" si="162"/>
        <v>1042450.258</v>
      </c>
      <c r="N148" s="467">
        <f t="shared" si="163"/>
        <v>1352247.968</v>
      </c>
      <c r="O148" s="467">
        <f t="shared" si="164"/>
        <v>3169801.032</v>
      </c>
      <c r="P148" s="467">
        <f t="shared" si="165"/>
        <v>21000</v>
      </c>
      <c r="Q148" s="467">
        <f t="shared" si="166"/>
        <v>33000</v>
      </c>
      <c r="R148" s="467">
        <f t="shared" si="167"/>
        <v>75000</v>
      </c>
      <c r="S148" s="467">
        <f t="shared" si="168"/>
        <v>95000</v>
      </c>
      <c r="T148" s="467">
        <f t="shared" si="169"/>
        <v>329658.216720001</v>
      </c>
      <c r="U148" s="467"/>
      <c r="V148" s="467">
        <f t="shared" si="171"/>
        <v>553658.216720001</v>
      </c>
      <c r="W148" s="474">
        <v>12</v>
      </c>
      <c r="X148" s="467">
        <f t="shared" si="172"/>
        <v>46138.1847266667</v>
      </c>
      <c r="Y148" s="470"/>
      <c r="Z148" s="467">
        <f t="shared" si="173"/>
        <v>46138.1847266667</v>
      </c>
      <c r="AA148" s="479">
        <v>27794.2066266667</v>
      </c>
      <c r="AB148" s="479">
        <f t="shared" si="174"/>
        <v>18343.9781</v>
      </c>
      <c r="AC148" s="479"/>
      <c r="AD148" s="479"/>
      <c r="AE148" s="479"/>
    </row>
    <row r="149" ht="18" spans="1:31">
      <c r="A149" s="464">
        <v>127</v>
      </c>
      <c r="B149" s="11" t="s">
        <v>258</v>
      </c>
      <c r="C149" s="467">
        <v>376837.416666667</v>
      </c>
      <c r="D149" s="466">
        <v>12</v>
      </c>
      <c r="E149" s="467">
        <f t="shared" si="159"/>
        <v>4522049</v>
      </c>
      <c r="F149" s="467"/>
      <c r="G149" s="468">
        <v>304163.92</v>
      </c>
      <c r="H149" s="470"/>
      <c r="I149" s="467">
        <f t="shared" si="160"/>
        <v>4217885.08</v>
      </c>
      <c r="J149" s="467">
        <v>200000</v>
      </c>
      <c r="K149" s="467">
        <v>0.2</v>
      </c>
      <c r="L149" s="467">
        <f t="shared" si="161"/>
        <v>843577.016000001</v>
      </c>
      <c r="M149" s="467">
        <f t="shared" si="162"/>
        <v>1043577.016</v>
      </c>
      <c r="N149" s="467">
        <f t="shared" si="163"/>
        <v>1347740.936</v>
      </c>
      <c r="O149" s="467">
        <f t="shared" si="164"/>
        <v>3174308.064</v>
      </c>
      <c r="P149" s="467">
        <f t="shared" si="165"/>
        <v>21000</v>
      </c>
      <c r="Q149" s="467">
        <f t="shared" si="166"/>
        <v>33000</v>
      </c>
      <c r="R149" s="467">
        <f t="shared" si="167"/>
        <v>75000</v>
      </c>
      <c r="S149" s="467">
        <f t="shared" si="168"/>
        <v>95000</v>
      </c>
      <c r="T149" s="467">
        <f t="shared" si="169"/>
        <v>330604.693440001</v>
      </c>
      <c r="U149" s="467"/>
      <c r="V149" s="467">
        <f t="shared" si="171"/>
        <v>554604.693440001</v>
      </c>
      <c r="W149" s="474">
        <v>12</v>
      </c>
      <c r="X149" s="467">
        <f t="shared" si="172"/>
        <v>46217.0577866667</v>
      </c>
      <c r="Y149" s="470"/>
      <c r="Z149" s="467">
        <f t="shared" si="173"/>
        <v>46217.0577866667</v>
      </c>
      <c r="AA149" s="479">
        <v>27873.0796866667</v>
      </c>
      <c r="AB149" s="479">
        <f t="shared" si="174"/>
        <v>18343.9781</v>
      </c>
      <c r="AC149" s="479"/>
      <c r="AD149" s="479"/>
      <c r="AE149" s="479"/>
    </row>
    <row r="150" ht="18" spans="1:31">
      <c r="A150" s="464">
        <v>128</v>
      </c>
      <c r="B150" s="11" t="s">
        <v>259</v>
      </c>
      <c r="C150" s="467">
        <v>360965.583333333</v>
      </c>
      <c r="D150" s="466">
        <v>12</v>
      </c>
      <c r="E150" s="467">
        <f t="shared" si="159"/>
        <v>4331587</v>
      </c>
      <c r="F150" s="467"/>
      <c r="G150" s="468">
        <v>288926.96</v>
      </c>
      <c r="H150" s="470"/>
      <c r="I150" s="467">
        <f t="shared" si="160"/>
        <v>4042660.04</v>
      </c>
      <c r="J150" s="467">
        <v>200000</v>
      </c>
      <c r="K150" s="467">
        <v>0.2</v>
      </c>
      <c r="L150" s="467">
        <f t="shared" si="161"/>
        <v>808532.007999999</v>
      </c>
      <c r="M150" s="467">
        <f t="shared" si="162"/>
        <v>1008532.008</v>
      </c>
      <c r="N150" s="467">
        <f t="shared" si="163"/>
        <v>1297458.968</v>
      </c>
      <c r="O150" s="467">
        <f t="shared" si="164"/>
        <v>3034128.032</v>
      </c>
      <c r="P150" s="467">
        <f t="shared" si="165"/>
        <v>21000</v>
      </c>
      <c r="Q150" s="467">
        <f t="shared" si="166"/>
        <v>33000</v>
      </c>
      <c r="R150" s="467">
        <f t="shared" si="167"/>
        <v>75000</v>
      </c>
      <c r="S150" s="467">
        <f t="shared" si="168"/>
        <v>95000</v>
      </c>
      <c r="T150" s="467">
        <f t="shared" si="169"/>
        <v>301166.886719999</v>
      </c>
      <c r="U150" s="467"/>
      <c r="V150" s="467">
        <f t="shared" si="171"/>
        <v>525166.886719999</v>
      </c>
      <c r="W150" s="474">
        <v>12</v>
      </c>
      <c r="X150" s="467">
        <f t="shared" si="172"/>
        <v>43763.9072266666</v>
      </c>
      <c r="Y150" s="470"/>
      <c r="Z150" s="467">
        <f t="shared" si="173"/>
        <v>43763.9072266666</v>
      </c>
      <c r="AA150" s="479">
        <v>27105.9865626667</v>
      </c>
      <c r="AB150" s="479">
        <f t="shared" si="174"/>
        <v>16657.9206639999</v>
      </c>
      <c r="AC150" s="479"/>
      <c r="AD150" s="479"/>
      <c r="AE150" s="479"/>
    </row>
    <row r="151" ht="36" spans="1:31">
      <c r="A151" s="464">
        <v>129</v>
      </c>
      <c r="B151" s="11" t="s">
        <v>261</v>
      </c>
      <c r="C151" s="467">
        <v>323165.333333333</v>
      </c>
      <c r="D151" s="466">
        <v>12</v>
      </c>
      <c r="E151" s="467">
        <f t="shared" si="159"/>
        <v>3877984</v>
      </c>
      <c r="F151" s="467"/>
      <c r="G151" s="468">
        <v>252638.72</v>
      </c>
      <c r="H151" s="470"/>
      <c r="I151" s="467">
        <f t="shared" si="160"/>
        <v>3625345.28</v>
      </c>
      <c r="J151" s="467">
        <v>200000</v>
      </c>
      <c r="K151" s="467">
        <v>0.2</v>
      </c>
      <c r="L151" s="467">
        <f t="shared" si="161"/>
        <v>725069.055999999</v>
      </c>
      <c r="M151" s="467">
        <f t="shared" si="162"/>
        <v>925069.055999999</v>
      </c>
      <c r="N151" s="467">
        <f t="shared" si="163"/>
        <v>1177707.776</v>
      </c>
      <c r="O151" s="467">
        <f t="shared" si="164"/>
        <v>2700276.224</v>
      </c>
      <c r="P151" s="467">
        <f t="shared" si="165"/>
        <v>21000</v>
      </c>
      <c r="Q151" s="467">
        <f t="shared" si="166"/>
        <v>33000</v>
      </c>
      <c r="R151" s="467">
        <f t="shared" si="167"/>
        <v>75000</v>
      </c>
      <c r="S151" s="467">
        <f t="shared" si="168"/>
        <v>95000</v>
      </c>
      <c r="T151" s="467">
        <f t="shared" si="169"/>
        <v>231058.007039999</v>
      </c>
      <c r="U151" s="467"/>
      <c r="V151" s="467">
        <f t="shared" si="171"/>
        <v>455058.007039999</v>
      </c>
      <c r="W151" s="474">
        <v>12</v>
      </c>
      <c r="X151" s="467">
        <f t="shared" si="172"/>
        <v>37921.5005866666</v>
      </c>
      <c r="Y151" s="470"/>
      <c r="Z151" s="467">
        <f t="shared" si="173"/>
        <v>37921.5005866666</v>
      </c>
      <c r="AA151" s="479">
        <v>22338.4826046667</v>
      </c>
      <c r="AB151" s="479">
        <f t="shared" si="174"/>
        <v>15583.0179819999</v>
      </c>
      <c r="AC151" s="479"/>
      <c r="AD151" s="479"/>
      <c r="AE151" s="479"/>
    </row>
    <row r="152" ht="18" spans="1:31">
      <c r="A152" s="464">
        <v>130</v>
      </c>
      <c r="B152" s="11" t="s">
        <v>263</v>
      </c>
      <c r="C152" s="467">
        <v>368901.5</v>
      </c>
      <c r="D152" s="466">
        <v>12</v>
      </c>
      <c r="E152" s="467">
        <f t="shared" si="159"/>
        <v>4426818</v>
      </c>
      <c r="F152" s="467"/>
      <c r="G152" s="468">
        <v>296545.44</v>
      </c>
      <c r="H152" s="470"/>
      <c r="I152" s="467">
        <f t="shared" si="160"/>
        <v>4130272.56</v>
      </c>
      <c r="J152" s="467">
        <v>200000</v>
      </c>
      <c r="K152" s="467">
        <v>0.2</v>
      </c>
      <c r="L152" s="467">
        <f t="shared" si="161"/>
        <v>826054.512</v>
      </c>
      <c r="M152" s="467">
        <f t="shared" si="162"/>
        <v>1026054.512</v>
      </c>
      <c r="N152" s="467">
        <f t="shared" si="163"/>
        <v>1322599.952</v>
      </c>
      <c r="O152" s="467">
        <f t="shared" si="164"/>
        <v>3104218.048</v>
      </c>
      <c r="P152" s="467">
        <f t="shared" si="165"/>
        <v>21000</v>
      </c>
      <c r="Q152" s="467">
        <f t="shared" si="166"/>
        <v>33000</v>
      </c>
      <c r="R152" s="467">
        <f t="shared" si="167"/>
        <v>75000</v>
      </c>
      <c r="S152" s="467">
        <f t="shared" si="168"/>
        <v>95000</v>
      </c>
      <c r="T152" s="467">
        <f t="shared" si="169"/>
        <v>315885.79008</v>
      </c>
      <c r="U152" s="467"/>
      <c r="V152" s="467">
        <f t="shared" si="171"/>
        <v>539885.79008</v>
      </c>
      <c r="W152" s="474">
        <v>12</v>
      </c>
      <c r="X152" s="467">
        <f t="shared" si="172"/>
        <v>44990.4825066667</v>
      </c>
      <c r="Y152" s="470"/>
      <c r="Z152" s="467">
        <f t="shared" si="173"/>
        <v>44990.4825066667</v>
      </c>
      <c r="AA152" s="479">
        <v>27105.9865626667</v>
      </c>
      <c r="AB152" s="479">
        <f t="shared" si="174"/>
        <v>17884.495944</v>
      </c>
      <c r="AC152" s="479"/>
      <c r="AD152" s="479"/>
      <c r="AE152" s="479"/>
    </row>
    <row r="153" ht="18" spans="1:31">
      <c r="A153" s="464">
        <v>131</v>
      </c>
      <c r="B153" s="11" t="s">
        <v>266</v>
      </c>
      <c r="C153" s="467">
        <v>330481.666666667</v>
      </c>
      <c r="D153" s="466">
        <v>12</v>
      </c>
      <c r="E153" s="467">
        <f t="shared" si="159"/>
        <v>3965780</v>
      </c>
      <c r="F153" s="467"/>
      <c r="G153" s="468">
        <v>259662.4</v>
      </c>
      <c r="H153" s="470"/>
      <c r="I153" s="467">
        <f t="shared" si="160"/>
        <v>3706117.6</v>
      </c>
      <c r="J153" s="467">
        <v>200000</v>
      </c>
      <c r="K153" s="467">
        <v>0.2</v>
      </c>
      <c r="L153" s="467">
        <f t="shared" si="161"/>
        <v>741223.520000001</v>
      </c>
      <c r="M153" s="467">
        <f t="shared" si="162"/>
        <v>941223.520000001</v>
      </c>
      <c r="N153" s="467">
        <f t="shared" si="163"/>
        <v>1200885.92</v>
      </c>
      <c r="O153" s="467">
        <f t="shared" si="164"/>
        <v>2764894.08</v>
      </c>
      <c r="P153" s="467">
        <f t="shared" si="165"/>
        <v>21000</v>
      </c>
      <c r="Q153" s="467">
        <f t="shared" si="166"/>
        <v>33000</v>
      </c>
      <c r="R153" s="467">
        <f t="shared" si="167"/>
        <v>75000</v>
      </c>
      <c r="S153" s="467">
        <f t="shared" si="168"/>
        <v>95000</v>
      </c>
      <c r="T153" s="467">
        <f t="shared" si="169"/>
        <v>244627.756800001</v>
      </c>
      <c r="U153" s="467"/>
      <c r="V153" s="467">
        <f t="shared" si="171"/>
        <v>468627.756800001</v>
      </c>
      <c r="W153" s="474">
        <v>12</v>
      </c>
      <c r="X153" s="467">
        <f t="shared" si="172"/>
        <v>39052.3130666667</v>
      </c>
      <c r="Y153" s="470"/>
      <c r="Z153" s="467">
        <f t="shared" si="173"/>
        <v>39052.3130666667</v>
      </c>
      <c r="AA153" s="479">
        <v>23036.0123466667</v>
      </c>
      <c r="AB153" s="479">
        <f t="shared" si="174"/>
        <v>16016.30072</v>
      </c>
      <c r="AC153" s="479"/>
      <c r="AD153" s="479"/>
      <c r="AE153" s="479"/>
    </row>
    <row r="154" ht="18" spans="1:31">
      <c r="A154" s="464">
        <v>132</v>
      </c>
      <c r="B154" s="11" t="s">
        <v>268</v>
      </c>
      <c r="C154" s="467">
        <v>368901.5</v>
      </c>
      <c r="D154" s="466">
        <v>12</v>
      </c>
      <c r="E154" s="467">
        <f t="shared" si="159"/>
        <v>4426818</v>
      </c>
      <c r="F154" s="467">
        <f>457.041*12</f>
        <v>5484.492</v>
      </c>
      <c r="G154" s="468">
        <v>296545.44</v>
      </c>
      <c r="H154" s="470"/>
      <c r="I154" s="467">
        <f t="shared" si="160"/>
        <v>4124788.068</v>
      </c>
      <c r="J154" s="467">
        <v>200000</v>
      </c>
      <c r="K154" s="467">
        <v>0.2</v>
      </c>
      <c r="L154" s="467">
        <f t="shared" si="161"/>
        <v>824957.6136</v>
      </c>
      <c r="M154" s="467">
        <f t="shared" si="162"/>
        <v>1024957.6136</v>
      </c>
      <c r="N154" s="467">
        <f t="shared" si="163"/>
        <v>1326987.5456</v>
      </c>
      <c r="O154" s="467">
        <f t="shared" si="164"/>
        <v>3099830.4544</v>
      </c>
      <c r="P154" s="467">
        <f t="shared" si="165"/>
        <v>21000</v>
      </c>
      <c r="Q154" s="467">
        <f t="shared" si="166"/>
        <v>33000</v>
      </c>
      <c r="R154" s="467">
        <f t="shared" si="167"/>
        <v>75000</v>
      </c>
      <c r="S154" s="467">
        <f t="shared" si="168"/>
        <v>95000</v>
      </c>
      <c r="T154" s="467">
        <f t="shared" si="169"/>
        <v>314964.395424</v>
      </c>
      <c r="U154" s="467"/>
      <c r="V154" s="467">
        <f t="shared" si="171"/>
        <v>538964.395424</v>
      </c>
      <c r="W154" s="474">
        <v>12</v>
      </c>
      <c r="X154" s="467">
        <f t="shared" si="172"/>
        <v>44913.6996186667</v>
      </c>
      <c r="Y154" s="470"/>
      <c r="Z154" s="467">
        <f t="shared" si="173"/>
        <v>44913.6996186667</v>
      </c>
      <c r="AA154" s="479">
        <v>27029.2036746667</v>
      </c>
      <c r="AB154" s="479">
        <f t="shared" si="174"/>
        <v>17884.495944</v>
      </c>
      <c r="AC154" s="479"/>
      <c r="AD154" s="479"/>
      <c r="AE154" s="479"/>
    </row>
    <row r="155" ht="18" spans="1:31">
      <c r="A155" s="464">
        <v>133</v>
      </c>
      <c r="B155" s="11" t="s">
        <v>270</v>
      </c>
      <c r="C155" s="467">
        <v>330481.666666667</v>
      </c>
      <c r="D155" s="466">
        <v>12</v>
      </c>
      <c r="E155" s="467">
        <f t="shared" si="159"/>
        <v>3965780</v>
      </c>
      <c r="F155" s="467"/>
      <c r="G155" s="468">
        <v>259662.4</v>
      </c>
      <c r="H155" s="470"/>
      <c r="I155" s="467">
        <f t="shared" si="160"/>
        <v>3706117.6</v>
      </c>
      <c r="J155" s="467">
        <v>200000</v>
      </c>
      <c r="K155" s="467">
        <v>0.2</v>
      </c>
      <c r="L155" s="467">
        <f t="shared" si="161"/>
        <v>741223.520000001</v>
      </c>
      <c r="M155" s="467">
        <f t="shared" si="162"/>
        <v>941223.520000001</v>
      </c>
      <c r="N155" s="467">
        <f t="shared" si="163"/>
        <v>1200885.92</v>
      </c>
      <c r="O155" s="467">
        <f t="shared" si="164"/>
        <v>2764894.08</v>
      </c>
      <c r="P155" s="467">
        <f t="shared" si="165"/>
        <v>21000</v>
      </c>
      <c r="Q155" s="467">
        <f t="shared" si="166"/>
        <v>33000</v>
      </c>
      <c r="R155" s="467">
        <f t="shared" si="167"/>
        <v>75000</v>
      </c>
      <c r="S155" s="467">
        <f t="shared" si="168"/>
        <v>95000</v>
      </c>
      <c r="T155" s="467">
        <f t="shared" si="169"/>
        <v>244627.756800001</v>
      </c>
      <c r="U155" s="467"/>
      <c r="V155" s="467">
        <f t="shared" si="171"/>
        <v>468627.756800001</v>
      </c>
      <c r="W155" s="474">
        <v>12</v>
      </c>
      <c r="X155" s="467">
        <f t="shared" si="172"/>
        <v>39052.3130666667</v>
      </c>
      <c r="Y155" s="470"/>
      <c r="Z155" s="467">
        <f t="shared" si="173"/>
        <v>39052.3130666667</v>
      </c>
      <c r="AA155" s="479">
        <v>22338.4826046667</v>
      </c>
      <c r="AB155" s="479">
        <f t="shared" si="174"/>
        <v>16713.830462</v>
      </c>
      <c r="AC155" s="479"/>
      <c r="AD155" s="479"/>
      <c r="AE155" s="479"/>
    </row>
    <row r="156" ht="18" spans="1:31">
      <c r="A156" s="464">
        <v>134</v>
      </c>
      <c r="B156" s="18" t="s">
        <v>272</v>
      </c>
      <c r="C156" s="467">
        <v>315849</v>
      </c>
      <c r="D156" s="466">
        <v>12</v>
      </c>
      <c r="E156" s="467">
        <f t="shared" si="159"/>
        <v>3790188</v>
      </c>
      <c r="F156" s="467"/>
      <c r="G156" s="468">
        <v>245615.04</v>
      </c>
      <c r="H156" s="470"/>
      <c r="I156" s="467">
        <f t="shared" si="160"/>
        <v>3544572.96</v>
      </c>
      <c r="J156" s="467">
        <v>200000</v>
      </c>
      <c r="K156" s="467">
        <v>0.2</v>
      </c>
      <c r="L156" s="467">
        <f t="shared" si="161"/>
        <v>708914.592</v>
      </c>
      <c r="M156" s="467">
        <f t="shared" si="162"/>
        <v>908914.592</v>
      </c>
      <c r="N156" s="467">
        <f t="shared" si="163"/>
        <v>1154529.632</v>
      </c>
      <c r="O156" s="467">
        <f t="shared" si="164"/>
        <v>2635658.368</v>
      </c>
      <c r="P156" s="467">
        <f t="shared" si="165"/>
        <v>21000</v>
      </c>
      <c r="Q156" s="467">
        <f t="shared" si="166"/>
        <v>33000</v>
      </c>
      <c r="R156" s="467">
        <f t="shared" si="167"/>
        <v>75000</v>
      </c>
      <c r="S156" s="467">
        <f t="shared" si="168"/>
        <v>95000</v>
      </c>
      <c r="T156" s="467">
        <f t="shared" si="169"/>
        <v>217488.25728</v>
      </c>
      <c r="U156" s="467"/>
      <c r="V156" s="467">
        <f t="shared" si="171"/>
        <v>441488.25728</v>
      </c>
      <c r="W156" s="474">
        <v>12</v>
      </c>
      <c r="X156" s="467">
        <f t="shared" si="172"/>
        <v>36790.6881066667</v>
      </c>
      <c r="Y156" s="470"/>
      <c r="Z156" s="467">
        <f t="shared" si="173"/>
        <v>36790.6881066667</v>
      </c>
      <c r="AA156" s="479">
        <v>21640.9528626667</v>
      </c>
      <c r="AB156" s="479">
        <f t="shared" si="174"/>
        <v>15149.735244</v>
      </c>
      <c r="AC156" s="479"/>
      <c r="AD156" s="479"/>
      <c r="AE156" s="479"/>
    </row>
    <row r="157" ht="18" spans="1:31">
      <c r="A157" s="464">
        <v>135</v>
      </c>
      <c r="B157" s="18" t="s">
        <v>275</v>
      </c>
      <c r="C157" s="467">
        <v>274459.75</v>
      </c>
      <c r="D157" s="466">
        <v>12</v>
      </c>
      <c r="E157" s="467">
        <f t="shared" si="159"/>
        <v>3293517</v>
      </c>
      <c r="F157" s="467">
        <v>0</v>
      </c>
      <c r="G157" s="468">
        <v>215481.36</v>
      </c>
      <c r="H157" s="470"/>
      <c r="I157" s="467">
        <f t="shared" si="160"/>
        <v>3078035.64</v>
      </c>
      <c r="J157" s="467">
        <v>200000</v>
      </c>
      <c r="K157" s="467">
        <v>0.2</v>
      </c>
      <c r="L157" s="467">
        <f t="shared" si="161"/>
        <v>615607.128</v>
      </c>
      <c r="M157" s="467">
        <f t="shared" si="162"/>
        <v>815607.128</v>
      </c>
      <c r="N157" s="467">
        <f t="shared" si="163"/>
        <v>1031088.488</v>
      </c>
      <c r="O157" s="467">
        <f t="shared" si="164"/>
        <v>2262428.512</v>
      </c>
      <c r="P157" s="467">
        <f t="shared" si="165"/>
        <v>21000</v>
      </c>
      <c r="Q157" s="467">
        <f t="shared" si="166"/>
        <v>33000</v>
      </c>
      <c r="R157" s="467">
        <f t="shared" si="167"/>
        <v>75000</v>
      </c>
      <c r="S157" s="467">
        <f t="shared" si="168"/>
        <v>95000</v>
      </c>
      <c r="T157" s="467">
        <f t="shared" si="169"/>
        <v>139109.98752</v>
      </c>
      <c r="U157" s="467"/>
      <c r="V157" s="467">
        <f t="shared" si="171"/>
        <v>363109.98752</v>
      </c>
      <c r="W157" s="474">
        <v>12</v>
      </c>
      <c r="X157" s="467">
        <f t="shared" si="172"/>
        <v>30259.1656266667</v>
      </c>
      <c r="Y157" s="470"/>
      <c r="Z157" s="467">
        <f t="shared" si="173"/>
        <v>30259.1656266667</v>
      </c>
      <c r="AA157" s="479">
        <v>17042.7138666667</v>
      </c>
      <c r="AB157" s="479">
        <f t="shared" si="174"/>
        <v>13216.45176</v>
      </c>
      <c r="AC157" s="479"/>
      <c r="AD157" s="479"/>
      <c r="AE157" s="479"/>
    </row>
    <row r="158" ht="18" spans="1:31">
      <c r="A158" s="464">
        <v>136</v>
      </c>
      <c r="B158" s="18" t="s">
        <v>277</v>
      </c>
      <c r="C158" s="467">
        <v>274459.75</v>
      </c>
      <c r="D158" s="466">
        <v>12</v>
      </c>
      <c r="E158" s="467">
        <f t="shared" si="159"/>
        <v>3293517</v>
      </c>
      <c r="F158" s="467">
        <v>0</v>
      </c>
      <c r="G158" s="468">
        <v>215481.36</v>
      </c>
      <c r="H158" s="470"/>
      <c r="I158" s="467">
        <f t="shared" si="160"/>
        <v>3078035.64</v>
      </c>
      <c r="J158" s="467">
        <v>200000</v>
      </c>
      <c r="K158" s="467">
        <v>0.2</v>
      </c>
      <c r="L158" s="467">
        <f t="shared" si="161"/>
        <v>615607.128</v>
      </c>
      <c r="M158" s="467">
        <f t="shared" si="162"/>
        <v>815607.128</v>
      </c>
      <c r="N158" s="467">
        <f t="shared" si="163"/>
        <v>1031088.488</v>
      </c>
      <c r="O158" s="467">
        <f t="shared" si="164"/>
        <v>2262428.512</v>
      </c>
      <c r="P158" s="467">
        <f t="shared" si="165"/>
        <v>21000</v>
      </c>
      <c r="Q158" s="467">
        <f t="shared" si="166"/>
        <v>33000</v>
      </c>
      <c r="R158" s="467">
        <f t="shared" si="167"/>
        <v>75000</v>
      </c>
      <c r="S158" s="467">
        <f t="shared" si="168"/>
        <v>95000</v>
      </c>
      <c r="T158" s="467">
        <f t="shared" si="169"/>
        <v>139109.98752</v>
      </c>
      <c r="U158" s="467"/>
      <c r="V158" s="467">
        <f t="shared" si="171"/>
        <v>363109.98752</v>
      </c>
      <c r="W158" s="474">
        <v>12</v>
      </c>
      <c r="X158" s="467">
        <f t="shared" si="172"/>
        <v>30259.1656266667</v>
      </c>
      <c r="Y158" s="470"/>
      <c r="Z158" s="467">
        <f t="shared" si="173"/>
        <v>30259.1656266667</v>
      </c>
      <c r="AA158" s="479">
        <v>17042.7138666667</v>
      </c>
      <c r="AB158" s="479">
        <f t="shared" si="174"/>
        <v>13216.45176</v>
      </c>
      <c r="AC158" s="479"/>
      <c r="AD158" s="479"/>
      <c r="AE158" s="479"/>
    </row>
    <row r="159" ht="18" spans="1:31">
      <c r="A159" s="464">
        <v>137</v>
      </c>
      <c r="B159" s="18" t="s">
        <v>279</v>
      </c>
      <c r="C159" s="467">
        <v>274459.75</v>
      </c>
      <c r="D159" s="466">
        <v>12</v>
      </c>
      <c r="E159" s="467">
        <f t="shared" si="159"/>
        <v>3293517</v>
      </c>
      <c r="F159" s="467">
        <v>0</v>
      </c>
      <c r="G159" s="468">
        <v>215481.36</v>
      </c>
      <c r="H159" s="470"/>
      <c r="I159" s="467">
        <f t="shared" si="160"/>
        <v>3078035.64</v>
      </c>
      <c r="J159" s="467">
        <v>200000</v>
      </c>
      <c r="K159" s="467">
        <v>0.2</v>
      </c>
      <c r="L159" s="467">
        <f t="shared" si="161"/>
        <v>615607.128</v>
      </c>
      <c r="M159" s="467">
        <f t="shared" si="162"/>
        <v>815607.128</v>
      </c>
      <c r="N159" s="467">
        <f t="shared" si="163"/>
        <v>1031088.488</v>
      </c>
      <c r="O159" s="467">
        <f t="shared" si="164"/>
        <v>2262428.512</v>
      </c>
      <c r="P159" s="467">
        <f t="shared" si="165"/>
        <v>21000</v>
      </c>
      <c r="Q159" s="467">
        <f t="shared" si="166"/>
        <v>33000</v>
      </c>
      <c r="R159" s="467">
        <f t="shared" si="167"/>
        <v>75000</v>
      </c>
      <c r="S159" s="467">
        <f t="shared" si="168"/>
        <v>95000</v>
      </c>
      <c r="T159" s="467">
        <f t="shared" si="169"/>
        <v>139109.98752</v>
      </c>
      <c r="U159" s="467"/>
      <c r="V159" s="467">
        <f t="shared" si="171"/>
        <v>363109.98752</v>
      </c>
      <c r="W159" s="474">
        <v>12</v>
      </c>
      <c r="X159" s="467">
        <f t="shared" si="172"/>
        <v>30259.1656266667</v>
      </c>
      <c r="Y159" s="470"/>
      <c r="Z159" s="467">
        <f t="shared" si="173"/>
        <v>30259.1656266667</v>
      </c>
      <c r="AA159" s="479">
        <v>17042.7138666667</v>
      </c>
      <c r="AB159" s="479">
        <f t="shared" si="174"/>
        <v>13216.45176</v>
      </c>
      <c r="AC159" s="479"/>
      <c r="AD159" s="479"/>
      <c r="AE159" s="479"/>
    </row>
    <row r="160" ht="18" spans="1:31">
      <c r="A160" s="464">
        <v>138</v>
      </c>
      <c r="B160" s="18" t="s">
        <v>281</v>
      </c>
      <c r="C160" s="467">
        <v>280631.916666667</v>
      </c>
      <c r="D160" s="466">
        <v>12</v>
      </c>
      <c r="E160" s="467">
        <f t="shared" si="159"/>
        <v>3367583</v>
      </c>
      <c r="F160" s="467">
        <v>0</v>
      </c>
      <c r="G160" s="468">
        <v>221406.64</v>
      </c>
      <c r="H160" s="470"/>
      <c r="I160" s="467">
        <f t="shared" si="160"/>
        <v>3146176.36</v>
      </c>
      <c r="J160" s="467">
        <v>200000</v>
      </c>
      <c r="K160" s="467">
        <v>0.2</v>
      </c>
      <c r="L160" s="467">
        <f t="shared" si="161"/>
        <v>629235.272000001</v>
      </c>
      <c r="M160" s="467">
        <f t="shared" si="162"/>
        <v>829235.272000001</v>
      </c>
      <c r="N160" s="467">
        <f t="shared" si="163"/>
        <v>1050641.912</v>
      </c>
      <c r="O160" s="467">
        <f t="shared" si="164"/>
        <v>2316941.088</v>
      </c>
      <c r="P160" s="467">
        <f t="shared" si="165"/>
        <v>21000</v>
      </c>
      <c r="Q160" s="467">
        <f t="shared" si="166"/>
        <v>33000</v>
      </c>
      <c r="R160" s="467">
        <f t="shared" si="167"/>
        <v>75000</v>
      </c>
      <c r="S160" s="467">
        <f t="shared" si="168"/>
        <v>95000</v>
      </c>
      <c r="T160" s="467">
        <f t="shared" si="169"/>
        <v>150557.628480001</v>
      </c>
      <c r="U160" s="467"/>
      <c r="V160" s="467">
        <f t="shared" si="171"/>
        <v>374557.628480001</v>
      </c>
      <c r="W160" s="474">
        <v>12</v>
      </c>
      <c r="X160" s="467">
        <f t="shared" si="172"/>
        <v>31213.1357066667</v>
      </c>
      <c r="Y160" s="470"/>
      <c r="Z160" s="467">
        <f t="shared" si="173"/>
        <v>31213.1357066667</v>
      </c>
      <c r="AA160" s="479">
        <v>17572.8850026667</v>
      </c>
      <c r="AB160" s="479">
        <f t="shared" si="174"/>
        <v>13640.250704</v>
      </c>
      <c r="AC160" s="479"/>
      <c r="AD160" s="479"/>
      <c r="AE160" s="479"/>
    </row>
    <row r="161" ht="18" spans="1:31">
      <c r="A161" s="464">
        <v>139</v>
      </c>
      <c r="B161" s="18" t="s">
        <v>283</v>
      </c>
      <c r="C161" s="467">
        <v>274459.75</v>
      </c>
      <c r="D161" s="466">
        <v>12</v>
      </c>
      <c r="E161" s="467">
        <f t="shared" si="159"/>
        <v>3293517</v>
      </c>
      <c r="F161" s="467">
        <v>0</v>
      </c>
      <c r="G161" s="468">
        <v>215481.36</v>
      </c>
      <c r="H161" s="470"/>
      <c r="I161" s="467">
        <f t="shared" si="160"/>
        <v>3078035.64</v>
      </c>
      <c r="J161" s="467">
        <v>200000</v>
      </c>
      <c r="K161" s="467">
        <v>0.2</v>
      </c>
      <c r="L161" s="467">
        <f t="shared" si="161"/>
        <v>615607.128</v>
      </c>
      <c r="M161" s="467">
        <f t="shared" si="162"/>
        <v>815607.128</v>
      </c>
      <c r="N161" s="467">
        <f t="shared" si="163"/>
        <v>1031088.488</v>
      </c>
      <c r="O161" s="467">
        <f t="shared" si="164"/>
        <v>2262428.512</v>
      </c>
      <c r="P161" s="467">
        <f t="shared" si="165"/>
        <v>21000</v>
      </c>
      <c r="Q161" s="467">
        <f t="shared" si="166"/>
        <v>33000</v>
      </c>
      <c r="R161" s="467">
        <f t="shared" si="167"/>
        <v>75000</v>
      </c>
      <c r="S161" s="467">
        <f t="shared" si="168"/>
        <v>95000</v>
      </c>
      <c r="T161" s="467">
        <f t="shared" si="169"/>
        <v>139109.98752</v>
      </c>
      <c r="U161" s="467"/>
      <c r="V161" s="467">
        <f t="shared" si="171"/>
        <v>363109.98752</v>
      </c>
      <c r="W161" s="474">
        <v>12</v>
      </c>
      <c r="X161" s="467">
        <f t="shared" si="172"/>
        <v>30259.1656266667</v>
      </c>
      <c r="Y161" s="470"/>
      <c r="Z161" s="467">
        <f t="shared" si="173"/>
        <v>30259.1656266667</v>
      </c>
      <c r="AA161" s="479">
        <v>17042.7138666667</v>
      </c>
      <c r="AB161" s="479">
        <f t="shared" si="174"/>
        <v>13216.45176</v>
      </c>
      <c r="AC161" s="479"/>
      <c r="AD161" s="479"/>
      <c r="AE161" s="479"/>
    </row>
    <row r="162" ht="18" spans="1:31">
      <c r="A162" s="464">
        <v>140</v>
      </c>
      <c r="B162" s="11" t="s">
        <v>287</v>
      </c>
      <c r="C162" s="467">
        <v>202598.166666667</v>
      </c>
      <c r="D162" s="466">
        <v>12</v>
      </c>
      <c r="E162" s="467">
        <f t="shared" si="159"/>
        <v>2431178</v>
      </c>
      <c r="F162" s="467">
        <f>263.19*12</f>
        <v>3158.28</v>
      </c>
      <c r="G162" s="468">
        <v>161854.24</v>
      </c>
      <c r="H162" s="470"/>
      <c r="I162" s="467">
        <f t="shared" si="160"/>
        <v>2266165.48</v>
      </c>
      <c r="J162" s="467">
        <v>200000</v>
      </c>
      <c r="K162" s="467">
        <v>0.2</v>
      </c>
      <c r="L162" s="467">
        <f t="shared" si="161"/>
        <v>453233.096000001</v>
      </c>
      <c r="M162" s="467">
        <f t="shared" si="162"/>
        <v>653233.096000001</v>
      </c>
      <c r="N162" s="467">
        <f t="shared" si="163"/>
        <v>818245.616000001</v>
      </c>
      <c r="O162" s="467">
        <f t="shared" si="164"/>
        <v>1612932.384</v>
      </c>
      <c r="P162" s="467">
        <f t="shared" si="165"/>
        <v>21000</v>
      </c>
      <c r="Q162" s="467">
        <f t="shared" si="166"/>
        <v>33000</v>
      </c>
      <c r="R162" s="467">
        <f t="shared" si="167"/>
        <v>75000</v>
      </c>
      <c r="S162" s="467">
        <f t="shared" si="168"/>
        <v>95000</v>
      </c>
      <c r="T162" s="467">
        <f t="shared" si="169"/>
        <v>2715.8006400007</v>
      </c>
      <c r="U162" s="467"/>
      <c r="V162" s="467">
        <f t="shared" si="171"/>
        <v>226715.800640001</v>
      </c>
      <c r="W162" s="474">
        <v>12</v>
      </c>
      <c r="X162" s="467">
        <f t="shared" si="172"/>
        <v>18892.9833866667</v>
      </c>
      <c r="Y162" s="470"/>
      <c r="Z162" s="467">
        <f t="shared" si="173"/>
        <v>18892.9833866667</v>
      </c>
      <c r="AA162" s="479">
        <v>10739.3048</v>
      </c>
      <c r="AB162" s="479">
        <f t="shared" si="174"/>
        <v>8153.67858666673</v>
      </c>
      <c r="AC162" s="479"/>
      <c r="AD162" s="479"/>
      <c r="AE162" s="479"/>
    </row>
    <row r="163" ht="18" spans="1:31">
      <c r="A163" s="464">
        <v>141</v>
      </c>
      <c r="B163" s="11" t="s">
        <v>290</v>
      </c>
      <c r="C163" s="467">
        <v>205598.166666667</v>
      </c>
      <c r="D163" s="466">
        <v>12</v>
      </c>
      <c r="E163" s="467">
        <f t="shared" si="159"/>
        <v>2467178</v>
      </c>
      <c r="F163" s="467"/>
      <c r="G163" s="468">
        <v>161854.24</v>
      </c>
      <c r="H163" s="470"/>
      <c r="I163" s="467">
        <f t="shared" si="160"/>
        <v>2305323.76</v>
      </c>
      <c r="J163" s="467">
        <v>200000</v>
      </c>
      <c r="K163" s="467">
        <v>0.2</v>
      </c>
      <c r="L163" s="467">
        <f t="shared" si="161"/>
        <v>461064.752000001</v>
      </c>
      <c r="M163" s="467">
        <f t="shared" si="162"/>
        <v>661064.752000001</v>
      </c>
      <c r="N163" s="467">
        <f t="shared" si="163"/>
        <v>822918.992000001</v>
      </c>
      <c r="O163" s="467">
        <f t="shared" si="164"/>
        <v>1644259.008</v>
      </c>
      <c r="P163" s="467">
        <f t="shared" si="165"/>
        <v>21000</v>
      </c>
      <c r="Q163" s="467">
        <f t="shared" si="166"/>
        <v>33000</v>
      </c>
      <c r="R163" s="467">
        <f t="shared" si="167"/>
        <v>75000</v>
      </c>
      <c r="S163" s="467">
        <f t="shared" si="168"/>
        <v>95000</v>
      </c>
      <c r="T163" s="467">
        <f t="shared" si="169"/>
        <v>9294.39168000067</v>
      </c>
      <c r="U163" s="467"/>
      <c r="V163" s="467">
        <f t="shared" si="171"/>
        <v>233294.391680001</v>
      </c>
      <c r="W163" s="474">
        <v>12</v>
      </c>
      <c r="X163" s="467">
        <f t="shared" si="172"/>
        <v>19441.1993066667</v>
      </c>
      <c r="Y163" s="470"/>
      <c r="Z163" s="467">
        <f t="shared" si="173"/>
        <v>19441.1993066667</v>
      </c>
      <c r="AA163" s="479">
        <v>11232.4576266667</v>
      </c>
      <c r="AB163" s="479">
        <f t="shared" si="174"/>
        <v>8208.74168000002</v>
      </c>
      <c r="AC163" s="479"/>
      <c r="AD163" s="479"/>
      <c r="AE163" s="479"/>
    </row>
    <row r="164" ht="15.75" customHeight="1" spans="1:31">
      <c r="A164" s="464">
        <v>142</v>
      </c>
      <c r="B164" s="11" t="s">
        <v>291</v>
      </c>
      <c r="C164" s="467">
        <v>202598.166666667</v>
      </c>
      <c r="D164" s="466">
        <v>12</v>
      </c>
      <c r="E164" s="467">
        <f t="shared" si="159"/>
        <v>2431178</v>
      </c>
      <c r="F164" s="467"/>
      <c r="G164" s="468">
        <v>161854.24</v>
      </c>
      <c r="H164" s="470"/>
      <c r="I164" s="467">
        <f t="shared" si="160"/>
        <v>2269323.76</v>
      </c>
      <c r="J164" s="467">
        <v>200000</v>
      </c>
      <c r="K164" s="467">
        <v>0.2</v>
      </c>
      <c r="L164" s="467">
        <f t="shared" si="161"/>
        <v>453864.752000001</v>
      </c>
      <c r="M164" s="467">
        <f t="shared" si="162"/>
        <v>653864.752000001</v>
      </c>
      <c r="N164" s="467">
        <f t="shared" si="163"/>
        <v>815718.992000001</v>
      </c>
      <c r="O164" s="467">
        <f t="shared" si="164"/>
        <v>1615459.008</v>
      </c>
      <c r="P164" s="467">
        <f t="shared" si="165"/>
        <v>21000</v>
      </c>
      <c r="Q164" s="467">
        <f t="shared" si="166"/>
        <v>33000</v>
      </c>
      <c r="R164" s="467">
        <f t="shared" si="167"/>
        <v>75000</v>
      </c>
      <c r="S164" s="467">
        <f t="shared" si="168"/>
        <v>95000</v>
      </c>
      <c r="T164" s="467">
        <f t="shared" si="169"/>
        <v>3246.39168000067</v>
      </c>
      <c r="U164" s="467"/>
      <c r="V164" s="467">
        <f t="shared" si="171"/>
        <v>227246.391680001</v>
      </c>
      <c r="W164" s="474">
        <v>12</v>
      </c>
      <c r="X164" s="467">
        <f t="shared" si="172"/>
        <v>18937.1993066667</v>
      </c>
      <c r="Y164" s="470"/>
      <c r="Z164" s="467">
        <f t="shared" si="173"/>
        <v>18937.1993066667</v>
      </c>
      <c r="AA164" s="479">
        <v>10776.4576266667</v>
      </c>
      <c r="AB164" s="479">
        <f t="shared" si="174"/>
        <v>8160.74168000002</v>
      </c>
      <c r="AC164" s="479"/>
      <c r="AD164" s="479"/>
      <c r="AE164" s="479"/>
    </row>
    <row r="165" ht="18" spans="1:31">
      <c r="A165" s="464">
        <v>143</v>
      </c>
      <c r="B165" s="11" t="s">
        <v>292</v>
      </c>
      <c r="C165" s="467">
        <v>202598.166666667</v>
      </c>
      <c r="D165" s="466">
        <v>12</v>
      </c>
      <c r="E165" s="467">
        <f t="shared" si="159"/>
        <v>2431178</v>
      </c>
      <c r="F165" s="467">
        <f>263.19*12</f>
        <v>3158.28</v>
      </c>
      <c r="G165" s="468">
        <v>161854.24</v>
      </c>
      <c r="H165" s="470"/>
      <c r="I165" s="467">
        <f t="shared" si="160"/>
        <v>2266165.48</v>
      </c>
      <c r="J165" s="467">
        <v>200000</v>
      </c>
      <c r="K165" s="467">
        <v>0.2</v>
      </c>
      <c r="L165" s="467">
        <f t="shared" si="161"/>
        <v>453233.096000001</v>
      </c>
      <c r="M165" s="467">
        <f t="shared" si="162"/>
        <v>653233.096000001</v>
      </c>
      <c r="N165" s="467">
        <f t="shared" si="163"/>
        <v>818245.616000001</v>
      </c>
      <c r="O165" s="467">
        <f t="shared" si="164"/>
        <v>1612932.384</v>
      </c>
      <c r="P165" s="467">
        <f t="shared" si="165"/>
        <v>21000</v>
      </c>
      <c r="Q165" s="467">
        <f t="shared" si="166"/>
        <v>33000</v>
      </c>
      <c r="R165" s="467">
        <f t="shared" si="167"/>
        <v>75000</v>
      </c>
      <c r="S165" s="467">
        <f t="shared" si="168"/>
        <v>95000</v>
      </c>
      <c r="T165" s="467">
        <f t="shared" si="169"/>
        <v>2715.8006400007</v>
      </c>
      <c r="U165" s="467"/>
      <c r="V165" s="467">
        <f t="shared" si="171"/>
        <v>226715.800640001</v>
      </c>
      <c r="W165" s="474">
        <v>12</v>
      </c>
      <c r="X165" s="467">
        <f t="shared" si="172"/>
        <v>18892.9833866667</v>
      </c>
      <c r="Y165" s="470"/>
      <c r="Z165" s="467">
        <f t="shared" si="173"/>
        <v>18892.9833866667</v>
      </c>
      <c r="AA165" s="479">
        <v>10739.3048</v>
      </c>
      <c r="AB165" s="479">
        <f t="shared" si="174"/>
        <v>8153.67858666673</v>
      </c>
      <c r="AC165" s="479"/>
      <c r="AD165" s="479"/>
      <c r="AE165" s="479"/>
    </row>
    <row r="166" ht="18" spans="1:31">
      <c r="A166" s="464">
        <v>144</v>
      </c>
      <c r="B166" s="11" t="s">
        <v>293</v>
      </c>
      <c r="C166" s="467">
        <v>202598.166666667</v>
      </c>
      <c r="D166" s="466">
        <v>12</v>
      </c>
      <c r="E166" s="467">
        <f t="shared" si="159"/>
        <v>2431178</v>
      </c>
      <c r="F166" s="467"/>
      <c r="G166" s="468">
        <v>161854.24</v>
      </c>
      <c r="H166" s="470"/>
      <c r="I166" s="467">
        <f t="shared" si="160"/>
        <v>2269323.76</v>
      </c>
      <c r="J166" s="467">
        <v>200000</v>
      </c>
      <c r="K166" s="467">
        <v>0.2</v>
      </c>
      <c r="L166" s="467">
        <f t="shared" si="161"/>
        <v>453864.752000001</v>
      </c>
      <c r="M166" s="467">
        <f t="shared" si="162"/>
        <v>653864.752000001</v>
      </c>
      <c r="N166" s="467">
        <f t="shared" si="163"/>
        <v>815718.992000001</v>
      </c>
      <c r="O166" s="467">
        <f t="shared" si="164"/>
        <v>1615459.008</v>
      </c>
      <c r="P166" s="467">
        <f t="shared" si="165"/>
        <v>21000</v>
      </c>
      <c r="Q166" s="467">
        <f t="shared" si="166"/>
        <v>33000</v>
      </c>
      <c r="R166" s="467">
        <f t="shared" si="167"/>
        <v>75000</v>
      </c>
      <c r="S166" s="467">
        <f t="shared" si="168"/>
        <v>95000</v>
      </c>
      <c r="T166" s="467">
        <f t="shared" si="169"/>
        <v>3246.39168000067</v>
      </c>
      <c r="U166" s="467"/>
      <c r="V166" s="467">
        <f t="shared" si="171"/>
        <v>227246.391680001</v>
      </c>
      <c r="W166" s="474">
        <v>12</v>
      </c>
      <c r="X166" s="467">
        <f t="shared" si="172"/>
        <v>18937.1993066667</v>
      </c>
      <c r="Y166" s="470"/>
      <c r="Z166" s="467">
        <f t="shared" si="173"/>
        <v>18937.1993066667</v>
      </c>
      <c r="AA166" s="479">
        <v>10776.4576266667</v>
      </c>
      <c r="AB166" s="479">
        <f t="shared" si="174"/>
        <v>8160.74168000002</v>
      </c>
      <c r="AC166" s="479"/>
      <c r="AD166" s="479"/>
      <c r="AE166" s="479"/>
    </row>
    <row r="167" ht="18" spans="1:31">
      <c r="A167" s="464">
        <v>145</v>
      </c>
      <c r="B167" s="11" t="s">
        <v>294</v>
      </c>
      <c r="C167" s="467">
        <v>200336.833333333</v>
      </c>
      <c r="D167" s="466">
        <v>12</v>
      </c>
      <c r="E167" s="467">
        <f t="shared" si="159"/>
        <v>2404042</v>
      </c>
      <c r="F167" s="467"/>
      <c r="G167" s="468">
        <v>156803.36</v>
      </c>
      <c r="H167" s="470"/>
      <c r="I167" s="467">
        <f t="shared" si="160"/>
        <v>2247238.64</v>
      </c>
      <c r="J167" s="467">
        <v>200000</v>
      </c>
      <c r="K167" s="467">
        <v>0.2</v>
      </c>
      <c r="L167" s="467">
        <f t="shared" si="161"/>
        <v>449447.727999999</v>
      </c>
      <c r="M167" s="467">
        <f t="shared" si="162"/>
        <v>649447.727999999</v>
      </c>
      <c r="N167" s="467">
        <f t="shared" si="163"/>
        <v>806251.087999999</v>
      </c>
      <c r="O167" s="467">
        <f t="shared" si="164"/>
        <v>1597790.912</v>
      </c>
      <c r="P167" s="467">
        <f t="shared" si="165"/>
        <v>21000</v>
      </c>
      <c r="Q167" s="467">
        <f t="shared" si="166"/>
        <v>33000</v>
      </c>
      <c r="R167" s="467">
        <f t="shared" si="167"/>
        <v>75000</v>
      </c>
      <c r="S167" s="467">
        <f t="shared" si="168"/>
        <v>94580.2732799994</v>
      </c>
      <c r="T167" s="467">
        <f t="shared" si="169"/>
        <v>0</v>
      </c>
      <c r="U167" s="467"/>
      <c r="V167" s="467">
        <f t="shared" si="171"/>
        <v>223580.273279999</v>
      </c>
      <c r="W167" s="474">
        <v>12</v>
      </c>
      <c r="X167" s="467">
        <f t="shared" si="172"/>
        <v>18631.6894399999</v>
      </c>
      <c r="Y167" s="470"/>
      <c r="Z167" s="467">
        <f t="shared" si="173"/>
        <v>18631.6894399999</v>
      </c>
      <c r="AA167" s="479">
        <v>11232.4576266667</v>
      </c>
      <c r="AB167" s="479">
        <f t="shared" si="174"/>
        <v>7399.23181333325</v>
      </c>
      <c r="AC167" s="479"/>
      <c r="AD167" s="479"/>
      <c r="AE167" s="479"/>
    </row>
    <row r="168" ht="18" spans="1:31">
      <c r="A168" s="464">
        <v>146</v>
      </c>
      <c r="B168" s="11" t="s">
        <v>296</v>
      </c>
      <c r="C168" s="467">
        <v>197336.833333333</v>
      </c>
      <c r="D168" s="466">
        <v>12</v>
      </c>
      <c r="E168" s="467">
        <f t="shared" si="159"/>
        <v>2368042</v>
      </c>
      <c r="F168" s="467"/>
      <c r="G168" s="468">
        <v>156803.36</v>
      </c>
      <c r="H168" s="470"/>
      <c r="I168" s="467">
        <f t="shared" si="160"/>
        <v>2211238.64</v>
      </c>
      <c r="J168" s="467">
        <v>200000</v>
      </c>
      <c r="K168" s="467">
        <v>0.2</v>
      </c>
      <c r="L168" s="467">
        <f t="shared" si="161"/>
        <v>442247.727999999</v>
      </c>
      <c r="M168" s="467">
        <f t="shared" si="162"/>
        <v>642247.727999999</v>
      </c>
      <c r="N168" s="467">
        <f t="shared" si="163"/>
        <v>799051.087999999</v>
      </c>
      <c r="O168" s="467">
        <f t="shared" si="164"/>
        <v>1568990.912</v>
      </c>
      <c r="P168" s="467">
        <f t="shared" si="165"/>
        <v>21000</v>
      </c>
      <c r="Q168" s="467">
        <f t="shared" si="166"/>
        <v>33000</v>
      </c>
      <c r="R168" s="467">
        <f t="shared" si="167"/>
        <v>75000</v>
      </c>
      <c r="S168" s="467">
        <f t="shared" si="168"/>
        <v>89108.2732799994</v>
      </c>
      <c r="T168" s="467">
        <f t="shared" si="169"/>
        <v>0</v>
      </c>
      <c r="U168" s="467"/>
      <c r="V168" s="467">
        <f t="shared" si="171"/>
        <v>218108.273279999</v>
      </c>
      <c r="W168" s="474">
        <v>12</v>
      </c>
      <c r="X168" s="467">
        <f t="shared" si="172"/>
        <v>18175.6894399999</v>
      </c>
      <c r="Y168" s="470"/>
      <c r="Z168" s="467">
        <f t="shared" si="173"/>
        <v>18175.6894399999</v>
      </c>
      <c r="AA168" s="479">
        <v>10776.4576266667</v>
      </c>
      <c r="AB168" s="479">
        <f t="shared" si="174"/>
        <v>7399.23181333325</v>
      </c>
      <c r="AC168" s="479"/>
      <c r="AD168" s="479"/>
      <c r="AE168" s="479"/>
    </row>
    <row r="169" ht="18" spans="1:31">
      <c r="A169" s="464">
        <v>147</v>
      </c>
      <c r="B169" s="14" t="s">
        <v>297</v>
      </c>
      <c r="C169" s="467">
        <v>200336.833333333</v>
      </c>
      <c r="D169" s="466">
        <v>12</v>
      </c>
      <c r="E169" s="467">
        <f t="shared" si="159"/>
        <v>2404042</v>
      </c>
      <c r="F169" s="467"/>
      <c r="G169" s="468">
        <v>156803.36</v>
      </c>
      <c r="H169" s="470"/>
      <c r="I169" s="467">
        <f t="shared" si="160"/>
        <v>2247238.64</v>
      </c>
      <c r="J169" s="467">
        <v>200000</v>
      </c>
      <c r="K169" s="467">
        <v>0.2</v>
      </c>
      <c r="L169" s="467">
        <f t="shared" si="161"/>
        <v>449447.727999999</v>
      </c>
      <c r="M169" s="467">
        <f t="shared" si="162"/>
        <v>649447.727999999</v>
      </c>
      <c r="N169" s="467">
        <f t="shared" si="163"/>
        <v>806251.087999999</v>
      </c>
      <c r="O169" s="467">
        <f t="shared" si="164"/>
        <v>1597790.912</v>
      </c>
      <c r="P169" s="467">
        <f t="shared" si="165"/>
        <v>21000</v>
      </c>
      <c r="Q169" s="467">
        <f t="shared" si="166"/>
        <v>33000</v>
      </c>
      <c r="R169" s="467">
        <f t="shared" si="167"/>
        <v>75000</v>
      </c>
      <c r="S169" s="467">
        <f t="shared" si="168"/>
        <v>94580.2732799994</v>
      </c>
      <c r="T169" s="467">
        <f t="shared" si="169"/>
        <v>0</v>
      </c>
      <c r="U169" s="467"/>
      <c r="V169" s="467">
        <f t="shared" si="171"/>
        <v>223580.273279999</v>
      </c>
      <c r="W169" s="474">
        <v>12</v>
      </c>
      <c r="X169" s="467">
        <f t="shared" si="172"/>
        <v>18631.6894399999</v>
      </c>
      <c r="Y169" s="470"/>
      <c r="Z169" s="467">
        <f t="shared" si="173"/>
        <v>18631.6894399999</v>
      </c>
      <c r="AA169" s="479">
        <v>11232.4576266667</v>
      </c>
      <c r="AB169" s="479">
        <f t="shared" si="174"/>
        <v>7399.23181333325</v>
      </c>
      <c r="AC169" s="479"/>
      <c r="AD169" s="479"/>
      <c r="AE169" s="479"/>
    </row>
    <row r="170" ht="18" spans="1:31">
      <c r="A170" s="464">
        <v>148</v>
      </c>
      <c r="B170" s="11" t="s">
        <v>298</v>
      </c>
      <c r="C170" s="467">
        <v>197336.833333333</v>
      </c>
      <c r="D170" s="466">
        <v>12</v>
      </c>
      <c r="E170" s="467">
        <f t="shared" si="159"/>
        <v>2368042</v>
      </c>
      <c r="F170" s="467"/>
      <c r="G170" s="468">
        <v>156803.36</v>
      </c>
      <c r="H170" s="470"/>
      <c r="I170" s="467">
        <f t="shared" si="160"/>
        <v>2211238.64</v>
      </c>
      <c r="J170" s="467">
        <v>200000</v>
      </c>
      <c r="K170" s="467">
        <v>0.2</v>
      </c>
      <c r="L170" s="467">
        <f t="shared" si="161"/>
        <v>442247.727999999</v>
      </c>
      <c r="M170" s="467">
        <f t="shared" si="162"/>
        <v>642247.727999999</v>
      </c>
      <c r="N170" s="467">
        <f t="shared" si="163"/>
        <v>799051.087999999</v>
      </c>
      <c r="O170" s="467">
        <f t="shared" si="164"/>
        <v>1568990.912</v>
      </c>
      <c r="P170" s="467">
        <f t="shared" si="165"/>
        <v>21000</v>
      </c>
      <c r="Q170" s="467">
        <f t="shared" si="166"/>
        <v>33000</v>
      </c>
      <c r="R170" s="467">
        <f t="shared" si="167"/>
        <v>75000</v>
      </c>
      <c r="S170" s="467">
        <f t="shared" si="168"/>
        <v>89108.2732799994</v>
      </c>
      <c r="T170" s="467">
        <f t="shared" si="169"/>
        <v>0</v>
      </c>
      <c r="U170" s="467"/>
      <c r="V170" s="467">
        <f t="shared" si="171"/>
        <v>218108.273279999</v>
      </c>
      <c r="W170" s="474">
        <v>12</v>
      </c>
      <c r="X170" s="467">
        <f t="shared" si="172"/>
        <v>18175.6894399999</v>
      </c>
      <c r="Y170" s="470"/>
      <c r="Z170" s="467">
        <f t="shared" si="173"/>
        <v>18175.6894399999</v>
      </c>
      <c r="AA170" s="479">
        <v>10776.4576266667</v>
      </c>
      <c r="AB170" s="479">
        <f t="shared" si="174"/>
        <v>7399.23181333325</v>
      </c>
      <c r="AC170" s="479"/>
      <c r="AD170" s="479"/>
      <c r="AE170" s="479"/>
    </row>
    <row r="171" ht="18" spans="1:31">
      <c r="A171" s="464">
        <v>149</v>
      </c>
      <c r="B171" s="18" t="s">
        <v>299</v>
      </c>
      <c r="C171" s="467">
        <v>197336.833333333</v>
      </c>
      <c r="D171" s="466">
        <v>12</v>
      </c>
      <c r="E171" s="467">
        <f t="shared" si="159"/>
        <v>2368042</v>
      </c>
      <c r="F171" s="467"/>
      <c r="G171" s="468">
        <v>156803.36</v>
      </c>
      <c r="H171" s="470"/>
      <c r="I171" s="467">
        <f t="shared" si="160"/>
        <v>2211238.64</v>
      </c>
      <c r="J171" s="467">
        <v>200000</v>
      </c>
      <c r="K171" s="467">
        <v>0.2</v>
      </c>
      <c r="L171" s="467">
        <f t="shared" si="161"/>
        <v>442247.727999999</v>
      </c>
      <c r="M171" s="467">
        <f t="shared" si="162"/>
        <v>642247.727999999</v>
      </c>
      <c r="N171" s="467">
        <f t="shared" si="163"/>
        <v>799051.087999999</v>
      </c>
      <c r="O171" s="467">
        <f t="shared" si="164"/>
        <v>1568990.912</v>
      </c>
      <c r="P171" s="467">
        <f t="shared" si="165"/>
        <v>21000</v>
      </c>
      <c r="Q171" s="467">
        <f t="shared" si="166"/>
        <v>33000</v>
      </c>
      <c r="R171" s="467">
        <f t="shared" si="167"/>
        <v>75000</v>
      </c>
      <c r="S171" s="467">
        <f t="shared" si="168"/>
        <v>89108.2732799994</v>
      </c>
      <c r="T171" s="467">
        <f t="shared" si="169"/>
        <v>0</v>
      </c>
      <c r="U171" s="467"/>
      <c r="V171" s="467">
        <f t="shared" si="171"/>
        <v>218108.273279999</v>
      </c>
      <c r="W171" s="474">
        <v>12</v>
      </c>
      <c r="X171" s="467">
        <f t="shared" si="172"/>
        <v>18175.6894399999</v>
      </c>
      <c r="Y171" s="470"/>
      <c r="Z171" s="467">
        <f t="shared" si="173"/>
        <v>18175.6894399999</v>
      </c>
      <c r="AA171" s="479">
        <v>10776.4576266667</v>
      </c>
      <c r="AB171" s="479">
        <f t="shared" si="174"/>
        <v>7399.23181333325</v>
      </c>
      <c r="AC171" s="479"/>
      <c r="AD171" s="479"/>
      <c r="AE171" s="479"/>
    </row>
    <row r="172" ht="18" spans="1:31">
      <c r="A172" s="464">
        <v>150</v>
      </c>
      <c r="B172" s="18" t="s">
        <v>300</v>
      </c>
      <c r="C172" s="467">
        <v>200336.833333333</v>
      </c>
      <c r="D172" s="466">
        <v>12</v>
      </c>
      <c r="E172" s="467">
        <f t="shared" si="159"/>
        <v>2404042</v>
      </c>
      <c r="F172" s="467"/>
      <c r="G172" s="468">
        <v>156803.36</v>
      </c>
      <c r="H172" s="470"/>
      <c r="I172" s="467">
        <f t="shared" si="160"/>
        <v>2247238.64</v>
      </c>
      <c r="J172" s="467">
        <v>200000</v>
      </c>
      <c r="K172" s="467">
        <v>0.2</v>
      </c>
      <c r="L172" s="467">
        <f t="shared" si="161"/>
        <v>449447.727999999</v>
      </c>
      <c r="M172" s="467">
        <f t="shared" si="162"/>
        <v>649447.727999999</v>
      </c>
      <c r="N172" s="467">
        <f t="shared" si="163"/>
        <v>806251.087999999</v>
      </c>
      <c r="O172" s="467">
        <f t="shared" si="164"/>
        <v>1597790.912</v>
      </c>
      <c r="P172" s="467">
        <f t="shared" si="165"/>
        <v>21000</v>
      </c>
      <c r="Q172" s="467">
        <f t="shared" si="166"/>
        <v>33000</v>
      </c>
      <c r="R172" s="467">
        <f t="shared" si="167"/>
        <v>75000</v>
      </c>
      <c r="S172" s="467">
        <f t="shared" si="168"/>
        <v>94580.2732799994</v>
      </c>
      <c r="T172" s="467">
        <f t="shared" si="169"/>
        <v>0</v>
      </c>
      <c r="U172" s="467"/>
      <c r="V172" s="467">
        <f t="shared" si="171"/>
        <v>223580.273279999</v>
      </c>
      <c r="W172" s="474">
        <v>12</v>
      </c>
      <c r="X172" s="467">
        <f t="shared" si="172"/>
        <v>18631.6894399999</v>
      </c>
      <c r="Y172" s="470"/>
      <c r="Z172" s="467">
        <f t="shared" si="173"/>
        <v>18631.6894399999</v>
      </c>
      <c r="AA172" s="479">
        <v>11232.4576266667</v>
      </c>
      <c r="AB172" s="479">
        <f t="shared" si="174"/>
        <v>7399.23181333325</v>
      </c>
      <c r="AC172" s="479"/>
      <c r="AD172" s="479"/>
      <c r="AE172" s="479"/>
    </row>
    <row r="173" ht="36" spans="1:31">
      <c r="A173" s="464">
        <v>151</v>
      </c>
      <c r="B173" s="11" t="s">
        <v>301</v>
      </c>
      <c r="C173" s="467">
        <v>189814.166666667</v>
      </c>
      <c r="D173" s="466">
        <v>12</v>
      </c>
      <c r="E173" s="467">
        <f t="shared" si="159"/>
        <v>2277770</v>
      </c>
      <c r="F173" s="467"/>
      <c r="G173" s="468">
        <v>146701.6</v>
      </c>
      <c r="H173" s="470"/>
      <c r="I173" s="467">
        <f t="shared" si="160"/>
        <v>2131068.4</v>
      </c>
      <c r="J173" s="467">
        <v>200000</v>
      </c>
      <c r="K173" s="467">
        <v>0.2</v>
      </c>
      <c r="L173" s="467">
        <f t="shared" si="161"/>
        <v>426213.680000001</v>
      </c>
      <c r="M173" s="467">
        <f t="shared" si="162"/>
        <v>626213.680000001</v>
      </c>
      <c r="N173" s="467">
        <f t="shared" si="163"/>
        <v>772915.280000001</v>
      </c>
      <c r="O173" s="467">
        <f t="shared" si="164"/>
        <v>1504854.72</v>
      </c>
      <c r="P173" s="467">
        <f t="shared" si="165"/>
        <v>21000</v>
      </c>
      <c r="Q173" s="467">
        <f t="shared" si="166"/>
        <v>33000</v>
      </c>
      <c r="R173" s="467">
        <f t="shared" si="167"/>
        <v>75000</v>
      </c>
      <c r="S173" s="467">
        <f t="shared" si="168"/>
        <v>76922.3968000007</v>
      </c>
      <c r="T173" s="467">
        <f t="shared" si="169"/>
        <v>0</v>
      </c>
      <c r="U173" s="467"/>
      <c r="V173" s="467">
        <f t="shared" si="171"/>
        <v>205922.396800001</v>
      </c>
      <c r="W173" s="474">
        <v>12</v>
      </c>
      <c r="X173" s="467">
        <f t="shared" si="172"/>
        <v>17160.1997333334</v>
      </c>
      <c r="Y173" s="470"/>
      <c r="Z173" s="467">
        <f t="shared" si="173"/>
        <v>17160.1997333334</v>
      </c>
      <c r="AA173" s="479">
        <v>9152.59979</v>
      </c>
      <c r="AB173" s="479">
        <f t="shared" si="174"/>
        <v>8007.59994333339</v>
      </c>
      <c r="AC173" s="479"/>
      <c r="AD173" s="479"/>
      <c r="AE173" s="479"/>
    </row>
    <row r="174" ht="18" spans="1:31">
      <c r="A174" s="464">
        <v>152</v>
      </c>
      <c r="B174" s="11" t="s">
        <v>304</v>
      </c>
      <c r="C174" s="467">
        <v>189814.166666667</v>
      </c>
      <c r="D174" s="466">
        <v>12</v>
      </c>
      <c r="E174" s="467">
        <f t="shared" si="159"/>
        <v>2277770</v>
      </c>
      <c r="F174" s="467"/>
      <c r="G174" s="468">
        <v>146701.6</v>
      </c>
      <c r="H174" s="470"/>
      <c r="I174" s="467">
        <f t="shared" si="160"/>
        <v>2131068.4</v>
      </c>
      <c r="J174" s="467">
        <v>200000</v>
      </c>
      <c r="K174" s="467">
        <v>0.2</v>
      </c>
      <c r="L174" s="467">
        <f t="shared" si="161"/>
        <v>426213.680000001</v>
      </c>
      <c r="M174" s="467">
        <f t="shared" si="162"/>
        <v>626213.680000001</v>
      </c>
      <c r="N174" s="467">
        <f t="shared" si="163"/>
        <v>772915.280000001</v>
      </c>
      <c r="O174" s="467">
        <f t="shared" si="164"/>
        <v>1504854.72</v>
      </c>
      <c r="P174" s="467">
        <f t="shared" si="165"/>
        <v>21000</v>
      </c>
      <c r="Q174" s="467">
        <f t="shared" si="166"/>
        <v>33000</v>
      </c>
      <c r="R174" s="467">
        <f t="shared" si="167"/>
        <v>75000</v>
      </c>
      <c r="S174" s="467">
        <f t="shared" si="168"/>
        <v>76922.3968000007</v>
      </c>
      <c r="T174" s="467">
        <f t="shared" si="169"/>
        <v>0</v>
      </c>
      <c r="U174" s="467"/>
      <c r="V174" s="467">
        <f t="shared" si="171"/>
        <v>205922.396800001</v>
      </c>
      <c r="W174" s="474">
        <v>12</v>
      </c>
      <c r="X174" s="467">
        <f t="shared" si="172"/>
        <v>17160.1997333334</v>
      </c>
      <c r="Y174" s="470"/>
      <c r="Z174" s="467">
        <f t="shared" si="173"/>
        <v>17160.1997333334</v>
      </c>
      <c r="AA174" s="479">
        <v>9152.59979</v>
      </c>
      <c r="AB174" s="479">
        <f t="shared" si="174"/>
        <v>8007.59994333339</v>
      </c>
      <c r="AC174" s="479"/>
      <c r="AD174" s="479"/>
      <c r="AE174" s="479"/>
    </row>
    <row r="175" ht="18" spans="1:31">
      <c r="A175" s="464">
        <v>153</v>
      </c>
      <c r="B175" s="18" t="s">
        <v>305</v>
      </c>
      <c r="C175" s="467">
        <v>195075.5</v>
      </c>
      <c r="D175" s="466">
        <v>12</v>
      </c>
      <c r="E175" s="467">
        <f t="shared" si="159"/>
        <v>2340906</v>
      </c>
      <c r="F175" s="467"/>
      <c r="G175" s="468">
        <v>151752.48</v>
      </c>
      <c r="H175" s="470"/>
      <c r="I175" s="467">
        <f t="shared" si="160"/>
        <v>2189153.52</v>
      </c>
      <c r="J175" s="467">
        <v>200000</v>
      </c>
      <c r="K175" s="467">
        <v>0.2</v>
      </c>
      <c r="L175" s="467">
        <f t="shared" si="161"/>
        <v>437830.704</v>
      </c>
      <c r="M175" s="467">
        <f t="shared" si="162"/>
        <v>637830.704</v>
      </c>
      <c r="N175" s="467">
        <f t="shared" si="163"/>
        <v>789583.184</v>
      </c>
      <c r="O175" s="467">
        <f t="shared" si="164"/>
        <v>1551322.816</v>
      </c>
      <c r="P175" s="467">
        <f t="shared" si="165"/>
        <v>21000</v>
      </c>
      <c r="Q175" s="467">
        <f t="shared" si="166"/>
        <v>33000</v>
      </c>
      <c r="R175" s="467">
        <f t="shared" si="167"/>
        <v>75000</v>
      </c>
      <c r="S175" s="467">
        <f t="shared" si="168"/>
        <v>85751.33504</v>
      </c>
      <c r="T175" s="467">
        <f t="shared" si="169"/>
        <v>0</v>
      </c>
      <c r="U175" s="467"/>
      <c r="V175" s="467">
        <f t="shared" si="171"/>
        <v>214751.33504</v>
      </c>
      <c r="W175" s="474">
        <v>12</v>
      </c>
      <c r="X175" s="467">
        <f t="shared" si="172"/>
        <v>17895.9445866667</v>
      </c>
      <c r="Y175" s="470"/>
      <c r="Z175" s="467">
        <f t="shared" si="173"/>
        <v>17895.9445866667</v>
      </c>
      <c r="AA175" s="479">
        <v>9504.20414</v>
      </c>
      <c r="AB175" s="479">
        <f t="shared" si="174"/>
        <v>8391.74044666667</v>
      </c>
      <c r="AC175" s="479"/>
      <c r="AD175" s="479"/>
      <c r="AE175" s="479"/>
    </row>
    <row r="176" ht="29.25" customHeight="1" spans="1:31">
      <c r="A176" s="464">
        <v>154</v>
      </c>
      <c r="B176" s="11" t="s">
        <v>307</v>
      </c>
      <c r="C176" s="467">
        <v>121145.75</v>
      </c>
      <c r="D176" s="466">
        <v>12</v>
      </c>
      <c r="E176" s="467">
        <f t="shared" si="159"/>
        <v>1453749</v>
      </c>
      <c r="F176" s="467"/>
      <c r="G176" s="468">
        <v>90379.92</v>
      </c>
      <c r="H176" s="470"/>
      <c r="I176" s="467">
        <f t="shared" si="160"/>
        <v>1363369.08</v>
      </c>
      <c r="J176" s="467">
        <v>200000</v>
      </c>
      <c r="K176" s="467">
        <v>0.2</v>
      </c>
      <c r="L176" s="467">
        <f t="shared" si="161"/>
        <v>272673.816</v>
      </c>
      <c r="M176" s="467">
        <f t="shared" si="162"/>
        <v>472673.816</v>
      </c>
      <c r="N176" s="467">
        <f t="shared" si="163"/>
        <v>563053.736</v>
      </c>
      <c r="O176" s="467">
        <f t="shared" si="164"/>
        <v>890695.264</v>
      </c>
      <c r="P176" s="467">
        <f t="shared" si="165"/>
        <v>21000</v>
      </c>
      <c r="Q176" s="467">
        <f t="shared" si="166"/>
        <v>33000</v>
      </c>
      <c r="R176" s="467">
        <f t="shared" si="167"/>
        <v>43604.2896</v>
      </c>
      <c r="S176" s="467">
        <f t="shared" si="168"/>
        <v>0</v>
      </c>
      <c r="T176" s="467">
        <f t="shared" si="169"/>
        <v>0</v>
      </c>
      <c r="U176" s="467"/>
      <c r="V176" s="467">
        <f t="shared" si="171"/>
        <v>97604.2896</v>
      </c>
      <c r="W176" s="474">
        <v>12</v>
      </c>
      <c r="X176" s="467">
        <f t="shared" si="172"/>
        <v>8133.6908</v>
      </c>
      <c r="Y176" s="470"/>
      <c r="Z176" s="467">
        <f t="shared" si="173"/>
        <v>8133.6908</v>
      </c>
      <c r="AA176" s="479">
        <v>4365.33075466667</v>
      </c>
      <c r="AB176" s="479">
        <f t="shared" si="174"/>
        <v>3768.36004533333</v>
      </c>
      <c r="AC176" s="479"/>
      <c r="AD176" s="479"/>
      <c r="AE176" s="479"/>
    </row>
    <row r="177" ht="18" spans="1:31">
      <c r="A177" s="464">
        <v>155</v>
      </c>
      <c r="B177" s="11" t="s">
        <v>309</v>
      </c>
      <c r="C177" s="467">
        <v>118598</v>
      </c>
      <c r="D177" s="466">
        <v>12</v>
      </c>
      <c r="E177" s="467">
        <f t="shared" si="159"/>
        <v>1423176</v>
      </c>
      <c r="F177" s="467"/>
      <c r="G177" s="468">
        <v>87934.08</v>
      </c>
      <c r="H177" s="470"/>
      <c r="I177" s="467">
        <f t="shared" si="160"/>
        <v>1335241.92</v>
      </c>
      <c r="J177" s="467">
        <v>200000</v>
      </c>
      <c r="K177" s="467">
        <v>0.2</v>
      </c>
      <c r="L177" s="467">
        <f t="shared" si="161"/>
        <v>267048.384</v>
      </c>
      <c r="M177" s="467">
        <f t="shared" si="162"/>
        <v>467048.384</v>
      </c>
      <c r="N177" s="467">
        <f t="shared" si="163"/>
        <v>554982.464</v>
      </c>
      <c r="O177" s="467">
        <f t="shared" si="164"/>
        <v>868193.536</v>
      </c>
      <c r="P177" s="467">
        <f t="shared" si="165"/>
        <v>21000</v>
      </c>
      <c r="Q177" s="467">
        <f t="shared" si="166"/>
        <v>33000</v>
      </c>
      <c r="R177" s="467">
        <f t="shared" si="167"/>
        <v>40229.0304</v>
      </c>
      <c r="S177" s="467">
        <f t="shared" si="168"/>
        <v>0</v>
      </c>
      <c r="T177" s="467">
        <f t="shared" si="169"/>
        <v>0</v>
      </c>
      <c r="U177" s="467"/>
      <c r="V177" s="467">
        <f t="shared" si="171"/>
        <v>94229.0304</v>
      </c>
      <c r="W177" s="474">
        <v>12</v>
      </c>
      <c r="X177" s="467">
        <f t="shared" si="172"/>
        <v>7852.4192</v>
      </c>
      <c r="Y177" s="470"/>
      <c r="Z177" s="467">
        <f t="shared" si="173"/>
        <v>7852.4192</v>
      </c>
      <c r="AA177" s="479">
        <v>4227.52372266667</v>
      </c>
      <c r="AB177" s="479">
        <f t="shared" si="174"/>
        <v>3624.89547733333</v>
      </c>
      <c r="AC177" s="479"/>
      <c r="AD177" s="479"/>
      <c r="AE177" s="479"/>
    </row>
    <row r="178" ht="18" spans="1:31">
      <c r="A178" s="464">
        <v>156</v>
      </c>
      <c r="B178" s="11" t="s">
        <v>312</v>
      </c>
      <c r="C178" s="467">
        <v>115598</v>
      </c>
      <c r="D178" s="466">
        <v>12</v>
      </c>
      <c r="E178" s="467">
        <f t="shared" si="159"/>
        <v>1387176</v>
      </c>
      <c r="F178" s="467"/>
      <c r="G178" s="468">
        <v>87934.08</v>
      </c>
      <c r="H178" s="470"/>
      <c r="I178" s="467">
        <f t="shared" si="160"/>
        <v>1299241.92</v>
      </c>
      <c r="J178" s="467">
        <v>200000</v>
      </c>
      <c r="K178" s="467">
        <v>0.2</v>
      </c>
      <c r="L178" s="467">
        <f t="shared" si="161"/>
        <v>259848.384</v>
      </c>
      <c r="M178" s="467">
        <f t="shared" si="162"/>
        <v>459848.384</v>
      </c>
      <c r="N178" s="467">
        <f t="shared" si="163"/>
        <v>547782.464</v>
      </c>
      <c r="O178" s="467">
        <f t="shared" si="164"/>
        <v>839393.536</v>
      </c>
      <c r="P178" s="467">
        <f t="shared" si="165"/>
        <v>21000</v>
      </c>
      <c r="Q178" s="467">
        <f t="shared" si="166"/>
        <v>33000</v>
      </c>
      <c r="R178" s="467">
        <f t="shared" si="167"/>
        <v>35909.0304</v>
      </c>
      <c r="S178" s="467">
        <f t="shared" si="168"/>
        <v>0</v>
      </c>
      <c r="T178" s="467">
        <f t="shared" si="169"/>
        <v>0</v>
      </c>
      <c r="U178" s="467"/>
      <c r="V178" s="467">
        <f t="shared" si="171"/>
        <v>89909.0304</v>
      </c>
      <c r="W178" s="474">
        <v>12</v>
      </c>
      <c r="X178" s="467">
        <f t="shared" si="172"/>
        <v>7492.4192</v>
      </c>
      <c r="Y178" s="470"/>
      <c r="Z178" s="467">
        <f t="shared" si="173"/>
        <v>7492.4192</v>
      </c>
      <c r="AA178" s="479">
        <v>3963.52372266667</v>
      </c>
      <c r="AB178" s="479">
        <f t="shared" si="174"/>
        <v>3528.89547733333</v>
      </c>
      <c r="AC178" s="479"/>
      <c r="AD178" s="479"/>
      <c r="AE178" s="479"/>
    </row>
    <row r="179" ht="18" spans="1:31">
      <c r="A179" s="464">
        <v>157</v>
      </c>
      <c r="B179" s="11" t="s">
        <v>313</v>
      </c>
      <c r="C179" s="467">
        <v>118598</v>
      </c>
      <c r="D179" s="466">
        <v>12</v>
      </c>
      <c r="E179" s="467">
        <f t="shared" si="159"/>
        <v>1423176</v>
      </c>
      <c r="F179" s="467"/>
      <c r="G179" s="468">
        <v>87934.08</v>
      </c>
      <c r="H179" s="470"/>
      <c r="I179" s="467">
        <f t="shared" si="160"/>
        <v>1335241.92</v>
      </c>
      <c r="J179" s="467">
        <v>200000</v>
      </c>
      <c r="K179" s="467">
        <v>0.2</v>
      </c>
      <c r="L179" s="467">
        <f t="shared" si="161"/>
        <v>267048.384</v>
      </c>
      <c r="M179" s="467">
        <f t="shared" si="162"/>
        <v>467048.384</v>
      </c>
      <c r="N179" s="467">
        <f t="shared" si="163"/>
        <v>554982.464</v>
      </c>
      <c r="O179" s="467">
        <f t="shared" si="164"/>
        <v>868193.536</v>
      </c>
      <c r="P179" s="467">
        <f t="shared" si="165"/>
        <v>21000</v>
      </c>
      <c r="Q179" s="467">
        <f t="shared" si="166"/>
        <v>33000</v>
      </c>
      <c r="R179" s="467">
        <f t="shared" si="167"/>
        <v>40229.0304</v>
      </c>
      <c r="S179" s="467">
        <f t="shared" si="168"/>
        <v>0</v>
      </c>
      <c r="T179" s="467">
        <f t="shared" si="169"/>
        <v>0</v>
      </c>
      <c r="U179" s="467"/>
      <c r="V179" s="467">
        <f t="shared" si="171"/>
        <v>94229.0304</v>
      </c>
      <c r="W179" s="474">
        <v>12</v>
      </c>
      <c r="X179" s="467">
        <f t="shared" si="172"/>
        <v>7852.4192</v>
      </c>
      <c r="Y179" s="470"/>
      <c r="Z179" s="467">
        <f t="shared" si="173"/>
        <v>7852.4192</v>
      </c>
      <c r="AA179" s="479">
        <v>4227.52372266667</v>
      </c>
      <c r="AB179" s="479">
        <f t="shared" si="174"/>
        <v>3624.89547733333</v>
      </c>
      <c r="AC179" s="479"/>
      <c r="AD179" s="479"/>
      <c r="AE179" s="479"/>
    </row>
    <row r="180" ht="18" spans="1:31">
      <c r="A180" s="475"/>
      <c r="B180" s="11" t="s">
        <v>314</v>
      </c>
      <c r="C180" s="483">
        <v>115598</v>
      </c>
      <c r="D180" s="466">
        <v>12</v>
      </c>
      <c r="E180" s="467">
        <f t="shared" si="159"/>
        <v>1387176</v>
      </c>
      <c r="F180" s="467"/>
      <c r="G180" s="468">
        <v>87934.08</v>
      </c>
      <c r="H180" s="470"/>
      <c r="I180" s="467">
        <f t="shared" si="160"/>
        <v>1299241.92</v>
      </c>
      <c r="J180" s="467">
        <v>200000</v>
      </c>
      <c r="K180" s="467">
        <v>0.2</v>
      </c>
      <c r="L180" s="467">
        <f t="shared" si="161"/>
        <v>259848.384</v>
      </c>
      <c r="M180" s="467">
        <f t="shared" si="162"/>
        <v>459848.384</v>
      </c>
      <c r="N180" s="467">
        <f t="shared" si="163"/>
        <v>547782.464</v>
      </c>
      <c r="O180" s="467">
        <f t="shared" si="164"/>
        <v>839393.536</v>
      </c>
      <c r="P180" s="467">
        <f t="shared" si="165"/>
        <v>21000</v>
      </c>
      <c r="Q180" s="467">
        <f t="shared" si="166"/>
        <v>33000</v>
      </c>
      <c r="R180" s="467">
        <f t="shared" si="167"/>
        <v>35909.0304</v>
      </c>
      <c r="S180" s="467">
        <f t="shared" si="168"/>
        <v>0</v>
      </c>
      <c r="T180" s="467">
        <f t="shared" si="169"/>
        <v>0</v>
      </c>
      <c r="U180" s="467"/>
      <c r="V180" s="467">
        <f t="shared" si="171"/>
        <v>89909.0304</v>
      </c>
      <c r="W180" s="474">
        <v>12</v>
      </c>
      <c r="X180" s="467">
        <f t="shared" si="172"/>
        <v>7492.4192</v>
      </c>
      <c r="Y180" s="470"/>
      <c r="Z180" s="467">
        <f t="shared" si="173"/>
        <v>7492.4192</v>
      </c>
      <c r="AA180" s="479">
        <v>3963.52372266667</v>
      </c>
      <c r="AB180" s="479">
        <f t="shared" si="174"/>
        <v>3528.89547733333</v>
      </c>
      <c r="AC180" s="479"/>
      <c r="AD180" s="479"/>
      <c r="AE180" s="479"/>
    </row>
    <row r="181" ht="18" spans="1:28">
      <c r="A181" s="475"/>
      <c r="B181" s="11" t="s">
        <v>315</v>
      </c>
      <c r="C181" s="483">
        <v>118598</v>
      </c>
      <c r="D181" s="466">
        <v>12</v>
      </c>
      <c r="E181" s="467">
        <f t="shared" si="159"/>
        <v>1423176</v>
      </c>
      <c r="F181" s="467"/>
      <c r="G181" s="468">
        <v>87934.08</v>
      </c>
      <c r="H181" s="470"/>
      <c r="I181" s="467">
        <f t="shared" si="160"/>
        <v>1335241.92</v>
      </c>
      <c r="J181" s="467">
        <v>200000</v>
      </c>
      <c r="K181" s="467">
        <v>0.2</v>
      </c>
      <c r="L181" s="467">
        <f t="shared" si="161"/>
        <v>267048.384</v>
      </c>
      <c r="M181" s="467">
        <f t="shared" si="162"/>
        <v>467048.384</v>
      </c>
      <c r="N181" s="467">
        <f t="shared" si="163"/>
        <v>554982.464</v>
      </c>
      <c r="O181" s="467">
        <f t="shared" si="164"/>
        <v>868193.536</v>
      </c>
      <c r="P181" s="467">
        <f t="shared" si="165"/>
        <v>21000</v>
      </c>
      <c r="Q181" s="467">
        <f t="shared" si="166"/>
        <v>33000</v>
      </c>
      <c r="R181" s="467">
        <f t="shared" si="167"/>
        <v>40229.0304</v>
      </c>
      <c r="S181" s="467">
        <f t="shared" si="168"/>
        <v>0</v>
      </c>
      <c r="T181" s="467">
        <f t="shared" si="169"/>
        <v>0</v>
      </c>
      <c r="U181" s="467"/>
      <c r="V181" s="467">
        <f t="shared" si="171"/>
        <v>94229.0304</v>
      </c>
      <c r="W181" s="474">
        <v>12</v>
      </c>
      <c r="X181" s="467">
        <f t="shared" si="172"/>
        <v>7852.4192</v>
      </c>
      <c r="Y181" s="470"/>
      <c r="Z181" s="467">
        <f t="shared" si="173"/>
        <v>7852.4192</v>
      </c>
      <c r="AA181" s="479">
        <v>4227.52372266667</v>
      </c>
      <c r="AB181" s="479">
        <f t="shared" si="174"/>
        <v>3624.89547733333</v>
      </c>
    </row>
    <row r="182" ht="18" spans="2:28">
      <c r="B182" s="18" t="s">
        <v>316</v>
      </c>
      <c r="C182" s="479">
        <v>115598</v>
      </c>
      <c r="D182" s="466">
        <v>12</v>
      </c>
      <c r="E182" s="467">
        <f t="shared" si="159"/>
        <v>1387176</v>
      </c>
      <c r="G182" s="468">
        <v>87934.08</v>
      </c>
      <c r="I182" s="467">
        <f t="shared" si="160"/>
        <v>1299241.92</v>
      </c>
      <c r="J182" s="467">
        <v>200000</v>
      </c>
      <c r="K182" s="467">
        <v>0.2</v>
      </c>
      <c r="L182" s="467">
        <f t="shared" si="161"/>
        <v>259848.384</v>
      </c>
      <c r="M182" s="467">
        <f t="shared" si="162"/>
        <v>459848.384</v>
      </c>
      <c r="N182" s="467">
        <f t="shared" si="163"/>
        <v>547782.464</v>
      </c>
      <c r="O182" s="467">
        <f t="shared" si="164"/>
        <v>839393.536</v>
      </c>
      <c r="P182" s="467">
        <f t="shared" si="165"/>
        <v>21000</v>
      </c>
      <c r="Q182" s="467">
        <f t="shared" si="166"/>
        <v>33000</v>
      </c>
      <c r="R182" s="467">
        <f t="shared" si="167"/>
        <v>35909.0304</v>
      </c>
      <c r="S182" s="467">
        <f t="shared" si="168"/>
        <v>0</v>
      </c>
      <c r="T182" s="467">
        <f t="shared" si="169"/>
        <v>0</v>
      </c>
      <c r="U182" s="467"/>
      <c r="V182" s="467">
        <f t="shared" si="171"/>
        <v>89909.0304</v>
      </c>
      <c r="W182" s="474">
        <v>12</v>
      </c>
      <c r="X182" s="467">
        <f t="shared" si="172"/>
        <v>7492.4192</v>
      </c>
      <c r="Z182" s="467">
        <f t="shared" si="173"/>
        <v>7492.4192</v>
      </c>
      <c r="AA182" s="479">
        <v>3963.52372266667</v>
      </c>
      <c r="AB182" s="479">
        <f t="shared" si="174"/>
        <v>3528.89547733333</v>
      </c>
    </row>
    <row r="183" ht="18" spans="2:28">
      <c r="B183" s="18" t="s">
        <v>317</v>
      </c>
      <c r="C183" s="479">
        <v>118598</v>
      </c>
      <c r="D183" s="466">
        <v>12</v>
      </c>
      <c r="E183" s="467">
        <f t="shared" si="159"/>
        <v>1423176</v>
      </c>
      <c r="G183" s="468">
        <v>87934.08</v>
      </c>
      <c r="I183" s="467">
        <f t="shared" si="160"/>
        <v>1335241.92</v>
      </c>
      <c r="J183" s="467">
        <v>200000</v>
      </c>
      <c r="K183" s="467">
        <v>0.2</v>
      </c>
      <c r="L183" s="467">
        <f t="shared" si="161"/>
        <v>267048.384</v>
      </c>
      <c r="M183" s="467">
        <f t="shared" si="162"/>
        <v>467048.384</v>
      </c>
      <c r="N183" s="467">
        <f t="shared" si="163"/>
        <v>554982.464</v>
      </c>
      <c r="O183" s="467">
        <f t="shared" si="164"/>
        <v>868193.536</v>
      </c>
      <c r="P183" s="467">
        <f t="shared" si="165"/>
        <v>21000</v>
      </c>
      <c r="Q183" s="467">
        <f t="shared" si="166"/>
        <v>33000</v>
      </c>
      <c r="R183" s="467">
        <f t="shared" si="167"/>
        <v>40229.0304</v>
      </c>
      <c r="S183" s="467">
        <f t="shared" si="168"/>
        <v>0</v>
      </c>
      <c r="T183" s="467">
        <f t="shared" si="169"/>
        <v>0</v>
      </c>
      <c r="U183" s="467"/>
      <c r="V183" s="467">
        <f t="shared" si="171"/>
        <v>94229.0304</v>
      </c>
      <c r="W183" s="474">
        <v>12</v>
      </c>
      <c r="X183" s="467">
        <f t="shared" si="172"/>
        <v>7852.4192</v>
      </c>
      <c r="Z183" s="467">
        <f t="shared" si="173"/>
        <v>7852.4192</v>
      </c>
      <c r="AA183" s="479">
        <v>4227.52372266667</v>
      </c>
      <c r="AB183" s="479">
        <f t="shared" si="174"/>
        <v>3624.89547733333</v>
      </c>
    </row>
    <row r="184" ht="18" spans="2:28">
      <c r="B184" s="11" t="s">
        <v>318</v>
      </c>
      <c r="C184" s="479">
        <v>118598</v>
      </c>
      <c r="D184" s="466">
        <v>12</v>
      </c>
      <c r="E184" s="467">
        <f t="shared" si="159"/>
        <v>1423176</v>
      </c>
      <c r="G184" s="468">
        <v>87934.08</v>
      </c>
      <c r="I184" s="467">
        <f t="shared" si="160"/>
        <v>1335241.92</v>
      </c>
      <c r="J184" s="467">
        <v>200000</v>
      </c>
      <c r="K184" s="467">
        <v>0.2</v>
      </c>
      <c r="L184" s="467">
        <f t="shared" si="161"/>
        <v>267048.384</v>
      </c>
      <c r="M184" s="467">
        <f t="shared" si="162"/>
        <v>467048.384</v>
      </c>
      <c r="N184" s="467">
        <f t="shared" si="163"/>
        <v>554982.464</v>
      </c>
      <c r="O184" s="467">
        <f t="shared" si="164"/>
        <v>868193.536</v>
      </c>
      <c r="P184" s="467">
        <f t="shared" si="165"/>
        <v>21000</v>
      </c>
      <c r="Q184" s="467">
        <f t="shared" si="166"/>
        <v>33000</v>
      </c>
      <c r="R184" s="467">
        <f t="shared" si="167"/>
        <v>40229.0304</v>
      </c>
      <c r="S184" s="467">
        <f t="shared" si="168"/>
        <v>0</v>
      </c>
      <c r="T184" s="467">
        <f t="shared" si="169"/>
        <v>0</v>
      </c>
      <c r="V184" s="467">
        <f t="shared" si="171"/>
        <v>94229.0304</v>
      </c>
      <c r="W184" s="474">
        <v>12</v>
      </c>
      <c r="X184" s="467">
        <f t="shared" si="172"/>
        <v>7852.4192</v>
      </c>
      <c r="Z184" s="467">
        <f t="shared" si="173"/>
        <v>7852.4192</v>
      </c>
      <c r="AA184" s="479">
        <v>4089.71669066667</v>
      </c>
      <c r="AB184" s="479">
        <f t="shared" si="174"/>
        <v>3762.70250933333</v>
      </c>
    </row>
    <row r="185" ht="18" spans="2:28">
      <c r="B185" s="11" t="s">
        <v>319</v>
      </c>
      <c r="C185" s="479">
        <v>118598</v>
      </c>
      <c r="D185" s="466">
        <v>12</v>
      </c>
      <c r="E185" s="467">
        <f t="shared" si="159"/>
        <v>1423176</v>
      </c>
      <c r="G185" s="468">
        <v>87934.08</v>
      </c>
      <c r="I185" s="467">
        <f t="shared" si="160"/>
        <v>1335241.92</v>
      </c>
      <c r="J185" s="467">
        <v>200000</v>
      </c>
      <c r="K185" s="467">
        <v>0.2</v>
      </c>
      <c r="L185" s="467">
        <f t="shared" si="161"/>
        <v>267048.384</v>
      </c>
      <c r="M185" s="467">
        <f t="shared" si="162"/>
        <v>467048.384</v>
      </c>
      <c r="N185" s="467">
        <f t="shared" si="163"/>
        <v>554982.464</v>
      </c>
      <c r="O185" s="467">
        <f t="shared" si="164"/>
        <v>868193.536</v>
      </c>
      <c r="P185" s="467">
        <f t="shared" si="165"/>
        <v>21000</v>
      </c>
      <c r="Q185" s="467">
        <f t="shared" si="166"/>
        <v>33000</v>
      </c>
      <c r="R185" s="467">
        <f t="shared" si="167"/>
        <v>40229.0304</v>
      </c>
      <c r="S185" s="467">
        <f t="shared" si="168"/>
        <v>0</v>
      </c>
      <c r="T185" s="467">
        <f t="shared" si="169"/>
        <v>0</v>
      </c>
      <c r="V185" s="467">
        <f t="shared" si="171"/>
        <v>94229.0304</v>
      </c>
      <c r="W185" s="474">
        <v>12</v>
      </c>
      <c r="X185" s="467">
        <f t="shared" si="172"/>
        <v>7852.4192</v>
      </c>
      <c r="Z185" s="467">
        <f t="shared" si="173"/>
        <v>7852.4192</v>
      </c>
      <c r="AA185" s="479">
        <v>4227.52372266667</v>
      </c>
      <c r="AB185" s="479">
        <f t="shared" si="174"/>
        <v>3624.89547733333</v>
      </c>
    </row>
    <row r="186" ht="18" spans="2:28">
      <c r="B186" s="18" t="s">
        <v>320</v>
      </c>
      <c r="C186" s="479">
        <v>116050.25</v>
      </c>
      <c r="D186" s="466">
        <v>12</v>
      </c>
      <c r="E186" s="467">
        <f t="shared" si="159"/>
        <v>1392603</v>
      </c>
      <c r="G186" s="468">
        <v>85488.24</v>
      </c>
      <c r="I186" s="467">
        <f t="shared" si="160"/>
        <v>1307114.76</v>
      </c>
      <c r="J186" s="467">
        <v>200000</v>
      </c>
      <c r="K186" s="467">
        <v>0.2</v>
      </c>
      <c r="L186" s="467">
        <f t="shared" si="161"/>
        <v>261422.952</v>
      </c>
      <c r="M186" s="467">
        <f t="shared" si="162"/>
        <v>461422.952</v>
      </c>
      <c r="N186" s="467">
        <f t="shared" si="163"/>
        <v>546911.192</v>
      </c>
      <c r="O186" s="467">
        <f t="shared" si="164"/>
        <v>845691.808</v>
      </c>
      <c r="P186" s="467">
        <f t="shared" si="165"/>
        <v>21000</v>
      </c>
      <c r="Q186" s="467">
        <f t="shared" si="166"/>
        <v>33000</v>
      </c>
      <c r="R186" s="467">
        <f t="shared" si="167"/>
        <v>36853.7712</v>
      </c>
      <c r="S186" s="467">
        <f t="shared" si="168"/>
        <v>0</v>
      </c>
      <c r="T186" s="467">
        <f t="shared" si="169"/>
        <v>0</v>
      </c>
      <c r="V186" s="467">
        <f t="shared" si="171"/>
        <v>90853.7712</v>
      </c>
      <c r="W186" s="474">
        <v>12</v>
      </c>
      <c r="X186" s="467">
        <f t="shared" si="172"/>
        <v>7571.1476</v>
      </c>
      <c r="Z186" s="467">
        <f t="shared" si="173"/>
        <v>7571.1476</v>
      </c>
      <c r="AA186" s="479">
        <v>4089.71669066667</v>
      </c>
      <c r="AB186" s="479">
        <f t="shared" si="174"/>
        <v>3481.43090933333</v>
      </c>
    </row>
    <row r="187" ht="18" spans="2:28">
      <c r="B187" s="18" t="s">
        <v>325</v>
      </c>
      <c r="C187" s="479">
        <v>102926.916666667</v>
      </c>
      <c r="D187" s="466">
        <v>12</v>
      </c>
      <c r="E187" s="467">
        <f t="shared" si="159"/>
        <v>1235123</v>
      </c>
      <c r="G187" s="468">
        <v>77689.84</v>
      </c>
      <c r="I187" s="467">
        <f t="shared" si="160"/>
        <v>1157433.16</v>
      </c>
      <c r="J187" s="467">
        <v>200000</v>
      </c>
      <c r="K187" s="467">
        <v>0.2</v>
      </c>
      <c r="L187" s="467">
        <f t="shared" si="161"/>
        <v>231486.632000001</v>
      </c>
      <c r="M187" s="467">
        <f t="shared" si="162"/>
        <v>431486.632000001</v>
      </c>
      <c r="N187" s="467">
        <f t="shared" si="163"/>
        <v>509176.472000001</v>
      </c>
      <c r="O187" s="467">
        <f t="shared" si="164"/>
        <v>725946.528000003</v>
      </c>
      <c r="P187" s="467">
        <f t="shared" si="165"/>
        <v>21000</v>
      </c>
      <c r="Q187" s="467">
        <f t="shared" si="166"/>
        <v>33000</v>
      </c>
      <c r="R187" s="467">
        <f t="shared" si="167"/>
        <v>18891.9792000005</v>
      </c>
      <c r="S187" s="467">
        <f t="shared" si="168"/>
        <v>0</v>
      </c>
      <c r="T187" s="467">
        <f t="shared" si="169"/>
        <v>0</v>
      </c>
      <c r="V187" s="467">
        <f t="shared" si="171"/>
        <v>72891.9792000005</v>
      </c>
      <c r="W187" s="474">
        <v>12</v>
      </c>
      <c r="X187" s="467">
        <f t="shared" si="172"/>
        <v>6074.33160000004</v>
      </c>
      <c r="Z187" s="467">
        <f t="shared" si="173"/>
        <v>6074.33160000004</v>
      </c>
      <c r="AA187" s="479">
        <v>3210.15440486667</v>
      </c>
      <c r="AB187" s="479">
        <f t="shared" si="174"/>
        <v>2864.17719513337</v>
      </c>
    </row>
    <row r="188" ht="18" spans="2:28">
      <c r="B188" s="18" t="s">
        <v>326</v>
      </c>
      <c r="C188" s="479">
        <v>95540.75</v>
      </c>
      <c r="D188" s="466">
        <v>12</v>
      </c>
      <c r="E188" s="467">
        <f t="shared" si="159"/>
        <v>1146489</v>
      </c>
      <c r="G188" s="468">
        <f t="shared" ref="G188:G190" si="176">6123.26*12</f>
        <v>73479.12</v>
      </c>
      <c r="I188" s="467">
        <f t="shared" si="160"/>
        <v>1073009.88</v>
      </c>
      <c r="J188" s="467">
        <v>200000</v>
      </c>
      <c r="K188" s="467">
        <v>0.2</v>
      </c>
      <c r="L188" s="467">
        <f t="shared" si="161"/>
        <v>214601.976</v>
      </c>
      <c r="M188" s="467">
        <f t="shared" si="162"/>
        <v>414601.976</v>
      </c>
      <c r="N188" s="467">
        <f t="shared" si="163"/>
        <v>488081.096</v>
      </c>
      <c r="O188" s="467">
        <f t="shared" si="164"/>
        <v>658407.904</v>
      </c>
      <c r="P188" s="467">
        <f t="shared" si="165"/>
        <v>21000</v>
      </c>
      <c r="Q188" s="467">
        <f t="shared" si="166"/>
        <v>33000</v>
      </c>
      <c r="R188" s="467">
        <f t="shared" si="167"/>
        <v>8761.1856</v>
      </c>
      <c r="S188" s="467">
        <f t="shared" si="168"/>
        <v>0</v>
      </c>
      <c r="T188" s="467">
        <f t="shared" si="169"/>
        <v>0</v>
      </c>
      <c r="V188" s="467">
        <f t="shared" si="171"/>
        <v>62761.1856</v>
      </c>
      <c r="W188" s="474">
        <v>12</v>
      </c>
      <c r="X188" s="467">
        <f t="shared" si="172"/>
        <v>5230.0988</v>
      </c>
      <c r="Z188" s="467">
        <f t="shared" si="173"/>
        <v>5230.0988</v>
      </c>
      <c r="AA188" s="479">
        <v>2708.91364066667</v>
      </c>
      <c r="AB188" s="479">
        <f t="shared" si="174"/>
        <v>2521.18515933333</v>
      </c>
    </row>
    <row r="189" ht="18" spans="2:28">
      <c r="B189" s="18" t="s">
        <v>329</v>
      </c>
      <c r="C189" s="479">
        <v>95540.75</v>
      </c>
      <c r="D189" s="466">
        <v>12</v>
      </c>
      <c r="E189" s="467">
        <f t="shared" si="159"/>
        <v>1146489</v>
      </c>
      <c r="G189" s="468">
        <f t="shared" si="176"/>
        <v>73479.12</v>
      </c>
      <c r="I189" s="467">
        <f t="shared" si="160"/>
        <v>1073009.88</v>
      </c>
      <c r="J189" s="467">
        <v>200000</v>
      </c>
      <c r="K189" s="467">
        <v>0.2</v>
      </c>
      <c r="L189" s="467">
        <f t="shared" si="161"/>
        <v>214601.976</v>
      </c>
      <c r="M189" s="467">
        <f t="shared" si="162"/>
        <v>414601.976</v>
      </c>
      <c r="N189" s="467">
        <f t="shared" si="163"/>
        <v>488081.096</v>
      </c>
      <c r="O189" s="467">
        <f t="shared" si="164"/>
        <v>658407.904</v>
      </c>
      <c r="P189" s="467">
        <f t="shared" si="165"/>
        <v>21000</v>
      </c>
      <c r="Q189" s="467">
        <f t="shared" si="166"/>
        <v>33000</v>
      </c>
      <c r="R189" s="467">
        <f t="shared" si="167"/>
        <v>8761.1856</v>
      </c>
      <c r="S189" s="467">
        <f t="shared" si="168"/>
        <v>0</v>
      </c>
      <c r="T189" s="467">
        <f t="shared" si="169"/>
        <v>0</v>
      </c>
      <c r="V189" s="467">
        <f t="shared" si="171"/>
        <v>62761.1856</v>
      </c>
      <c r="W189" s="474">
        <v>12</v>
      </c>
      <c r="X189" s="467">
        <f t="shared" si="172"/>
        <v>5230.0988</v>
      </c>
      <c r="Z189" s="467">
        <f t="shared" si="173"/>
        <v>5230.0988</v>
      </c>
      <c r="AA189" s="479">
        <v>2708.91364066667</v>
      </c>
      <c r="AB189" s="479">
        <f t="shared" si="174"/>
        <v>2521.18515933333</v>
      </c>
    </row>
    <row r="190" ht="18" spans="2:28">
      <c r="B190" s="18" t="s">
        <v>330</v>
      </c>
      <c r="C190" s="479">
        <v>95540.75</v>
      </c>
      <c r="D190" s="466">
        <v>12</v>
      </c>
      <c r="E190" s="467">
        <f t="shared" si="159"/>
        <v>1146489</v>
      </c>
      <c r="G190" s="468">
        <f t="shared" si="176"/>
        <v>73479.12</v>
      </c>
      <c r="I190" s="467">
        <f t="shared" si="160"/>
        <v>1073009.88</v>
      </c>
      <c r="J190" s="467">
        <v>200000</v>
      </c>
      <c r="K190" s="467">
        <v>0.2</v>
      </c>
      <c r="L190" s="467">
        <f t="shared" si="161"/>
        <v>214601.976</v>
      </c>
      <c r="M190" s="467">
        <f t="shared" si="162"/>
        <v>414601.976</v>
      </c>
      <c r="N190" s="467">
        <f t="shared" si="163"/>
        <v>488081.096</v>
      </c>
      <c r="O190" s="467">
        <f t="shared" si="164"/>
        <v>658407.904</v>
      </c>
      <c r="P190" s="467">
        <f t="shared" si="165"/>
        <v>21000</v>
      </c>
      <c r="Q190" s="467">
        <f t="shared" si="166"/>
        <v>33000</v>
      </c>
      <c r="R190" s="467">
        <f t="shared" si="167"/>
        <v>8761.1856</v>
      </c>
      <c r="S190" s="467">
        <f t="shared" si="168"/>
        <v>0</v>
      </c>
      <c r="T190" s="467">
        <f t="shared" si="169"/>
        <v>0</v>
      </c>
      <c r="V190" s="467">
        <f t="shared" si="171"/>
        <v>62761.1856</v>
      </c>
      <c r="W190" s="474">
        <v>12</v>
      </c>
      <c r="X190" s="467">
        <f t="shared" si="172"/>
        <v>5230.0988</v>
      </c>
      <c r="Z190" s="467">
        <f t="shared" si="173"/>
        <v>5230.0988</v>
      </c>
      <c r="AA190" s="479">
        <v>2708.91364066667</v>
      </c>
      <c r="AB190" s="479">
        <f t="shared" si="174"/>
        <v>2521.18515933333</v>
      </c>
    </row>
    <row r="191" ht="18" spans="2:28">
      <c r="B191" s="484" t="s">
        <v>331</v>
      </c>
      <c r="C191" s="479">
        <v>108502.5</v>
      </c>
      <c r="D191" s="485">
        <v>12</v>
      </c>
      <c r="E191" s="486">
        <f t="shared" si="159"/>
        <v>1302030</v>
      </c>
      <c r="G191" s="487">
        <f>6920.2*12</f>
        <v>83042.4</v>
      </c>
      <c r="I191" s="486">
        <f t="shared" si="160"/>
        <v>1218987.6</v>
      </c>
      <c r="J191" s="467">
        <v>200000</v>
      </c>
      <c r="K191" s="467">
        <v>0.2</v>
      </c>
      <c r="L191" s="467">
        <f t="shared" si="161"/>
        <v>243797.52</v>
      </c>
      <c r="M191" s="467">
        <f t="shared" si="162"/>
        <v>443797.52</v>
      </c>
      <c r="N191" s="467">
        <f t="shared" si="163"/>
        <v>526839.92</v>
      </c>
      <c r="O191" s="467">
        <f t="shared" si="164"/>
        <v>775190.08</v>
      </c>
      <c r="P191" s="467">
        <f t="shared" si="165"/>
        <v>21000</v>
      </c>
      <c r="Q191" s="467">
        <f t="shared" si="166"/>
        <v>33000</v>
      </c>
      <c r="R191" s="467">
        <f t="shared" si="167"/>
        <v>26278.512</v>
      </c>
      <c r="S191" s="467">
        <f t="shared" si="168"/>
        <v>0</v>
      </c>
      <c r="T191" s="467">
        <f t="shared" si="169"/>
        <v>0</v>
      </c>
      <c r="V191" s="467">
        <f t="shared" si="171"/>
        <v>80278.512</v>
      </c>
      <c r="W191" s="474">
        <v>12</v>
      </c>
      <c r="X191" s="467">
        <f t="shared" si="172"/>
        <v>6689.876</v>
      </c>
      <c r="Z191" s="467">
        <f t="shared" si="173"/>
        <v>6689.876</v>
      </c>
      <c r="AA191" s="479">
        <v>3511.79662266667</v>
      </c>
      <c r="AB191" s="479">
        <f t="shared" si="174"/>
        <v>3178.07937733333</v>
      </c>
    </row>
    <row r="192" ht="18" spans="2:28">
      <c r="B192" s="484" t="s">
        <v>334</v>
      </c>
      <c r="C192" s="488">
        <v>108502.5</v>
      </c>
      <c r="D192" s="485">
        <v>12</v>
      </c>
      <c r="E192" s="486">
        <f t="shared" si="159"/>
        <v>1302030</v>
      </c>
      <c r="F192" s="489"/>
      <c r="G192" s="487">
        <f>6920.2*12</f>
        <v>83042.4</v>
      </c>
      <c r="H192" s="489"/>
      <c r="I192" s="486">
        <f t="shared" si="160"/>
        <v>1218987.6</v>
      </c>
      <c r="J192" s="486">
        <v>200000</v>
      </c>
      <c r="K192" s="486">
        <v>0.2</v>
      </c>
      <c r="L192" s="486">
        <f t="shared" si="161"/>
        <v>243797.52</v>
      </c>
      <c r="M192" s="486">
        <f t="shared" si="162"/>
        <v>443797.52</v>
      </c>
      <c r="N192" s="486">
        <f t="shared" si="163"/>
        <v>526839.92</v>
      </c>
      <c r="O192" s="486">
        <f t="shared" si="164"/>
        <v>775190.08</v>
      </c>
      <c r="P192" s="486">
        <f t="shared" si="165"/>
        <v>21000</v>
      </c>
      <c r="Q192" s="486">
        <f t="shared" si="166"/>
        <v>33000</v>
      </c>
      <c r="R192" s="486">
        <f t="shared" si="167"/>
        <v>26278.512</v>
      </c>
      <c r="S192" s="486">
        <f t="shared" si="168"/>
        <v>0</v>
      </c>
      <c r="T192" s="486">
        <f t="shared" si="169"/>
        <v>0</v>
      </c>
      <c r="V192" s="486">
        <f t="shared" si="171"/>
        <v>80278.512</v>
      </c>
      <c r="W192" s="500">
        <v>12</v>
      </c>
      <c r="X192" s="486">
        <f t="shared" si="172"/>
        <v>6689.876</v>
      </c>
      <c r="Z192" s="486">
        <f t="shared" si="173"/>
        <v>6689.876</v>
      </c>
      <c r="AA192" s="479">
        <v>3511.79662266667</v>
      </c>
      <c r="AB192" s="479">
        <f t="shared" si="174"/>
        <v>3178.07937733333</v>
      </c>
    </row>
    <row r="193" ht="35.25" customHeight="1" spans="2:28">
      <c r="B193" s="8" t="s">
        <v>469</v>
      </c>
      <c r="C193" s="615">
        <f>SUM(C6:C192)</f>
        <v>71132716.6392716</v>
      </c>
      <c r="D193" s="616"/>
      <c r="E193" s="469"/>
      <c r="F193" s="617">
        <f>SUM(F6:F192)</f>
        <v>276375.747</v>
      </c>
      <c r="G193" s="617">
        <f>SUM(G6:G192)</f>
        <v>56238065.2832</v>
      </c>
      <c r="H193" s="618"/>
      <c r="I193" s="618"/>
      <c r="J193" s="618"/>
      <c r="K193" s="618"/>
      <c r="L193" s="618"/>
      <c r="M193" s="618"/>
      <c r="N193" s="618"/>
      <c r="O193" s="618"/>
      <c r="P193" s="618"/>
      <c r="Q193" s="618"/>
      <c r="R193" s="618"/>
      <c r="S193" s="618"/>
      <c r="T193" s="618"/>
      <c r="U193" s="618"/>
      <c r="V193" s="617">
        <f>SUM(V6:V192)</f>
        <v>116900305.455643</v>
      </c>
      <c r="W193" s="617"/>
      <c r="X193" s="617">
        <f>SUM(X6:X192)</f>
        <v>9741692.12130362</v>
      </c>
      <c r="Y193" s="617"/>
      <c r="Z193" s="617">
        <f>SUM(Z6:Z192)</f>
        <v>9741692.12130362</v>
      </c>
      <c r="AA193" s="618"/>
      <c r="AB193" s="618"/>
    </row>
    <row r="194" ht="26.25" customHeight="1" spans="2:28">
      <c r="B194" s="30" t="s">
        <v>470</v>
      </c>
      <c r="C194" s="615"/>
      <c r="D194" s="616"/>
      <c r="E194" s="616"/>
      <c r="F194" s="619">
        <f>F193/12</f>
        <v>23031.31225</v>
      </c>
      <c r="G194" s="619">
        <f>G193/12</f>
        <v>4686505.44026666</v>
      </c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9">
        <f>V193/12</f>
        <v>9741692.1213036</v>
      </c>
      <c r="W194" s="616"/>
      <c r="X194" s="616"/>
      <c r="Y194" s="616"/>
      <c r="Z194" s="616"/>
      <c r="AA194" s="618"/>
      <c r="AB194" s="618"/>
    </row>
    <row r="195" ht="17.5" spans="2:6">
      <c r="B195" s="33"/>
      <c r="C195" s="479"/>
      <c r="F195" s="498"/>
    </row>
    <row r="196" ht="13" spans="6:26">
      <c r="F196" s="499"/>
      <c r="Z196" s="617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0909090909091" defaultRowHeight="12.5"/>
  <sheetData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8"/>
  <sheetViews>
    <sheetView workbookViewId="0">
      <selection activeCell="G10" sqref="G10"/>
    </sheetView>
  </sheetViews>
  <sheetFormatPr defaultColWidth="9" defaultRowHeight="12.5" outlineLevelRow="7"/>
  <cols>
    <col min="1" max="1" width="5.57272727272727" customWidth="1"/>
    <col min="2" max="2" width="18.2818181818182" customWidth="1"/>
    <col min="3" max="3" width="17.1363636363636" customWidth="1"/>
    <col min="4" max="4" width="10.1363636363636" customWidth="1"/>
    <col min="5" max="5" width="15" customWidth="1"/>
    <col min="6" max="6" width="12.7090909090909" customWidth="1"/>
    <col min="7" max="7" width="11.5727272727273" customWidth="1"/>
    <col min="8" max="8" width="15.2818181818182" customWidth="1"/>
    <col min="9" max="9" width="14.4272727272727" customWidth="1"/>
    <col min="10" max="10" width="14.1363636363636" customWidth="1"/>
    <col min="11" max="11" width="17.4272727272727" customWidth="1"/>
    <col min="12" max="12" width="16" customWidth="1"/>
  </cols>
  <sheetData>
    <row r="4" s="1" customFormat="1" ht="49.5" customHeight="1" spans="2:12">
      <c r="B4" s="689" t="s">
        <v>2</v>
      </c>
      <c r="C4" s="690" t="s">
        <v>3</v>
      </c>
      <c r="D4" s="691" t="s">
        <v>4</v>
      </c>
      <c r="E4" s="682" t="s">
        <v>5</v>
      </c>
      <c r="F4" s="682" t="s">
        <v>7</v>
      </c>
      <c r="G4" s="682" t="s">
        <v>8</v>
      </c>
      <c r="H4" s="692" t="s">
        <v>9</v>
      </c>
      <c r="I4" s="682" t="s">
        <v>525</v>
      </c>
      <c r="J4" s="682" t="s">
        <v>15</v>
      </c>
      <c r="K4" s="693" t="s">
        <v>16</v>
      </c>
      <c r="L4" s="694" t="s">
        <v>526</v>
      </c>
    </row>
    <row r="5" s="1" customFormat="1" ht="37.5" customHeight="1" spans="1:13">
      <c r="A5" s="1">
        <v>1</v>
      </c>
      <c r="B5" s="351" t="s">
        <v>323</v>
      </c>
      <c r="C5" s="83" t="s">
        <v>321</v>
      </c>
      <c r="D5" s="15" t="s">
        <v>324</v>
      </c>
      <c r="E5" s="85">
        <v>83955</v>
      </c>
      <c r="F5" s="220">
        <f>20000</f>
        <v>20000</v>
      </c>
      <c r="G5" s="85">
        <f>4000+3000</f>
        <v>7000</v>
      </c>
      <c r="H5" s="509">
        <f>SUM(E5:G5)</f>
        <v>110955</v>
      </c>
      <c r="I5" s="85">
        <v>5719.04</v>
      </c>
      <c r="J5" s="85"/>
      <c r="K5" s="510">
        <v>5719.04</v>
      </c>
      <c r="L5" s="509">
        <f>H5-K5</f>
        <v>105235.96</v>
      </c>
      <c r="M5" s="13"/>
    </row>
    <row r="6" ht="31" spans="2:12">
      <c r="B6" s="351" t="s">
        <v>527</v>
      </c>
      <c r="C6" s="83"/>
      <c r="D6" s="15"/>
      <c r="E6" s="85">
        <v>83955</v>
      </c>
      <c r="F6" s="220">
        <f>20000</f>
        <v>20000</v>
      </c>
      <c r="G6" s="85">
        <f t="shared" ref="G6" si="0">4000+3000</f>
        <v>7000</v>
      </c>
      <c r="H6" s="509">
        <f>SUM(E6:G6)*(12/31)</f>
        <v>42950.3225806452</v>
      </c>
      <c r="I6" s="85">
        <v>3127.74</v>
      </c>
      <c r="J6" s="85">
        <v>0</v>
      </c>
      <c r="K6" s="510">
        <v>3127.74</v>
      </c>
      <c r="L6" s="509">
        <f t="shared" ref="L6:L7" si="1">H6-K6</f>
        <v>39822.5825806452</v>
      </c>
    </row>
    <row r="7" ht="31" spans="1:12">
      <c r="A7" s="1">
        <v>2</v>
      </c>
      <c r="B7" s="351" t="s">
        <v>87</v>
      </c>
      <c r="C7" s="83" t="s">
        <v>74</v>
      </c>
      <c r="D7" s="15" t="s">
        <v>528</v>
      </c>
      <c r="E7" s="85">
        <v>255849</v>
      </c>
      <c r="F7" s="220">
        <v>60000</v>
      </c>
      <c r="G7" s="85"/>
      <c r="H7" s="509">
        <f>SUM(E7:G7)</f>
        <v>315849</v>
      </c>
      <c r="I7" s="85">
        <f>36790.6881</f>
        <v>36790.6881</v>
      </c>
      <c r="J7" s="85">
        <f>'MARCH 2025'!P34</f>
        <v>20467.92</v>
      </c>
      <c r="K7" s="510">
        <f>I7+J7</f>
        <v>57258.6081</v>
      </c>
      <c r="L7" s="509">
        <f t="shared" si="1"/>
        <v>258590.3919</v>
      </c>
    </row>
    <row r="8" ht="28.5" customHeight="1" spans="1:12">
      <c r="A8" s="1"/>
      <c r="B8" s="22" t="s">
        <v>96</v>
      </c>
      <c r="C8" s="12"/>
      <c r="D8" s="15"/>
      <c r="E8" s="85"/>
      <c r="F8" s="220"/>
      <c r="G8" s="85"/>
      <c r="H8" s="509"/>
      <c r="I8" s="85"/>
      <c r="J8" s="85"/>
      <c r="K8" s="510"/>
      <c r="L8" s="516">
        <f>SUM(L6:L7)</f>
        <v>298412.974480645</v>
      </c>
    </row>
  </sheetData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opLeftCell="A7" workbookViewId="0">
      <selection activeCell="D15" sqref="D15"/>
    </sheetView>
  </sheetViews>
  <sheetFormatPr defaultColWidth="9" defaultRowHeight="12.5" outlineLevelCol="5"/>
  <cols>
    <col min="1" max="1" width="6.13636363636364" customWidth="1"/>
    <col min="2" max="2" width="28.2818181818182" customWidth="1"/>
    <col min="3" max="3" width="13.5727272727273" customWidth="1"/>
    <col min="4" max="4" width="16" customWidth="1"/>
    <col min="5" max="5" width="12.5727272727273" customWidth="1"/>
    <col min="6" max="6" width="15" customWidth="1"/>
    <col min="7" max="7" width="12.2818181818182" customWidth="1"/>
  </cols>
  <sheetData>
    <row r="1" ht="27.95" customHeight="1" spans="1:6">
      <c r="A1" s="686" t="s">
        <v>529</v>
      </c>
      <c r="B1" s="686"/>
      <c r="C1" s="686"/>
      <c r="D1" s="686"/>
      <c r="E1" s="686"/>
      <c r="F1" s="686"/>
    </row>
    <row r="2" ht="48.95" customHeight="1" spans="1:6">
      <c r="A2" s="68" t="s">
        <v>20</v>
      </c>
      <c r="B2" s="42" t="s">
        <v>446</v>
      </c>
      <c r="C2" s="687" t="s">
        <v>4</v>
      </c>
      <c r="D2" s="259" t="s">
        <v>530</v>
      </c>
      <c r="E2" s="259" t="s">
        <v>531</v>
      </c>
      <c r="F2" s="259" t="s">
        <v>532</v>
      </c>
    </row>
    <row r="3" ht="30" customHeight="1" spans="1:6">
      <c r="A3" s="49">
        <v>1</v>
      </c>
      <c r="B3" s="43" t="s">
        <v>533</v>
      </c>
      <c r="C3" s="49">
        <v>13</v>
      </c>
      <c r="D3" s="261">
        <f>25000*28</f>
        <v>700000</v>
      </c>
      <c r="E3" s="261">
        <v>104125.33</v>
      </c>
      <c r="F3" s="261">
        <f>D3-E3</f>
        <v>595874.67</v>
      </c>
    </row>
    <row r="4" ht="30" customHeight="1" spans="1:6">
      <c r="A4" s="49">
        <v>2</v>
      </c>
      <c r="B4" s="198" t="s">
        <v>534</v>
      </c>
      <c r="C4" s="49">
        <v>13</v>
      </c>
      <c r="D4" s="261">
        <f>25000*28</f>
        <v>700000</v>
      </c>
      <c r="E4" s="261">
        <v>104125.33</v>
      </c>
      <c r="F4" s="261">
        <f t="shared" ref="F4:F10" si="0">D4-E4</f>
        <v>595874.67</v>
      </c>
    </row>
    <row r="5" ht="30" customHeight="1" spans="1:6">
      <c r="A5" s="49">
        <v>3</v>
      </c>
      <c r="B5" s="198" t="s">
        <v>535</v>
      </c>
      <c r="C5" s="49">
        <v>10</v>
      </c>
      <c r="D5" s="261">
        <f t="shared" ref="D5:D10" si="1">20000*28</f>
        <v>560000</v>
      </c>
      <c r="E5" s="261">
        <f t="shared" ref="E5:E10" si="2">86186.67</f>
        <v>86186.67</v>
      </c>
      <c r="F5" s="261">
        <f t="shared" si="0"/>
        <v>473813.33</v>
      </c>
    </row>
    <row r="6" ht="35.45" customHeight="1" spans="1:6">
      <c r="A6" s="49">
        <v>4</v>
      </c>
      <c r="B6" s="198" t="s">
        <v>536</v>
      </c>
      <c r="C6" s="834" t="s">
        <v>537</v>
      </c>
      <c r="D6" s="261">
        <f t="shared" si="1"/>
        <v>560000</v>
      </c>
      <c r="E6" s="261">
        <f t="shared" si="2"/>
        <v>86186.67</v>
      </c>
      <c r="F6" s="261">
        <f t="shared" si="0"/>
        <v>473813.33</v>
      </c>
    </row>
    <row r="7" ht="30" customHeight="1" spans="1:6">
      <c r="A7" s="49">
        <v>5</v>
      </c>
      <c r="B7" s="198" t="s">
        <v>538</v>
      </c>
      <c r="C7" s="834" t="s">
        <v>539</v>
      </c>
      <c r="D7" s="261">
        <f t="shared" si="1"/>
        <v>560000</v>
      </c>
      <c r="E7" s="261">
        <f t="shared" si="2"/>
        <v>86186.67</v>
      </c>
      <c r="F7" s="261">
        <f t="shared" si="0"/>
        <v>473813.33</v>
      </c>
    </row>
    <row r="8" ht="36" customHeight="1" spans="1:6">
      <c r="A8" s="49">
        <v>6</v>
      </c>
      <c r="B8" s="198" t="s">
        <v>540</v>
      </c>
      <c r="C8" s="834" t="s">
        <v>539</v>
      </c>
      <c r="D8" s="261">
        <f t="shared" si="1"/>
        <v>560000</v>
      </c>
      <c r="E8" s="261">
        <f t="shared" si="2"/>
        <v>86186.67</v>
      </c>
      <c r="F8" s="261">
        <f t="shared" si="0"/>
        <v>473813.33</v>
      </c>
    </row>
    <row r="9" ht="30" customHeight="1" spans="1:6">
      <c r="A9" s="49">
        <v>7</v>
      </c>
      <c r="B9" s="43" t="s">
        <v>541</v>
      </c>
      <c r="C9" s="834" t="s">
        <v>539</v>
      </c>
      <c r="D9" s="261">
        <f t="shared" si="1"/>
        <v>560000</v>
      </c>
      <c r="E9" s="261">
        <f t="shared" si="2"/>
        <v>86186.67</v>
      </c>
      <c r="F9" s="261">
        <f t="shared" si="0"/>
        <v>473813.33</v>
      </c>
    </row>
    <row r="10" ht="30" customHeight="1" spans="1:6">
      <c r="A10" s="49">
        <v>8</v>
      </c>
      <c r="B10" s="198" t="s">
        <v>542</v>
      </c>
      <c r="C10" s="834" t="s">
        <v>539</v>
      </c>
      <c r="D10" s="261">
        <f t="shared" si="1"/>
        <v>560000</v>
      </c>
      <c r="E10" s="261">
        <f t="shared" si="2"/>
        <v>86186.67</v>
      </c>
      <c r="F10" s="261">
        <f t="shared" si="0"/>
        <v>473813.33</v>
      </c>
    </row>
    <row r="11" ht="30" customHeight="1" spans="1:6">
      <c r="A11" s="43"/>
      <c r="B11" s="42" t="s">
        <v>96</v>
      </c>
      <c r="C11" s="42"/>
      <c r="D11" s="688">
        <f>SUM(D3:D10)</f>
        <v>4760000</v>
      </c>
      <c r="E11" s="688">
        <f t="shared" ref="E11:F11" si="3">SUM(E3:E10)</f>
        <v>725370.68</v>
      </c>
      <c r="F11" s="688">
        <f t="shared" si="3"/>
        <v>4034629.32</v>
      </c>
    </row>
    <row r="14" ht="52.5" spans="1:6">
      <c r="A14" s="68" t="s">
        <v>20</v>
      </c>
      <c r="B14" s="42" t="s">
        <v>446</v>
      </c>
      <c r="C14" s="687" t="s">
        <v>4</v>
      </c>
      <c r="D14" s="259" t="s">
        <v>530</v>
      </c>
      <c r="E14" s="259" t="s">
        <v>531</v>
      </c>
      <c r="F14" s="259" t="s">
        <v>532</v>
      </c>
    </row>
    <row r="15" ht="36" spans="2:6">
      <c r="B15" s="198" t="s">
        <v>543</v>
      </c>
      <c r="C15" s="834" t="s">
        <v>537</v>
      </c>
      <c r="D15" s="261">
        <f t="shared" ref="D15" si="4">20000*28</f>
        <v>560000</v>
      </c>
      <c r="E15" s="261">
        <f t="shared" ref="E15" si="5">86186.67</f>
        <v>86186.67</v>
      </c>
      <c r="F15" s="261">
        <f t="shared" ref="F15" si="6">D15-E15</f>
        <v>473813.33</v>
      </c>
    </row>
    <row r="16" ht="18" spans="2:6">
      <c r="B16" s="198" t="s">
        <v>544</v>
      </c>
      <c r="C16" s="834" t="s">
        <v>545</v>
      </c>
      <c r="D16" s="261">
        <f>10000*28</f>
        <v>280000</v>
      </c>
      <c r="E16" s="261">
        <v>31272.88</v>
      </c>
      <c r="F16" s="261">
        <f t="shared" ref="F16" si="7">D16-E16</f>
        <v>248727.12</v>
      </c>
    </row>
    <row r="17" ht="17.5" spans="2:6">
      <c r="B17" s="42" t="s">
        <v>96</v>
      </c>
      <c r="C17" s="42"/>
      <c r="D17" s="688">
        <f>SUM(D15:D16)</f>
        <v>840000</v>
      </c>
      <c r="E17" s="688">
        <f t="shared" ref="E17:F17" si="8">SUM(E15:E16)</f>
        <v>117459.55</v>
      </c>
      <c r="F17" s="688">
        <f t="shared" si="8"/>
        <v>722540.45</v>
      </c>
    </row>
  </sheetData>
  <mergeCells count="1">
    <mergeCell ref="A1:F1"/>
  </mergeCells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opLeftCell="D1" workbookViewId="0">
      <selection activeCell="N5" sqref="N5:N7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68" t="s">
        <v>20</v>
      </c>
      <c r="B1" s="90" t="s">
        <v>2</v>
      </c>
      <c r="C1" s="90" t="s">
        <v>3</v>
      </c>
      <c r="D1" s="669" t="s">
        <v>4</v>
      </c>
      <c r="E1" s="90" t="s">
        <v>546</v>
      </c>
      <c r="F1" s="669" t="s">
        <v>547</v>
      </c>
      <c r="G1" s="669" t="s">
        <v>482</v>
      </c>
      <c r="H1" s="669" t="s">
        <v>9</v>
      </c>
      <c r="I1" s="680" t="s">
        <v>357</v>
      </c>
      <c r="J1" s="680"/>
      <c r="K1" s="680"/>
      <c r="L1" s="680"/>
      <c r="M1" s="680"/>
      <c r="N1" s="681" t="s">
        <v>548</v>
      </c>
    </row>
    <row r="2" ht="54.95" customHeight="1" spans="1:14">
      <c r="A2" s="668"/>
      <c r="B2" s="90"/>
      <c r="C2" s="90"/>
      <c r="D2" s="90"/>
      <c r="E2" s="90"/>
      <c r="F2" s="669"/>
      <c r="G2" s="669"/>
      <c r="H2" s="90"/>
      <c r="I2" s="682" t="s">
        <v>549</v>
      </c>
      <c r="J2" s="682" t="s">
        <v>550</v>
      </c>
      <c r="K2" s="682" t="s">
        <v>551</v>
      </c>
      <c r="L2" s="682" t="s">
        <v>552</v>
      </c>
      <c r="M2" s="682" t="s">
        <v>16</v>
      </c>
      <c r="N2" s="681"/>
    </row>
    <row r="3" ht="17.5" spans="1:14">
      <c r="A3" s="9"/>
      <c r="B3" s="5"/>
      <c r="C3" s="5"/>
      <c r="D3" s="5"/>
      <c r="E3" s="5"/>
      <c r="F3" s="670"/>
      <c r="G3" s="670"/>
      <c r="H3" s="671"/>
      <c r="I3" s="670"/>
      <c r="J3" s="670"/>
      <c r="K3" s="670"/>
      <c r="L3" s="670"/>
      <c r="M3" s="670"/>
      <c r="N3" s="683"/>
    </row>
    <row r="4" ht="18" spans="1:14">
      <c r="A4" s="4"/>
      <c r="B4" s="4"/>
      <c r="C4" s="4"/>
      <c r="D4" s="4"/>
      <c r="E4" s="672" t="s">
        <v>19</v>
      </c>
      <c r="F4" s="672" t="s">
        <v>19</v>
      </c>
      <c r="G4" s="672" t="s">
        <v>19</v>
      </c>
      <c r="H4" s="673" t="s">
        <v>19</v>
      </c>
      <c r="I4" s="672" t="s">
        <v>19</v>
      </c>
      <c r="J4" s="672" t="s">
        <v>19</v>
      </c>
      <c r="K4" s="672" t="s">
        <v>19</v>
      </c>
      <c r="L4" s="672" t="s">
        <v>19</v>
      </c>
      <c r="M4" s="672" t="s">
        <v>19</v>
      </c>
      <c r="N4" s="673" t="s">
        <v>19</v>
      </c>
    </row>
    <row r="5" ht="18" spans="1:14">
      <c r="A5" s="4">
        <v>1</v>
      </c>
      <c r="B5" s="11" t="s">
        <v>553</v>
      </c>
      <c r="C5" s="43" t="s">
        <v>554</v>
      </c>
      <c r="D5" s="49" t="s">
        <v>95</v>
      </c>
      <c r="E5" s="674">
        <f>'[3]Annual &amp; Monthly'!$H$36</f>
        <v>218287.583333333</v>
      </c>
      <c r="F5" s="675">
        <v>50000</v>
      </c>
      <c r="G5" s="675"/>
      <c r="H5" s="676">
        <f t="shared" ref="H5:H8" si="0">E5+F5+G5</f>
        <v>268287.583333333</v>
      </c>
      <c r="I5" s="684"/>
      <c r="J5" s="684"/>
      <c r="K5" s="684">
        <v>29305.1955466667</v>
      </c>
      <c r="L5" s="685">
        <v>17463.0066666666</v>
      </c>
      <c r="M5" s="685">
        <f>I5+J5+K5+L5</f>
        <v>46768.2022133333</v>
      </c>
      <c r="N5" s="677">
        <f t="shared" ref="N5:N8" si="1">H5-M5</f>
        <v>221519.38112</v>
      </c>
    </row>
    <row r="6" ht="18" spans="1:14">
      <c r="A6" s="4">
        <v>2</v>
      </c>
      <c r="B6" s="11" t="s">
        <v>555</v>
      </c>
      <c r="C6" s="43" t="s">
        <v>556</v>
      </c>
      <c r="D6" s="49" t="s">
        <v>95</v>
      </c>
      <c r="E6" s="674">
        <f>'[3]Annual &amp; Monthly'!$H$36</f>
        <v>218287.583333333</v>
      </c>
      <c r="F6" s="675">
        <v>50000</v>
      </c>
      <c r="G6" s="675"/>
      <c r="H6" s="677">
        <f t="shared" si="0"/>
        <v>268287.583333333</v>
      </c>
      <c r="I6" s="684"/>
      <c r="J6" s="684"/>
      <c r="K6" s="684">
        <v>29305.1955466667</v>
      </c>
      <c r="L6" s="685">
        <f t="shared" ref="L6:L7" si="2">218287.583333333*0.08</f>
        <v>17463.0066666666</v>
      </c>
      <c r="M6" s="685">
        <f t="shared" ref="M6:M8" si="3">I6+J6+K6+L6</f>
        <v>46768.2022133333</v>
      </c>
      <c r="N6" s="677">
        <f t="shared" si="1"/>
        <v>221519.38112</v>
      </c>
    </row>
    <row r="7" ht="18" spans="1:14">
      <c r="A7" s="4">
        <v>3</v>
      </c>
      <c r="B7" s="11" t="s">
        <v>557</v>
      </c>
      <c r="C7" s="43" t="s">
        <v>558</v>
      </c>
      <c r="D7" s="49" t="s">
        <v>95</v>
      </c>
      <c r="E7" s="674">
        <f>'[3]Annual &amp; Monthly'!$H$36</f>
        <v>218287.583333333</v>
      </c>
      <c r="F7" s="675">
        <v>50000</v>
      </c>
      <c r="G7" s="675"/>
      <c r="H7" s="677">
        <f t="shared" si="0"/>
        <v>268287.583333333</v>
      </c>
      <c r="I7" s="684"/>
      <c r="J7" s="684"/>
      <c r="K7" s="684">
        <v>29305.1955466667</v>
      </c>
      <c r="L7" s="685">
        <f t="shared" si="2"/>
        <v>17463.0066666666</v>
      </c>
      <c r="M7" s="685">
        <f t="shared" si="3"/>
        <v>46768.2022133333</v>
      </c>
      <c r="N7" s="677">
        <f t="shared" si="1"/>
        <v>221519.38112</v>
      </c>
    </row>
    <row r="8" ht="19.5" customHeight="1" spans="1:14">
      <c r="A8" s="4">
        <v>5</v>
      </c>
      <c r="B8" s="11" t="s">
        <v>559</v>
      </c>
      <c r="C8" s="11" t="s">
        <v>560</v>
      </c>
      <c r="D8" s="10" t="s">
        <v>39</v>
      </c>
      <c r="E8" s="85">
        <v>582118.083333333</v>
      </c>
      <c r="F8" s="85">
        <v>160000</v>
      </c>
      <c r="G8" s="220"/>
      <c r="H8" s="677">
        <f t="shared" si="0"/>
        <v>742118.083333333</v>
      </c>
      <c r="J8" s="85"/>
      <c r="K8" s="85">
        <v>112212.004906667</v>
      </c>
      <c r="L8" s="85">
        <v>46569.4466666667</v>
      </c>
      <c r="M8" s="685">
        <f t="shared" si="3"/>
        <v>158781.451573334</v>
      </c>
      <c r="N8" s="677">
        <f t="shared" si="1"/>
        <v>583336.631759999</v>
      </c>
    </row>
    <row r="9" ht="24" customHeight="1" spans="1:14">
      <c r="A9" s="10"/>
      <c r="B9" s="678" t="s">
        <v>96</v>
      </c>
      <c r="C9" s="20"/>
      <c r="D9" s="20"/>
      <c r="E9" s="679">
        <f t="shared" ref="E9:N9" si="4">SUM(E5:E8)</f>
        <v>1236980.83333333</v>
      </c>
      <c r="F9" s="679">
        <f t="shared" si="4"/>
        <v>310000</v>
      </c>
      <c r="G9" s="679">
        <f t="shared" si="4"/>
        <v>0</v>
      </c>
      <c r="H9" s="679">
        <f t="shared" si="4"/>
        <v>1546980.83333333</v>
      </c>
      <c r="I9" s="679">
        <f t="shared" si="4"/>
        <v>0</v>
      </c>
      <c r="J9" s="679">
        <f t="shared" si="4"/>
        <v>0</v>
      </c>
      <c r="K9" s="679">
        <f t="shared" si="4"/>
        <v>200127.591546667</v>
      </c>
      <c r="L9" s="679">
        <f t="shared" si="4"/>
        <v>98958.4666666666</v>
      </c>
      <c r="M9" s="679">
        <f t="shared" si="4"/>
        <v>299086.058213334</v>
      </c>
      <c r="N9" s="679">
        <f t="shared" si="4"/>
        <v>1247894.77512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workbookViewId="0">
      <selection activeCell="D10" sqref="D10"/>
    </sheetView>
  </sheetViews>
  <sheetFormatPr defaultColWidth="9" defaultRowHeight="12.5"/>
  <cols>
    <col min="1" max="1" width="4.28181818181818" customWidth="1"/>
    <col min="2" max="2" width="23.1363636363636" customWidth="1"/>
    <col min="3" max="3" width="19.4272727272727" customWidth="1"/>
    <col min="4" max="4" width="14.5727272727273" customWidth="1"/>
    <col min="5" max="5" width="15.5727272727273" customWidth="1"/>
    <col min="6" max="6" width="14.5727272727273" customWidth="1"/>
    <col min="7" max="7" width="12.2818181818182" customWidth="1"/>
    <col min="8" max="8" width="15.5727272727273" customWidth="1"/>
    <col min="9" max="9" width="13.2818181818182" customWidth="1"/>
    <col min="10" max="10" width="9.85454545454546" customWidth="1"/>
    <col min="11" max="11" width="14.1363636363636" customWidth="1"/>
    <col min="12" max="12" width="14.8545454545455" customWidth="1"/>
    <col min="13" max="13" width="13.5727272727273" customWidth="1"/>
    <col min="14" max="14" width="16.1363636363636" customWidth="1"/>
  </cols>
  <sheetData>
    <row r="1" ht="45" customHeight="1" spans="1:14">
      <c r="A1" s="668" t="s">
        <v>20</v>
      </c>
      <c r="B1" s="90" t="s">
        <v>2</v>
      </c>
      <c r="C1" s="90" t="s">
        <v>3</v>
      </c>
      <c r="D1" s="669" t="s">
        <v>4</v>
      </c>
      <c r="E1" s="90" t="s">
        <v>546</v>
      </c>
      <c r="F1" s="669" t="s">
        <v>547</v>
      </c>
      <c r="G1" s="669" t="s">
        <v>482</v>
      </c>
      <c r="H1" s="669" t="s">
        <v>9</v>
      </c>
      <c r="I1" s="680" t="s">
        <v>357</v>
      </c>
      <c r="J1" s="680"/>
      <c r="K1" s="680"/>
      <c r="L1" s="680"/>
      <c r="M1" s="680"/>
      <c r="N1" s="681" t="s">
        <v>548</v>
      </c>
    </row>
    <row r="2" ht="54.95" customHeight="1" spans="1:14">
      <c r="A2" s="668"/>
      <c r="B2" s="90"/>
      <c r="C2" s="90"/>
      <c r="D2" s="90"/>
      <c r="E2" s="90"/>
      <c r="F2" s="669"/>
      <c r="G2" s="669"/>
      <c r="H2" s="90"/>
      <c r="I2" s="682" t="s">
        <v>549</v>
      </c>
      <c r="J2" s="682" t="s">
        <v>550</v>
      </c>
      <c r="K2" s="682" t="s">
        <v>551</v>
      </c>
      <c r="L2" s="682" t="s">
        <v>552</v>
      </c>
      <c r="M2" s="682" t="s">
        <v>16</v>
      </c>
      <c r="N2" s="681"/>
    </row>
    <row r="3" ht="17.5" spans="1:14">
      <c r="A3" s="9"/>
      <c r="B3" s="5"/>
      <c r="C3" s="5"/>
      <c r="D3" s="5"/>
      <c r="E3" s="5"/>
      <c r="F3" s="670"/>
      <c r="G3" s="670"/>
      <c r="H3" s="671"/>
      <c r="I3" s="670"/>
      <c r="J3" s="670"/>
      <c r="K3" s="670"/>
      <c r="L3" s="670"/>
      <c r="M3" s="670"/>
      <c r="N3" s="683"/>
    </row>
    <row r="4" ht="18" spans="1:14">
      <c r="A4" s="4"/>
      <c r="B4" s="4"/>
      <c r="C4" s="4"/>
      <c r="D4" s="4"/>
      <c r="E4" s="672" t="s">
        <v>19</v>
      </c>
      <c r="F4" s="672" t="s">
        <v>19</v>
      </c>
      <c r="G4" s="672" t="s">
        <v>19</v>
      </c>
      <c r="H4" s="673" t="s">
        <v>19</v>
      </c>
      <c r="I4" s="672" t="s">
        <v>19</v>
      </c>
      <c r="J4" s="672" t="s">
        <v>19</v>
      </c>
      <c r="K4" s="672" t="s">
        <v>19</v>
      </c>
      <c r="L4" s="672" t="s">
        <v>19</v>
      </c>
      <c r="M4" s="672" t="s">
        <v>19</v>
      </c>
      <c r="N4" s="673" t="s">
        <v>19</v>
      </c>
    </row>
    <row r="5" ht="18" spans="1:14">
      <c r="A5" s="4">
        <v>1</v>
      </c>
      <c r="B5" s="11" t="s">
        <v>553</v>
      </c>
      <c r="C5" s="43" t="s">
        <v>554</v>
      </c>
      <c r="D5" s="49" t="s">
        <v>95</v>
      </c>
      <c r="E5" s="674">
        <f>'[3]Annual &amp; Monthly'!$H$36</f>
        <v>218287.583333333</v>
      </c>
      <c r="F5" s="675">
        <v>50000</v>
      </c>
      <c r="G5" s="675"/>
      <c r="H5" s="676">
        <f t="shared" ref="H5:H9" si="0">E5+F5+G5</f>
        <v>268287.583333333</v>
      </c>
      <c r="I5" s="684"/>
      <c r="J5" s="684"/>
      <c r="K5" s="684">
        <v>29305.1955466667</v>
      </c>
      <c r="L5" s="685">
        <v>17463.0066666666</v>
      </c>
      <c r="M5" s="685">
        <f>I5+J5+K5+L5</f>
        <v>46768.2022133333</v>
      </c>
      <c r="N5" s="677">
        <f t="shared" ref="N5:N9" si="1">H5-M5</f>
        <v>221519.38112</v>
      </c>
    </row>
    <row r="6" ht="18" spans="1:14">
      <c r="A6" s="4">
        <v>2</v>
      </c>
      <c r="B6" s="11" t="s">
        <v>555</v>
      </c>
      <c r="C6" s="43" t="s">
        <v>556</v>
      </c>
      <c r="D6" s="49" t="s">
        <v>95</v>
      </c>
      <c r="E6" s="674">
        <f>'[3]Annual &amp; Monthly'!$H$36</f>
        <v>218287.583333333</v>
      </c>
      <c r="F6" s="675">
        <v>50000</v>
      </c>
      <c r="G6" s="675"/>
      <c r="H6" s="677">
        <f t="shared" si="0"/>
        <v>268287.583333333</v>
      </c>
      <c r="I6" s="684"/>
      <c r="J6" s="684"/>
      <c r="K6" s="684">
        <v>29305.1955466667</v>
      </c>
      <c r="L6" s="685">
        <f t="shared" ref="L6:L8" si="2">218287.583333333*0.08</f>
        <v>17463.0066666666</v>
      </c>
      <c r="M6" s="685">
        <f t="shared" ref="M6:M9" si="3">I6+J6+K6+L6</f>
        <v>46768.2022133333</v>
      </c>
      <c r="N6" s="677">
        <f t="shared" si="1"/>
        <v>221519.38112</v>
      </c>
    </row>
    <row r="7" ht="18" spans="1:14">
      <c r="A7" s="4">
        <v>3</v>
      </c>
      <c r="B7" s="11" t="s">
        <v>557</v>
      </c>
      <c r="C7" s="43" t="s">
        <v>558</v>
      </c>
      <c r="D7" s="49" t="s">
        <v>95</v>
      </c>
      <c r="E7" s="674">
        <f>'[3]Annual &amp; Monthly'!$H$36</f>
        <v>218287.583333333</v>
      </c>
      <c r="F7" s="675">
        <v>50000</v>
      </c>
      <c r="G7" s="675"/>
      <c r="H7" s="677">
        <f t="shared" si="0"/>
        <v>268287.583333333</v>
      </c>
      <c r="I7" s="684"/>
      <c r="J7" s="684"/>
      <c r="K7" s="684">
        <v>29305.1955466667</v>
      </c>
      <c r="L7" s="685">
        <f t="shared" si="2"/>
        <v>17463.0066666666</v>
      </c>
      <c r="M7" s="685">
        <f t="shared" si="3"/>
        <v>46768.2022133333</v>
      </c>
      <c r="N7" s="677">
        <f t="shared" si="1"/>
        <v>221519.38112</v>
      </c>
    </row>
    <row r="8" ht="18" spans="1:14">
      <c r="A8" s="4">
        <v>4</v>
      </c>
      <c r="B8" s="11" t="s">
        <v>561</v>
      </c>
      <c r="C8" s="43" t="s">
        <v>562</v>
      </c>
      <c r="D8" s="49" t="s">
        <v>95</v>
      </c>
      <c r="E8" s="674">
        <f>'[3]Annual &amp; Monthly'!$H$36</f>
        <v>218287.583333333</v>
      </c>
      <c r="F8" s="675">
        <v>50000</v>
      </c>
      <c r="G8" s="675"/>
      <c r="H8" s="677">
        <f t="shared" si="0"/>
        <v>268287.583333333</v>
      </c>
      <c r="I8" s="684"/>
      <c r="J8" s="684"/>
      <c r="K8" s="684">
        <v>29305.1955466667</v>
      </c>
      <c r="L8" s="685">
        <f t="shared" si="2"/>
        <v>17463.0066666666</v>
      </c>
      <c r="M8" s="685">
        <f t="shared" si="3"/>
        <v>46768.2022133333</v>
      </c>
      <c r="N8" s="677">
        <f t="shared" si="1"/>
        <v>221519.38112</v>
      </c>
    </row>
    <row r="9" ht="19.5" customHeight="1" spans="1:14">
      <c r="A9" s="4">
        <v>5</v>
      </c>
      <c r="B9" s="11" t="s">
        <v>559</v>
      </c>
      <c r="C9" s="11" t="s">
        <v>560</v>
      </c>
      <c r="D9" s="10" t="s">
        <v>39</v>
      </c>
      <c r="E9" s="85">
        <v>582118.083333333</v>
      </c>
      <c r="F9" s="85">
        <v>160000</v>
      </c>
      <c r="G9" s="220"/>
      <c r="H9" s="677">
        <f t="shared" si="0"/>
        <v>742118.083333333</v>
      </c>
      <c r="J9" s="85"/>
      <c r="K9" s="85">
        <v>112212.004906667</v>
      </c>
      <c r="L9" s="85">
        <v>46569.4466666667</v>
      </c>
      <c r="M9" s="685">
        <f t="shared" si="3"/>
        <v>158781.451573334</v>
      </c>
      <c r="N9" s="677">
        <f t="shared" si="1"/>
        <v>583336.631759999</v>
      </c>
    </row>
    <row r="10" ht="24" customHeight="1" spans="1:14">
      <c r="A10" s="10"/>
      <c r="B10" s="678" t="s">
        <v>96</v>
      </c>
      <c r="C10" s="20"/>
      <c r="D10" s="20"/>
      <c r="E10" s="679">
        <f>SUM(E5:E9)</f>
        <v>1455268.41666667</v>
      </c>
      <c r="F10" s="679">
        <f t="shared" ref="F10:N10" si="4">SUM(F5:F9)</f>
        <v>360000</v>
      </c>
      <c r="G10" s="679">
        <f t="shared" si="4"/>
        <v>0</v>
      </c>
      <c r="H10" s="679">
        <f t="shared" si="4"/>
        <v>1815268.41666667</v>
      </c>
      <c r="I10" s="679">
        <f t="shared" si="4"/>
        <v>0</v>
      </c>
      <c r="J10" s="679">
        <f t="shared" si="4"/>
        <v>0</v>
      </c>
      <c r="K10" s="679">
        <f t="shared" si="4"/>
        <v>229432.787093334</v>
      </c>
      <c r="L10" s="679">
        <f t="shared" si="4"/>
        <v>116421.473333333</v>
      </c>
      <c r="M10" s="679">
        <f t="shared" si="4"/>
        <v>345854.260426667</v>
      </c>
      <c r="N10" s="679">
        <f t="shared" si="4"/>
        <v>1469414.15624</v>
      </c>
    </row>
  </sheetData>
  <mergeCells count="2">
    <mergeCell ref="I1:M1"/>
    <mergeCell ref="N1:N2"/>
  </mergeCells>
  <pageMargins left="0.7" right="0.7" top="0.75" bottom="0.75" header="0.3" footer="0.3"/>
  <pageSetup paperSize="1" orientation="landscape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5"/>
  <sheetViews>
    <sheetView topLeftCell="C4" workbookViewId="0">
      <selection activeCell="C6" sqref="C6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27.4272727272727" style="296" customWidth="1"/>
    <col min="28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443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444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6">
      <c r="A4" s="461" t="s">
        <v>445</v>
      </c>
      <c r="B4" s="462" t="s">
        <v>446</v>
      </c>
      <c r="C4" s="463" t="s">
        <v>447</v>
      </c>
      <c r="D4" s="462" t="s">
        <v>448</v>
      </c>
      <c r="E4" s="463" t="s">
        <v>449</v>
      </c>
      <c r="F4" s="463" t="s">
        <v>450</v>
      </c>
      <c r="G4" s="463" t="s">
        <v>451</v>
      </c>
      <c r="H4" s="463" t="s">
        <v>452</v>
      </c>
      <c r="I4" s="463" t="s">
        <v>453</v>
      </c>
      <c r="J4" s="463"/>
      <c r="K4" s="463"/>
      <c r="L4" s="463"/>
      <c r="M4" s="463" t="s">
        <v>454</v>
      </c>
      <c r="N4" s="463" t="s">
        <v>455</v>
      </c>
      <c r="O4" s="463" t="s">
        <v>456</v>
      </c>
      <c r="P4" s="463" t="s">
        <v>457</v>
      </c>
      <c r="Q4" s="463" t="s">
        <v>458</v>
      </c>
      <c r="R4" s="463" t="s">
        <v>459</v>
      </c>
      <c r="S4" s="463" t="s">
        <v>460</v>
      </c>
      <c r="T4" s="463" t="s">
        <v>461</v>
      </c>
      <c r="U4" s="463" t="s">
        <v>462</v>
      </c>
      <c r="V4" s="463" t="s">
        <v>463</v>
      </c>
      <c r="W4" s="463"/>
      <c r="X4" s="463" t="s">
        <v>464</v>
      </c>
      <c r="Y4" s="463" t="s">
        <v>465</v>
      </c>
      <c r="Z4" s="476" t="s">
        <v>466</v>
      </c>
    </row>
    <row r="5" ht="17.5" spans="1:29">
      <c r="A5" s="464">
        <v>1</v>
      </c>
      <c r="B5" s="8"/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</row>
    <row r="6" ht="18" spans="1:29">
      <c r="A6" s="464">
        <v>3</v>
      </c>
      <c r="B6" s="11" t="s">
        <v>563</v>
      </c>
      <c r="C6" s="465">
        <v>268287.583333333</v>
      </c>
      <c r="D6" s="466">
        <v>12</v>
      </c>
      <c r="E6" s="467">
        <f>C6*D6</f>
        <v>3219451</v>
      </c>
      <c r="F6" s="467"/>
      <c r="G6" s="467">
        <v>209556.08</v>
      </c>
      <c r="H6" s="467"/>
      <c r="I6" s="467">
        <f t="shared" ref="I6:I13" si="0">E6-F6-G6-H6</f>
        <v>3009894.92</v>
      </c>
      <c r="J6" s="467">
        <v>200000</v>
      </c>
      <c r="K6" s="467">
        <v>0.2</v>
      </c>
      <c r="L6" s="467">
        <f t="shared" ref="L6:L13" si="1">I6*K6</f>
        <v>601978.983999999</v>
      </c>
      <c r="M6" s="467">
        <f t="shared" ref="M6:M13" si="2">J6+L6</f>
        <v>801978.983999999</v>
      </c>
      <c r="N6" s="467">
        <f t="shared" ref="N6:N13" si="3">F6+G6+H6+M6</f>
        <v>1011535.064</v>
      </c>
      <c r="O6" s="467">
        <f t="shared" ref="O6:O13" si="4">E6-N6</f>
        <v>2207915.936</v>
      </c>
      <c r="P6" s="467">
        <f t="shared" ref="P6:P13" si="5">IF(O6&lt;300000,0.07*O6,21000)</f>
        <v>21000</v>
      </c>
      <c r="Q6" s="467">
        <f t="shared" ref="Q6:Q13" si="6">IF((O6-300000)&lt;0,0,IF((O6-300000)&lt;300000,0.11*(O6-300000),33000))</f>
        <v>33000</v>
      </c>
      <c r="R6" s="467">
        <f t="shared" ref="R6:R13" si="7">IF((O6-600000)&lt;0,0,IF((O6-600000)&lt;500000,0.15*(O6-600000),75000))</f>
        <v>75000</v>
      </c>
      <c r="S6" s="467">
        <f t="shared" ref="S6:S13" si="8">IF((O6-1100000)&lt;0,0,IF((O6-1100000)&lt;500000,0.19*(O6-1100000),95000))</f>
        <v>95000</v>
      </c>
      <c r="T6" s="467">
        <f t="shared" ref="T6:T13" si="9">IF((O6-1600000)&lt;0,0,IF((O6-1600000)&lt;1600000,0.21*(O6-1600000),336000))</f>
        <v>127662.346559999</v>
      </c>
      <c r="U6" s="467"/>
      <c r="V6" s="467">
        <f t="shared" ref="V6:V13" si="10">P6+Q6+R6+S6+T6+U6</f>
        <v>351662.346559999</v>
      </c>
      <c r="W6" s="474">
        <v>12</v>
      </c>
      <c r="X6" s="467">
        <f t="shared" ref="X6:X13" si="11">V6/W6</f>
        <v>29305.1955466666</v>
      </c>
      <c r="Y6" s="467"/>
      <c r="Z6" s="478">
        <f t="shared" ref="Z6:Z13" si="12">X6</f>
        <v>29305.1955466666</v>
      </c>
      <c r="AA6" s="479"/>
      <c r="AB6" s="479"/>
      <c r="AC6" s="479"/>
    </row>
    <row r="7" s="652" customFormat="1" ht="18" spans="1:29">
      <c r="A7" s="653">
        <v>4</v>
      </c>
      <c r="B7" s="11" t="s">
        <v>534</v>
      </c>
      <c r="C7" s="654">
        <v>460248.916666667</v>
      </c>
      <c r="D7" s="655">
        <v>12</v>
      </c>
      <c r="E7" s="656">
        <f t="shared" ref="E7:E13" si="13">C7*D7</f>
        <v>5522987</v>
      </c>
      <c r="F7" s="656"/>
      <c r="G7" s="656">
        <v>374638.96</v>
      </c>
      <c r="H7" s="656"/>
      <c r="I7" s="656">
        <f t="shared" si="0"/>
        <v>5148348.04</v>
      </c>
      <c r="J7" s="656">
        <v>200000</v>
      </c>
      <c r="K7" s="656">
        <v>0.2</v>
      </c>
      <c r="L7" s="656">
        <f t="shared" si="1"/>
        <v>1029669.608</v>
      </c>
      <c r="M7" s="656">
        <f t="shared" si="2"/>
        <v>1229669.608</v>
      </c>
      <c r="N7" s="656">
        <f t="shared" si="3"/>
        <v>1604308.568</v>
      </c>
      <c r="O7" s="656">
        <f t="shared" si="4"/>
        <v>3918678.432</v>
      </c>
      <c r="P7" s="656">
        <f t="shared" si="5"/>
        <v>21000</v>
      </c>
      <c r="Q7" s="656">
        <f t="shared" si="6"/>
        <v>33000</v>
      </c>
      <c r="R7" s="656">
        <f t="shared" si="7"/>
        <v>75000</v>
      </c>
      <c r="S7" s="656">
        <f t="shared" si="8"/>
        <v>95000</v>
      </c>
      <c r="T7" s="656">
        <f t="shared" si="9"/>
        <v>336000</v>
      </c>
      <c r="U7" s="656">
        <f t="shared" ref="U7:U11" si="14">24%*(O7-3200000)</f>
        <v>172482.823680001</v>
      </c>
      <c r="V7" s="656">
        <f t="shared" si="10"/>
        <v>732482.823680001</v>
      </c>
      <c r="W7" s="666">
        <v>12</v>
      </c>
      <c r="X7" s="656">
        <f t="shared" si="11"/>
        <v>61040.2353066667</v>
      </c>
      <c r="Y7" s="656"/>
      <c r="Z7" s="478">
        <f t="shared" si="12"/>
        <v>61040.2353066667</v>
      </c>
      <c r="AA7" s="667"/>
      <c r="AB7" s="667"/>
      <c r="AC7" s="667"/>
    </row>
    <row r="8" s="652" customFormat="1" ht="18" spans="1:29">
      <c r="A8" s="653">
        <v>5</v>
      </c>
      <c r="B8" s="11" t="s">
        <v>564</v>
      </c>
      <c r="C8" s="654">
        <v>315849</v>
      </c>
      <c r="D8" s="655">
        <v>12</v>
      </c>
      <c r="E8" s="656">
        <f t="shared" si="13"/>
        <v>3790188</v>
      </c>
      <c r="F8" s="656"/>
      <c r="G8" s="656">
        <v>245615.04</v>
      </c>
      <c r="H8" s="656"/>
      <c r="I8" s="656">
        <f t="shared" si="0"/>
        <v>3544572.96</v>
      </c>
      <c r="J8" s="656">
        <v>200000</v>
      </c>
      <c r="K8" s="656">
        <v>0.2</v>
      </c>
      <c r="L8" s="656">
        <f t="shared" si="1"/>
        <v>708914.592</v>
      </c>
      <c r="M8" s="656">
        <f t="shared" si="2"/>
        <v>908914.592</v>
      </c>
      <c r="N8" s="656">
        <f t="shared" si="3"/>
        <v>1154529.632</v>
      </c>
      <c r="O8" s="656">
        <f t="shared" si="4"/>
        <v>2635658.368</v>
      </c>
      <c r="P8" s="656">
        <f t="shared" si="5"/>
        <v>21000</v>
      </c>
      <c r="Q8" s="656">
        <f t="shared" si="6"/>
        <v>33000</v>
      </c>
      <c r="R8" s="656">
        <f t="shared" si="7"/>
        <v>75000</v>
      </c>
      <c r="S8" s="656">
        <f t="shared" si="8"/>
        <v>95000</v>
      </c>
      <c r="T8" s="656">
        <f t="shared" si="9"/>
        <v>217488.25728</v>
      </c>
      <c r="U8" s="656"/>
      <c r="V8" s="656">
        <f t="shared" si="10"/>
        <v>441488.25728</v>
      </c>
      <c r="W8" s="666">
        <v>12</v>
      </c>
      <c r="X8" s="656">
        <f t="shared" si="11"/>
        <v>36790.6881066667</v>
      </c>
      <c r="Y8" s="656"/>
      <c r="Z8" s="478">
        <f t="shared" si="12"/>
        <v>36790.6881066667</v>
      </c>
      <c r="AA8" s="667"/>
      <c r="AB8" s="667"/>
      <c r="AC8" s="667"/>
    </row>
    <row r="9" ht="18" spans="1:29">
      <c r="A9" s="464">
        <v>6</v>
      </c>
      <c r="B9" s="11" t="s">
        <v>565</v>
      </c>
      <c r="C9" s="465">
        <v>268287.583333333</v>
      </c>
      <c r="D9" s="466">
        <v>12</v>
      </c>
      <c r="E9" s="467">
        <f t="shared" si="13"/>
        <v>3219451</v>
      </c>
      <c r="F9" s="467"/>
      <c r="G9" s="467">
        <v>209556.08</v>
      </c>
      <c r="H9" s="467"/>
      <c r="I9" s="467">
        <f t="shared" si="0"/>
        <v>3009894.92</v>
      </c>
      <c r="J9" s="467">
        <v>200000</v>
      </c>
      <c r="K9" s="467">
        <v>0.2</v>
      </c>
      <c r="L9" s="467">
        <f t="shared" si="1"/>
        <v>601978.983999999</v>
      </c>
      <c r="M9" s="467">
        <f t="shared" si="2"/>
        <v>801978.983999999</v>
      </c>
      <c r="N9" s="467">
        <f t="shared" si="3"/>
        <v>1011535.064</v>
      </c>
      <c r="O9" s="467">
        <f t="shared" si="4"/>
        <v>2207915.936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127662.346559999</v>
      </c>
      <c r="U9" s="467"/>
      <c r="V9" s="467">
        <f t="shared" si="10"/>
        <v>351662.346559999</v>
      </c>
      <c r="W9" s="474">
        <v>12</v>
      </c>
      <c r="X9" s="467">
        <f t="shared" si="11"/>
        <v>29305.1955466666</v>
      </c>
      <c r="Y9" s="467"/>
      <c r="Z9" s="478">
        <f t="shared" si="12"/>
        <v>29305.1955466666</v>
      </c>
      <c r="AA9" s="479"/>
      <c r="AB9" s="479"/>
      <c r="AC9" s="479"/>
    </row>
    <row r="10" s="652" customFormat="1" ht="18" spans="1:29">
      <c r="A10" s="653">
        <v>7</v>
      </c>
      <c r="B10" s="11" t="s">
        <v>566</v>
      </c>
      <c r="C10" s="654">
        <v>353029.666666667</v>
      </c>
      <c r="D10" s="655">
        <v>12</v>
      </c>
      <c r="E10" s="656">
        <f t="shared" si="13"/>
        <v>4236356</v>
      </c>
      <c r="F10" s="656"/>
      <c r="G10" s="656">
        <v>281308.48</v>
      </c>
      <c r="H10" s="656"/>
      <c r="I10" s="656">
        <f t="shared" si="0"/>
        <v>3955047.52</v>
      </c>
      <c r="J10" s="656">
        <v>200000</v>
      </c>
      <c r="K10" s="656">
        <v>0.2</v>
      </c>
      <c r="L10" s="656">
        <f t="shared" si="1"/>
        <v>791009.504000001</v>
      </c>
      <c r="M10" s="656">
        <f t="shared" si="2"/>
        <v>991009.504000001</v>
      </c>
      <c r="N10" s="656">
        <f t="shared" si="3"/>
        <v>1272317.984</v>
      </c>
      <c r="O10" s="656">
        <f t="shared" si="4"/>
        <v>2964038.016</v>
      </c>
      <c r="P10" s="656">
        <f t="shared" si="5"/>
        <v>21000</v>
      </c>
      <c r="Q10" s="656">
        <f t="shared" si="6"/>
        <v>33000</v>
      </c>
      <c r="R10" s="656">
        <f t="shared" si="7"/>
        <v>75000</v>
      </c>
      <c r="S10" s="656">
        <f t="shared" si="8"/>
        <v>95000</v>
      </c>
      <c r="T10" s="656">
        <f t="shared" si="9"/>
        <v>286447.983360001</v>
      </c>
      <c r="U10" s="656"/>
      <c r="V10" s="656">
        <f t="shared" si="10"/>
        <v>510447.983360001</v>
      </c>
      <c r="W10" s="666">
        <v>12</v>
      </c>
      <c r="X10" s="656">
        <f t="shared" si="11"/>
        <v>42537.3319466667</v>
      </c>
      <c r="Y10" s="656"/>
      <c r="Z10" s="478">
        <f t="shared" si="12"/>
        <v>42537.3319466667</v>
      </c>
      <c r="AA10" s="667"/>
      <c r="AB10" s="667"/>
      <c r="AC10" s="667"/>
    </row>
    <row r="11" s="652" customFormat="1" ht="18" spans="1:29">
      <c r="A11" s="653">
        <v>8</v>
      </c>
      <c r="B11" s="11" t="s">
        <v>567</v>
      </c>
      <c r="C11" s="654">
        <v>510248.916666667</v>
      </c>
      <c r="D11" s="655">
        <v>12</v>
      </c>
      <c r="E11" s="656">
        <f t="shared" si="13"/>
        <v>6122987</v>
      </c>
      <c r="F11" s="656"/>
      <c r="G11" s="656">
        <v>374638.96</v>
      </c>
      <c r="H11" s="656"/>
      <c r="I11" s="656">
        <f t="shared" si="0"/>
        <v>5748348.04</v>
      </c>
      <c r="J11" s="656">
        <v>200000</v>
      </c>
      <c r="K11" s="656">
        <v>0.2</v>
      </c>
      <c r="L11" s="656">
        <f t="shared" si="1"/>
        <v>1149669.608</v>
      </c>
      <c r="M11" s="656">
        <f t="shared" si="2"/>
        <v>1349669.608</v>
      </c>
      <c r="N11" s="656">
        <f t="shared" si="3"/>
        <v>1724308.568</v>
      </c>
      <c r="O11" s="656">
        <f t="shared" si="4"/>
        <v>4398678.432</v>
      </c>
      <c r="P11" s="656">
        <f t="shared" si="5"/>
        <v>21000</v>
      </c>
      <c r="Q11" s="656">
        <f t="shared" si="6"/>
        <v>33000</v>
      </c>
      <c r="R11" s="656">
        <f t="shared" si="7"/>
        <v>75000</v>
      </c>
      <c r="S11" s="656">
        <f t="shared" si="8"/>
        <v>95000</v>
      </c>
      <c r="T11" s="656">
        <f t="shared" si="9"/>
        <v>336000</v>
      </c>
      <c r="U11" s="656">
        <f t="shared" si="14"/>
        <v>287682.823680001</v>
      </c>
      <c r="V11" s="656">
        <f t="shared" si="10"/>
        <v>847682.823680001</v>
      </c>
      <c r="W11" s="666">
        <v>12</v>
      </c>
      <c r="X11" s="656">
        <f t="shared" si="11"/>
        <v>70640.2353066667</v>
      </c>
      <c r="Y11" s="656"/>
      <c r="Z11" s="478">
        <f t="shared" si="12"/>
        <v>70640.2353066667</v>
      </c>
      <c r="AA11" s="667"/>
      <c r="AB11" s="667"/>
      <c r="AC11" s="667"/>
    </row>
    <row r="12" ht="18" spans="1:29">
      <c r="A12" s="464">
        <v>9</v>
      </c>
      <c r="B12" s="11" t="s">
        <v>541</v>
      </c>
      <c r="C12" s="465">
        <v>268287.583333333</v>
      </c>
      <c r="D12" s="466">
        <v>12</v>
      </c>
      <c r="E12" s="467">
        <f t="shared" si="13"/>
        <v>3219451</v>
      </c>
      <c r="F12" s="467"/>
      <c r="G12" s="467">
        <v>209556.08</v>
      </c>
      <c r="H12" s="467"/>
      <c r="I12" s="467">
        <f t="shared" si="0"/>
        <v>3009894.92</v>
      </c>
      <c r="J12" s="467">
        <v>200000</v>
      </c>
      <c r="K12" s="467">
        <v>0.2</v>
      </c>
      <c r="L12" s="467">
        <f t="shared" si="1"/>
        <v>601978.983999999</v>
      </c>
      <c r="M12" s="467">
        <f t="shared" si="2"/>
        <v>801978.983999999</v>
      </c>
      <c r="N12" s="467">
        <f t="shared" si="3"/>
        <v>1011535.064</v>
      </c>
      <c r="O12" s="467">
        <f t="shared" si="4"/>
        <v>2207915.936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127662.346559999</v>
      </c>
      <c r="U12" s="467"/>
      <c r="V12" s="467">
        <f t="shared" si="10"/>
        <v>351662.346559999</v>
      </c>
      <c r="W12" s="474">
        <v>12</v>
      </c>
      <c r="X12" s="467">
        <f t="shared" si="11"/>
        <v>29305.1955466666</v>
      </c>
      <c r="Y12" s="467"/>
      <c r="Z12" s="478">
        <f t="shared" si="12"/>
        <v>29305.1955466666</v>
      </c>
      <c r="AA12" s="479"/>
      <c r="AB12" s="479"/>
      <c r="AC12" s="479"/>
    </row>
    <row r="13" s="652" customFormat="1" ht="18" spans="1:29">
      <c r="A13" s="653">
        <v>10</v>
      </c>
      <c r="B13" s="11" t="s">
        <v>542</v>
      </c>
      <c r="C13" s="654">
        <v>268287.583333333</v>
      </c>
      <c r="D13" s="655">
        <v>12</v>
      </c>
      <c r="E13" s="656">
        <f t="shared" si="13"/>
        <v>3219451</v>
      </c>
      <c r="F13" s="656"/>
      <c r="G13" s="656">
        <v>209556.08</v>
      </c>
      <c r="H13" s="656"/>
      <c r="I13" s="656">
        <f t="shared" si="0"/>
        <v>3009894.92</v>
      </c>
      <c r="J13" s="656">
        <v>200000</v>
      </c>
      <c r="K13" s="656">
        <v>0.2</v>
      </c>
      <c r="L13" s="656">
        <f t="shared" si="1"/>
        <v>601978.983999999</v>
      </c>
      <c r="M13" s="656">
        <f t="shared" si="2"/>
        <v>801978.983999999</v>
      </c>
      <c r="N13" s="656">
        <f t="shared" si="3"/>
        <v>1011535.064</v>
      </c>
      <c r="O13" s="656">
        <f t="shared" si="4"/>
        <v>2207915.936</v>
      </c>
      <c r="P13" s="656">
        <f t="shared" si="5"/>
        <v>21000</v>
      </c>
      <c r="Q13" s="656">
        <f t="shared" si="6"/>
        <v>33000</v>
      </c>
      <c r="R13" s="656">
        <f t="shared" si="7"/>
        <v>75000</v>
      </c>
      <c r="S13" s="656">
        <f t="shared" si="8"/>
        <v>95000</v>
      </c>
      <c r="T13" s="656">
        <f t="shared" si="9"/>
        <v>127662.346559999</v>
      </c>
      <c r="U13" s="656"/>
      <c r="V13" s="656">
        <f t="shared" si="10"/>
        <v>351662.346559999</v>
      </c>
      <c r="W13" s="666">
        <v>12</v>
      </c>
      <c r="X13" s="656">
        <f t="shared" si="11"/>
        <v>29305.1955466666</v>
      </c>
      <c r="Y13" s="656"/>
      <c r="Z13" s="478">
        <f t="shared" si="12"/>
        <v>29305.1955466666</v>
      </c>
      <c r="AA13" s="667"/>
      <c r="AB13" s="667"/>
      <c r="AC13" s="667"/>
    </row>
    <row r="14" ht="26.25" customHeight="1" spans="2:26">
      <c r="B14" s="496" t="s">
        <v>470</v>
      </c>
      <c r="C14" s="491"/>
      <c r="D14" s="492"/>
      <c r="E14" s="492"/>
      <c r="F14" s="497"/>
      <c r="G14" s="497"/>
      <c r="H14" s="495"/>
      <c r="I14" s="495"/>
      <c r="J14" s="495"/>
      <c r="K14" s="495"/>
      <c r="L14" s="495"/>
      <c r="M14" s="495"/>
      <c r="N14" s="495"/>
      <c r="O14" s="495"/>
      <c r="P14" s="495"/>
      <c r="Q14" s="495"/>
      <c r="R14" s="495"/>
      <c r="S14" s="495"/>
      <c r="T14" s="495"/>
      <c r="U14" s="495"/>
      <c r="V14" s="497"/>
      <c r="W14" s="492"/>
      <c r="X14" s="492"/>
      <c r="Y14" s="492"/>
      <c r="Z14" s="494">
        <f>SUM(Z6:Z13)</f>
        <v>328229.272853333</v>
      </c>
    </row>
    <row r="15" ht="26.25" customHeight="1" spans="2:26">
      <c r="B15" s="657"/>
      <c r="C15" s="658"/>
      <c r="D15" s="659"/>
      <c r="E15" s="659"/>
      <c r="F15" s="660"/>
      <c r="G15" s="660"/>
      <c r="H15" s="661"/>
      <c r="I15" s="661"/>
      <c r="J15" s="661"/>
      <c r="K15" s="661"/>
      <c r="L15" s="661"/>
      <c r="M15" s="661"/>
      <c r="N15" s="661"/>
      <c r="O15" s="661"/>
      <c r="P15" s="661"/>
      <c r="Q15" s="661"/>
      <c r="R15" s="661"/>
      <c r="S15" s="661"/>
      <c r="T15" s="661"/>
      <c r="U15" s="661"/>
      <c r="V15" s="660"/>
      <c r="W15" s="659"/>
      <c r="X15" s="659"/>
      <c r="Y15" s="659"/>
      <c r="Z15" s="659"/>
    </row>
    <row r="16" ht="17.5" spans="2:6">
      <c r="B16" s="33"/>
      <c r="C16" s="296" t="s">
        <v>568</v>
      </c>
      <c r="D16" s="296">
        <v>12</v>
      </c>
      <c r="E16" s="479" t="s">
        <v>569</v>
      </c>
      <c r="F16" s="498"/>
    </row>
    <row r="17" ht="18" spans="1:26">
      <c r="A17" s="618"/>
      <c r="B17" s="11" t="s">
        <v>563</v>
      </c>
      <c r="C17" s="662">
        <f>218287.583333333*0.08</f>
        <v>17463.0066666666</v>
      </c>
      <c r="D17" s="663">
        <v>12</v>
      </c>
      <c r="E17" s="664">
        <f>C17*D17</f>
        <v>209556.08</v>
      </c>
      <c r="F17" s="499"/>
      <c r="Z17" s="494"/>
    </row>
    <row r="18" ht="18" spans="1:5">
      <c r="A18" s="618"/>
      <c r="B18" s="11" t="s">
        <v>534</v>
      </c>
      <c r="C18" s="639">
        <f>390248.916666667*0.08</f>
        <v>31219.9133333334</v>
      </c>
      <c r="D18" s="663">
        <v>12</v>
      </c>
      <c r="E18" s="664">
        <f t="shared" ref="E18:E24" si="15">C18*D18</f>
        <v>374638.96</v>
      </c>
    </row>
    <row r="19" ht="18" spans="1:5">
      <c r="A19" s="618"/>
      <c r="B19" s="11" t="s">
        <v>564</v>
      </c>
      <c r="C19" s="662">
        <f>255849*0.08</f>
        <v>20467.92</v>
      </c>
      <c r="D19" s="663">
        <v>12</v>
      </c>
      <c r="E19" s="664">
        <f t="shared" si="15"/>
        <v>245615.04</v>
      </c>
    </row>
    <row r="20" ht="18" spans="1:5">
      <c r="A20" s="618"/>
      <c r="B20" s="11" t="s">
        <v>565</v>
      </c>
      <c r="C20" s="662">
        <f>218287.583333333*0.08</f>
        <v>17463.0066666666</v>
      </c>
      <c r="D20" s="663">
        <v>12</v>
      </c>
      <c r="E20" s="664">
        <f t="shared" si="15"/>
        <v>209556.08</v>
      </c>
    </row>
    <row r="21" ht="18" spans="1:5">
      <c r="A21" s="618"/>
      <c r="B21" s="11" t="s">
        <v>566</v>
      </c>
      <c r="C21" s="662">
        <f>293029.666666667*0.08</f>
        <v>23442.3733333334</v>
      </c>
      <c r="D21" s="663">
        <v>12</v>
      </c>
      <c r="E21" s="664">
        <f t="shared" si="15"/>
        <v>281308.48</v>
      </c>
    </row>
    <row r="22" ht="18" spans="1:5">
      <c r="A22" s="618"/>
      <c r="B22" s="11" t="s">
        <v>567</v>
      </c>
      <c r="C22" s="639">
        <f>390248.916666667*0.08</f>
        <v>31219.9133333334</v>
      </c>
      <c r="D22" s="663">
        <v>12</v>
      </c>
      <c r="E22" s="664">
        <f t="shared" si="15"/>
        <v>374638.96</v>
      </c>
    </row>
    <row r="23" ht="18" spans="1:5">
      <c r="A23" s="618"/>
      <c r="B23" s="11" t="s">
        <v>541</v>
      </c>
      <c r="C23" s="662">
        <f t="shared" ref="C23:C24" si="16">218287.583333333*0.08</f>
        <v>17463.0066666666</v>
      </c>
      <c r="D23" s="663">
        <v>12</v>
      </c>
      <c r="E23" s="664">
        <f t="shared" si="15"/>
        <v>209556.08</v>
      </c>
    </row>
    <row r="24" ht="18" spans="1:5">
      <c r="A24" s="618"/>
      <c r="B24" s="11" t="s">
        <v>542</v>
      </c>
      <c r="C24" s="662">
        <f t="shared" si="16"/>
        <v>17463.0066666666</v>
      </c>
      <c r="D24" s="663">
        <v>12</v>
      </c>
      <c r="E24" s="664">
        <f t="shared" si="15"/>
        <v>209556.08</v>
      </c>
    </row>
    <row r="25" ht="15.5" spans="3:5">
      <c r="C25" s="665"/>
      <c r="D25" s="665"/>
      <c r="E25" s="665"/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9"/>
  <sheetViews>
    <sheetView workbookViewId="0">
      <selection activeCell="L6" sqref="L6:O6"/>
    </sheetView>
  </sheetViews>
  <sheetFormatPr defaultColWidth="9" defaultRowHeight="12.5"/>
  <cols>
    <col min="1" max="1" width="4.28181818181818" customWidth="1"/>
    <col min="2" max="2" width="23.1363636363636" customWidth="1"/>
    <col min="3" max="3" width="18.4272727272727" customWidth="1"/>
    <col min="4" max="4" width="11.8545454545455" customWidth="1"/>
    <col min="5" max="5" width="14.1363636363636" customWidth="1"/>
    <col min="6" max="6" width="7.42727272727273" customWidth="1"/>
    <col min="7" max="7" width="12.1363636363636" customWidth="1"/>
    <col min="8" max="8" width="11.1363636363636" customWidth="1"/>
    <col min="9" max="9" width="9" customWidth="1"/>
    <col min="10" max="10" width="12.5727272727273" customWidth="1"/>
    <col min="11" max="11" width="8.85454545454546" customWidth="1"/>
    <col min="12" max="13" width="12.1363636363636" customWidth="1"/>
    <col min="14" max="14" width="9" customWidth="1"/>
    <col min="15" max="15" width="12.2818181818182" customWidth="1"/>
    <col min="16" max="16" width="8.85454545454546" customWidth="1"/>
    <col min="17" max="19" width="12.5727272727273" customWidth="1"/>
  </cols>
  <sheetData>
    <row r="3" ht="60" spans="1:19">
      <c r="A3" s="4"/>
      <c r="B3" s="90" t="s">
        <v>2</v>
      </c>
      <c r="C3" s="635" t="s">
        <v>3</v>
      </c>
      <c r="D3" s="79" t="s">
        <v>4</v>
      </c>
      <c r="E3" s="636" t="s">
        <v>5</v>
      </c>
      <c r="F3" s="636" t="s">
        <v>6</v>
      </c>
      <c r="G3" s="636" t="s">
        <v>7</v>
      </c>
      <c r="H3" s="636" t="s">
        <v>7</v>
      </c>
      <c r="I3" s="636" t="s">
        <v>8</v>
      </c>
      <c r="J3" s="643" t="s">
        <v>9</v>
      </c>
      <c r="K3" s="636" t="s">
        <v>10</v>
      </c>
      <c r="L3" s="636" t="s">
        <v>11</v>
      </c>
      <c r="M3" s="636" t="s">
        <v>12</v>
      </c>
      <c r="N3" s="636" t="s">
        <v>13</v>
      </c>
      <c r="O3" s="644" t="s">
        <v>14</v>
      </c>
      <c r="P3" s="636" t="s">
        <v>15</v>
      </c>
      <c r="Q3" s="648" t="s">
        <v>16</v>
      </c>
      <c r="R3" s="319" t="s">
        <v>570</v>
      </c>
      <c r="S3" s="649" t="s">
        <v>571</v>
      </c>
    </row>
    <row r="4" ht="18" spans="1:19">
      <c r="A4" s="1"/>
      <c r="B4" s="1"/>
      <c r="C4" s="8"/>
      <c r="D4" s="8"/>
      <c r="E4" s="82" t="s">
        <v>19</v>
      </c>
      <c r="F4" s="82" t="s">
        <v>19</v>
      </c>
      <c r="G4" s="82" t="s">
        <v>19</v>
      </c>
      <c r="H4" s="82" t="s">
        <v>19</v>
      </c>
      <c r="I4" s="82" t="s">
        <v>19</v>
      </c>
      <c r="J4" s="507" t="s">
        <v>19</v>
      </c>
      <c r="K4" s="82" t="s">
        <v>19</v>
      </c>
      <c r="L4" s="82" t="s">
        <v>19</v>
      </c>
      <c r="M4" s="82" t="s">
        <v>19</v>
      </c>
      <c r="N4" s="82" t="s">
        <v>19</v>
      </c>
      <c r="O4" s="82" t="s">
        <v>19</v>
      </c>
      <c r="P4" s="82" t="s">
        <v>19</v>
      </c>
      <c r="Q4" s="508" t="s">
        <v>19</v>
      </c>
      <c r="R4" s="82" t="s">
        <v>19</v>
      </c>
      <c r="S4" s="507" t="s">
        <v>19</v>
      </c>
    </row>
    <row r="5" s="1" customFormat="1" ht="20.1" customHeight="1" spans="1:20">
      <c r="A5" s="95">
        <v>1</v>
      </c>
      <c r="B5" s="637" t="s">
        <v>520</v>
      </c>
      <c r="C5" s="86" t="s">
        <v>572</v>
      </c>
      <c r="D5" s="638" t="s">
        <v>573</v>
      </c>
      <c r="E5" s="639">
        <v>601396.833333333</v>
      </c>
      <c r="F5" s="639"/>
      <c r="G5" s="640">
        <f>160000</f>
        <v>160000</v>
      </c>
      <c r="H5" s="640"/>
      <c r="I5" s="645">
        <v>0</v>
      </c>
      <c r="J5" s="646">
        <f t="shared" ref="J5:J6" si="0">SUM(E5:I5)</f>
        <v>761396.833333333</v>
      </c>
      <c r="K5" s="639"/>
      <c r="L5" s="639"/>
      <c r="M5" s="639"/>
      <c r="N5" s="639">
        <v>0</v>
      </c>
      <c r="O5" s="639">
        <v>124854.858666667</v>
      </c>
      <c r="P5" s="639"/>
      <c r="Q5" s="650">
        <f t="shared" ref="Q5:Q8" si="1">O5+N5+M5+L5+K5+P5</f>
        <v>124854.858666667</v>
      </c>
      <c r="R5" s="639">
        <v>636541.974666667</v>
      </c>
      <c r="S5" s="646">
        <f t="shared" ref="S5:S8" si="2">J5-Q5</f>
        <v>636541.974666666</v>
      </c>
      <c r="T5" s="13"/>
    </row>
    <row r="6" s="1" customFormat="1" ht="32.1" customHeight="1" spans="1:20">
      <c r="A6" s="95">
        <v>2</v>
      </c>
      <c r="B6" s="351" t="s">
        <v>521</v>
      </c>
      <c r="C6" s="83" t="s">
        <v>574</v>
      </c>
      <c r="D6" s="95" t="s">
        <v>125</v>
      </c>
      <c r="E6" s="639">
        <v>620675.583333333</v>
      </c>
      <c r="F6" s="639"/>
      <c r="G6" s="640">
        <v>160000</v>
      </c>
      <c r="H6" s="640"/>
      <c r="I6" s="645">
        <v>0</v>
      </c>
      <c r="J6" s="646">
        <f t="shared" si="0"/>
        <v>780675.583333333</v>
      </c>
      <c r="K6" s="639"/>
      <c r="L6" s="639">
        <f>50000</f>
        <v>50000</v>
      </c>
      <c r="M6" s="639">
        <f>59583.33</f>
        <v>59583.33</v>
      </c>
      <c r="N6" s="639"/>
      <c r="O6" s="639">
        <f>128556.38</f>
        <v>128556.38</v>
      </c>
      <c r="P6" s="639"/>
      <c r="Q6" s="650">
        <f t="shared" si="1"/>
        <v>238139.71</v>
      </c>
      <c r="R6" s="639">
        <v>542535.873333333</v>
      </c>
      <c r="S6" s="646">
        <f t="shared" si="2"/>
        <v>542535.873333333</v>
      </c>
      <c r="T6" s="13"/>
    </row>
    <row r="7" s="634" customFormat="1" ht="29.1" customHeight="1" spans="1:20">
      <c r="A7" s="95">
        <v>3</v>
      </c>
      <c r="B7" s="637" t="s">
        <v>523</v>
      </c>
      <c r="C7" s="83" t="s">
        <v>219</v>
      </c>
      <c r="D7" s="638" t="s">
        <v>39</v>
      </c>
      <c r="E7" s="639">
        <v>582118.083333333</v>
      </c>
      <c r="F7" s="639"/>
      <c r="G7" s="640"/>
      <c r="H7" s="640">
        <f>80000</f>
        <v>80000</v>
      </c>
      <c r="I7" s="639">
        <v>0</v>
      </c>
      <c r="J7" s="646">
        <f t="shared" ref="J7" si="3">SUM(E7:I7)</f>
        <v>662118.083333333</v>
      </c>
      <c r="K7" s="639"/>
      <c r="L7" s="639">
        <f>100000</f>
        <v>100000</v>
      </c>
      <c r="M7" s="639">
        <f>103000</f>
        <v>103000</v>
      </c>
      <c r="N7" s="639">
        <v>0</v>
      </c>
      <c r="O7" s="639">
        <v>105793.338666667</v>
      </c>
      <c r="P7" s="639"/>
      <c r="Q7" s="650">
        <f t="shared" si="1"/>
        <v>308793.338666667</v>
      </c>
      <c r="R7" s="639">
        <v>353324.744666667</v>
      </c>
      <c r="S7" s="646">
        <f t="shared" si="2"/>
        <v>353324.744666666</v>
      </c>
      <c r="T7" s="651"/>
    </row>
    <row r="8" s="634" customFormat="1" ht="20.1" customHeight="1" spans="1:20">
      <c r="A8" s="95">
        <v>4</v>
      </c>
      <c r="B8" s="641" t="s">
        <v>524</v>
      </c>
      <c r="C8" s="83" t="s">
        <v>575</v>
      </c>
      <c r="D8" s="638" t="s">
        <v>189</v>
      </c>
      <c r="E8" s="639">
        <v>762373.166666667</v>
      </c>
      <c r="F8" s="639"/>
      <c r="G8" s="640"/>
      <c r="H8" s="640">
        <v>90000</v>
      </c>
      <c r="I8" s="639"/>
      <c r="J8" s="646">
        <f t="shared" ref="J8" si="4">SUM(E8:I8)</f>
        <v>852373.166666667</v>
      </c>
      <c r="K8" s="639"/>
      <c r="L8" s="647">
        <v>50000</v>
      </c>
      <c r="M8" s="647">
        <v>200000</v>
      </c>
      <c r="O8" s="639">
        <v>142322.314666667</v>
      </c>
      <c r="P8" s="639"/>
      <c r="Q8" s="650">
        <f t="shared" si="1"/>
        <v>392322.314666667</v>
      </c>
      <c r="R8" s="639">
        <v>460050.852</v>
      </c>
      <c r="S8" s="646">
        <f t="shared" si="2"/>
        <v>460050.852</v>
      </c>
      <c r="T8" s="651"/>
    </row>
    <row r="9" ht="29.1" customHeight="1" spans="5:19">
      <c r="E9" s="642">
        <f>SUM(E5:E8)</f>
        <v>2566563.66666667</v>
      </c>
      <c r="F9" s="642">
        <f t="shared" ref="F9:S9" si="5">SUM(F5:F8)</f>
        <v>0</v>
      </c>
      <c r="G9" s="642">
        <f t="shared" si="5"/>
        <v>320000</v>
      </c>
      <c r="H9" s="642">
        <f t="shared" si="5"/>
        <v>170000</v>
      </c>
      <c r="I9" s="642">
        <f t="shared" si="5"/>
        <v>0</v>
      </c>
      <c r="J9" s="642">
        <f t="shared" si="5"/>
        <v>3056563.66666667</v>
      </c>
      <c r="K9" s="642">
        <f t="shared" si="5"/>
        <v>0</v>
      </c>
      <c r="L9" s="642">
        <f t="shared" si="5"/>
        <v>200000</v>
      </c>
      <c r="M9" s="642">
        <f t="shared" si="5"/>
        <v>362583.33</v>
      </c>
      <c r="N9" s="642">
        <f t="shared" si="5"/>
        <v>0</v>
      </c>
      <c r="O9" s="642">
        <f t="shared" si="5"/>
        <v>501526.892000001</v>
      </c>
      <c r="P9" s="642">
        <f t="shared" si="5"/>
        <v>0</v>
      </c>
      <c r="Q9" s="642">
        <f t="shared" si="5"/>
        <v>1064110.222</v>
      </c>
      <c r="R9" s="642">
        <f t="shared" si="5"/>
        <v>1992453.44466667</v>
      </c>
      <c r="S9" s="642">
        <f t="shared" si="5"/>
        <v>1992453.44466667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5"/>
  <sheetViews>
    <sheetView workbookViewId="0">
      <selection activeCell="A5" sqref="$A5:$XFD5"/>
    </sheetView>
  </sheetViews>
  <sheetFormatPr defaultColWidth="9" defaultRowHeight="12.5" outlineLevelRow="4"/>
  <cols>
    <col min="1" max="1" width="5.85454545454545" customWidth="1"/>
  </cols>
  <sheetData>
    <row r="3" ht="105" spans="1:19">
      <c r="A3" s="4"/>
      <c r="B3" s="5" t="s">
        <v>2</v>
      </c>
      <c r="C3" s="6" t="s">
        <v>3</v>
      </c>
      <c r="D3" s="7" t="s">
        <v>4</v>
      </c>
      <c r="E3" s="218" t="s">
        <v>5</v>
      </c>
      <c r="F3" s="218" t="s">
        <v>6</v>
      </c>
      <c r="G3" s="218" t="s">
        <v>7</v>
      </c>
      <c r="H3" s="218" t="s">
        <v>7</v>
      </c>
      <c r="I3" s="218" t="s">
        <v>8</v>
      </c>
      <c r="J3" s="505" t="s">
        <v>9</v>
      </c>
      <c r="K3" s="218" t="s">
        <v>10</v>
      </c>
      <c r="L3" s="218" t="s">
        <v>11</v>
      </c>
      <c r="M3" s="218" t="s">
        <v>12</v>
      </c>
      <c r="N3" s="218" t="s">
        <v>13</v>
      </c>
      <c r="O3" s="24" t="s">
        <v>14</v>
      </c>
      <c r="P3" s="218" t="s">
        <v>15</v>
      </c>
      <c r="Q3" s="506" t="s">
        <v>16</v>
      </c>
      <c r="R3" s="80" t="s">
        <v>570</v>
      </c>
      <c r="S3" s="633" t="s">
        <v>571</v>
      </c>
    </row>
    <row r="4" ht="18" spans="1:19">
      <c r="A4" s="1"/>
      <c r="B4" s="1"/>
      <c r="C4" s="8"/>
      <c r="D4" s="8"/>
      <c r="E4" s="82" t="s">
        <v>19</v>
      </c>
      <c r="F4" s="82" t="s">
        <v>19</v>
      </c>
      <c r="G4" s="82" t="s">
        <v>19</v>
      </c>
      <c r="H4" s="82" t="s">
        <v>19</v>
      </c>
      <c r="I4" s="82" t="s">
        <v>19</v>
      </c>
      <c r="J4" s="507" t="s">
        <v>19</v>
      </c>
      <c r="K4" s="82" t="s">
        <v>19</v>
      </c>
      <c r="L4" s="82" t="s">
        <v>19</v>
      </c>
      <c r="M4" s="82" t="s">
        <v>19</v>
      </c>
      <c r="N4" s="82" t="s">
        <v>19</v>
      </c>
      <c r="O4" s="82" t="s">
        <v>19</v>
      </c>
      <c r="P4" s="82" t="s">
        <v>19</v>
      </c>
      <c r="Q4" s="508" t="s">
        <v>19</v>
      </c>
      <c r="R4" s="82" t="s">
        <v>19</v>
      </c>
      <c r="S4" s="507" t="s">
        <v>19</v>
      </c>
    </row>
    <row r="5" s="1" customFormat="1" ht="20.1" customHeight="1" spans="1:20">
      <c r="A5" s="10">
        <v>6</v>
      </c>
      <c r="B5" s="18" t="s">
        <v>576</v>
      </c>
      <c r="C5" s="17" t="s">
        <v>577</v>
      </c>
      <c r="D5" s="10" t="s">
        <v>27</v>
      </c>
      <c r="E5" s="85">
        <v>762373.166666667</v>
      </c>
      <c r="F5" s="85"/>
      <c r="G5" s="220"/>
      <c r="H5" s="220">
        <f>90000</f>
        <v>90000</v>
      </c>
      <c r="I5" s="85">
        <f>100000+100000</f>
        <v>200000</v>
      </c>
      <c r="J5" s="509">
        <f t="shared" ref="J5" si="0">E5+F5+G5+H5+I5</f>
        <v>1052373.16666667</v>
      </c>
      <c r="K5" s="85"/>
      <c r="L5" s="85">
        <f>50000</f>
        <v>50000</v>
      </c>
      <c r="M5" s="85">
        <f>91666.67</f>
        <v>91666.67</v>
      </c>
      <c r="N5" s="85"/>
      <c r="O5" s="85">
        <f>'Additional Leg Duty Allowance'!P3</f>
        <v>0</v>
      </c>
      <c r="P5" s="85"/>
      <c r="Q5" s="510">
        <f t="shared" ref="Q5" si="1">O5+N5+M5+L5+K5+P5</f>
        <v>141666.67</v>
      </c>
      <c r="R5" s="85">
        <v>729984.182</v>
      </c>
      <c r="S5" s="509">
        <f t="shared" ref="S5" si="2">J5-Q5</f>
        <v>910706.496666667</v>
      </c>
      <c r="T5" s="13"/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8"/>
  <sheetViews>
    <sheetView zoomScaleSheetLayoutView="50" workbookViewId="0">
      <pane xSplit="3" ySplit="7" topLeftCell="V8" activePane="bottomRight" state="frozen"/>
      <selection/>
      <selection pane="topRight"/>
      <selection pane="bottomLeft"/>
      <selection pane="bottomRight" activeCell="AA12" sqref="AA12"/>
    </sheetView>
  </sheetViews>
  <sheetFormatPr defaultColWidth="9.13636363636364" defaultRowHeight="20.1" customHeight="1" outlineLevelCol="5"/>
  <cols>
    <col min="1" max="1" width="5.42727272727273" style="1" customWidth="1"/>
    <col min="2" max="2" width="39.5727272727273" style="1" customWidth="1"/>
    <col min="3" max="3" width="35.7090909090909" style="1" customWidth="1"/>
    <col min="4" max="4" width="12.2818181818182" style="1" customWidth="1"/>
    <col min="5" max="5" width="15.7090909090909" style="1" customWidth="1"/>
    <col min="6" max="6" width="21.7090909090909" style="1" customWidth="1"/>
    <col min="7" max="16384" width="9.13636363636364" style="1"/>
  </cols>
  <sheetData>
    <row r="1" ht="27" customHeight="1" spans="1:4">
      <c r="A1" s="236" t="s">
        <v>0</v>
      </c>
      <c r="B1" s="236"/>
      <c r="C1" s="236"/>
      <c r="D1" s="236"/>
    </row>
    <row r="2" ht="33.75" customHeight="1" spans="1:5">
      <c r="A2" s="236" t="s">
        <v>578</v>
      </c>
      <c r="B2" s="257"/>
      <c r="C2" s="236"/>
      <c r="D2" s="236"/>
      <c r="E2" s="78"/>
    </row>
    <row r="3" ht="9.75" customHeight="1"/>
    <row r="4" ht="49.5" customHeight="1" spans="1:5">
      <c r="A4" s="4"/>
      <c r="B4" s="5" t="s">
        <v>2</v>
      </c>
      <c r="C4" s="6" t="s">
        <v>3</v>
      </c>
      <c r="D4" s="7" t="s">
        <v>4</v>
      </c>
      <c r="E4" s="321" t="s">
        <v>500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22</v>
      </c>
      <c r="C7" s="12" t="s">
        <v>23</v>
      </c>
      <c r="D7" s="12" t="s">
        <v>24</v>
      </c>
      <c r="E7" s="626">
        <v>540000</v>
      </c>
      <c r="F7" s="13"/>
    </row>
    <row r="8" customHeight="1" spans="1:6">
      <c r="A8" s="10">
        <v>2</v>
      </c>
      <c r="B8" s="11" t="s">
        <v>25</v>
      </c>
      <c r="C8" s="12" t="s">
        <v>26</v>
      </c>
      <c r="D8" s="10" t="s">
        <v>27</v>
      </c>
      <c r="E8" s="626">
        <v>180000</v>
      </c>
      <c r="F8" s="13"/>
    </row>
    <row r="9" customHeight="1" spans="1:6">
      <c r="A9" s="10">
        <v>3</v>
      </c>
      <c r="B9" s="14" t="s">
        <v>28</v>
      </c>
      <c r="C9" s="4" t="s">
        <v>29</v>
      </c>
      <c r="D9" s="10" t="s">
        <v>27</v>
      </c>
      <c r="E9" s="626">
        <v>180000</v>
      </c>
      <c r="F9" s="13"/>
    </row>
    <row r="10" customHeight="1" spans="1:6">
      <c r="A10" s="10">
        <v>4</v>
      </c>
      <c r="B10" s="11" t="s">
        <v>30</v>
      </c>
      <c r="C10" s="17" t="s">
        <v>31</v>
      </c>
      <c r="D10" s="10" t="s">
        <v>27</v>
      </c>
      <c r="E10" s="626">
        <v>180000</v>
      </c>
      <c r="F10" s="13"/>
    </row>
    <row r="11" customHeight="1" spans="1:6">
      <c r="A11" s="10">
        <v>5</v>
      </c>
      <c r="B11" s="14" t="s">
        <v>32</v>
      </c>
      <c r="C11" s="4" t="s">
        <v>33</v>
      </c>
      <c r="D11" s="10" t="s">
        <v>27</v>
      </c>
      <c r="E11" s="626">
        <v>180000</v>
      </c>
      <c r="F11" s="13"/>
    </row>
    <row r="12" customHeight="1" spans="1:6">
      <c r="A12" s="10">
        <v>6</v>
      </c>
      <c r="B12" s="18" t="s">
        <v>576</v>
      </c>
      <c r="C12" s="17" t="s">
        <v>577</v>
      </c>
      <c r="D12" s="10" t="s">
        <v>27</v>
      </c>
      <c r="E12" s="626">
        <v>180000</v>
      </c>
      <c r="F12" s="13"/>
    </row>
    <row r="13" customHeight="1" spans="1:6">
      <c r="A13" s="10">
        <v>7</v>
      </c>
      <c r="B13" s="11" t="s">
        <v>34</v>
      </c>
      <c r="C13" s="12" t="s">
        <v>35</v>
      </c>
      <c r="D13" s="15" t="s">
        <v>36</v>
      </c>
      <c r="E13" s="626">
        <v>126000</v>
      </c>
      <c r="F13" s="13"/>
    </row>
    <row r="14" customHeight="1" spans="1:6">
      <c r="A14" s="10">
        <v>8</v>
      </c>
      <c r="B14" s="11" t="s">
        <v>37</v>
      </c>
      <c r="C14" s="4" t="s">
        <v>38</v>
      </c>
      <c r="D14" s="10" t="s">
        <v>39</v>
      </c>
      <c r="E14" s="626">
        <v>126000</v>
      </c>
      <c r="F14" s="13"/>
    </row>
    <row r="15" customHeight="1" spans="1:6">
      <c r="A15" s="10">
        <v>9</v>
      </c>
      <c r="B15" s="11" t="s">
        <v>40</v>
      </c>
      <c r="C15" s="4" t="s">
        <v>41</v>
      </c>
      <c r="D15" s="15" t="s">
        <v>42</v>
      </c>
      <c r="E15" s="626">
        <v>90000</v>
      </c>
      <c r="F15" s="13"/>
    </row>
    <row r="16" customHeight="1" spans="1:6">
      <c r="A16" s="10">
        <v>10</v>
      </c>
      <c r="B16" s="14" t="s">
        <v>43</v>
      </c>
      <c r="C16" s="17" t="s">
        <v>133</v>
      </c>
      <c r="D16" s="15" t="s">
        <v>222</v>
      </c>
      <c r="E16" s="626">
        <v>90000</v>
      </c>
      <c r="F16" s="13"/>
    </row>
    <row r="17" customHeight="1" spans="1:6">
      <c r="A17" s="10">
        <v>11</v>
      </c>
      <c r="B17" s="11" t="s">
        <v>45</v>
      </c>
      <c r="C17" s="4" t="s">
        <v>46</v>
      </c>
      <c r="D17" s="10" t="s">
        <v>47</v>
      </c>
      <c r="E17" s="626">
        <v>90000</v>
      </c>
      <c r="F17" s="13"/>
    </row>
    <row r="18" customHeight="1" spans="1:5">
      <c r="A18" s="10">
        <v>12</v>
      </c>
      <c r="B18" s="11" t="s">
        <v>48</v>
      </c>
      <c r="C18" s="4" t="s">
        <v>579</v>
      </c>
      <c r="D18" s="10" t="s">
        <v>192</v>
      </c>
      <c r="E18" s="626">
        <v>90000</v>
      </c>
    </row>
    <row r="19" customHeight="1" spans="1:6">
      <c r="A19" s="10">
        <v>13</v>
      </c>
      <c r="B19" s="11" t="s">
        <v>50</v>
      </c>
      <c r="C19" s="12" t="s">
        <v>51</v>
      </c>
      <c r="D19" s="15" t="s">
        <v>52</v>
      </c>
      <c r="E19" s="626">
        <v>90000</v>
      </c>
      <c r="F19" s="13"/>
    </row>
    <row r="20" customHeight="1" spans="1:6">
      <c r="A20" s="10">
        <v>14</v>
      </c>
      <c r="B20" s="18" t="s">
        <v>53</v>
      </c>
      <c r="C20" s="4" t="s">
        <v>54</v>
      </c>
      <c r="D20" s="15" t="s">
        <v>55</v>
      </c>
      <c r="E20" s="626">
        <v>90000</v>
      </c>
      <c r="F20" s="13"/>
    </row>
    <row r="21" ht="18.75" customHeight="1" spans="1:6">
      <c r="A21" s="10">
        <v>15</v>
      </c>
      <c r="B21" s="11" t="s">
        <v>60</v>
      </c>
      <c r="C21" s="12" t="s">
        <v>61</v>
      </c>
      <c r="D21" s="15" t="s">
        <v>62</v>
      </c>
      <c r="E21" s="626">
        <v>68000</v>
      </c>
      <c r="F21" s="13"/>
    </row>
    <row r="22" customHeight="1" spans="1:6">
      <c r="A22" s="10">
        <v>16</v>
      </c>
      <c r="B22" s="14" t="s">
        <v>63</v>
      </c>
      <c r="C22" s="17" t="s">
        <v>64</v>
      </c>
      <c r="D22" s="10" t="s">
        <v>65</v>
      </c>
      <c r="E22" s="626">
        <v>68000</v>
      </c>
      <c r="F22" s="13"/>
    </row>
    <row r="23" ht="21.6" customHeight="1" spans="1:6">
      <c r="A23" s="10">
        <v>17</v>
      </c>
      <c r="B23" s="11" t="s">
        <v>66</v>
      </c>
      <c r="C23" s="17" t="s">
        <v>67</v>
      </c>
      <c r="D23" s="15" t="s">
        <v>65</v>
      </c>
      <c r="E23" s="626">
        <v>68000</v>
      </c>
      <c r="F23" s="13"/>
    </row>
    <row r="24" customHeight="1" spans="1:6">
      <c r="A24" s="10">
        <v>18</v>
      </c>
      <c r="B24" s="14" t="s">
        <v>68</v>
      </c>
      <c r="C24" s="17" t="s">
        <v>69</v>
      </c>
      <c r="D24" s="10" t="s">
        <v>70</v>
      </c>
      <c r="E24" s="626">
        <v>68000</v>
      </c>
      <c r="F24" s="13"/>
    </row>
    <row r="25" ht="18.75" customHeight="1" spans="1:6">
      <c r="A25" s="10">
        <v>19</v>
      </c>
      <c r="B25" s="4" t="s">
        <v>73</v>
      </c>
      <c r="C25" s="4" t="s">
        <v>74</v>
      </c>
      <c r="D25" s="10" t="s">
        <v>75</v>
      </c>
      <c r="E25" s="626">
        <v>54000</v>
      </c>
      <c r="F25" s="13"/>
    </row>
    <row r="26" ht="18.75" customHeight="1" spans="1:6">
      <c r="A26" s="10">
        <v>20</v>
      </c>
      <c r="B26" s="18" t="s">
        <v>76</v>
      </c>
      <c r="C26" s="12" t="s">
        <v>74</v>
      </c>
      <c r="D26" s="15" t="s">
        <v>75</v>
      </c>
      <c r="E26" s="626">
        <v>54000</v>
      </c>
      <c r="F26" s="13"/>
    </row>
    <row r="27" customHeight="1" spans="1:6">
      <c r="A27" s="10">
        <v>21</v>
      </c>
      <c r="B27" s="11" t="s">
        <v>77</v>
      </c>
      <c r="C27" s="17" t="s">
        <v>64</v>
      </c>
      <c r="D27" s="10" t="s">
        <v>75</v>
      </c>
      <c r="E27" s="626">
        <v>54000</v>
      </c>
      <c r="F27" s="13"/>
    </row>
    <row r="28" ht="18.75" customHeight="1" spans="1:6">
      <c r="A28" s="10">
        <v>22</v>
      </c>
      <c r="B28" s="18" t="s">
        <v>78</v>
      </c>
      <c r="C28" s="12" t="s">
        <v>79</v>
      </c>
      <c r="D28" s="15" t="s">
        <v>80</v>
      </c>
      <c r="E28" s="626">
        <v>54000</v>
      </c>
      <c r="F28" s="13"/>
    </row>
    <row r="29" ht="18.75" customHeight="1" spans="1:6">
      <c r="A29" s="10">
        <v>23</v>
      </c>
      <c r="B29" s="18" t="s">
        <v>81</v>
      </c>
      <c r="C29" s="4" t="s">
        <v>82</v>
      </c>
      <c r="D29" s="10" t="s">
        <v>83</v>
      </c>
      <c r="E29" s="626">
        <v>54000</v>
      </c>
      <c r="F29" s="13"/>
    </row>
    <row r="30" ht="18.75" customHeight="1" spans="1:6">
      <c r="A30" s="10">
        <v>24</v>
      </c>
      <c r="B30" s="18" t="s">
        <v>84</v>
      </c>
      <c r="C30" s="4" t="s">
        <v>82</v>
      </c>
      <c r="D30" s="10" t="s">
        <v>83</v>
      </c>
      <c r="E30" s="626">
        <v>54000</v>
      </c>
      <c r="F30" s="13"/>
    </row>
    <row r="31" ht="18.75" customHeight="1" spans="1:6">
      <c r="A31" s="10">
        <v>25</v>
      </c>
      <c r="B31" s="18" t="s">
        <v>85</v>
      </c>
      <c r="C31" s="17" t="s">
        <v>86</v>
      </c>
      <c r="D31" s="15" t="s">
        <v>75</v>
      </c>
      <c r="E31" s="626">
        <v>54000</v>
      </c>
      <c r="F31" s="13"/>
    </row>
    <row r="32" ht="18.75" customHeight="1" spans="1:6">
      <c r="A32" s="10">
        <v>26</v>
      </c>
      <c r="B32" s="18" t="s">
        <v>88</v>
      </c>
      <c r="C32" s="4" t="s">
        <v>89</v>
      </c>
      <c r="D32" s="10" t="s">
        <v>171</v>
      </c>
      <c r="E32" s="626">
        <v>54000</v>
      </c>
      <c r="F32" s="13"/>
    </row>
    <row r="33" ht="18.75" customHeight="1" spans="1:6">
      <c r="A33" s="10">
        <v>27</v>
      </c>
      <c r="B33" s="18" t="s">
        <v>90</v>
      </c>
      <c r="C33" s="12" t="s">
        <v>91</v>
      </c>
      <c r="D33" s="15" t="s">
        <v>92</v>
      </c>
      <c r="E33" s="626">
        <v>54000</v>
      </c>
      <c r="F33" s="13"/>
    </row>
    <row r="34" ht="21" customHeight="1" spans="1:6">
      <c r="A34" s="10"/>
      <c r="B34" s="20" t="s">
        <v>96</v>
      </c>
      <c r="C34" s="21">
        <v>27</v>
      </c>
      <c r="D34" s="15"/>
      <c r="E34" s="89">
        <f>SUM(E7:E33)</f>
        <v>2990000</v>
      </c>
      <c r="F34" s="13"/>
    </row>
    <row r="35" ht="18.75" customHeight="1" spans="1:6">
      <c r="A35" s="10"/>
      <c r="B35" s="22"/>
      <c r="C35" s="4"/>
      <c r="D35" s="15"/>
      <c r="E35" s="627"/>
      <c r="F35" s="13"/>
    </row>
    <row r="36" ht="18.75" customHeight="1" spans="1:6">
      <c r="A36" s="10"/>
      <c r="B36" s="20" t="s">
        <v>97</v>
      </c>
      <c r="C36" s="4"/>
      <c r="D36" s="15"/>
      <c r="E36" s="626"/>
      <c r="F36" s="13"/>
    </row>
    <row r="37" ht="18.75" customHeight="1" spans="1:6">
      <c r="A37" s="10">
        <v>1</v>
      </c>
      <c r="B37" s="18" t="s">
        <v>98</v>
      </c>
      <c r="C37" s="4" t="s">
        <v>99</v>
      </c>
      <c r="D37" s="10" t="s">
        <v>100</v>
      </c>
      <c r="E37" s="626">
        <v>270000</v>
      </c>
      <c r="F37" s="13"/>
    </row>
    <row r="38" ht="18.75" customHeight="1" spans="1:6">
      <c r="A38" s="10">
        <v>2</v>
      </c>
      <c r="B38" s="18" t="s">
        <v>101</v>
      </c>
      <c r="C38" s="4" t="s">
        <v>102</v>
      </c>
      <c r="D38" s="10" t="s">
        <v>70</v>
      </c>
      <c r="E38" s="626">
        <v>68000</v>
      </c>
      <c r="F38" s="13"/>
    </row>
    <row r="39" ht="18.75" customHeight="1" spans="1:6">
      <c r="A39" s="10">
        <v>3</v>
      </c>
      <c r="B39" s="11" t="s">
        <v>103</v>
      </c>
      <c r="C39" s="4" t="s">
        <v>102</v>
      </c>
      <c r="D39" s="15" t="s">
        <v>104</v>
      </c>
      <c r="E39" s="626">
        <v>68000</v>
      </c>
      <c r="F39" s="13"/>
    </row>
    <row r="40" ht="19.5" customHeight="1" spans="1:6">
      <c r="A40" s="10"/>
      <c r="B40" s="14"/>
      <c r="C40" s="21">
        <v>3</v>
      </c>
      <c r="D40" s="10"/>
      <c r="E40" s="89">
        <f t="shared" ref="E40" si="0">SUM(E37:E39)</f>
        <v>406000</v>
      </c>
      <c r="F40" s="13"/>
    </row>
    <row r="41" customHeight="1" spans="1:6">
      <c r="A41" s="10"/>
      <c r="B41" s="14"/>
      <c r="C41" s="4"/>
      <c r="D41" s="10"/>
      <c r="E41" s="626"/>
      <c r="F41" s="13"/>
    </row>
    <row r="42" customHeight="1" spans="1:6">
      <c r="A42" s="10"/>
      <c r="B42" s="23" t="s">
        <v>107</v>
      </c>
      <c r="C42" s="5"/>
      <c r="D42" s="24"/>
      <c r="E42" s="626"/>
      <c r="F42" s="13"/>
    </row>
    <row r="43" customHeight="1" spans="1:6">
      <c r="A43" s="10">
        <v>1</v>
      </c>
      <c r="B43" s="11" t="s">
        <v>501</v>
      </c>
      <c r="C43" s="4" t="s">
        <v>502</v>
      </c>
      <c r="D43" s="10" t="s">
        <v>100</v>
      </c>
      <c r="E43" s="626">
        <v>270000</v>
      </c>
      <c r="F43" s="13"/>
    </row>
    <row r="44" customHeight="1" spans="1:6">
      <c r="A44" s="10">
        <v>2</v>
      </c>
      <c r="B44" s="11" t="s">
        <v>491</v>
      </c>
      <c r="C44" s="4" t="s">
        <v>44</v>
      </c>
      <c r="D44" s="10" t="s">
        <v>36</v>
      </c>
      <c r="E44" s="626">
        <v>126000</v>
      </c>
      <c r="F44" s="13"/>
    </row>
    <row r="45" customHeight="1" spans="1:6">
      <c r="A45" s="10">
        <v>3</v>
      </c>
      <c r="B45" s="11" t="s">
        <v>108</v>
      </c>
      <c r="C45" s="4" t="s">
        <v>109</v>
      </c>
      <c r="D45" s="10" t="s">
        <v>110</v>
      </c>
      <c r="E45" s="626">
        <v>180000</v>
      </c>
      <c r="F45" s="13"/>
    </row>
    <row r="46" customHeight="1" spans="1:6">
      <c r="A46" s="10">
        <v>4</v>
      </c>
      <c r="B46" s="11" t="s">
        <v>111</v>
      </c>
      <c r="C46" s="4" t="s">
        <v>112</v>
      </c>
      <c r="D46" s="10" t="s">
        <v>36</v>
      </c>
      <c r="E46" s="626">
        <v>126000</v>
      </c>
      <c r="F46" s="13"/>
    </row>
    <row r="47" customHeight="1" spans="1:6">
      <c r="A47" s="10">
        <v>5</v>
      </c>
      <c r="B47" s="11" t="s">
        <v>113</v>
      </c>
      <c r="C47" s="4" t="s">
        <v>112</v>
      </c>
      <c r="D47" s="10" t="s">
        <v>36</v>
      </c>
      <c r="E47" s="626">
        <v>126000</v>
      </c>
      <c r="F47" s="13"/>
    </row>
    <row r="48" customHeight="1" spans="1:6">
      <c r="A48" s="10">
        <v>6</v>
      </c>
      <c r="B48" s="11" t="s">
        <v>114</v>
      </c>
      <c r="C48" s="4" t="s">
        <v>112</v>
      </c>
      <c r="D48" s="10" t="s">
        <v>39</v>
      </c>
      <c r="E48" s="626">
        <v>126000</v>
      </c>
      <c r="F48" s="13"/>
    </row>
    <row r="49" customHeight="1" spans="1:6">
      <c r="A49" s="10">
        <v>7</v>
      </c>
      <c r="B49" s="14" t="s">
        <v>115</v>
      </c>
      <c r="C49" s="4" t="s">
        <v>133</v>
      </c>
      <c r="D49" s="16" t="s">
        <v>222</v>
      </c>
      <c r="E49" s="626">
        <v>90000</v>
      </c>
      <c r="F49" s="13"/>
    </row>
    <row r="50" customHeight="1" spans="1:6">
      <c r="A50" s="10">
        <v>8</v>
      </c>
      <c r="B50" s="11" t="s">
        <v>116</v>
      </c>
      <c r="C50" s="4" t="s">
        <v>117</v>
      </c>
      <c r="D50" s="10" t="s">
        <v>104</v>
      </c>
      <c r="E50" s="626">
        <v>68000</v>
      </c>
      <c r="F50" s="13"/>
    </row>
    <row r="51" customHeight="1" spans="1:6">
      <c r="A51" s="10">
        <v>9</v>
      </c>
      <c r="B51" s="11" t="s">
        <v>118</v>
      </c>
      <c r="C51" s="4" t="s">
        <v>117</v>
      </c>
      <c r="D51" s="10" t="s">
        <v>80</v>
      </c>
      <c r="E51" s="626">
        <v>54000</v>
      </c>
      <c r="F51" s="13"/>
    </row>
    <row r="52" customHeight="1" spans="1:6">
      <c r="A52" s="10">
        <v>10</v>
      </c>
      <c r="B52" s="11" t="s">
        <v>580</v>
      </c>
      <c r="C52" s="4" t="s">
        <v>117</v>
      </c>
      <c r="D52" s="10" t="s">
        <v>80</v>
      </c>
      <c r="E52" s="626">
        <v>54000</v>
      </c>
      <c r="F52" s="13"/>
    </row>
    <row r="53" customHeight="1" spans="1:6">
      <c r="A53" s="10">
        <v>11</v>
      </c>
      <c r="B53" s="11" t="s">
        <v>119</v>
      </c>
      <c r="C53" s="4" t="s">
        <v>117</v>
      </c>
      <c r="D53" s="10" t="s">
        <v>80</v>
      </c>
      <c r="E53" s="626">
        <v>54000</v>
      </c>
      <c r="F53" s="13"/>
    </row>
    <row r="54" ht="25.5" customHeight="1" spans="1:6">
      <c r="A54" s="10"/>
      <c r="B54" s="20" t="s">
        <v>96</v>
      </c>
      <c r="C54" s="21">
        <v>11</v>
      </c>
      <c r="D54" s="21"/>
      <c r="E54" s="628">
        <f>SUM(E43:E53)</f>
        <v>1274000</v>
      </c>
      <c r="F54" s="13"/>
    </row>
    <row r="55" customHeight="1" spans="1:6">
      <c r="A55" s="10"/>
      <c r="B55" s="22"/>
      <c r="C55" s="21"/>
      <c r="D55" s="21"/>
      <c r="E55" s="629"/>
      <c r="F55" s="13"/>
    </row>
    <row r="56" customHeight="1" spans="1:6">
      <c r="A56" s="10"/>
      <c r="B56" s="20" t="s">
        <v>120</v>
      </c>
      <c r="C56" s="21"/>
      <c r="D56" s="21"/>
      <c r="E56" s="629"/>
      <c r="F56" s="13"/>
    </row>
    <row r="57" customHeight="1" spans="1:6">
      <c r="A57" s="10">
        <v>1</v>
      </c>
      <c r="B57" s="11" t="s">
        <v>503</v>
      </c>
      <c r="C57" s="12" t="s">
        <v>122</v>
      </c>
      <c r="D57" s="15" t="s">
        <v>100</v>
      </c>
      <c r="E57" s="626">
        <v>270000</v>
      </c>
      <c r="F57" s="13"/>
    </row>
    <row r="58" customHeight="1" spans="1:6">
      <c r="A58" s="10">
        <v>2</v>
      </c>
      <c r="B58" s="11" t="s">
        <v>123</v>
      </c>
      <c r="C58" s="12" t="s">
        <v>124</v>
      </c>
      <c r="D58" s="15" t="s">
        <v>125</v>
      </c>
      <c r="E58" s="626">
        <v>126000</v>
      </c>
      <c r="F58" s="13"/>
    </row>
    <row r="59" customHeight="1" spans="1:6">
      <c r="A59" s="10"/>
      <c r="B59" s="20" t="s">
        <v>96</v>
      </c>
      <c r="C59" s="21">
        <v>2</v>
      </c>
      <c r="D59" s="21"/>
      <c r="E59" s="628">
        <f t="shared" ref="E59" si="1">SUM(E57:E58)</f>
        <v>396000</v>
      </c>
      <c r="F59" s="13"/>
    </row>
    <row r="60" customHeight="1" spans="1:6">
      <c r="A60" s="10"/>
      <c r="B60" s="20"/>
      <c r="C60" s="21"/>
      <c r="D60" s="21"/>
      <c r="E60" s="629"/>
      <c r="F60" s="13"/>
    </row>
    <row r="61" customHeight="1" spans="1:6">
      <c r="A61" s="10"/>
      <c r="B61" s="20" t="s">
        <v>126</v>
      </c>
      <c r="C61" s="21"/>
      <c r="D61" s="21"/>
      <c r="E61" s="629"/>
      <c r="F61" s="13"/>
    </row>
    <row r="62" customHeight="1" spans="1:6">
      <c r="A62" s="10">
        <v>1</v>
      </c>
      <c r="B62" s="11" t="s">
        <v>127</v>
      </c>
      <c r="C62" s="17" t="s">
        <v>128</v>
      </c>
      <c r="D62" s="10" t="s">
        <v>100</v>
      </c>
      <c r="E62" s="626">
        <v>270000</v>
      </c>
      <c r="F62" s="13"/>
    </row>
    <row r="63" customHeight="1" spans="1:6">
      <c r="A63" s="10">
        <v>2</v>
      </c>
      <c r="B63" s="351" t="s">
        <v>129</v>
      </c>
      <c r="C63" s="17" t="s">
        <v>130</v>
      </c>
      <c r="D63" s="15" t="s">
        <v>131</v>
      </c>
      <c r="E63" s="626">
        <v>126000</v>
      </c>
      <c r="F63" s="13"/>
    </row>
    <row r="64" customHeight="1" spans="1:6">
      <c r="A64" s="10">
        <v>3</v>
      </c>
      <c r="B64" s="11" t="s">
        <v>132</v>
      </c>
      <c r="C64" s="4" t="s">
        <v>133</v>
      </c>
      <c r="D64" s="10" t="s">
        <v>47</v>
      </c>
      <c r="E64" s="626">
        <v>90000</v>
      </c>
      <c r="F64" s="13"/>
    </row>
    <row r="65" customHeight="1" spans="1:6">
      <c r="A65" s="10">
        <v>4</v>
      </c>
      <c r="B65" s="18" t="s">
        <v>486</v>
      </c>
      <c r="C65" s="17" t="s">
        <v>165</v>
      </c>
      <c r="D65" s="15" t="s">
        <v>52</v>
      </c>
      <c r="E65" s="626">
        <v>90000</v>
      </c>
      <c r="F65" s="13"/>
    </row>
    <row r="66" customHeight="1" spans="1:6">
      <c r="A66" s="10">
        <v>5</v>
      </c>
      <c r="B66" s="14" t="s">
        <v>519</v>
      </c>
      <c r="C66" s="17" t="s">
        <v>133</v>
      </c>
      <c r="D66" s="15" t="s">
        <v>42</v>
      </c>
      <c r="E66" s="626">
        <v>90000</v>
      </c>
      <c r="F66" s="13"/>
    </row>
    <row r="67" customHeight="1" spans="1:6">
      <c r="A67" s="10">
        <v>7</v>
      </c>
      <c r="B67" s="11" t="s">
        <v>134</v>
      </c>
      <c r="C67" s="4" t="s">
        <v>117</v>
      </c>
      <c r="D67" s="10" t="s">
        <v>135</v>
      </c>
      <c r="E67" s="626">
        <v>68000</v>
      </c>
      <c r="F67" s="13"/>
    </row>
    <row r="68" customHeight="1" spans="1:6">
      <c r="A68" s="10">
        <v>8</v>
      </c>
      <c r="B68" s="11" t="s">
        <v>136</v>
      </c>
      <c r="C68" s="17" t="s">
        <v>67</v>
      </c>
      <c r="D68" s="10" t="s">
        <v>135</v>
      </c>
      <c r="E68" s="626">
        <v>68000</v>
      </c>
      <c r="F68" s="13"/>
    </row>
    <row r="69" customHeight="1" spans="1:6">
      <c r="A69" s="10">
        <v>9</v>
      </c>
      <c r="B69" s="11" t="s">
        <v>137</v>
      </c>
      <c r="C69" s="17" t="s">
        <v>67</v>
      </c>
      <c r="D69" s="10" t="s">
        <v>135</v>
      </c>
      <c r="E69" s="626">
        <v>68000</v>
      </c>
      <c r="F69" s="13"/>
    </row>
    <row r="70" customHeight="1" spans="1:6">
      <c r="A70" s="10">
        <v>10</v>
      </c>
      <c r="B70" s="11" t="s">
        <v>138</v>
      </c>
      <c r="C70" s="4" t="s">
        <v>139</v>
      </c>
      <c r="D70" s="10" t="s">
        <v>62</v>
      </c>
      <c r="E70" s="626">
        <v>68000</v>
      </c>
      <c r="F70" s="13"/>
    </row>
    <row r="71" ht="21.6" customHeight="1" spans="1:5">
      <c r="A71" s="10">
        <v>11</v>
      </c>
      <c r="B71" s="11" t="s">
        <v>140</v>
      </c>
      <c r="C71" s="4" t="s">
        <v>117</v>
      </c>
      <c r="D71" s="10" t="s">
        <v>104</v>
      </c>
      <c r="E71" s="626">
        <v>68000</v>
      </c>
    </row>
    <row r="72" ht="27" customHeight="1" spans="1:6">
      <c r="A72" s="10"/>
      <c r="B72" s="20" t="s">
        <v>96</v>
      </c>
      <c r="C72" s="21">
        <v>12</v>
      </c>
      <c r="D72" s="21"/>
      <c r="E72" s="91">
        <f>SUM(E62:E71)</f>
        <v>1006000</v>
      </c>
      <c r="F72" s="13"/>
    </row>
    <row r="73" customHeight="1" spans="1:6">
      <c r="A73" s="10"/>
      <c r="B73" s="22"/>
      <c r="C73" s="21"/>
      <c r="D73" s="21"/>
      <c r="E73" s="629"/>
      <c r="F73" s="13"/>
    </row>
    <row r="74" customHeight="1" spans="1:6">
      <c r="A74" s="10"/>
      <c r="B74" s="20" t="s">
        <v>141</v>
      </c>
      <c r="C74" s="21"/>
      <c r="D74" s="21"/>
      <c r="E74" s="629"/>
      <c r="F74" s="13"/>
    </row>
    <row r="75" customHeight="1" spans="1:6">
      <c r="A75" s="10">
        <v>1</v>
      </c>
      <c r="B75" s="11" t="s">
        <v>142</v>
      </c>
      <c r="C75" s="4" t="s">
        <v>143</v>
      </c>
      <c r="D75" s="10" t="s">
        <v>100</v>
      </c>
      <c r="E75" s="626">
        <v>270000</v>
      </c>
      <c r="F75" s="13"/>
    </row>
    <row r="76" customHeight="1" spans="1:6">
      <c r="A76" s="10">
        <v>2</v>
      </c>
      <c r="B76" s="14" t="s">
        <v>520</v>
      </c>
      <c r="C76" s="4" t="s">
        <v>572</v>
      </c>
      <c r="D76" s="15" t="s">
        <v>573</v>
      </c>
      <c r="E76" s="626">
        <v>126000</v>
      </c>
      <c r="F76" s="13"/>
    </row>
    <row r="77" customHeight="1" spans="1:6">
      <c r="A77" s="10">
        <v>3</v>
      </c>
      <c r="B77" s="18" t="s">
        <v>521</v>
      </c>
      <c r="C77" s="12" t="s">
        <v>574</v>
      </c>
      <c r="D77" s="10" t="s">
        <v>125</v>
      </c>
      <c r="E77" s="626">
        <v>126000</v>
      </c>
      <c r="F77" s="13"/>
    </row>
    <row r="78" customHeight="1" spans="1:6">
      <c r="A78" s="10">
        <v>4</v>
      </c>
      <c r="B78" s="11" t="s">
        <v>146</v>
      </c>
      <c r="C78" s="4" t="s">
        <v>147</v>
      </c>
      <c r="D78" s="15" t="s">
        <v>148</v>
      </c>
      <c r="E78" s="626">
        <v>90000</v>
      </c>
      <c r="F78" s="13"/>
    </row>
    <row r="79" customHeight="1" spans="1:6">
      <c r="A79" s="10">
        <v>5</v>
      </c>
      <c r="B79" s="11" t="s">
        <v>149</v>
      </c>
      <c r="C79" s="4" t="s">
        <v>152</v>
      </c>
      <c r="D79" s="10" t="s">
        <v>265</v>
      </c>
      <c r="E79" s="626">
        <v>68000</v>
      </c>
      <c r="F79" s="13"/>
    </row>
    <row r="80" customHeight="1" spans="1:6">
      <c r="A80" s="10">
        <v>6</v>
      </c>
      <c r="B80" s="11" t="s">
        <v>151</v>
      </c>
      <c r="C80" s="4" t="s">
        <v>152</v>
      </c>
      <c r="D80" s="10" t="s">
        <v>80</v>
      </c>
      <c r="E80" s="626">
        <v>54000</v>
      </c>
      <c r="F80" s="13"/>
    </row>
    <row r="81" customHeight="1" spans="1:6">
      <c r="A81" s="10">
        <v>7</v>
      </c>
      <c r="B81" s="11" t="s">
        <v>153</v>
      </c>
      <c r="C81" s="4" t="s">
        <v>154</v>
      </c>
      <c r="D81" s="10" t="s">
        <v>92</v>
      </c>
      <c r="E81" s="626">
        <v>54000</v>
      </c>
      <c r="F81" s="13"/>
    </row>
    <row r="82" customHeight="1" spans="1:6">
      <c r="A82" s="10"/>
      <c r="B82" s="20" t="s">
        <v>96</v>
      </c>
      <c r="C82" s="21">
        <v>7</v>
      </c>
      <c r="D82" s="21"/>
      <c r="E82" s="628">
        <f t="shared" ref="E82" si="2">SUM(E75:E81)</f>
        <v>788000</v>
      </c>
      <c r="F82" s="13"/>
    </row>
    <row r="83" customHeight="1" spans="1:6">
      <c r="A83" s="10"/>
      <c r="B83" s="20"/>
      <c r="C83" s="21"/>
      <c r="D83" s="21"/>
      <c r="E83" s="626"/>
      <c r="F83" s="13"/>
    </row>
    <row r="84" customHeight="1" spans="1:6">
      <c r="A84" s="10"/>
      <c r="B84" s="20" t="s">
        <v>155</v>
      </c>
      <c r="C84" s="25"/>
      <c r="D84" s="21"/>
      <c r="E84" s="626"/>
      <c r="F84" s="13"/>
    </row>
    <row r="85" customHeight="1" spans="1:6">
      <c r="A85" s="10">
        <v>1</v>
      </c>
      <c r="B85" s="11" t="s">
        <v>156</v>
      </c>
      <c r="C85" s="4" t="s">
        <v>112</v>
      </c>
      <c r="D85" s="10" t="s">
        <v>36</v>
      </c>
      <c r="E85" s="626">
        <v>126000</v>
      </c>
      <c r="F85" s="13"/>
    </row>
    <row r="86" customHeight="1" spans="1:6">
      <c r="A86" s="10">
        <v>2</v>
      </c>
      <c r="B86" s="11" t="s">
        <v>157</v>
      </c>
      <c r="C86" s="4" t="s">
        <v>112</v>
      </c>
      <c r="D86" s="10" t="s">
        <v>36</v>
      </c>
      <c r="E86" s="626">
        <v>126000</v>
      </c>
      <c r="F86" s="13"/>
    </row>
    <row r="87" customHeight="1" spans="1:6">
      <c r="A87" s="10">
        <v>3</v>
      </c>
      <c r="B87" s="11" t="s">
        <v>158</v>
      </c>
      <c r="C87" s="4" t="s">
        <v>112</v>
      </c>
      <c r="D87" s="10" t="s">
        <v>39</v>
      </c>
      <c r="E87" s="626">
        <v>126000</v>
      </c>
      <c r="F87" s="13"/>
    </row>
    <row r="88" ht="21.6" customHeight="1" spans="1:6">
      <c r="A88" s="10">
        <v>4</v>
      </c>
      <c r="B88" s="11" t="s">
        <v>159</v>
      </c>
      <c r="C88" s="4" t="s">
        <v>483</v>
      </c>
      <c r="D88" s="15" t="s">
        <v>192</v>
      </c>
      <c r="E88" s="626">
        <v>90000</v>
      </c>
      <c r="F88" s="13"/>
    </row>
    <row r="89" ht="21.6" customHeight="1" spans="1:6">
      <c r="A89" s="10">
        <v>5</v>
      </c>
      <c r="B89" s="11" t="s">
        <v>160</v>
      </c>
      <c r="C89" s="12" t="s">
        <v>165</v>
      </c>
      <c r="D89" s="15" t="s">
        <v>52</v>
      </c>
      <c r="E89" s="626">
        <v>90000</v>
      </c>
      <c r="F89" s="13"/>
    </row>
    <row r="90" ht="21.6" customHeight="1" spans="1:6">
      <c r="A90" s="10">
        <v>6</v>
      </c>
      <c r="B90" s="11" t="s">
        <v>161</v>
      </c>
      <c r="C90" s="12" t="s">
        <v>133</v>
      </c>
      <c r="D90" s="15" t="s">
        <v>162</v>
      </c>
      <c r="E90" s="626">
        <v>90000</v>
      </c>
      <c r="F90" s="13"/>
    </row>
    <row r="91" ht="21.6" customHeight="1" spans="1:6">
      <c r="A91" s="10">
        <v>7</v>
      </c>
      <c r="B91" s="11" t="s">
        <v>163</v>
      </c>
      <c r="C91" s="17" t="s">
        <v>67</v>
      </c>
      <c r="D91" s="15" t="s">
        <v>135</v>
      </c>
      <c r="E91" s="626">
        <v>68000</v>
      </c>
      <c r="F91" s="13"/>
    </row>
    <row r="92" ht="21.6" customHeight="1" spans="1:6">
      <c r="A92" s="10">
        <v>8</v>
      </c>
      <c r="B92" s="11" t="s">
        <v>164</v>
      </c>
      <c r="C92" s="17" t="s">
        <v>165</v>
      </c>
      <c r="D92" s="15" t="s">
        <v>166</v>
      </c>
      <c r="E92" s="626">
        <v>90000</v>
      </c>
      <c r="F92" s="13"/>
    </row>
    <row r="93" ht="21.6" customHeight="1" spans="1:6">
      <c r="A93" s="10">
        <v>9</v>
      </c>
      <c r="B93" s="11" t="s">
        <v>167</v>
      </c>
      <c r="C93" s="4" t="s">
        <v>168</v>
      </c>
      <c r="D93" s="10" t="s">
        <v>104</v>
      </c>
      <c r="E93" s="626">
        <v>68000</v>
      </c>
      <c r="F93" s="13"/>
    </row>
    <row r="94" ht="21.6" customHeight="1" spans="1:6">
      <c r="A94" s="10">
        <v>10</v>
      </c>
      <c r="B94" s="11" t="s">
        <v>169</v>
      </c>
      <c r="C94" s="17" t="s">
        <v>170</v>
      </c>
      <c r="D94" s="15" t="s">
        <v>171</v>
      </c>
      <c r="E94" s="626">
        <v>54000</v>
      </c>
      <c r="F94" s="13"/>
    </row>
    <row r="95" customHeight="1" spans="1:6">
      <c r="A95" s="10"/>
      <c r="B95" s="20" t="s">
        <v>96</v>
      </c>
      <c r="C95" s="21">
        <v>11</v>
      </c>
      <c r="D95" s="21"/>
      <c r="E95" s="628">
        <f>SUM(E85:E94)</f>
        <v>928000</v>
      </c>
      <c r="F95" s="13"/>
    </row>
    <row r="96" customHeight="1" spans="1:6">
      <c r="A96" s="10"/>
      <c r="B96" s="22"/>
      <c r="C96" s="21"/>
      <c r="D96" s="21"/>
      <c r="E96" s="629"/>
      <c r="F96" s="13"/>
    </row>
    <row r="97" customHeight="1" spans="1:6">
      <c r="A97" s="10"/>
      <c r="B97" s="20" t="s">
        <v>172</v>
      </c>
      <c r="C97" s="21"/>
      <c r="D97" s="21"/>
      <c r="E97" s="629"/>
      <c r="F97" s="13"/>
    </row>
    <row r="98" customHeight="1" spans="1:6">
      <c r="A98" s="10">
        <v>1</v>
      </c>
      <c r="B98" s="14" t="s">
        <v>173</v>
      </c>
      <c r="C98" s="4" t="s">
        <v>174</v>
      </c>
      <c r="D98" s="16" t="s">
        <v>175</v>
      </c>
      <c r="E98" s="626">
        <v>270000</v>
      </c>
      <c r="F98" s="13"/>
    </row>
    <row r="99" customHeight="1" spans="1:6">
      <c r="A99" s="10">
        <v>2</v>
      </c>
      <c r="B99" s="11" t="s">
        <v>176</v>
      </c>
      <c r="C99" s="4" t="s">
        <v>177</v>
      </c>
      <c r="D99" s="15" t="s">
        <v>148</v>
      </c>
      <c r="E99" s="626">
        <v>90000</v>
      </c>
      <c r="F99" s="13"/>
    </row>
    <row r="100" customHeight="1" spans="1:6">
      <c r="A100" s="10">
        <v>3</v>
      </c>
      <c r="B100" s="11" t="s">
        <v>180</v>
      </c>
      <c r="C100" s="4" t="s">
        <v>181</v>
      </c>
      <c r="D100" s="15" t="s">
        <v>62</v>
      </c>
      <c r="E100" s="626">
        <v>68000</v>
      </c>
      <c r="F100" s="13"/>
    </row>
    <row r="101" customHeight="1" spans="1:6">
      <c r="A101" s="10">
        <v>4</v>
      </c>
      <c r="B101" s="11" t="s">
        <v>182</v>
      </c>
      <c r="C101" s="4" t="s">
        <v>183</v>
      </c>
      <c r="D101" s="15" t="s">
        <v>104</v>
      </c>
      <c r="E101" s="626">
        <v>68000</v>
      </c>
      <c r="F101" s="13"/>
    </row>
    <row r="102" customHeight="1" spans="1:6">
      <c r="A102" s="4"/>
      <c r="B102" s="20" t="s">
        <v>96</v>
      </c>
      <c r="C102" s="21">
        <v>4</v>
      </c>
      <c r="D102" s="26"/>
      <c r="E102" s="91">
        <f t="shared" ref="E102" si="3">SUM(E98:E101)</f>
        <v>496000</v>
      </c>
      <c r="F102" s="13"/>
    </row>
    <row r="103" customHeight="1" spans="1:6">
      <c r="A103" s="4"/>
      <c r="B103" s="22"/>
      <c r="C103" s="21"/>
      <c r="D103" s="26"/>
      <c r="E103" s="629"/>
      <c r="F103" s="13"/>
    </row>
    <row r="104" customHeight="1" spans="1:6">
      <c r="A104" s="4"/>
      <c r="B104" s="20" t="s">
        <v>184</v>
      </c>
      <c r="C104" s="4"/>
      <c r="D104" s="4"/>
      <c r="E104" s="630"/>
      <c r="F104" s="13"/>
    </row>
    <row r="105" customHeight="1" spans="1:6">
      <c r="A105" s="4">
        <v>1</v>
      </c>
      <c r="B105" s="11" t="s">
        <v>185</v>
      </c>
      <c r="C105" s="12" t="s">
        <v>186</v>
      </c>
      <c r="D105" s="15" t="s">
        <v>100</v>
      </c>
      <c r="E105" s="626">
        <v>270000</v>
      </c>
      <c r="F105" s="13"/>
    </row>
    <row r="106" customHeight="1" spans="1:6">
      <c r="A106" s="4">
        <v>2</v>
      </c>
      <c r="B106" s="11" t="s">
        <v>187</v>
      </c>
      <c r="C106" s="4" t="s">
        <v>188</v>
      </c>
      <c r="D106" s="16" t="s">
        <v>189</v>
      </c>
      <c r="E106" s="626">
        <v>180000</v>
      </c>
      <c r="F106" s="13"/>
    </row>
    <row r="107" customHeight="1" spans="1:6">
      <c r="A107" s="4">
        <v>3</v>
      </c>
      <c r="B107" s="11" t="s">
        <v>190</v>
      </c>
      <c r="C107" s="4" t="s">
        <v>191</v>
      </c>
      <c r="D107" s="10" t="s">
        <v>192</v>
      </c>
      <c r="E107" s="626">
        <v>90000</v>
      </c>
      <c r="F107" s="13"/>
    </row>
    <row r="108" customHeight="1" spans="1:6">
      <c r="A108" s="4">
        <v>4</v>
      </c>
      <c r="B108" s="11" t="s">
        <v>193</v>
      </c>
      <c r="C108" s="4" t="s">
        <v>191</v>
      </c>
      <c r="D108" s="10" t="s">
        <v>192</v>
      </c>
      <c r="E108" s="626">
        <v>90000</v>
      </c>
      <c r="F108" s="13"/>
    </row>
    <row r="109" customHeight="1" spans="1:6">
      <c r="A109" s="4">
        <v>5</v>
      </c>
      <c r="B109" s="11" t="s">
        <v>194</v>
      </c>
      <c r="C109" s="4" t="s">
        <v>195</v>
      </c>
      <c r="D109" s="15" t="s">
        <v>196</v>
      </c>
      <c r="E109" s="626">
        <v>54000</v>
      </c>
      <c r="F109" s="13"/>
    </row>
    <row r="110" customHeight="1" spans="1:6">
      <c r="A110" s="4">
        <v>6</v>
      </c>
      <c r="B110" s="18" t="s">
        <v>197</v>
      </c>
      <c r="C110" s="4" t="s">
        <v>195</v>
      </c>
      <c r="D110" s="10" t="s">
        <v>198</v>
      </c>
      <c r="E110" s="626">
        <v>54000</v>
      </c>
      <c r="F110" s="13"/>
    </row>
    <row r="111" customHeight="1" spans="1:6">
      <c r="A111" s="4">
        <v>7</v>
      </c>
      <c r="B111" s="18" t="s">
        <v>199</v>
      </c>
      <c r="C111" s="4" t="s">
        <v>195</v>
      </c>
      <c r="D111" s="15" t="s">
        <v>171</v>
      </c>
      <c r="E111" s="626">
        <v>54000</v>
      </c>
      <c r="F111" s="13"/>
    </row>
    <row r="112" ht="25.5" customHeight="1" spans="1:6">
      <c r="A112" s="4"/>
      <c r="B112" s="20" t="s">
        <v>96</v>
      </c>
      <c r="C112" s="21">
        <v>7</v>
      </c>
      <c r="D112" s="4"/>
      <c r="E112" s="631">
        <f t="shared" ref="E112" si="4">SUM(E105:E111)</f>
        <v>792000</v>
      </c>
      <c r="F112" s="13"/>
    </row>
    <row r="113" customHeight="1" spans="1:6">
      <c r="A113" s="4"/>
      <c r="B113" s="20"/>
      <c r="C113" s="21"/>
      <c r="D113" s="4"/>
      <c r="E113" s="631"/>
      <c r="F113" s="13"/>
    </row>
    <row r="114" customHeight="1" spans="1:6">
      <c r="A114" s="10"/>
      <c r="B114" s="20" t="s">
        <v>200</v>
      </c>
      <c r="C114" s="21"/>
      <c r="D114" s="21"/>
      <c r="E114" s="629"/>
      <c r="F114" s="13"/>
    </row>
    <row r="115" customHeight="1" spans="1:6">
      <c r="A115" s="10">
        <v>1</v>
      </c>
      <c r="B115" s="14" t="s">
        <v>201</v>
      </c>
      <c r="C115" s="4" t="s">
        <v>112</v>
      </c>
      <c r="D115" s="10" t="s">
        <v>131</v>
      </c>
      <c r="E115" s="626">
        <v>126000</v>
      </c>
      <c r="F115" s="13"/>
    </row>
    <row r="116" ht="18.75" customHeight="1" spans="1:6">
      <c r="A116" s="10">
        <v>2</v>
      </c>
      <c r="B116" s="11" t="s">
        <v>202</v>
      </c>
      <c r="C116" s="4" t="s">
        <v>203</v>
      </c>
      <c r="D116" s="15" t="s">
        <v>62</v>
      </c>
      <c r="E116" s="626">
        <v>68000</v>
      </c>
      <c r="F116" s="13"/>
    </row>
    <row r="117" customHeight="1" spans="1:6">
      <c r="A117" s="10">
        <v>3</v>
      </c>
      <c r="B117" s="11" t="s">
        <v>204</v>
      </c>
      <c r="C117" s="12" t="s">
        <v>581</v>
      </c>
      <c r="D117" s="15" t="s">
        <v>253</v>
      </c>
      <c r="E117" s="626">
        <v>68000</v>
      </c>
      <c r="F117" s="13"/>
    </row>
    <row r="118" ht="24.75" customHeight="1" spans="1:6">
      <c r="A118" s="4"/>
      <c r="B118" s="20" t="s">
        <v>96</v>
      </c>
      <c r="C118" s="21">
        <v>2</v>
      </c>
      <c r="D118" s="26"/>
      <c r="E118" s="91">
        <f t="shared" ref="E118" si="5">SUM(E115:E117)</f>
        <v>262000</v>
      </c>
      <c r="F118" s="13"/>
    </row>
    <row r="119" customHeight="1" spans="1:6">
      <c r="A119" s="4"/>
      <c r="B119" s="22"/>
      <c r="C119" s="10"/>
      <c r="D119" s="4"/>
      <c r="E119" s="632"/>
      <c r="F119" s="13"/>
    </row>
    <row r="120" customHeight="1" spans="1:6">
      <c r="A120" s="4"/>
      <c r="B120" s="20" t="s">
        <v>213</v>
      </c>
      <c r="C120" s="21"/>
      <c r="D120" s="21"/>
      <c r="E120" s="626"/>
      <c r="F120" s="13"/>
    </row>
    <row r="121" customHeight="1" spans="1:6">
      <c r="A121" s="4">
        <v>1</v>
      </c>
      <c r="B121" s="11" t="s">
        <v>214</v>
      </c>
      <c r="C121" s="12" t="s">
        <v>215</v>
      </c>
      <c r="D121" s="15" t="s">
        <v>100</v>
      </c>
      <c r="E121" s="626">
        <v>270000</v>
      </c>
      <c r="F121" s="13"/>
    </row>
    <row r="122" customHeight="1" spans="1:6">
      <c r="A122" s="4">
        <v>2</v>
      </c>
      <c r="B122" s="11" t="s">
        <v>216</v>
      </c>
      <c r="C122" s="12" t="s">
        <v>217</v>
      </c>
      <c r="D122" s="15" t="s">
        <v>110</v>
      </c>
      <c r="E122" s="626">
        <v>180000</v>
      </c>
      <c r="F122" s="13"/>
    </row>
    <row r="123" customHeight="1" spans="1:6">
      <c r="A123" s="4">
        <v>3</v>
      </c>
      <c r="B123" s="14" t="s">
        <v>218</v>
      </c>
      <c r="C123" s="12" t="s">
        <v>219</v>
      </c>
      <c r="D123" s="15" t="s">
        <v>36</v>
      </c>
      <c r="E123" s="626">
        <v>126000</v>
      </c>
      <c r="F123" s="13"/>
    </row>
    <row r="124" customHeight="1" spans="1:6">
      <c r="A124" s="4">
        <v>4</v>
      </c>
      <c r="B124" s="14" t="s">
        <v>523</v>
      </c>
      <c r="C124" s="12" t="s">
        <v>219</v>
      </c>
      <c r="D124" s="15" t="s">
        <v>39</v>
      </c>
      <c r="E124" s="626">
        <v>126000</v>
      </c>
      <c r="F124" s="13"/>
    </row>
    <row r="125" customHeight="1" spans="1:6">
      <c r="A125" s="4">
        <v>5</v>
      </c>
      <c r="B125" s="11" t="s">
        <v>220</v>
      </c>
      <c r="C125" s="12" t="s">
        <v>221</v>
      </c>
      <c r="D125" s="15" t="s">
        <v>222</v>
      </c>
      <c r="E125" s="626">
        <v>90000</v>
      </c>
      <c r="F125" s="13"/>
    </row>
    <row r="126" customHeight="1" spans="1:6">
      <c r="A126" s="4">
        <v>6</v>
      </c>
      <c r="B126" s="11" t="s">
        <v>223</v>
      </c>
      <c r="C126" s="12" t="s">
        <v>224</v>
      </c>
      <c r="D126" s="15" t="s">
        <v>47</v>
      </c>
      <c r="E126" s="626">
        <v>90000</v>
      </c>
      <c r="F126" s="13"/>
    </row>
    <row r="127" customHeight="1" spans="1:6">
      <c r="A127" s="4">
        <v>7</v>
      </c>
      <c r="B127" s="11" t="s">
        <v>225</v>
      </c>
      <c r="C127" s="12" t="s">
        <v>221</v>
      </c>
      <c r="D127" s="15" t="s">
        <v>148</v>
      </c>
      <c r="E127" s="626">
        <v>90000</v>
      </c>
      <c r="F127" s="13"/>
    </row>
    <row r="128" customHeight="1" spans="1:6">
      <c r="A128" s="4">
        <v>8</v>
      </c>
      <c r="B128" s="11" t="s">
        <v>226</v>
      </c>
      <c r="C128" s="12" t="s">
        <v>227</v>
      </c>
      <c r="D128" s="10" t="s">
        <v>75</v>
      </c>
      <c r="E128" s="626">
        <v>54000</v>
      </c>
      <c r="F128" s="13"/>
    </row>
    <row r="129" customHeight="1" spans="1:6">
      <c r="A129" s="4">
        <v>9</v>
      </c>
      <c r="B129" s="18" t="s">
        <v>228</v>
      </c>
      <c r="C129" s="12" t="s">
        <v>229</v>
      </c>
      <c r="D129" s="15" t="s">
        <v>92</v>
      </c>
      <c r="E129" s="626">
        <v>54000</v>
      </c>
      <c r="F129" s="13"/>
    </row>
    <row r="130" customHeight="1" spans="1:6">
      <c r="A130" s="4">
        <v>10</v>
      </c>
      <c r="B130" s="18" t="s">
        <v>230</v>
      </c>
      <c r="C130" s="12" t="s">
        <v>231</v>
      </c>
      <c r="D130" s="15" t="s">
        <v>92</v>
      </c>
      <c r="E130" s="626">
        <v>54000</v>
      </c>
      <c r="F130" s="13"/>
    </row>
    <row r="131" ht="28.5" customHeight="1" spans="1:6">
      <c r="A131" s="4"/>
      <c r="B131" s="20" t="s">
        <v>96</v>
      </c>
      <c r="C131" s="26" t="s">
        <v>233</v>
      </c>
      <c r="D131" s="15"/>
      <c r="E131" s="629">
        <f t="shared" ref="E131" si="6">SUM(E121:E130)</f>
        <v>1134000</v>
      </c>
      <c r="F131" s="13"/>
    </row>
    <row r="132" customHeight="1" spans="1:6">
      <c r="A132" s="4"/>
      <c r="B132" s="22"/>
      <c r="C132" s="26"/>
      <c r="D132" s="15"/>
      <c r="E132" s="629"/>
      <c r="F132" s="13"/>
    </row>
    <row r="133" customHeight="1" spans="1:6">
      <c r="A133" s="4"/>
      <c r="B133" s="20" t="s">
        <v>234</v>
      </c>
      <c r="C133" s="12"/>
      <c r="D133" s="15"/>
      <c r="E133" s="626"/>
      <c r="F133" s="13"/>
    </row>
    <row r="134" customHeight="1" spans="1:6">
      <c r="A134" s="27">
        <v>1</v>
      </c>
      <c r="B134" s="11" t="s">
        <v>235</v>
      </c>
      <c r="C134" s="12" t="s">
        <v>236</v>
      </c>
      <c r="D134" s="15" t="s">
        <v>100</v>
      </c>
      <c r="E134" s="626">
        <v>270000</v>
      </c>
      <c r="F134" s="13"/>
    </row>
    <row r="135" customHeight="1" spans="1:6">
      <c r="A135" s="27">
        <v>2</v>
      </c>
      <c r="B135" s="11" t="s">
        <v>524</v>
      </c>
      <c r="C135" s="12" t="s">
        <v>575</v>
      </c>
      <c r="D135" s="15" t="s">
        <v>189</v>
      </c>
      <c r="E135" s="626">
        <v>180000</v>
      </c>
      <c r="F135" s="13"/>
    </row>
    <row r="136" customHeight="1" spans="1:6">
      <c r="A136" s="27">
        <v>3</v>
      </c>
      <c r="B136" s="14" t="s">
        <v>237</v>
      </c>
      <c r="C136" s="4" t="s">
        <v>238</v>
      </c>
      <c r="D136" s="16" t="s">
        <v>189</v>
      </c>
      <c r="E136" s="626">
        <v>180000</v>
      </c>
      <c r="F136" s="13"/>
    </row>
    <row r="137" customHeight="1" spans="1:6">
      <c r="A137" s="27">
        <v>4</v>
      </c>
      <c r="B137" s="11" t="s">
        <v>239</v>
      </c>
      <c r="C137" s="12" t="s">
        <v>582</v>
      </c>
      <c r="D137" s="15" t="s">
        <v>42</v>
      </c>
      <c r="E137" s="626">
        <v>90000</v>
      </c>
      <c r="F137" s="13"/>
    </row>
    <row r="138" customHeight="1" spans="1:6">
      <c r="A138" s="27">
        <v>5</v>
      </c>
      <c r="B138" s="11" t="s">
        <v>241</v>
      </c>
      <c r="C138" s="4" t="s">
        <v>583</v>
      </c>
      <c r="D138" s="15" t="s">
        <v>42</v>
      </c>
      <c r="E138" s="626">
        <v>90000</v>
      </c>
      <c r="F138" s="13"/>
    </row>
    <row r="139" customHeight="1" spans="1:6">
      <c r="A139" s="27">
        <v>6</v>
      </c>
      <c r="B139" s="11" t="s">
        <v>243</v>
      </c>
      <c r="C139" s="4" t="s">
        <v>583</v>
      </c>
      <c r="D139" s="15" t="s">
        <v>42</v>
      </c>
      <c r="E139" s="626">
        <v>90000</v>
      </c>
      <c r="F139" s="13"/>
    </row>
    <row r="140" customHeight="1" spans="1:6">
      <c r="A140" s="27">
        <v>7</v>
      </c>
      <c r="B140" s="11" t="s">
        <v>178</v>
      </c>
      <c r="C140" s="12" t="s">
        <v>584</v>
      </c>
      <c r="D140" s="15" t="s">
        <v>253</v>
      </c>
      <c r="E140" s="626">
        <v>68000</v>
      </c>
      <c r="F140" s="13"/>
    </row>
    <row r="141" customHeight="1" spans="1:6">
      <c r="A141" s="27">
        <v>8</v>
      </c>
      <c r="B141" s="11" t="s">
        <v>244</v>
      </c>
      <c r="C141" s="12" t="s">
        <v>584</v>
      </c>
      <c r="D141" s="15" t="s">
        <v>253</v>
      </c>
      <c r="E141" s="626">
        <v>68000</v>
      </c>
      <c r="F141" s="13"/>
    </row>
    <row r="142" customHeight="1" spans="1:6">
      <c r="A142" s="27">
        <v>9</v>
      </c>
      <c r="B142" s="11" t="s">
        <v>245</v>
      </c>
      <c r="C142" s="4" t="s">
        <v>585</v>
      </c>
      <c r="D142" s="15" t="s">
        <v>253</v>
      </c>
      <c r="E142" s="626">
        <v>68000</v>
      </c>
      <c r="F142" s="13"/>
    </row>
    <row r="143" customHeight="1" spans="1:6">
      <c r="A143" s="27">
        <v>10</v>
      </c>
      <c r="B143" s="11" t="s">
        <v>247</v>
      </c>
      <c r="C143" s="12" t="s">
        <v>248</v>
      </c>
      <c r="D143" s="15" t="s">
        <v>62</v>
      </c>
      <c r="E143" s="626">
        <v>68000</v>
      </c>
      <c r="F143" s="13"/>
    </row>
    <row r="144" customHeight="1" spans="1:6">
      <c r="A144" s="27">
        <v>11</v>
      </c>
      <c r="B144" s="11" t="s">
        <v>249</v>
      </c>
      <c r="C144" s="12" t="s">
        <v>250</v>
      </c>
      <c r="D144" s="15" t="s">
        <v>135</v>
      </c>
      <c r="E144" s="626">
        <v>68000</v>
      </c>
      <c r="F144" s="13"/>
    </row>
    <row r="145" customHeight="1" spans="1:6">
      <c r="A145" s="27">
        <v>12</v>
      </c>
      <c r="B145" s="11" t="s">
        <v>251</v>
      </c>
      <c r="C145" s="12" t="s">
        <v>252</v>
      </c>
      <c r="D145" s="15" t="s">
        <v>253</v>
      </c>
      <c r="E145" s="626">
        <v>68000</v>
      </c>
      <c r="F145" s="13"/>
    </row>
    <row r="146" customHeight="1" spans="1:6">
      <c r="A146" s="27">
        <v>13</v>
      </c>
      <c r="B146" s="18" t="s">
        <v>254</v>
      </c>
      <c r="C146" s="4" t="s">
        <v>255</v>
      </c>
      <c r="D146" s="15" t="s">
        <v>65</v>
      </c>
      <c r="E146" s="626">
        <v>68000</v>
      </c>
      <c r="F146" s="13"/>
    </row>
    <row r="147" customHeight="1" spans="1:6">
      <c r="A147" s="27">
        <v>14</v>
      </c>
      <c r="B147" s="11" t="s">
        <v>256</v>
      </c>
      <c r="C147" s="4" t="s">
        <v>586</v>
      </c>
      <c r="D147" s="15" t="s">
        <v>265</v>
      </c>
      <c r="E147" s="626">
        <v>68000</v>
      </c>
      <c r="F147" s="13"/>
    </row>
    <row r="148" customHeight="1" spans="1:6">
      <c r="A148" s="27">
        <v>15</v>
      </c>
      <c r="B148" s="11" t="s">
        <v>257</v>
      </c>
      <c r="C148" s="4" t="s">
        <v>586</v>
      </c>
      <c r="D148" s="15" t="s">
        <v>587</v>
      </c>
      <c r="E148" s="626">
        <v>68000</v>
      </c>
      <c r="F148" s="13"/>
    </row>
    <row r="149" customHeight="1" spans="1:6">
      <c r="A149" s="27">
        <v>16</v>
      </c>
      <c r="B149" s="11" t="s">
        <v>258</v>
      </c>
      <c r="C149" s="4" t="s">
        <v>586</v>
      </c>
      <c r="D149" s="15" t="s">
        <v>587</v>
      </c>
      <c r="E149" s="626">
        <v>68000</v>
      </c>
      <c r="F149" s="13"/>
    </row>
    <row r="150" customHeight="1" spans="1:6">
      <c r="A150" s="27">
        <v>17</v>
      </c>
      <c r="B150" s="11" t="s">
        <v>259</v>
      </c>
      <c r="C150" s="12" t="s">
        <v>260</v>
      </c>
      <c r="D150" s="15" t="s">
        <v>104</v>
      </c>
      <c r="E150" s="626">
        <v>68000</v>
      </c>
      <c r="F150" s="13"/>
    </row>
    <row r="151" customHeight="1" spans="1:6">
      <c r="A151" s="27">
        <v>18</v>
      </c>
      <c r="B151" s="11" t="s">
        <v>261</v>
      </c>
      <c r="C151" s="12" t="s">
        <v>262</v>
      </c>
      <c r="D151" s="10" t="s">
        <v>80</v>
      </c>
      <c r="E151" s="626">
        <v>54000</v>
      </c>
      <c r="F151" s="13"/>
    </row>
    <row r="152" customHeight="1" spans="1:6">
      <c r="A152" s="27">
        <v>19</v>
      </c>
      <c r="B152" s="11" t="s">
        <v>263</v>
      </c>
      <c r="C152" s="12" t="s">
        <v>264</v>
      </c>
      <c r="D152" s="15" t="s">
        <v>265</v>
      </c>
      <c r="E152" s="626">
        <v>68000</v>
      </c>
      <c r="F152" s="13"/>
    </row>
    <row r="153" customHeight="1" spans="1:6">
      <c r="A153" s="27">
        <v>20</v>
      </c>
      <c r="B153" s="11" t="s">
        <v>266</v>
      </c>
      <c r="C153" s="12" t="s">
        <v>267</v>
      </c>
      <c r="D153" s="15" t="s">
        <v>75</v>
      </c>
      <c r="E153" s="626">
        <v>54000</v>
      </c>
      <c r="F153" s="13"/>
    </row>
    <row r="154" customHeight="1" spans="1:6">
      <c r="A154" s="27">
        <v>21</v>
      </c>
      <c r="B154" s="11" t="s">
        <v>268</v>
      </c>
      <c r="C154" s="12" t="s">
        <v>269</v>
      </c>
      <c r="D154" s="15" t="s">
        <v>265</v>
      </c>
      <c r="E154" s="626">
        <v>68000</v>
      </c>
      <c r="F154" s="13"/>
    </row>
    <row r="155" customHeight="1" spans="1:6">
      <c r="A155" s="27">
        <v>22</v>
      </c>
      <c r="B155" s="11" t="s">
        <v>270</v>
      </c>
      <c r="C155" s="12" t="s">
        <v>271</v>
      </c>
      <c r="D155" s="15" t="s">
        <v>75</v>
      </c>
      <c r="E155" s="626">
        <v>54000</v>
      </c>
      <c r="F155" s="13"/>
    </row>
    <row r="156" customHeight="1" spans="1:6">
      <c r="A156" s="27">
        <v>23</v>
      </c>
      <c r="B156" s="18" t="s">
        <v>272</v>
      </c>
      <c r="C156" s="12" t="s">
        <v>273</v>
      </c>
      <c r="D156" s="15" t="s">
        <v>83</v>
      </c>
      <c r="E156" s="626">
        <v>54000</v>
      </c>
      <c r="F156" s="13"/>
    </row>
    <row r="157" customHeight="1" spans="1:6">
      <c r="A157" s="27">
        <v>24</v>
      </c>
      <c r="B157" s="18" t="s">
        <v>275</v>
      </c>
      <c r="C157" s="12" t="s">
        <v>276</v>
      </c>
      <c r="D157" s="15" t="s">
        <v>92</v>
      </c>
      <c r="E157" s="626">
        <v>54000</v>
      </c>
      <c r="F157" s="13"/>
    </row>
    <row r="158" customHeight="1" spans="1:6">
      <c r="A158" s="27">
        <v>25</v>
      </c>
      <c r="B158" s="18" t="s">
        <v>277</v>
      </c>
      <c r="C158" s="12" t="s">
        <v>278</v>
      </c>
      <c r="D158" s="15" t="s">
        <v>92</v>
      </c>
      <c r="E158" s="626">
        <v>54000</v>
      </c>
      <c r="F158" s="13"/>
    </row>
    <row r="159" customHeight="1" spans="1:6">
      <c r="A159" s="27">
        <v>26</v>
      </c>
      <c r="B159" s="18" t="s">
        <v>279</v>
      </c>
      <c r="C159" s="12" t="s">
        <v>280</v>
      </c>
      <c r="D159" s="15" t="s">
        <v>92</v>
      </c>
      <c r="E159" s="626">
        <v>54000</v>
      </c>
      <c r="F159" s="13"/>
    </row>
    <row r="160" customHeight="1" spans="1:6">
      <c r="A160" s="27">
        <v>27</v>
      </c>
      <c r="B160" s="18" t="s">
        <v>281</v>
      </c>
      <c r="C160" s="12" t="s">
        <v>282</v>
      </c>
      <c r="D160" s="15" t="s">
        <v>171</v>
      </c>
      <c r="E160" s="626">
        <v>54000</v>
      </c>
      <c r="F160" s="13"/>
    </row>
    <row r="161" customHeight="1" spans="1:6">
      <c r="A161" s="27">
        <v>28</v>
      </c>
      <c r="B161" s="18" t="s">
        <v>283</v>
      </c>
      <c r="C161" s="12" t="s">
        <v>278</v>
      </c>
      <c r="D161" s="15" t="s">
        <v>92</v>
      </c>
      <c r="E161" s="626">
        <v>54000</v>
      </c>
      <c r="F161" s="13"/>
    </row>
    <row r="162" customHeight="1" spans="1:6">
      <c r="A162" s="27">
        <v>29</v>
      </c>
      <c r="B162" s="11" t="s">
        <v>287</v>
      </c>
      <c r="C162" s="12" t="s">
        <v>288</v>
      </c>
      <c r="D162" s="15" t="s">
        <v>289</v>
      </c>
      <c r="E162" s="626">
        <v>36000</v>
      </c>
      <c r="F162" s="13"/>
    </row>
    <row r="163" customHeight="1" spans="1:6">
      <c r="A163" s="27">
        <v>30</v>
      </c>
      <c r="B163" s="11" t="s">
        <v>290</v>
      </c>
      <c r="C163" s="12" t="s">
        <v>288</v>
      </c>
      <c r="D163" s="15" t="s">
        <v>289</v>
      </c>
      <c r="E163" s="626">
        <v>36000</v>
      </c>
      <c r="F163" s="13"/>
    </row>
    <row r="164" customHeight="1" spans="1:6">
      <c r="A164" s="27">
        <v>31</v>
      </c>
      <c r="B164" s="11" t="s">
        <v>291</v>
      </c>
      <c r="C164" s="12" t="s">
        <v>288</v>
      </c>
      <c r="D164" s="15" t="s">
        <v>289</v>
      </c>
      <c r="E164" s="626">
        <v>36000</v>
      </c>
      <c r="F164" s="13"/>
    </row>
    <row r="165" customHeight="1" spans="1:6">
      <c r="A165" s="27">
        <v>32</v>
      </c>
      <c r="B165" s="11" t="s">
        <v>292</v>
      </c>
      <c r="C165" s="12" t="s">
        <v>288</v>
      </c>
      <c r="D165" s="15" t="s">
        <v>289</v>
      </c>
      <c r="E165" s="626">
        <v>36000</v>
      </c>
      <c r="F165" s="13"/>
    </row>
    <row r="166" customHeight="1" spans="1:6">
      <c r="A166" s="27">
        <v>33</v>
      </c>
      <c r="B166" s="11" t="s">
        <v>293</v>
      </c>
      <c r="C166" s="12" t="s">
        <v>288</v>
      </c>
      <c r="D166" s="15" t="s">
        <v>289</v>
      </c>
      <c r="E166" s="626">
        <v>36000</v>
      </c>
      <c r="F166" s="13"/>
    </row>
    <row r="167" customHeight="1" spans="1:6">
      <c r="A167" s="27">
        <v>34</v>
      </c>
      <c r="B167" s="11" t="s">
        <v>294</v>
      </c>
      <c r="C167" s="12" t="s">
        <v>288</v>
      </c>
      <c r="D167" s="15" t="s">
        <v>295</v>
      </c>
      <c r="E167" s="626">
        <v>36000</v>
      </c>
      <c r="F167" s="13"/>
    </row>
    <row r="168" customHeight="1" spans="1:6">
      <c r="A168" s="27">
        <v>35</v>
      </c>
      <c r="B168" s="11" t="s">
        <v>296</v>
      </c>
      <c r="C168" s="12" t="s">
        <v>288</v>
      </c>
      <c r="D168" s="15" t="s">
        <v>295</v>
      </c>
      <c r="E168" s="626">
        <v>36000</v>
      </c>
      <c r="F168" s="13"/>
    </row>
    <row r="169" customHeight="1" spans="1:6">
      <c r="A169" s="27">
        <v>36</v>
      </c>
      <c r="B169" s="14" t="s">
        <v>297</v>
      </c>
      <c r="C169" s="12" t="s">
        <v>288</v>
      </c>
      <c r="D169" s="15" t="s">
        <v>295</v>
      </c>
      <c r="E169" s="626">
        <v>36000</v>
      </c>
      <c r="F169" s="13"/>
    </row>
    <row r="170" customHeight="1" spans="1:6">
      <c r="A170" s="27">
        <v>37</v>
      </c>
      <c r="B170" s="11" t="s">
        <v>298</v>
      </c>
      <c r="C170" s="12" t="s">
        <v>288</v>
      </c>
      <c r="D170" s="15" t="s">
        <v>295</v>
      </c>
      <c r="E170" s="626">
        <v>36000</v>
      </c>
      <c r="F170" s="13"/>
    </row>
    <row r="171" customHeight="1" spans="1:6">
      <c r="A171" s="27">
        <v>38</v>
      </c>
      <c r="B171" s="18" t="s">
        <v>299</v>
      </c>
      <c r="C171" s="12" t="s">
        <v>288</v>
      </c>
      <c r="D171" s="15" t="s">
        <v>295</v>
      </c>
      <c r="E171" s="626">
        <v>36000</v>
      </c>
      <c r="F171" s="13"/>
    </row>
    <row r="172" customHeight="1" spans="1:6">
      <c r="A172" s="27">
        <v>39</v>
      </c>
      <c r="B172" s="18" t="s">
        <v>300</v>
      </c>
      <c r="C172" s="12" t="s">
        <v>288</v>
      </c>
      <c r="D172" s="15" t="s">
        <v>295</v>
      </c>
      <c r="E172" s="626">
        <v>36000</v>
      </c>
      <c r="F172" s="13"/>
    </row>
    <row r="173" customHeight="1" spans="1:6">
      <c r="A173" s="27">
        <v>40</v>
      </c>
      <c r="B173" s="11" t="s">
        <v>301</v>
      </c>
      <c r="C173" s="12" t="s">
        <v>302</v>
      </c>
      <c r="D173" s="15" t="s">
        <v>303</v>
      </c>
      <c r="E173" s="626">
        <v>36000</v>
      </c>
      <c r="F173" s="13"/>
    </row>
    <row r="174" customHeight="1" spans="1:6">
      <c r="A174" s="27">
        <v>41</v>
      </c>
      <c r="B174" s="11" t="s">
        <v>304</v>
      </c>
      <c r="C174" s="12" t="s">
        <v>302</v>
      </c>
      <c r="D174" s="15" t="s">
        <v>303</v>
      </c>
      <c r="E174" s="626">
        <v>36000</v>
      </c>
      <c r="F174" s="13"/>
    </row>
    <row r="175" customHeight="1" spans="1:6">
      <c r="A175" s="27">
        <v>42</v>
      </c>
      <c r="B175" s="18" t="s">
        <v>305</v>
      </c>
      <c r="C175" s="12" t="s">
        <v>302</v>
      </c>
      <c r="D175" s="15" t="s">
        <v>306</v>
      </c>
      <c r="E175" s="626">
        <v>36000</v>
      </c>
      <c r="F175" s="13"/>
    </row>
    <row r="176" customHeight="1" spans="1:6">
      <c r="A176" s="27">
        <v>43</v>
      </c>
      <c r="B176" s="11" t="s">
        <v>307</v>
      </c>
      <c r="C176" s="12" t="s">
        <v>308</v>
      </c>
      <c r="D176" s="15" t="s">
        <v>588</v>
      </c>
      <c r="E176" s="626">
        <v>36000</v>
      </c>
      <c r="F176" s="13"/>
    </row>
    <row r="177" customHeight="1" spans="1:6">
      <c r="A177" s="27">
        <v>44</v>
      </c>
      <c r="B177" s="11" t="s">
        <v>309</v>
      </c>
      <c r="C177" s="12" t="s">
        <v>310</v>
      </c>
      <c r="D177" s="15" t="s">
        <v>311</v>
      </c>
      <c r="E177" s="626">
        <v>36000</v>
      </c>
      <c r="F177" s="13"/>
    </row>
    <row r="178" customHeight="1" spans="1:6">
      <c r="A178" s="27">
        <v>45</v>
      </c>
      <c r="B178" s="11" t="s">
        <v>312</v>
      </c>
      <c r="C178" s="12" t="s">
        <v>310</v>
      </c>
      <c r="D178" s="15" t="s">
        <v>311</v>
      </c>
      <c r="E178" s="626">
        <v>36000</v>
      </c>
      <c r="F178" s="13"/>
    </row>
    <row r="179" customHeight="1" spans="1:6">
      <c r="A179" s="27">
        <v>46</v>
      </c>
      <c r="B179" s="11" t="s">
        <v>313</v>
      </c>
      <c r="C179" s="12" t="s">
        <v>310</v>
      </c>
      <c r="D179" s="15" t="s">
        <v>311</v>
      </c>
      <c r="E179" s="626">
        <v>36000</v>
      </c>
      <c r="F179" s="13"/>
    </row>
    <row r="180" customHeight="1" spans="1:6">
      <c r="A180" s="27">
        <v>47</v>
      </c>
      <c r="B180" s="11" t="s">
        <v>314</v>
      </c>
      <c r="C180" s="12" t="s">
        <v>310</v>
      </c>
      <c r="D180" s="15" t="s">
        <v>311</v>
      </c>
      <c r="E180" s="626">
        <v>36000</v>
      </c>
      <c r="F180" s="13"/>
    </row>
    <row r="181" customHeight="1" spans="1:6">
      <c r="A181" s="27">
        <v>48</v>
      </c>
      <c r="B181" s="11" t="s">
        <v>315</v>
      </c>
      <c r="C181" s="12" t="s">
        <v>310</v>
      </c>
      <c r="D181" s="15" t="s">
        <v>311</v>
      </c>
      <c r="E181" s="626">
        <v>36000</v>
      </c>
      <c r="F181" s="13"/>
    </row>
    <row r="182" customHeight="1" spans="1:6">
      <c r="A182" s="27">
        <v>49</v>
      </c>
      <c r="B182" s="18" t="s">
        <v>316</v>
      </c>
      <c r="C182" s="12" t="s">
        <v>310</v>
      </c>
      <c r="D182" s="15" t="s">
        <v>311</v>
      </c>
      <c r="E182" s="626">
        <v>36000</v>
      </c>
      <c r="F182" s="13"/>
    </row>
    <row r="183" customHeight="1" spans="1:6">
      <c r="A183" s="27">
        <v>50</v>
      </c>
      <c r="B183" s="18" t="s">
        <v>317</v>
      </c>
      <c r="C183" s="12" t="s">
        <v>310</v>
      </c>
      <c r="D183" s="15" t="s">
        <v>311</v>
      </c>
      <c r="E183" s="626">
        <v>36000</v>
      </c>
      <c r="F183" s="13"/>
    </row>
    <row r="184" customHeight="1" spans="1:6">
      <c r="A184" s="27">
        <v>51</v>
      </c>
      <c r="B184" s="11" t="s">
        <v>318</v>
      </c>
      <c r="C184" s="12" t="s">
        <v>308</v>
      </c>
      <c r="D184" s="15" t="s">
        <v>311</v>
      </c>
      <c r="E184" s="626">
        <v>36000</v>
      </c>
      <c r="F184" s="13"/>
    </row>
    <row r="185" customHeight="1" spans="1:6">
      <c r="A185" s="27">
        <v>52</v>
      </c>
      <c r="B185" s="11" t="s">
        <v>319</v>
      </c>
      <c r="C185" s="12" t="s">
        <v>308</v>
      </c>
      <c r="D185" s="15" t="s">
        <v>311</v>
      </c>
      <c r="E185" s="626">
        <v>36000</v>
      </c>
      <c r="F185" s="13"/>
    </row>
    <row r="186" customHeight="1" spans="1:6">
      <c r="A186" s="27">
        <v>53</v>
      </c>
      <c r="B186" s="18" t="s">
        <v>320</v>
      </c>
      <c r="C186" s="12" t="s">
        <v>321</v>
      </c>
      <c r="D186" s="15" t="s">
        <v>322</v>
      </c>
      <c r="E186" s="626">
        <v>36000</v>
      </c>
      <c r="F186" s="13"/>
    </row>
    <row r="187" customHeight="1" spans="1:6">
      <c r="A187" s="27">
        <v>54</v>
      </c>
      <c r="B187" s="18" t="s">
        <v>325</v>
      </c>
      <c r="C187" s="12" t="s">
        <v>310</v>
      </c>
      <c r="D187" s="15" t="s">
        <v>589</v>
      </c>
      <c r="E187" s="626">
        <v>36000</v>
      </c>
      <c r="F187" s="13"/>
    </row>
    <row r="188" customHeight="1" spans="1:6">
      <c r="A188" s="27">
        <v>55</v>
      </c>
      <c r="B188" s="18" t="s">
        <v>326</v>
      </c>
      <c r="C188" s="12" t="s">
        <v>327</v>
      </c>
      <c r="D188" s="15" t="s">
        <v>328</v>
      </c>
      <c r="E188" s="626">
        <v>36000</v>
      </c>
      <c r="F188" s="13"/>
    </row>
    <row r="189" customHeight="1" spans="1:6">
      <c r="A189" s="27">
        <v>56</v>
      </c>
      <c r="B189" s="18" t="s">
        <v>329</v>
      </c>
      <c r="C189" s="12" t="s">
        <v>327</v>
      </c>
      <c r="D189" s="15" t="s">
        <v>328</v>
      </c>
      <c r="E189" s="626">
        <v>36000</v>
      </c>
      <c r="F189" s="13"/>
    </row>
    <row r="190" customHeight="1" spans="1:6">
      <c r="A190" s="27">
        <v>57</v>
      </c>
      <c r="B190" s="18" t="s">
        <v>330</v>
      </c>
      <c r="C190" s="12" t="s">
        <v>327</v>
      </c>
      <c r="D190" s="15" t="s">
        <v>328</v>
      </c>
      <c r="E190" s="626">
        <v>36000</v>
      </c>
      <c r="F190" s="13"/>
    </row>
    <row r="191" customHeight="1" spans="1:6">
      <c r="A191" s="27">
        <v>58</v>
      </c>
      <c r="B191" s="18" t="s">
        <v>331</v>
      </c>
      <c r="C191" s="12" t="s">
        <v>332</v>
      </c>
      <c r="D191" s="15" t="s">
        <v>333</v>
      </c>
      <c r="E191" s="626">
        <v>36000</v>
      </c>
      <c r="F191" s="13"/>
    </row>
    <row r="192" customHeight="1" spans="1:6">
      <c r="A192" s="27">
        <v>59</v>
      </c>
      <c r="B192" s="18" t="s">
        <v>334</v>
      </c>
      <c r="C192" s="12" t="s">
        <v>332</v>
      </c>
      <c r="D192" s="15" t="s">
        <v>333</v>
      </c>
      <c r="E192" s="626">
        <v>36000</v>
      </c>
      <c r="F192" s="13"/>
    </row>
    <row r="193" ht="30.75" customHeight="1" spans="1:6">
      <c r="A193" s="27"/>
      <c r="B193" s="8" t="s">
        <v>96</v>
      </c>
      <c r="C193" s="28" t="s">
        <v>590</v>
      </c>
      <c r="D193" s="29"/>
      <c r="E193" s="628">
        <f t="shared" ref="E193" si="7">SUM(E134:E192)</f>
        <v>3386000</v>
      </c>
      <c r="F193" s="13"/>
    </row>
    <row r="194" ht="35.25" customHeight="1" spans="1:6">
      <c r="A194" s="4"/>
      <c r="B194" s="30" t="s">
        <v>336</v>
      </c>
      <c r="C194" s="31">
        <f>C34+C40+C54+C59+C72+C82+C95+C102+C112+C131+C193</f>
        <v>153</v>
      </c>
      <c r="D194" s="32"/>
      <c r="E194" s="102">
        <f>E193+E131+E118+E112+E102+E95+E82+E72+E59+E54+E40+E34</f>
        <v>13858000</v>
      </c>
      <c r="F194" s="13"/>
    </row>
    <row r="195" ht="38.25" customHeight="1" spans="2:6">
      <c r="B195" s="33"/>
      <c r="D195" s="34"/>
      <c r="E195" s="103"/>
      <c r="F195" s="35"/>
    </row>
    <row r="196" ht="36.75" customHeight="1" spans="2:5">
      <c r="B196" s="33"/>
      <c r="C196" s="34"/>
      <c r="D196" s="34"/>
      <c r="E196" s="35"/>
    </row>
    <row r="197" customHeight="1" spans="5:5">
      <c r="E197" s="335"/>
    </row>
    <row r="198" customHeight="1" spans="5:5">
      <c r="E198" s="35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7"/>
  <sheetViews>
    <sheetView workbookViewId="0">
      <selection activeCell="G12" sqref="G12"/>
    </sheetView>
  </sheetViews>
  <sheetFormatPr defaultColWidth="9" defaultRowHeight="12.5" outlineLevelCol="4"/>
  <cols>
    <col min="1" max="1" width="5.28181818181818" customWidth="1"/>
    <col min="2" max="2" width="33.4272727272727" customWidth="1"/>
    <col min="3" max="3" width="19.1363636363636" customWidth="1"/>
  </cols>
  <sheetData>
    <row r="2" ht="20.5" spans="1:5">
      <c r="A2" s="623">
        <v>1</v>
      </c>
      <c r="B2" s="623" t="s">
        <v>506</v>
      </c>
      <c r="C2" s="624">
        <f>'Welfare June'!E194</f>
        <v>13858000</v>
      </c>
      <c r="D2" s="623"/>
      <c r="E2" s="623"/>
    </row>
    <row r="3" ht="20.5" spans="1:5">
      <c r="A3" s="623">
        <v>2</v>
      </c>
      <c r="B3" s="623" t="s">
        <v>508</v>
      </c>
      <c r="C3" s="624">
        <f>'[7]CONTRACT Welfare'!$E$26</f>
        <v>1688000</v>
      </c>
      <c r="D3" s="623"/>
      <c r="E3" s="623"/>
    </row>
    <row r="4" ht="20.5" spans="1:5">
      <c r="A4" s="623">
        <v>3</v>
      </c>
      <c r="B4" s="623" t="s">
        <v>510</v>
      </c>
      <c r="C4" s="624">
        <f>'[7]CAS. SABB. NYSC Welfare'!$D$58</f>
        <v>1791000</v>
      </c>
      <c r="D4" s="623"/>
      <c r="E4" s="623"/>
    </row>
    <row r="5" ht="20.5" spans="1:5">
      <c r="A5" s="623">
        <v>4</v>
      </c>
      <c r="B5" s="623" t="s">
        <v>517</v>
      </c>
      <c r="C5" s="624">
        <f>'[7]CONSULTANCY Welfare'!$D$31</f>
        <v>1746000</v>
      </c>
      <c r="D5" s="623"/>
      <c r="E5" s="623"/>
    </row>
    <row r="6" ht="20.5" spans="1:5">
      <c r="A6" s="623">
        <v>5</v>
      </c>
      <c r="B6" s="623" t="s">
        <v>591</v>
      </c>
      <c r="C6" s="624">
        <f>'[7]Welfare Others'!$C$92</f>
        <v>1225000</v>
      </c>
      <c r="D6" s="623"/>
      <c r="E6" s="623"/>
    </row>
    <row r="7" ht="27" customHeight="1" spans="1:5">
      <c r="A7" s="623"/>
      <c r="B7" s="623"/>
      <c r="C7" s="625">
        <f>SUM(C2:C6)</f>
        <v>20308000</v>
      </c>
      <c r="D7" s="623"/>
      <c r="E7" s="623"/>
    </row>
    <row r="8" ht="20.5" spans="1:5">
      <c r="A8" s="623"/>
      <c r="B8" s="623"/>
      <c r="C8" s="623"/>
      <c r="D8" s="623"/>
      <c r="E8" s="623"/>
    </row>
    <row r="9" ht="20.5" spans="1:5">
      <c r="A9" s="623"/>
      <c r="B9" s="623"/>
      <c r="C9" s="623"/>
      <c r="D9" s="623"/>
      <c r="E9" s="623"/>
    </row>
    <row r="10" ht="20.5" spans="1:5">
      <c r="A10" s="623"/>
      <c r="B10" s="623"/>
      <c r="C10" s="623"/>
      <c r="D10" s="623"/>
      <c r="E10" s="623"/>
    </row>
    <row r="11" ht="20.5" spans="1:5">
      <c r="A11" s="623"/>
      <c r="B11" s="623"/>
      <c r="C11" s="623"/>
      <c r="D11" s="623"/>
      <c r="E11" s="623"/>
    </row>
    <row r="12" ht="20.5" spans="1:5">
      <c r="A12" s="623"/>
      <c r="B12" s="623"/>
      <c r="C12" s="623"/>
      <c r="D12" s="623"/>
      <c r="E12" s="623"/>
    </row>
    <row r="13" ht="20.5" spans="1:5">
      <c r="A13" s="623"/>
      <c r="B13" s="623"/>
      <c r="C13" s="623"/>
      <c r="D13" s="623"/>
      <c r="E13" s="623"/>
    </row>
    <row r="14" ht="20.5" spans="1:5">
      <c r="A14" s="623"/>
      <c r="B14" s="623"/>
      <c r="C14" s="623"/>
      <c r="D14" s="623"/>
      <c r="E14" s="623"/>
    </row>
    <row r="15" ht="20.5" spans="1:5">
      <c r="A15" s="623"/>
      <c r="B15" s="623"/>
      <c r="C15" s="623"/>
      <c r="D15" s="623"/>
      <c r="E15" s="623"/>
    </row>
    <row r="16" ht="20.5" spans="1:5">
      <c r="A16" s="623"/>
      <c r="B16" s="623"/>
      <c r="C16" s="623"/>
      <c r="D16" s="623"/>
      <c r="E16" s="623"/>
    </row>
    <row r="17" ht="20.5" spans="1:5">
      <c r="A17" s="623"/>
      <c r="B17" s="623"/>
      <c r="C17" s="623"/>
      <c r="D17" s="623"/>
      <c r="E17" s="623"/>
    </row>
  </sheetData>
  <pageMargins left="0.7" right="0.7" top="0.75" bottom="0.75" header="0.3" footer="0.3"/>
  <pageSetup paperSize="1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7" sqref="I7"/>
    </sheetView>
  </sheetViews>
  <sheetFormatPr defaultColWidth="9" defaultRowHeight="12.5" outlineLevelRow="2"/>
  <cols>
    <col min="1" max="1" width="28.8545454545455" customWidth="1"/>
    <col min="2" max="2" width="17.1363636363636" customWidth="1"/>
    <col min="4" max="4" width="14.2818181818182" customWidth="1"/>
    <col min="5" max="5" width="19.5727272727273" customWidth="1"/>
    <col min="6" max="6" width="18.7090909090909" customWidth="1"/>
    <col min="7" max="7" width="16" customWidth="1"/>
    <col min="8" max="9" width="17.7090909090909" customWidth="1"/>
  </cols>
  <sheetData>
    <row r="1" ht="38.25" customHeight="1" spans="4:9">
      <c r="D1" s="621" t="s">
        <v>592</v>
      </c>
      <c r="E1" s="622" t="s">
        <v>593</v>
      </c>
      <c r="F1" s="622" t="s">
        <v>594</v>
      </c>
      <c r="G1" s="622" t="s">
        <v>595</v>
      </c>
      <c r="H1" s="622" t="s">
        <v>596</v>
      </c>
      <c r="I1" s="622" t="s">
        <v>597</v>
      </c>
    </row>
    <row r="2" s="1" customFormat="1" ht="33" customHeight="1" spans="1:9">
      <c r="A2" s="18" t="s">
        <v>521</v>
      </c>
      <c r="B2" s="18" t="s">
        <v>574</v>
      </c>
      <c r="C2" s="10" t="s">
        <v>125</v>
      </c>
      <c r="D2" s="85">
        <f>64596.94</f>
        <v>64596.94</v>
      </c>
      <c r="E2" s="85">
        <f>79956.94</f>
        <v>79956.94</v>
      </c>
      <c r="F2" s="220">
        <f>E2-D2</f>
        <v>15360</v>
      </c>
      <c r="G2" s="220">
        <f>F2*7</f>
        <v>107520</v>
      </c>
      <c r="H2" s="85">
        <v>560000</v>
      </c>
      <c r="I2" s="219">
        <f>H2-G2</f>
        <v>452480</v>
      </c>
    </row>
    <row r="3" ht="24.75" customHeight="1"/>
  </sheetData>
  <pageMargins left="0.7" right="0.7" top="0.75" bottom="0.75" header="0.3" footer="0.3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7" width="19.8545454545455" style="1" customWidth="1"/>
    <col min="18" max="18" width="18.1363636363636" style="1" customWidth="1"/>
    <col min="19" max="20" width="19.2818181818182" style="1" customWidth="1"/>
    <col min="21" max="21" width="19.5727272727273" style="1" customWidth="1"/>
    <col min="22" max="22" width="21.7090909090909" style="1" customWidth="1"/>
    <col min="23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21">
      <c r="A2" s="76" t="s">
        <v>598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2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4" t="s">
        <v>14</v>
      </c>
      <c r="P4" s="24" t="s">
        <v>479</v>
      </c>
      <c r="Q4" s="24" t="s">
        <v>594</v>
      </c>
      <c r="R4" s="218" t="s">
        <v>15</v>
      </c>
      <c r="S4" s="347" t="s">
        <v>16</v>
      </c>
      <c r="T4" s="80" t="s">
        <v>599</v>
      </c>
      <c r="U4" s="321" t="s">
        <v>600</v>
      </c>
    </row>
    <row r="5" ht="17.25" customHeight="1" spans="3:21">
      <c r="C5" s="8"/>
      <c r="D5" s="8"/>
      <c r="E5" s="82" t="s">
        <v>19</v>
      </c>
      <c r="F5" s="21"/>
      <c r="G5" s="82" t="s">
        <v>19</v>
      </c>
      <c r="H5" s="82" t="s">
        <v>19</v>
      </c>
      <c r="I5" s="82" t="s">
        <v>19</v>
      </c>
      <c r="J5" s="307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82" t="s">
        <v>19</v>
      </c>
      <c r="R5" s="82" t="s">
        <v>19</v>
      </c>
      <c r="S5" s="449" t="s">
        <v>19</v>
      </c>
      <c r="T5" s="82" t="s">
        <v>19</v>
      </c>
      <c r="U5" s="230" t="s">
        <v>19</v>
      </c>
    </row>
    <row r="6" customHeight="1" spans="1:21">
      <c r="A6" s="9" t="s">
        <v>20</v>
      </c>
      <c r="B6" s="8" t="s">
        <v>21</v>
      </c>
      <c r="C6" s="8"/>
      <c r="D6" s="8"/>
      <c r="E6" s="82"/>
      <c r="F6" s="21"/>
      <c r="G6" s="82"/>
      <c r="H6" s="82"/>
      <c r="I6" s="82"/>
      <c r="J6" s="307"/>
      <c r="K6" s="82"/>
      <c r="L6" s="82"/>
      <c r="M6" s="82"/>
      <c r="N6" s="82"/>
      <c r="O6" s="82"/>
      <c r="P6" s="82"/>
      <c r="Q6" s="82"/>
      <c r="R6" s="82"/>
      <c r="S6" s="449"/>
      <c r="T6" s="82"/>
      <c r="U6" s="230"/>
    </row>
    <row r="7" customHeight="1" spans="1:22">
      <c r="A7" s="10">
        <v>1</v>
      </c>
      <c r="B7" s="11" t="s">
        <v>25</v>
      </c>
      <c r="C7" s="12" t="s">
        <v>26</v>
      </c>
      <c r="D7" s="10" t="s">
        <v>27</v>
      </c>
      <c r="E7" s="85">
        <v>762373.166666667</v>
      </c>
      <c r="F7" s="85"/>
      <c r="G7" s="220"/>
      <c r="H7" s="220">
        <f>90000</f>
        <v>90000</v>
      </c>
      <c r="I7" s="85">
        <v>0</v>
      </c>
      <c r="J7" s="219">
        <f t="shared" ref="J7:J16" si="0">E7+F7+G7+H7+I7</f>
        <v>852373.166666667</v>
      </c>
      <c r="K7" s="85"/>
      <c r="L7" s="85">
        <f>100000</f>
        <v>100000</v>
      </c>
      <c r="M7" s="85"/>
      <c r="N7" s="85"/>
      <c r="O7" s="85">
        <v>130612.262826667</v>
      </c>
      <c r="P7" s="85">
        <f>'March New PAYE '!Z7</f>
        <v>149812.262826667</v>
      </c>
      <c r="Q7" s="85">
        <f>P7-O7</f>
        <v>19199.9999999997</v>
      </c>
      <c r="R7" s="85">
        <v>60989.8533333333</v>
      </c>
      <c r="S7" s="339">
        <f t="shared" ref="S7:S16" si="1">O7+N7+M7+L7+K7+R7</f>
        <v>291602.11616</v>
      </c>
      <c r="T7" s="85">
        <v>560771.050506667</v>
      </c>
      <c r="U7" s="231">
        <f t="shared" ref="U7:U16" si="2">J7-S7</f>
        <v>560771.050506667</v>
      </c>
      <c r="V7" s="13"/>
    </row>
    <row r="8" customHeight="1" spans="1:22">
      <c r="A8" s="10">
        <v>2</v>
      </c>
      <c r="B8" s="14" t="s">
        <v>28</v>
      </c>
      <c r="C8" s="4" t="s">
        <v>29</v>
      </c>
      <c r="D8" s="10" t="s">
        <v>27</v>
      </c>
      <c r="E8" s="85">
        <v>762373.166666667</v>
      </c>
      <c r="F8" s="85"/>
      <c r="G8" s="220"/>
      <c r="H8" s="220">
        <f>90000</f>
        <v>90000</v>
      </c>
      <c r="I8" s="85">
        <f>100000+100000</f>
        <v>200000</v>
      </c>
      <c r="J8" s="219">
        <f t="shared" si="0"/>
        <v>1052373.16666667</v>
      </c>
      <c r="K8" s="85"/>
      <c r="L8" s="85"/>
      <c r="M8" s="85"/>
      <c r="N8" s="85"/>
      <c r="O8" s="85">
        <v>180722.314666667</v>
      </c>
      <c r="P8" s="85">
        <f>'March New PAYE '!Z8</f>
        <v>199922.314666667</v>
      </c>
      <c r="Q8" s="85">
        <f t="shared" ref="Q8:Q16" si="3">P8-O8</f>
        <v>19200.0000000003</v>
      </c>
      <c r="R8" s="85"/>
      <c r="S8" s="339">
        <f t="shared" si="1"/>
        <v>180722.314666667</v>
      </c>
      <c r="T8" s="85">
        <v>871650.852</v>
      </c>
      <c r="U8" s="231">
        <f t="shared" si="2"/>
        <v>871650.852</v>
      </c>
      <c r="V8" s="13"/>
    </row>
    <row r="9" customHeight="1" spans="1:22">
      <c r="A9" s="10">
        <v>3</v>
      </c>
      <c r="B9" s="14" t="s">
        <v>32</v>
      </c>
      <c r="C9" s="4" t="s">
        <v>33</v>
      </c>
      <c r="D9" s="10" t="s">
        <v>27</v>
      </c>
      <c r="E9" s="85">
        <v>762373.166666667</v>
      </c>
      <c r="F9" s="85"/>
      <c r="G9" s="220"/>
      <c r="H9" s="220">
        <f>80000+10000</f>
        <v>90000</v>
      </c>
      <c r="I9" s="85">
        <v>150000</v>
      </c>
      <c r="J9" s="219">
        <f t="shared" si="0"/>
        <v>1002373.16666667</v>
      </c>
      <c r="K9" s="85"/>
      <c r="L9" s="85">
        <f>20000+60000</f>
        <v>80000</v>
      </c>
      <c r="M9" s="85">
        <f>'[2]OCTOBER 2023 '!$D$193</f>
        <v>230499.8</v>
      </c>
      <c r="N9" s="85">
        <v>1066.32925</v>
      </c>
      <c r="O9" s="85">
        <v>159207.527610667</v>
      </c>
      <c r="P9" s="85">
        <f>'March New PAYE '!Z10</f>
        <v>178407.527610667</v>
      </c>
      <c r="Q9" s="85">
        <f t="shared" si="3"/>
        <v>19200.0000000003</v>
      </c>
      <c r="R9" s="85">
        <v>60989.8533333333</v>
      </c>
      <c r="S9" s="339">
        <f t="shared" si="1"/>
        <v>531763.510194</v>
      </c>
      <c r="T9" s="85">
        <v>470609.656472667</v>
      </c>
      <c r="U9" s="231">
        <f t="shared" si="2"/>
        <v>470609.656472667</v>
      </c>
      <c r="V9" s="13"/>
    </row>
    <row r="10" customHeight="1" spans="1:22">
      <c r="A10" s="10">
        <v>4</v>
      </c>
      <c r="B10" s="18" t="s">
        <v>576</v>
      </c>
      <c r="C10" s="10" t="s">
        <v>577</v>
      </c>
      <c r="D10" s="10" t="s">
        <v>27</v>
      </c>
      <c r="E10" s="85">
        <v>762373.166666667</v>
      </c>
      <c r="F10" s="85"/>
      <c r="G10" s="220"/>
      <c r="H10" s="220">
        <f>90000</f>
        <v>90000</v>
      </c>
      <c r="I10" s="85">
        <v>100000</v>
      </c>
      <c r="J10" s="219">
        <f t="shared" si="0"/>
        <v>952373.166666667</v>
      </c>
      <c r="K10" s="85"/>
      <c r="L10" s="85">
        <f>50000</f>
        <v>50000</v>
      </c>
      <c r="M10" s="85">
        <f>91666.67</f>
        <v>91666.67</v>
      </c>
      <c r="N10" s="85"/>
      <c r="O10" s="85">
        <v>161522.314666667</v>
      </c>
      <c r="P10" s="85">
        <f>'March New PAYE '!Z11</f>
        <v>180722.314666667</v>
      </c>
      <c r="Q10" s="85">
        <f t="shared" si="3"/>
        <v>19199.9999999997</v>
      </c>
      <c r="R10" s="85"/>
      <c r="S10" s="339">
        <f t="shared" si="1"/>
        <v>303188.984666667</v>
      </c>
      <c r="T10" s="85">
        <v>649184.182</v>
      </c>
      <c r="U10" s="231">
        <f t="shared" si="2"/>
        <v>649184.182</v>
      </c>
      <c r="V10" s="13"/>
    </row>
    <row r="11" customHeight="1" spans="1:22">
      <c r="A11" s="10">
        <v>5</v>
      </c>
      <c r="B11" s="11" t="s">
        <v>156</v>
      </c>
      <c r="C11" s="4" t="s">
        <v>112</v>
      </c>
      <c r="D11" s="10" t="s">
        <v>36</v>
      </c>
      <c r="E11" s="85">
        <v>620675.583333333</v>
      </c>
      <c r="F11" s="85"/>
      <c r="G11" s="220">
        <f>160000</f>
        <v>160000</v>
      </c>
      <c r="H11" s="220"/>
      <c r="I11" s="85">
        <v>100000</v>
      </c>
      <c r="J11" s="219">
        <f>SUM(E11:I11)</f>
        <v>880675.583333333</v>
      </c>
      <c r="K11" s="85"/>
      <c r="L11" s="85"/>
      <c r="M11" s="85"/>
      <c r="N11" s="85"/>
      <c r="O11" s="85">
        <v>138222.801706667</v>
      </c>
      <c r="P11" s="85">
        <f>'March New PAYE '!Z80</f>
        <v>157422.801706667</v>
      </c>
      <c r="Q11" s="85">
        <f t="shared" si="3"/>
        <v>19199.9999999996</v>
      </c>
      <c r="R11" s="85">
        <v>49654.0466666667</v>
      </c>
      <c r="S11" s="339">
        <f t="shared" si="1"/>
        <v>187876.848373334</v>
      </c>
      <c r="T11" s="85">
        <v>692798.73496</v>
      </c>
      <c r="U11" s="231">
        <f t="shared" si="2"/>
        <v>692798.734959999</v>
      </c>
      <c r="V11" s="13"/>
    </row>
    <row r="12" customHeight="1" spans="1:22">
      <c r="A12" s="10">
        <v>6</v>
      </c>
      <c r="B12" s="11" t="s">
        <v>37</v>
      </c>
      <c r="C12" s="4" t="s">
        <v>38</v>
      </c>
      <c r="D12" s="10" t="s">
        <v>39</v>
      </c>
      <c r="E12" s="85">
        <v>582118.083333333</v>
      </c>
      <c r="F12" s="85"/>
      <c r="G12" s="220">
        <v>160000</v>
      </c>
      <c r="H12" s="220"/>
      <c r="I12" s="85">
        <f>100000</f>
        <v>100000</v>
      </c>
      <c r="J12" s="219">
        <f t="shared" si="0"/>
        <v>842118.083333333</v>
      </c>
      <c r="K12" s="85"/>
      <c r="L12" s="85"/>
      <c r="M12" s="85"/>
      <c r="N12" s="85">
        <v>775.496</v>
      </c>
      <c r="O12" s="85">
        <v>131263.109674667</v>
      </c>
      <c r="P12" s="85">
        <f>'March New PAYE '!Z13</f>
        <v>150463.109674667</v>
      </c>
      <c r="Q12" s="85">
        <f t="shared" si="3"/>
        <v>19199.9999999996</v>
      </c>
      <c r="R12" s="85">
        <v>46569.4466666667</v>
      </c>
      <c r="S12" s="339">
        <f t="shared" si="1"/>
        <v>178608.052341334</v>
      </c>
      <c r="T12" s="85">
        <v>663510.030992</v>
      </c>
      <c r="U12" s="231">
        <f t="shared" si="2"/>
        <v>663510.030991999</v>
      </c>
      <c r="V12" s="13"/>
    </row>
    <row r="13" customHeight="1" spans="1:22">
      <c r="A13" s="10">
        <v>7</v>
      </c>
      <c r="B13" s="11" t="s">
        <v>45</v>
      </c>
      <c r="C13" s="4" t="s">
        <v>46</v>
      </c>
      <c r="D13" s="10" t="s">
        <v>47</v>
      </c>
      <c r="E13" s="85">
        <v>442746.5</v>
      </c>
      <c r="F13" s="85"/>
      <c r="G13" s="220">
        <f>140000</f>
        <v>140000</v>
      </c>
      <c r="H13" s="220"/>
      <c r="I13" s="85">
        <v>150000</v>
      </c>
      <c r="J13" s="219">
        <f t="shared" si="0"/>
        <v>732746.5</v>
      </c>
      <c r="K13" s="85"/>
      <c r="L13" s="85">
        <v>70000</v>
      </c>
      <c r="M13" s="85"/>
      <c r="N13" s="85"/>
      <c r="O13" s="85">
        <v>112553.408426667</v>
      </c>
      <c r="P13" s="85">
        <f>'March New PAYE '!Z16</f>
        <v>131753.408426667</v>
      </c>
      <c r="Q13" s="85">
        <f t="shared" si="3"/>
        <v>19199.9999999997</v>
      </c>
      <c r="R13" s="85">
        <v>35419.72</v>
      </c>
      <c r="S13" s="339">
        <f t="shared" si="1"/>
        <v>217973.128426667</v>
      </c>
      <c r="T13" s="85">
        <v>514773.371573333</v>
      </c>
      <c r="U13" s="231">
        <f t="shared" si="2"/>
        <v>514773.371573333</v>
      </c>
      <c r="V13" s="13"/>
    </row>
    <row r="14" customHeight="1" spans="1:22">
      <c r="A14" s="10">
        <v>8</v>
      </c>
      <c r="B14" s="18" t="s">
        <v>53</v>
      </c>
      <c r="C14" s="4" t="s">
        <v>54</v>
      </c>
      <c r="D14" s="15" t="s">
        <v>55</v>
      </c>
      <c r="E14" s="85">
        <v>416026.916666667</v>
      </c>
      <c r="F14" s="85"/>
      <c r="G14" s="220">
        <f>120000</f>
        <v>120000</v>
      </c>
      <c r="H14" s="220"/>
      <c r="I14" s="85">
        <f>100000</f>
        <v>100000</v>
      </c>
      <c r="J14" s="219">
        <f t="shared" si="0"/>
        <v>636026.916666667</v>
      </c>
      <c r="K14" s="85"/>
      <c r="L14" s="85">
        <f>30000-20000</f>
        <v>10000</v>
      </c>
      <c r="M14" s="85">
        <f>95833.33</f>
        <v>95833.33</v>
      </c>
      <c r="N14" s="85">
        <v>618.5315</v>
      </c>
      <c r="O14" s="85">
        <v>94274.9034666667</v>
      </c>
      <c r="P14" s="85">
        <f>'March New PAYE '!Z19</f>
        <v>113474.903466667</v>
      </c>
      <c r="Q14" s="85">
        <f t="shared" si="3"/>
        <v>19200</v>
      </c>
      <c r="R14" s="85">
        <v>33282.1533333333</v>
      </c>
      <c r="S14" s="339">
        <f t="shared" si="1"/>
        <v>234008.9183</v>
      </c>
      <c r="T14" s="85">
        <v>402017.998366667</v>
      </c>
      <c r="U14" s="231">
        <f t="shared" si="2"/>
        <v>402017.998366667</v>
      </c>
      <c r="V14" s="13"/>
    </row>
    <row r="15" customHeight="1" spans="1:22">
      <c r="A15" s="10">
        <v>9</v>
      </c>
      <c r="B15" s="14" t="s">
        <v>63</v>
      </c>
      <c r="C15" s="17" t="s">
        <v>64</v>
      </c>
      <c r="D15" s="10" t="s">
        <v>65</v>
      </c>
      <c r="E15" s="85">
        <v>353512.5</v>
      </c>
      <c r="F15" s="85"/>
      <c r="G15" s="220">
        <f t="shared" ref="G15" si="4">100000</f>
        <v>100000</v>
      </c>
      <c r="H15" s="220"/>
      <c r="I15" s="85">
        <v>100000</v>
      </c>
      <c r="J15" s="219">
        <f t="shared" si="0"/>
        <v>553512.5</v>
      </c>
      <c r="K15" s="85"/>
      <c r="L15" s="85">
        <v>50000</v>
      </c>
      <c r="M15" s="85"/>
      <c r="N15" s="85"/>
      <c r="O15" s="85">
        <v>79511.1146666667</v>
      </c>
      <c r="P15" s="85">
        <f>'March New PAYE '!Z21</f>
        <v>98711.1146666667</v>
      </c>
      <c r="Q15" s="85">
        <f t="shared" si="3"/>
        <v>19200</v>
      </c>
      <c r="R15" s="85">
        <v>28281</v>
      </c>
      <c r="S15" s="339">
        <f t="shared" si="1"/>
        <v>157792.114666667</v>
      </c>
      <c r="T15" s="85">
        <v>395720.385333333</v>
      </c>
      <c r="U15" s="231">
        <f t="shared" si="2"/>
        <v>395720.385333333</v>
      </c>
      <c r="V15" s="13"/>
    </row>
    <row r="16" customHeight="1" spans="1:22">
      <c r="A16" s="10">
        <v>10</v>
      </c>
      <c r="B16" s="14" t="s">
        <v>68</v>
      </c>
      <c r="C16" s="17" t="s">
        <v>69</v>
      </c>
      <c r="D16" s="10" t="s">
        <v>70</v>
      </c>
      <c r="E16" s="85">
        <v>293029.666666667</v>
      </c>
      <c r="F16" s="85"/>
      <c r="G16" s="220"/>
      <c r="H16" s="220">
        <f>50000+10000</f>
        <v>60000</v>
      </c>
      <c r="I16" s="85">
        <v>100000</v>
      </c>
      <c r="J16" s="219">
        <f t="shared" si="0"/>
        <v>453029.666666667</v>
      </c>
      <c r="K16" s="85"/>
      <c r="L16" s="85"/>
      <c r="M16" s="85"/>
      <c r="N16" s="85"/>
      <c r="O16" s="85">
        <v>61147.4269866667</v>
      </c>
      <c r="P16" s="85">
        <f>'March New PAYE '!Z23</f>
        <v>80347.4269866667</v>
      </c>
      <c r="Q16" s="85">
        <f t="shared" si="3"/>
        <v>19200</v>
      </c>
      <c r="R16" s="85">
        <v>23442.3733333333</v>
      </c>
      <c r="S16" s="339">
        <f t="shared" si="1"/>
        <v>84589.80032</v>
      </c>
      <c r="T16" s="85">
        <v>368439.866346667</v>
      </c>
      <c r="U16" s="231">
        <f t="shared" si="2"/>
        <v>368439.866346667</v>
      </c>
      <c r="V16" s="13"/>
    </row>
    <row r="17" ht="30.75" customHeight="1" spans="1:22">
      <c r="A17" s="27"/>
      <c r="B17" s="8" t="s">
        <v>96</v>
      </c>
      <c r="C17" s="28" t="s">
        <v>233</v>
      </c>
      <c r="D17" s="29"/>
      <c r="E17" s="93">
        <v>14898686.4166667</v>
      </c>
      <c r="F17" s="93"/>
      <c r="G17" s="93" t="e">
        <f>SUM(#REF!)</f>
        <v>#REF!</v>
      </c>
      <c r="H17" s="93" t="e">
        <f>SUM(#REF!)</f>
        <v>#REF!</v>
      </c>
      <c r="I17" s="93" t="e">
        <f>SUM(#REF!)</f>
        <v>#REF!</v>
      </c>
      <c r="J17" s="93" t="e">
        <f>SUM(#REF!)</f>
        <v>#REF!</v>
      </c>
      <c r="K17" s="93" t="e">
        <f>SUM(#REF!)</f>
        <v>#REF!</v>
      </c>
      <c r="L17" s="93" t="e">
        <f>SUM(#REF!)</f>
        <v>#REF!</v>
      </c>
      <c r="M17" s="93" t="e">
        <f>SUM(#REF!)</f>
        <v>#REF!</v>
      </c>
      <c r="N17" s="93">
        <v>6347.233</v>
      </c>
      <c r="O17" s="93">
        <f>SUM(O7:O16)</f>
        <v>1249037.18469867</v>
      </c>
      <c r="P17" s="93">
        <f t="shared" ref="P17:Q17" si="5">SUM(P7:P16)</f>
        <v>1441037.18469867</v>
      </c>
      <c r="Q17" s="93">
        <f t="shared" si="5"/>
        <v>191999.999999999</v>
      </c>
      <c r="R17" s="93">
        <v>1130905.06</v>
      </c>
      <c r="S17" s="620" t="e">
        <f>SUM(#REF!)</f>
        <v>#REF!</v>
      </c>
      <c r="T17" s="93">
        <v>11108681.2189053</v>
      </c>
      <c r="U17" s="322" t="e">
        <f>SUM(#REF!)</f>
        <v>#REF!</v>
      </c>
      <c r="V17" s="13"/>
    </row>
    <row r="18" ht="38.25" customHeight="1" spans="2:22">
      <c r="B18" s="33"/>
      <c r="D18" s="34"/>
      <c r="E18" s="34"/>
      <c r="F18" s="34"/>
      <c r="G18" s="228"/>
      <c r="H18" s="228"/>
      <c r="I18" s="228"/>
      <c r="J18" s="228"/>
      <c r="K18" s="228"/>
      <c r="L18" s="228"/>
      <c r="M18" s="228"/>
      <c r="N18" s="228"/>
      <c r="O18" s="229"/>
      <c r="P18" s="229"/>
      <c r="Q18" s="229"/>
      <c r="R18" s="229"/>
      <c r="S18" s="229"/>
      <c r="T18" s="229"/>
      <c r="U18" s="229"/>
      <c r="V18" s="35"/>
    </row>
    <row r="19" ht="36.75" customHeight="1" spans="2:21">
      <c r="B19" s="33"/>
      <c r="C19" s="34"/>
      <c r="D19" s="34"/>
      <c r="E19" s="34"/>
      <c r="F19" s="34"/>
      <c r="G19" s="228"/>
      <c r="H19" s="228"/>
      <c r="J19" s="228" t="s">
        <v>601</v>
      </c>
      <c r="K19" s="228"/>
      <c r="L19" s="228"/>
      <c r="M19" s="228"/>
      <c r="N19" s="228"/>
      <c r="O19" s="229"/>
      <c r="P19" s="229"/>
      <c r="Q19" s="229"/>
      <c r="R19" s="229"/>
      <c r="S19" s="229"/>
      <c r="T19" s="229"/>
      <c r="U19" s="35"/>
    </row>
    <row r="20" customHeight="1" spans="19:21">
      <c r="S20" s="35"/>
      <c r="U20" s="335"/>
    </row>
    <row r="21" customHeight="1" spans="21:21">
      <c r="U21" s="35"/>
    </row>
    <row r="22" customHeight="1" spans="10:10">
      <c r="J2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A4" workbookViewId="0">
      <selection activeCell="I189" sqref="I189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443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444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445</v>
      </c>
      <c r="B4" s="462" t="s">
        <v>446</v>
      </c>
      <c r="C4" s="463" t="s">
        <v>447</v>
      </c>
      <c r="D4" s="462" t="s">
        <v>448</v>
      </c>
      <c r="E4" s="463" t="s">
        <v>449</v>
      </c>
      <c r="F4" s="463" t="s">
        <v>450</v>
      </c>
      <c r="G4" s="463" t="s">
        <v>451</v>
      </c>
      <c r="H4" s="463" t="s">
        <v>452</v>
      </c>
      <c r="I4" s="463" t="s">
        <v>453</v>
      </c>
      <c r="J4" s="463"/>
      <c r="K4" s="463"/>
      <c r="L4" s="463"/>
      <c r="M4" s="463" t="s">
        <v>454</v>
      </c>
      <c r="N4" s="463" t="s">
        <v>455</v>
      </c>
      <c r="O4" s="463" t="s">
        <v>456</v>
      </c>
      <c r="P4" s="463" t="s">
        <v>457</v>
      </c>
      <c r="Q4" s="463" t="s">
        <v>458</v>
      </c>
      <c r="R4" s="463" t="s">
        <v>459</v>
      </c>
      <c r="S4" s="463" t="s">
        <v>460</v>
      </c>
      <c r="T4" s="463" t="s">
        <v>461</v>
      </c>
      <c r="U4" s="463" t="s">
        <v>462</v>
      </c>
      <c r="V4" s="463" t="s">
        <v>463</v>
      </c>
      <c r="W4" s="463"/>
      <c r="X4" s="463" t="s">
        <v>464</v>
      </c>
      <c r="Y4" s="463" t="s">
        <v>465</v>
      </c>
      <c r="Z4" s="463" t="s">
        <v>466</v>
      </c>
      <c r="AA4" s="477"/>
      <c r="AB4" s="477" t="s">
        <v>518</v>
      </c>
    </row>
    <row r="5" ht="17.5" spans="1:31">
      <c r="A5" s="464">
        <v>1</v>
      </c>
      <c r="B5" s="8" t="s">
        <v>21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67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22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67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ht="18" spans="1:31">
      <c r="A7" s="464">
        <v>4</v>
      </c>
      <c r="B7" s="11" t="s">
        <v>25</v>
      </c>
      <c r="C7" s="465">
        <f>852373.166666667+100000</f>
        <v>952373.166666667</v>
      </c>
      <c r="D7" s="466">
        <v>12</v>
      </c>
      <c r="E7" s="467">
        <f t="shared" ref="E7:E32" si="14">C7*D7</f>
        <v>11428478</v>
      </c>
      <c r="F7" s="467"/>
      <c r="G7" s="467">
        <v>731878.24</v>
      </c>
      <c r="H7" s="467"/>
      <c r="I7" s="467">
        <f t="shared" si="0"/>
        <v>10696599.76</v>
      </c>
      <c r="J7" s="467">
        <v>200000</v>
      </c>
      <c r="K7" s="467">
        <v>0.2</v>
      </c>
      <c r="L7" s="467">
        <f t="shared" si="1"/>
        <v>2139319.952</v>
      </c>
      <c r="M7" s="467">
        <f t="shared" si="2"/>
        <v>2339319.952</v>
      </c>
      <c r="N7" s="467">
        <f t="shared" si="3"/>
        <v>3071198.192</v>
      </c>
      <c r="O7" s="467">
        <f t="shared" si="4"/>
        <v>8357279.808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1237747.15392</v>
      </c>
      <c r="V7" s="467">
        <f t="shared" si="11"/>
        <v>1797747.15392</v>
      </c>
      <c r="W7" s="474">
        <v>12</v>
      </c>
      <c r="X7" s="467">
        <f t="shared" si="12"/>
        <v>149812.262826667</v>
      </c>
      <c r="Y7" s="467"/>
      <c r="Z7" s="467">
        <f t="shared" si="13"/>
        <v>149812.262826667</v>
      </c>
      <c r="AA7" s="479">
        <v>82627.9514186667</v>
      </c>
      <c r="AB7" s="479">
        <f t="shared" ref="AB7:AB32" si="15">Z7-AA7</f>
        <v>67184.311408</v>
      </c>
      <c r="AC7" s="479"/>
      <c r="AD7" s="479"/>
      <c r="AE7" s="479"/>
    </row>
    <row r="8" ht="18" spans="1:31">
      <c r="A8" s="464">
        <v>5</v>
      </c>
      <c r="B8" s="14" t="s">
        <v>28</v>
      </c>
      <c r="C8" s="465">
        <f>1052373.16666667+100000</f>
        <v>1152373.16666667</v>
      </c>
      <c r="D8" s="466">
        <v>12</v>
      </c>
      <c r="E8" s="467">
        <f t="shared" si="14"/>
        <v>13828478</v>
      </c>
      <c r="F8" s="467"/>
      <c r="G8" s="467">
        <v>0</v>
      </c>
      <c r="H8" s="467"/>
      <c r="I8" s="467">
        <f t="shared" si="0"/>
        <v>13828478</v>
      </c>
      <c r="J8" s="467">
        <v>200000</v>
      </c>
      <c r="K8" s="467">
        <v>0.2</v>
      </c>
      <c r="L8" s="467">
        <f t="shared" si="1"/>
        <v>2765695.60000001</v>
      </c>
      <c r="M8" s="467">
        <f t="shared" si="2"/>
        <v>2965695.60000001</v>
      </c>
      <c r="N8" s="467">
        <f t="shared" si="3"/>
        <v>2965695.60000001</v>
      </c>
      <c r="O8" s="467">
        <f t="shared" si="4"/>
        <v>10862782.4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1839067.77600001</v>
      </c>
      <c r="V8" s="467">
        <f t="shared" si="11"/>
        <v>2399067.77600001</v>
      </c>
      <c r="W8" s="474">
        <v>12</v>
      </c>
      <c r="X8" s="467">
        <f t="shared" si="12"/>
        <v>199922.314666667</v>
      </c>
      <c r="Y8" s="467"/>
      <c r="Z8" s="467">
        <f t="shared" si="13"/>
        <v>199922.314666667</v>
      </c>
      <c r="AA8" s="479">
        <v>121027.951418667</v>
      </c>
      <c r="AB8" s="479">
        <f t="shared" si="15"/>
        <v>78894.3632480003</v>
      </c>
      <c r="AC8" s="479"/>
      <c r="AD8" s="479"/>
      <c r="AE8" s="479"/>
    </row>
    <row r="9" ht="18" spans="1:31">
      <c r="A9" s="464">
        <v>6</v>
      </c>
      <c r="B9" s="11" t="s">
        <v>30</v>
      </c>
      <c r="C9" s="465">
        <v>942373.166666667</v>
      </c>
      <c r="D9" s="466">
        <v>12</v>
      </c>
      <c r="E9" s="467">
        <f t="shared" si="14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67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32</v>
      </c>
      <c r="C10" s="465">
        <f>1002373.16666667+100000</f>
        <v>1102373.16666667</v>
      </c>
      <c r="D10" s="466">
        <v>12</v>
      </c>
      <c r="E10" s="467">
        <f t="shared" si="14"/>
        <v>13228478</v>
      </c>
      <c r="F10" s="467">
        <f>'[6]JANUARY 2024'!$V$10*12</f>
        <v>12795.951</v>
      </c>
      <c r="G10" s="467">
        <v>731878.24</v>
      </c>
      <c r="H10" s="467"/>
      <c r="I10" s="467">
        <f t="shared" si="0"/>
        <v>12483803.809</v>
      </c>
      <c r="J10" s="467">
        <v>200000</v>
      </c>
      <c r="K10" s="467">
        <v>0.2</v>
      </c>
      <c r="L10" s="467">
        <f t="shared" si="1"/>
        <v>2496760.76180001</v>
      </c>
      <c r="M10" s="467">
        <f t="shared" si="2"/>
        <v>2696760.76180001</v>
      </c>
      <c r="N10" s="467">
        <f t="shared" si="3"/>
        <v>3441434.95280001</v>
      </c>
      <c r="O10" s="467">
        <f t="shared" si="4"/>
        <v>9787043.04720003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1580890.33132801</v>
      </c>
      <c r="V10" s="467">
        <f t="shared" si="11"/>
        <v>2140890.33132801</v>
      </c>
      <c r="W10" s="474">
        <v>12</v>
      </c>
      <c r="X10" s="467">
        <f t="shared" si="12"/>
        <v>178407.527610667</v>
      </c>
      <c r="Y10" s="467"/>
      <c r="Z10" s="467">
        <f t="shared" si="13"/>
        <v>178407.527610667</v>
      </c>
      <c r="AA10" s="479">
        <v>111223.216202667</v>
      </c>
      <c r="AB10" s="479">
        <f t="shared" si="15"/>
        <v>67184.3114080003</v>
      </c>
      <c r="AC10" s="479"/>
      <c r="AD10" s="479"/>
      <c r="AE10" s="479"/>
    </row>
    <row r="11" ht="18" spans="1:31">
      <c r="A11" s="464">
        <v>8</v>
      </c>
      <c r="B11" s="18" t="s">
        <v>576</v>
      </c>
      <c r="C11" s="465">
        <f>952373.166666667+100000</f>
        <v>1052373.16666667</v>
      </c>
      <c r="D11" s="466">
        <v>12</v>
      </c>
      <c r="E11" s="467">
        <f t="shared" si="14"/>
        <v>12628478</v>
      </c>
      <c r="F11" s="467"/>
      <c r="G11" s="467">
        <v>0</v>
      </c>
      <c r="H11" s="467"/>
      <c r="I11" s="467">
        <f t="shared" si="0"/>
        <v>12628478</v>
      </c>
      <c r="J11" s="467">
        <v>200000</v>
      </c>
      <c r="K11" s="467">
        <v>0.2</v>
      </c>
      <c r="L11" s="467">
        <f t="shared" si="1"/>
        <v>2525695.6</v>
      </c>
      <c r="M11" s="467">
        <f t="shared" si="2"/>
        <v>2725695.6</v>
      </c>
      <c r="N11" s="467">
        <f t="shared" si="3"/>
        <v>2725695.6</v>
      </c>
      <c r="O11" s="467">
        <f t="shared" si="4"/>
        <v>9902782.4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1608667.776</v>
      </c>
      <c r="V11" s="467">
        <f t="shared" si="11"/>
        <v>2168667.776</v>
      </c>
      <c r="W11" s="474">
        <v>12</v>
      </c>
      <c r="X11" s="467">
        <f t="shared" si="12"/>
        <v>180722.314666667</v>
      </c>
      <c r="Y11" s="467"/>
      <c r="Z11" s="467">
        <f t="shared" si="13"/>
        <v>180722.314666667</v>
      </c>
      <c r="AA11" s="479">
        <v>101827.951418667</v>
      </c>
      <c r="AB11" s="479">
        <f t="shared" si="15"/>
        <v>78894.3632479997</v>
      </c>
      <c r="AC11" s="479"/>
      <c r="AD11" s="479"/>
      <c r="AE11" s="479"/>
    </row>
    <row r="12" ht="18" spans="1:31">
      <c r="A12" s="464">
        <v>9</v>
      </c>
      <c r="B12" s="11" t="s">
        <v>34</v>
      </c>
      <c r="C12" s="465">
        <v>750675.583333333</v>
      </c>
      <c r="D12" s="466">
        <v>12</v>
      </c>
      <c r="E12" s="467">
        <f t="shared" si="14"/>
        <v>9008107</v>
      </c>
      <c r="F12" s="467">
        <f>'[6]JANUARY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67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37</v>
      </c>
      <c r="C13" s="465">
        <f>842118.083333333+100000</f>
        <v>942118.083333333</v>
      </c>
      <c r="D13" s="466">
        <v>12</v>
      </c>
      <c r="E13" s="467">
        <f t="shared" si="14"/>
        <v>11305417</v>
      </c>
      <c r="F13" s="467">
        <f>'[6]JANUARY 2024'!$V$14*12</f>
        <v>9305.952</v>
      </c>
      <c r="G13" s="467">
        <v>558833.36</v>
      </c>
      <c r="H13" s="467"/>
      <c r="I13" s="467">
        <f t="shared" si="0"/>
        <v>10737277.688</v>
      </c>
      <c r="J13" s="467">
        <v>200000</v>
      </c>
      <c r="K13" s="467">
        <v>0.2</v>
      </c>
      <c r="L13" s="467">
        <f t="shared" si="1"/>
        <v>2147455.5376</v>
      </c>
      <c r="M13" s="467">
        <f t="shared" si="2"/>
        <v>2347455.5376</v>
      </c>
      <c r="N13" s="467">
        <f t="shared" si="3"/>
        <v>2915594.8496</v>
      </c>
      <c r="O13" s="467">
        <f t="shared" si="4"/>
        <v>8389822.1504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1245557.316096</v>
      </c>
      <c r="V13" s="467">
        <f t="shared" si="11"/>
        <v>1805557.316096</v>
      </c>
      <c r="W13" s="474">
        <v>12</v>
      </c>
      <c r="X13" s="467">
        <f t="shared" si="12"/>
        <v>150463.109674667</v>
      </c>
      <c r="Y13" s="467"/>
      <c r="Z13" s="467">
        <f t="shared" si="13"/>
        <v>150463.109674667</v>
      </c>
      <c r="AA13" s="479">
        <v>94625.7820586667</v>
      </c>
      <c r="AB13" s="479">
        <f t="shared" si="15"/>
        <v>55837.3276159999</v>
      </c>
      <c r="AC13" s="479"/>
      <c r="AD13" s="479"/>
      <c r="AE13" s="479"/>
    </row>
    <row r="14" ht="18" spans="1:31">
      <c r="A14" s="464">
        <v>11</v>
      </c>
      <c r="B14" s="11" t="s">
        <v>40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67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43</v>
      </c>
      <c r="C15" s="465">
        <f>660498</f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67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45</v>
      </c>
      <c r="C16" s="465">
        <f>732746.5+100000</f>
        <v>832746.5</v>
      </c>
      <c r="D16" s="466">
        <v>12</v>
      </c>
      <c r="E16" s="467">
        <f t="shared" si="14"/>
        <v>9992958</v>
      </c>
      <c r="F16" s="467"/>
      <c r="G16" s="467">
        <v>425036.64</v>
      </c>
      <c r="H16" s="467"/>
      <c r="I16" s="467">
        <f t="shared" si="0"/>
        <v>9567921.36</v>
      </c>
      <c r="J16" s="467">
        <v>200000</v>
      </c>
      <c r="K16" s="467">
        <v>0.2</v>
      </c>
      <c r="L16" s="467">
        <f t="shared" si="1"/>
        <v>1913584.272</v>
      </c>
      <c r="M16" s="467">
        <f t="shared" si="2"/>
        <v>2113584.272</v>
      </c>
      <c r="N16" s="467">
        <f t="shared" si="3"/>
        <v>2538620.912</v>
      </c>
      <c r="O16" s="467">
        <f t="shared" si="4"/>
        <v>7454337.088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1021040.90112</v>
      </c>
      <c r="V16" s="467">
        <f t="shared" si="11"/>
        <v>1581040.90112</v>
      </c>
      <c r="W16" s="474">
        <v>12</v>
      </c>
      <c r="X16" s="467">
        <f t="shared" si="12"/>
        <v>131753.408426667</v>
      </c>
      <c r="Y16" s="467"/>
      <c r="Z16" s="467">
        <f t="shared" si="13"/>
        <v>131753.408426667</v>
      </c>
      <c r="AA16" s="479">
        <v>46666.6666666667</v>
      </c>
      <c r="AB16" s="479">
        <f t="shared" si="15"/>
        <v>85086.74176</v>
      </c>
      <c r="AC16" s="479"/>
      <c r="AD16" s="479"/>
      <c r="AE16" s="479"/>
    </row>
    <row r="17" ht="18" spans="1:31">
      <c r="A17" s="464">
        <v>14</v>
      </c>
      <c r="B17" s="11" t="s">
        <v>48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67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50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67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53</v>
      </c>
      <c r="C19" s="465">
        <f>636026.916666667+100000</f>
        <v>736026.916666667</v>
      </c>
      <c r="D19" s="466">
        <v>12</v>
      </c>
      <c r="E19" s="467">
        <f t="shared" si="14"/>
        <v>8832323</v>
      </c>
      <c r="F19" s="467">
        <f>618.53*12</f>
        <v>7422.36</v>
      </c>
      <c r="G19" s="467">
        <v>399385.84</v>
      </c>
      <c r="H19" s="467"/>
      <c r="I19" s="467">
        <f t="shared" si="0"/>
        <v>8425514.8</v>
      </c>
      <c r="J19" s="467">
        <v>200000</v>
      </c>
      <c r="K19" s="467">
        <v>0.2</v>
      </c>
      <c r="L19" s="467">
        <f t="shared" si="1"/>
        <v>1685102.96</v>
      </c>
      <c r="M19" s="467">
        <f t="shared" si="2"/>
        <v>1885102.96</v>
      </c>
      <c r="N19" s="467">
        <f t="shared" si="3"/>
        <v>2291911.16</v>
      </c>
      <c r="O19" s="467">
        <f t="shared" si="4"/>
        <v>6540411.84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801698.841600001</v>
      </c>
      <c r="V19" s="467">
        <f t="shared" si="11"/>
        <v>1361698.8416</v>
      </c>
      <c r="W19" s="474">
        <v>12</v>
      </c>
      <c r="X19" s="467">
        <f t="shared" si="12"/>
        <v>113474.903466667</v>
      </c>
      <c r="Y19" s="467"/>
      <c r="Z19" s="467">
        <f t="shared" si="13"/>
        <v>113474.903466667</v>
      </c>
      <c r="AA19" s="479">
        <v>46666.6666666667</v>
      </c>
      <c r="AB19" s="479">
        <f t="shared" si="15"/>
        <v>66808.2368</v>
      </c>
      <c r="AC19" s="479"/>
      <c r="AD19" s="479"/>
      <c r="AE19" s="479"/>
    </row>
    <row r="20" ht="18" spans="1:31">
      <c r="A20" s="464">
        <v>17</v>
      </c>
      <c r="B20" s="11" t="s">
        <v>60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67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63</v>
      </c>
      <c r="C21" s="465">
        <f>553512.5+100000</f>
        <v>653512.5</v>
      </c>
      <c r="D21" s="466">
        <v>12</v>
      </c>
      <c r="E21" s="467">
        <f t="shared" si="14"/>
        <v>7842150</v>
      </c>
      <c r="F21" s="467"/>
      <c r="G21" s="467">
        <v>339372</v>
      </c>
      <c r="H21" s="467"/>
      <c r="I21" s="467">
        <f t="shared" si="0"/>
        <v>7502778</v>
      </c>
      <c r="J21" s="467">
        <v>200000</v>
      </c>
      <c r="K21" s="467">
        <v>0.2</v>
      </c>
      <c r="L21" s="467">
        <f t="shared" si="1"/>
        <v>1500555.6</v>
      </c>
      <c r="M21" s="467">
        <f t="shared" si="2"/>
        <v>1700555.6</v>
      </c>
      <c r="N21" s="467">
        <f t="shared" si="3"/>
        <v>2039927.6</v>
      </c>
      <c r="O21" s="467">
        <f t="shared" si="4"/>
        <v>5802222.4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624533.376</v>
      </c>
      <c r="V21" s="467">
        <f t="shared" si="11"/>
        <v>1184533.376</v>
      </c>
      <c r="W21" s="474">
        <v>12</v>
      </c>
      <c r="X21" s="467">
        <f t="shared" si="12"/>
        <v>98711.1146666667</v>
      </c>
      <c r="Y21" s="467"/>
      <c r="Z21" s="467">
        <f t="shared" si="13"/>
        <v>98711.1146666667</v>
      </c>
      <c r="AA21" s="479">
        <v>46666.6666666667</v>
      </c>
      <c r="AB21" s="479">
        <f t="shared" si="15"/>
        <v>52044.448</v>
      </c>
      <c r="AC21" s="479"/>
      <c r="AD21" s="479"/>
      <c r="AE21" s="479"/>
    </row>
    <row r="22" ht="18" spans="1:31">
      <c r="A22" s="464">
        <v>19</v>
      </c>
      <c r="B22" s="11" t="s">
        <v>66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67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68</v>
      </c>
      <c r="C23" s="465">
        <f>453029.666666667+100000</f>
        <v>553029.666666667</v>
      </c>
      <c r="D23" s="466">
        <v>12</v>
      </c>
      <c r="E23" s="467">
        <f t="shared" si="14"/>
        <v>6636356</v>
      </c>
      <c r="F23" s="467"/>
      <c r="G23" s="467">
        <v>281308.48</v>
      </c>
      <c r="H23" s="467"/>
      <c r="I23" s="467">
        <f t="shared" si="0"/>
        <v>6355047.52</v>
      </c>
      <c r="J23" s="467">
        <v>200000</v>
      </c>
      <c r="K23" s="467">
        <v>0.2</v>
      </c>
      <c r="L23" s="467">
        <f t="shared" si="1"/>
        <v>1271009.504</v>
      </c>
      <c r="M23" s="467">
        <f t="shared" si="2"/>
        <v>1471009.504</v>
      </c>
      <c r="N23" s="467">
        <f t="shared" si="3"/>
        <v>1752317.984</v>
      </c>
      <c r="O23" s="467">
        <f t="shared" si="4"/>
        <v>4884038.016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404169.123840001</v>
      </c>
      <c r="V23" s="467">
        <f t="shared" si="11"/>
        <v>964169.123840001</v>
      </c>
      <c r="W23" s="474">
        <v>12</v>
      </c>
      <c r="X23" s="467">
        <f t="shared" si="12"/>
        <v>80347.4269866667</v>
      </c>
      <c r="Y23" s="467"/>
      <c r="Z23" s="467">
        <f t="shared" si="13"/>
        <v>80347.4269866667</v>
      </c>
      <c r="AA23" s="479">
        <v>42371.8157286667</v>
      </c>
      <c r="AB23" s="479">
        <f t="shared" si="15"/>
        <v>37975.611258</v>
      </c>
      <c r="AC23" s="479"/>
      <c r="AD23" s="479"/>
      <c r="AE23" s="479"/>
    </row>
    <row r="24" ht="18" spans="1:31">
      <c r="A24" s="464">
        <v>21</v>
      </c>
      <c r="B24" s="4" t="s">
        <v>73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67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76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67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77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67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78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67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81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67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84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67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85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67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88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67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90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67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97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479"/>
      <c r="AB34" s="479"/>
      <c r="AC34" s="479"/>
      <c r="AD34" s="479"/>
      <c r="AE34" s="479"/>
    </row>
    <row r="35" ht="18" spans="1:31">
      <c r="A35" s="464"/>
      <c r="B35" s="18" t="s">
        <v>98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67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101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67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103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67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479"/>
      <c r="AB38" s="479"/>
      <c r="AC38" s="479"/>
      <c r="AD38" s="479"/>
      <c r="AE38" s="479"/>
    </row>
    <row r="39" ht="17.5" spans="1:31">
      <c r="A39" s="464"/>
      <c r="B39" s="23" t="s">
        <v>107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501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67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491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67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108</v>
      </c>
      <c r="C42" s="467">
        <v>919203.583333333</v>
      </c>
      <c r="D42" s="466">
        <v>12</v>
      </c>
      <c r="E42" s="467">
        <f t="shared" si="34"/>
        <v>11030443</v>
      </c>
      <c r="F42" s="470"/>
      <c r="G42" s="468">
        <v>709635.44</v>
      </c>
      <c r="H42" s="470"/>
      <c r="I42" s="467">
        <f t="shared" si="31"/>
        <v>10320807.56</v>
      </c>
      <c r="J42" s="467">
        <v>200000</v>
      </c>
      <c r="K42" s="467">
        <v>0.2</v>
      </c>
      <c r="L42" s="467">
        <f t="shared" si="1"/>
        <v>2064161.512</v>
      </c>
      <c r="M42" s="467">
        <f t="shared" si="2"/>
        <v>2264161.512</v>
      </c>
      <c r="N42" s="467">
        <f t="shared" si="32"/>
        <v>2973796.952</v>
      </c>
      <c r="O42" s="467">
        <f t="shared" si="33"/>
        <v>8056646.048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1165595.05152</v>
      </c>
      <c r="V42" s="467">
        <f t="shared" si="11"/>
        <v>1725595.05152</v>
      </c>
      <c r="W42" s="474">
        <v>12</v>
      </c>
      <c r="X42" s="467">
        <f t="shared" si="12"/>
        <v>143799.587626667</v>
      </c>
      <c r="Y42" s="470"/>
      <c r="Z42" s="467">
        <f t="shared" si="13"/>
        <v>143799.587626667</v>
      </c>
      <c r="AA42" s="479">
        <v>97273.5138506667</v>
      </c>
      <c r="AB42" s="479">
        <f t="shared" si="35"/>
        <v>46526.0737759999</v>
      </c>
      <c r="AC42" s="479"/>
      <c r="AD42" s="479"/>
      <c r="AE42" s="479"/>
    </row>
    <row r="43" ht="18" spans="1:31">
      <c r="A43" s="464">
        <v>38</v>
      </c>
      <c r="B43" s="11" t="s">
        <v>111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67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113</v>
      </c>
      <c r="C44" s="467">
        <v>780675.583333333</v>
      </c>
      <c r="D44" s="466">
        <v>12</v>
      </c>
      <c r="E44" s="467">
        <f t="shared" si="34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67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114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67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115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67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116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67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118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67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580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67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119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67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479"/>
      <c r="AB51" s="479"/>
      <c r="AC51" s="479"/>
      <c r="AD51" s="479"/>
      <c r="AE51" s="479"/>
    </row>
    <row r="52" ht="17.5" spans="1:31">
      <c r="A52" s="464"/>
      <c r="B52" s="20" t="s">
        <v>120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121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67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123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67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126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127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67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129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67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132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67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486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67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519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67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134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67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136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67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137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67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138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67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140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67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479"/>
      <c r="AB68" s="479"/>
      <c r="AC68" s="479"/>
      <c r="AD68" s="479"/>
      <c r="AE68" s="479"/>
    </row>
    <row r="69" ht="17.5" spans="1:31">
      <c r="A69" s="464"/>
      <c r="B69" s="20" t="s">
        <v>141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479"/>
      <c r="AB69" s="479"/>
      <c r="AC69" s="479"/>
      <c r="AD69" s="479"/>
      <c r="AE69" s="479"/>
    </row>
    <row r="70" ht="18" spans="1:31">
      <c r="A70" s="464"/>
      <c r="B70" s="11" t="s">
        <v>142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67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520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67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521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67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146</v>
      </c>
      <c r="C73" s="467">
        <v>596622.25</v>
      </c>
      <c r="D73" s="466">
        <v>12</v>
      </c>
      <c r="E73" s="467">
        <f t="shared" si="55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67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149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67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151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67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153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67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96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155</v>
      </c>
      <c r="C79" s="467"/>
      <c r="AB79" s="296" t="s">
        <v>522</v>
      </c>
      <c r="AC79" s="479"/>
      <c r="AD79" s="479"/>
      <c r="AE79" s="479"/>
    </row>
    <row r="80" ht="18" spans="1:31">
      <c r="A80" s="464">
        <v>68</v>
      </c>
      <c r="B80" s="11" t="s">
        <v>156</v>
      </c>
      <c r="C80" s="467">
        <f>880675.583333333+100000</f>
        <v>980675.583333333</v>
      </c>
      <c r="D80" s="466">
        <v>12</v>
      </c>
      <c r="E80" s="467">
        <f>C80*D80</f>
        <v>11768107</v>
      </c>
      <c r="F80" s="467"/>
      <c r="G80" s="468">
        <v>595848.56</v>
      </c>
      <c r="H80" s="470"/>
      <c r="I80" s="467">
        <f t="shared" ref="I80:I89" si="67">E80-F80-G80-H80</f>
        <v>11172258.44</v>
      </c>
      <c r="J80" s="467">
        <v>200000</v>
      </c>
      <c r="K80" s="467">
        <v>0.2</v>
      </c>
      <c r="L80" s="467">
        <f t="shared" ref="L80:L89" si="68">I80*K80</f>
        <v>2234451.688</v>
      </c>
      <c r="M80" s="467">
        <f t="shared" ref="M80:M89" si="69">J80+L80</f>
        <v>2434451.688</v>
      </c>
      <c r="N80" s="467">
        <f t="shared" ref="N80:N89" si="70">F80+G80+H80+M80</f>
        <v>3030300.248</v>
      </c>
      <c r="O80" s="467">
        <f t="shared" ref="O80:O89" si="71">E80-N80</f>
        <v>8737806.752</v>
      </c>
      <c r="P80" s="467">
        <f t="shared" ref="P80:P89" si="72">IF(O80&lt;300000,0.07*O80,21000)</f>
        <v>21000</v>
      </c>
      <c r="Q80" s="467">
        <f t="shared" ref="Q80:Q89" si="73">IF((O80-300000)&lt;0,0,IF((O80-300000)&lt;300000,0.11*(O80-300000),33000))</f>
        <v>33000</v>
      </c>
      <c r="R80" s="467">
        <f t="shared" ref="R80:R89" si="74">IF((O80-600000)&lt;0,0,IF((O80-600000)&lt;500000,0.15*(O80-600000),75000))</f>
        <v>75000</v>
      </c>
      <c r="S80" s="467">
        <f t="shared" ref="S80:S89" si="75">IF((O80-1100000)&lt;0,0,IF((O80-1100000)&lt;500000,0.19*(O80-1100000),95000))</f>
        <v>95000</v>
      </c>
      <c r="T80" s="467">
        <f t="shared" ref="T80:T89" si="76">IF((O80-1600000)&lt;0,0,IF((O80-1600000)&lt;1600000,0.21*(O80-1600000),336000))</f>
        <v>336000</v>
      </c>
      <c r="U80" s="467">
        <f t="shared" ref="U80:U88" si="77">24%*(O80-3200000)</f>
        <v>1329073.62048</v>
      </c>
      <c r="V80" s="467">
        <f t="shared" ref="V80:V89" si="78">P80+Q80+R80+S80+T80+U80</f>
        <v>1889073.62048</v>
      </c>
      <c r="W80" s="474">
        <v>12</v>
      </c>
      <c r="X80" s="467">
        <f t="shared" ref="X80:X89" si="79">V80/W80</f>
        <v>157422.801706667</v>
      </c>
      <c r="Y80" s="470"/>
      <c r="Z80" s="467">
        <f t="shared" ref="Z80:Z89" si="80">X80</f>
        <v>157422.801706667</v>
      </c>
      <c r="AA80" s="467">
        <v>99156.9391466667</v>
      </c>
      <c r="AB80" s="479">
        <f>Z80-AA80</f>
        <v>58265.8625599999</v>
      </c>
      <c r="AC80" s="479" t="s">
        <v>156</v>
      </c>
      <c r="AD80" s="479"/>
      <c r="AE80" s="479"/>
    </row>
    <row r="81" ht="18" spans="1:31">
      <c r="A81" s="464">
        <v>69</v>
      </c>
      <c r="B81" s="11" t="s">
        <v>157</v>
      </c>
      <c r="C81" s="467">
        <v>780675.583333333</v>
      </c>
      <c r="D81" s="466">
        <v>12</v>
      </c>
      <c r="E81" s="467">
        <f t="shared" ref="E81:E87" si="81">C81*D81</f>
        <v>9368107</v>
      </c>
      <c r="F81" s="467">
        <f>'[6]JANUARY 2024'!$V$86*12</f>
        <v>10052.25</v>
      </c>
      <c r="G81" s="468">
        <v>595848.56</v>
      </c>
      <c r="H81" s="470"/>
      <c r="I81" s="467">
        <f t="shared" si="67"/>
        <v>8762206.19</v>
      </c>
      <c r="J81" s="467">
        <v>200000</v>
      </c>
      <c r="K81" s="467">
        <v>0.2</v>
      </c>
      <c r="L81" s="467">
        <f t="shared" si="68"/>
        <v>1752441.238</v>
      </c>
      <c r="M81" s="467">
        <f t="shared" si="69"/>
        <v>1952441.238</v>
      </c>
      <c r="N81" s="467">
        <f t="shared" si="70"/>
        <v>2558342.048</v>
      </c>
      <c r="O81" s="467">
        <f t="shared" si="71"/>
        <v>6809764.952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866343.588479999</v>
      </c>
      <c r="V81" s="467">
        <f t="shared" si="78"/>
        <v>1426343.58848</v>
      </c>
      <c r="W81" s="474">
        <v>12</v>
      </c>
      <c r="X81" s="467">
        <f t="shared" si="79"/>
        <v>118861.965706667</v>
      </c>
      <c r="Y81" s="470"/>
      <c r="Z81" s="467">
        <f t="shared" si="80"/>
        <v>118861.965706667</v>
      </c>
      <c r="AA81" s="467">
        <v>98996.1031466667</v>
      </c>
      <c r="AB81" s="479">
        <f t="shared" ref="AB81:AB87" si="82">Z81-AA81</f>
        <v>19865.8625599999</v>
      </c>
      <c r="AC81" s="479" t="s">
        <v>157</v>
      </c>
      <c r="AD81" s="479"/>
      <c r="AE81" s="479"/>
    </row>
    <row r="82" ht="36" spans="1:31">
      <c r="A82" s="464">
        <v>70</v>
      </c>
      <c r="B82" s="11" t="s">
        <v>158</v>
      </c>
      <c r="C82" s="467">
        <v>587895.166666667</v>
      </c>
      <c r="D82" s="466">
        <v>12</v>
      </c>
      <c r="E82" s="467">
        <f t="shared" si="81"/>
        <v>7054742</v>
      </c>
      <c r="F82" s="467"/>
      <c r="G82" s="468">
        <v>558833.36</v>
      </c>
      <c r="H82" s="470"/>
      <c r="I82" s="467">
        <f t="shared" si="67"/>
        <v>6495908.64</v>
      </c>
      <c r="J82" s="467">
        <v>200000</v>
      </c>
      <c r="K82" s="467">
        <v>0.2</v>
      </c>
      <c r="L82" s="467">
        <f t="shared" si="68"/>
        <v>1299181.728</v>
      </c>
      <c r="M82" s="467">
        <f t="shared" si="69"/>
        <v>1499181.728</v>
      </c>
      <c r="N82" s="467">
        <f t="shared" si="70"/>
        <v>2058015.088</v>
      </c>
      <c r="O82" s="467">
        <f t="shared" si="71"/>
        <v>4996726.912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431214.458880001</v>
      </c>
      <c r="V82" s="467">
        <f t="shared" si="78"/>
        <v>991214.458880001</v>
      </c>
      <c r="W82" s="474">
        <v>12</v>
      </c>
      <c r="X82" s="467">
        <f t="shared" si="79"/>
        <v>82601.2049066667</v>
      </c>
      <c r="Y82" s="470"/>
      <c r="Z82" s="467">
        <f t="shared" si="80"/>
        <v>82601.2049066667</v>
      </c>
      <c r="AA82" s="467">
        <v>79956.9391466667</v>
      </c>
      <c r="AB82" s="479">
        <f t="shared" si="82"/>
        <v>2644.26576000001</v>
      </c>
      <c r="AC82" s="479" t="s">
        <v>158</v>
      </c>
      <c r="AD82" s="479"/>
      <c r="AE82" s="479"/>
    </row>
    <row r="83" ht="18" spans="1:31">
      <c r="A83" s="464">
        <v>71</v>
      </c>
      <c r="B83" s="11" t="s">
        <v>159</v>
      </c>
      <c r="C83" s="467">
        <v>582746.5</v>
      </c>
      <c r="D83" s="466">
        <v>12</v>
      </c>
      <c r="E83" s="467">
        <f t="shared" si="81"/>
        <v>6992958</v>
      </c>
      <c r="F83" s="467"/>
      <c r="G83" s="468">
        <v>424132.72</v>
      </c>
      <c r="H83" s="470"/>
      <c r="I83" s="467">
        <f t="shared" si="67"/>
        <v>6568825.28</v>
      </c>
      <c r="J83" s="467">
        <v>200000</v>
      </c>
      <c r="K83" s="467">
        <v>0.2</v>
      </c>
      <c r="L83" s="467">
        <f t="shared" si="68"/>
        <v>1313765.056</v>
      </c>
      <c r="M83" s="467">
        <f t="shared" si="69"/>
        <v>1513765.056</v>
      </c>
      <c r="N83" s="467">
        <f t="shared" si="70"/>
        <v>1937897.776</v>
      </c>
      <c r="O83" s="467">
        <f t="shared" si="71"/>
        <v>5055060.224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445214.45376</v>
      </c>
      <c r="V83" s="467">
        <f t="shared" si="78"/>
        <v>1005214.45376</v>
      </c>
      <c r="W83" s="474">
        <v>12</v>
      </c>
      <c r="X83" s="467">
        <f t="shared" si="79"/>
        <v>83767.8711466667</v>
      </c>
      <c r="Y83" s="470"/>
      <c r="Z83" s="467">
        <f t="shared" si="80"/>
        <v>83767.8711466667</v>
      </c>
      <c r="AA83" s="467">
        <v>75574.6772906667</v>
      </c>
      <c r="AB83" s="479">
        <f t="shared" si="82"/>
        <v>8193.19385599995</v>
      </c>
      <c r="AC83" s="479" t="s">
        <v>159</v>
      </c>
      <c r="AD83" s="479"/>
      <c r="AE83" s="479"/>
    </row>
    <row r="84" ht="18" spans="1:31">
      <c r="A84" s="464">
        <v>72</v>
      </c>
      <c r="B84" s="11" t="s">
        <v>160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67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160</v>
      </c>
      <c r="AD84" s="479"/>
      <c r="AE84" s="479"/>
    </row>
    <row r="85" ht="36" spans="1:31">
      <c r="A85" s="464">
        <v>73</v>
      </c>
      <c r="B85" s="11" t="s">
        <v>161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67">
        <v>49548.7761866667</v>
      </c>
      <c r="AB85" s="479">
        <f t="shared" si="82"/>
        <v>31753.61976</v>
      </c>
      <c r="AC85" s="479" t="s">
        <v>161</v>
      </c>
      <c r="AD85" s="479"/>
      <c r="AE85" s="479"/>
    </row>
    <row r="86" ht="18" spans="1:31">
      <c r="A86" s="464">
        <v>74</v>
      </c>
      <c r="B86" s="11" t="s">
        <v>163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67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163</v>
      </c>
      <c r="AD86" s="479"/>
      <c r="AE86" s="479"/>
    </row>
    <row r="87" ht="24" customHeight="1" spans="1:31">
      <c r="A87" s="464">
        <v>75</v>
      </c>
      <c r="B87" s="11" t="s">
        <v>164</v>
      </c>
      <c r="C87" s="467">
        <v>510248.916666667</v>
      </c>
      <c r="D87" s="466">
        <v>12</v>
      </c>
      <c r="E87" s="467">
        <f t="shared" si="81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67">
        <v>41242.0361406667</v>
      </c>
      <c r="AB87" s="479">
        <f t="shared" si="82"/>
        <v>29287.439214</v>
      </c>
      <c r="AC87" s="479" t="s">
        <v>164</v>
      </c>
      <c r="AD87" s="479"/>
      <c r="AE87" s="479"/>
    </row>
    <row r="88" ht="18" spans="1:31">
      <c r="A88" s="464">
        <v>76</v>
      </c>
      <c r="B88" s="11" t="s">
        <v>167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67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167</v>
      </c>
      <c r="AD88" s="479"/>
      <c r="AE88" s="479"/>
    </row>
    <row r="89" ht="18" spans="1:31">
      <c r="A89" s="464"/>
      <c r="B89" s="11" t="s">
        <v>169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67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169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172</v>
      </c>
      <c r="C92" s="467"/>
      <c r="AC92" s="479"/>
      <c r="AD92" s="479"/>
      <c r="AE92" s="479"/>
    </row>
    <row r="93" ht="18" spans="1:31">
      <c r="A93" s="464">
        <v>79</v>
      </c>
      <c r="B93" s="14" t="s">
        <v>173</v>
      </c>
      <c r="C93" s="467">
        <v>1452042.67</v>
      </c>
      <c r="D93" s="466">
        <v>12</v>
      </c>
      <c r="E93" s="467">
        <f>C93*D93</f>
        <v>17424512.04</v>
      </c>
      <c r="F93" s="467">
        <f>'[6]JANUARY 2024'!$V$98*12</f>
        <v>12795.951</v>
      </c>
      <c r="G93" s="468">
        <f>(0.08*1352042.67)*12</f>
        <v>1297960.9632</v>
      </c>
      <c r="H93" s="470"/>
      <c r="I93" s="467">
        <f>E93-F93-G93-H93</f>
        <v>16113755.1258</v>
      </c>
      <c r="J93" s="467">
        <v>200000</v>
      </c>
      <c r="K93" s="467">
        <v>0.2</v>
      </c>
      <c r="L93" s="467">
        <f>I93*K93</f>
        <v>3222751.02516</v>
      </c>
      <c r="M93" s="467">
        <f>J93+L93</f>
        <v>3422751.02516</v>
      </c>
      <c r="N93" s="467">
        <f>F93+G93+H93+M93</f>
        <v>4733507.93936</v>
      </c>
      <c r="O93" s="467">
        <f>E93-N93</f>
        <v>12691004.10064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2277840.9841536</v>
      </c>
      <c r="V93" s="467">
        <f>P93+Q93+R93+S93+T93+U93</f>
        <v>2837840.9841536</v>
      </c>
      <c r="W93" s="474">
        <v>12</v>
      </c>
      <c r="X93" s="467">
        <f>V93/W93</f>
        <v>236486.748679467</v>
      </c>
      <c r="Y93" s="470"/>
      <c r="Z93" s="467">
        <f>X93</f>
        <v>236486.748679467</v>
      </c>
      <c r="AA93" s="479">
        <v>82423.2162026667</v>
      </c>
      <c r="AB93" s="479">
        <f>Z93-AA93</f>
        <v>154063.5324768</v>
      </c>
      <c r="AC93" s="479" t="s">
        <v>173</v>
      </c>
      <c r="AD93" s="479"/>
      <c r="AE93" s="479"/>
    </row>
    <row r="94" ht="18" spans="1:31">
      <c r="A94" s="464">
        <v>80</v>
      </c>
      <c r="B94" s="11" t="s">
        <v>176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67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176</v>
      </c>
      <c r="AD94" s="479"/>
      <c r="AE94" s="479"/>
    </row>
    <row r="95" ht="18" spans="1:31">
      <c r="A95" s="464">
        <v>81</v>
      </c>
      <c r="B95" s="11" t="s">
        <v>180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67">
        <f>X95</f>
        <v>56938.0689066667</v>
      </c>
      <c r="AA95" s="479">
        <v>43492.3733766667</v>
      </c>
      <c r="AB95" s="479">
        <f t="shared" si="87"/>
        <v>13445.69553</v>
      </c>
      <c r="AC95" s="479" t="s">
        <v>180</v>
      </c>
      <c r="AD95" s="479"/>
      <c r="AE95" s="479"/>
    </row>
    <row r="96" ht="18" spans="1:31">
      <c r="A96" s="464"/>
      <c r="B96" s="11" t="s">
        <v>182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67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182</v>
      </c>
      <c r="AD96" s="479"/>
      <c r="AE96" s="479"/>
    </row>
    <row r="97" ht="17.5" spans="1:31">
      <c r="A97" s="464"/>
      <c r="B97" s="20" t="s">
        <v>96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AC98" s="479"/>
      <c r="AD98" s="479"/>
      <c r="AE98" s="479"/>
    </row>
    <row r="99" ht="35" spans="1:31">
      <c r="A99" s="464">
        <v>84</v>
      </c>
      <c r="B99" s="20" t="s">
        <v>184</v>
      </c>
      <c r="C99" s="467"/>
      <c r="G99" s="296">
        <v>0</v>
      </c>
      <c r="AB99" s="296" t="s">
        <v>518</v>
      </c>
      <c r="AC99" s="479"/>
      <c r="AD99" s="479"/>
      <c r="AE99" s="479"/>
    </row>
    <row r="100" ht="18" spans="1:31">
      <c r="A100" s="464">
        <v>85</v>
      </c>
      <c r="B100" s="11" t="s">
        <v>185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67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185</v>
      </c>
      <c r="AD100" s="479"/>
      <c r="AE100" s="479"/>
    </row>
    <row r="101" ht="18" spans="1:31">
      <c r="A101" s="464">
        <v>86</v>
      </c>
      <c r="B101" s="11" t="s">
        <v>187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67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187</v>
      </c>
      <c r="AD101" s="479"/>
      <c r="AE101" s="479"/>
    </row>
    <row r="102" ht="18" spans="1:31">
      <c r="A102" s="464">
        <v>87</v>
      </c>
      <c r="B102" s="11" t="s">
        <v>190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'[6]JANUARY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67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190</v>
      </c>
      <c r="AD102" s="479"/>
      <c r="AE102" s="479"/>
    </row>
    <row r="103" ht="18" spans="1:31">
      <c r="A103" s="464">
        <v>88</v>
      </c>
      <c r="B103" s="11" t="s">
        <v>193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67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193</v>
      </c>
      <c r="AD103" s="479"/>
      <c r="AE103" s="479"/>
    </row>
    <row r="104" ht="18" spans="1:31">
      <c r="A104" s="464">
        <v>89</v>
      </c>
      <c r="B104" s="11" t="s">
        <v>194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67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194</v>
      </c>
      <c r="AD104" s="479"/>
      <c r="AE104" s="479"/>
    </row>
    <row r="105" ht="36" spans="1:31">
      <c r="A105" s="464"/>
      <c r="B105" s="18" t="s">
        <v>197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67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197</v>
      </c>
      <c r="AD105" s="479"/>
      <c r="AE105" s="479"/>
    </row>
    <row r="106" ht="18" spans="1:31">
      <c r="A106" s="464"/>
      <c r="B106" s="18" t="s">
        <v>199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67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199</v>
      </c>
      <c r="AD106" s="479"/>
      <c r="AE106" s="479"/>
    </row>
    <row r="107" ht="17.5" spans="1:31">
      <c r="A107" s="464"/>
      <c r="B107" s="20" t="s">
        <v>96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AC108" s="479"/>
      <c r="AD108" s="479"/>
      <c r="AE108" s="479"/>
    </row>
    <row r="109" ht="35" spans="1:31">
      <c r="A109" s="464">
        <v>91</v>
      </c>
      <c r="B109" s="20" t="s">
        <v>200</v>
      </c>
      <c r="C109" s="467"/>
      <c r="G109" s="468"/>
      <c r="U109" s="467"/>
      <c r="AC109" s="479"/>
      <c r="AD109" s="479"/>
      <c r="AE109" s="479"/>
    </row>
    <row r="110" ht="36" spans="1:31">
      <c r="A110" s="464">
        <v>92</v>
      </c>
      <c r="B110" s="14" t="s">
        <v>201</v>
      </c>
      <c r="C110" s="467">
        <v>761396.833333333</v>
      </c>
      <c r="D110" s="466">
        <v>12</v>
      </c>
      <c r="E110" s="467">
        <f>C110*D110</f>
        <v>9136762</v>
      </c>
      <c r="F110" s="467">
        <f>'[6]JANUARY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67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202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67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204</v>
      </c>
      <c r="C112" s="473">
        <v>450086.5</v>
      </c>
      <c r="D112" s="466">
        <v>12</v>
      </c>
      <c r="E112" s="467">
        <f t="shared" si="104"/>
        <v>5401038</v>
      </c>
      <c r="F112" s="467">
        <f>'[6]JANUARY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67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AC114" s="479"/>
      <c r="AD114" s="479"/>
      <c r="AE114" s="479"/>
    </row>
    <row r="115" ht="17.5" spans="1:31">
      <c r="A115" s="464">
        <v>97</v>
      </c>
      <c r="B115" s="20" t="s">
        <v>213</v>
      </c>
      <c r="C115" s="467"/>
      <c r="U115" s="480"/>
      <c r="AC115" s="479"/>
      <c r="AD115" s="479"/>
      <c r="AE115" s="479"/>
    </row>
    <row r="116" ht="18" spans="1:31">
      <c r="A116" s="464">
        <v>98</v>
      </c>
      <c r="B116" s="11" t="s">
        <v>214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67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216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67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218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67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523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67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220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67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223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67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225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67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226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67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228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67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230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67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96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AC127" s="479"/>
      <c r="AD127" s="479"/>
      <c r="AE127" s="479"/>
    </row>
    <row r="128" ht="17.5" spans="1:31">
      <c r="A128" s="464">
        <v>111</v>
      </c>
      <c r="B128" s="20" t="s">
        <v>234</v>
      </c>
      <c r="C128" s="467"/>
      <c r="U128" s="480"/>
      <c r="AC128" s="479"/>
      <c r="AD128" s="479"/>
      <c r="AE128" s="479"/>
    </row>
    <row r="129" ht="18" spans="1:31">
      <c r="A129" s="464">
        <v>112</v>
      </c>
      <c r="B129" s="11" t="s">
        <v>235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67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524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67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237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67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239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67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241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67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243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67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178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67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244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67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245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67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247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67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249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67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251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67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254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67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256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67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257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67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258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67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259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67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261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67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263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67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266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67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268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67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270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67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272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67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275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67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277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67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279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67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281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67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283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67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287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67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290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67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291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67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292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67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293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67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294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67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296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67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297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67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298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67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299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67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300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67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301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67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304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67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305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67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307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67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309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67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312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67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313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67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314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67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315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67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316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67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317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67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318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67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319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67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320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67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325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67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326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67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329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67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330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67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331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67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334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486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8" t="s">
        <v>469</v>
      </c>
      <c r="C188" s="615">
        <f>SUM(C6:C187)</f>
        <v>80678516.056105</v>
      </c>
      <c r="D188" s="616"/>
      <c r="E188" s="469"/>
      <c r="F188" s="617">
        <f>SUM(F6:F187)</f>
        <v>276375.747</v>
      </c>
      <c r="G188" s="617">
        <f>SUM(G6:G187)</f>
        <v>55339851.6032</v>
      </c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  <c r="R188" s="618"/>
      <c r="S188" s="618"/>
      <c r="T188" s="618"/>
      <c r="U188" s="618"/>
      <c r="V188" s="617">
        <f>SUM(V6:V187)</f>
        <v>138901804.043259</v>
      </c>
      <c r="W188" s="617"/>
      <c r="X188" s="617">
        <f t="shared" ref="X188" si="137">SUM(X6:X187)</f>
        <v>11575150.3369383</v>
      </c>
      <c r="Y188" s="617"/>
      <c r="Z188" s="617">
        <f t="shared" ref="Z188" si="138">SUM(Z6:Z187)</f>
        <v>11575150.3369383</v>
      </c>
      <c r="AA188" s="618"/>
      <c r="AB188" s="618"/>
    </row>
    <row r="189" ht="26.25" customHeight="1" spans="2:28">
      <c r="B189" s="30" t="s">
        <v>470</v>
      </c>
      <c r="C189" s="615"/>
      <c r="D189" s="616"/>
      <c r="E189" s="616"/>
      <c r="F189" s="619">
        <f>F188/12</f>
        <v>23031.31225</v>
      </c>
      <c r="G189" s="619">
        <f>G188/12</f>
        <v>4611654.30026666</v>
      </c>
      <c r="H189" s="618"/>
      <c r="I189" s="618"/>
      <c r="J189" s="618"/>
      <c r="K189" s="618"/>
      <c r="L189" s="618"/>
      <c r="M189" s="618"/>
      <c r="N189" s="618"/>
      <c r="O189" s="618"/>
      <c r="P189" s="618"/>
      <c r="Q189" s="618"/>
      <c r="R189" s="618"/>
      <c r="S189" s="618"/>
      <c r="T189" s="618"/>
      <c r="U189" s="618"/>
      <c r="V189" s="619">
        <f>V188/12</f>
        <v>11575150.3369383</v>
      </c>
      <c r="W189" s="616"/>
      <c r="X189" s="616"/>
      <c r="Y189" s="616"/>
      <c r="Z189" s="616"/>
      <c r="AA189" s="618"/>
      <c r="AB189" s="618"/>
    </row>
    <row r="190" ht="17.5" spans="2:6">
      <c r="B190" s="33"/>
      <c r="C190" s="479"/>
      <c r="F190" s="498"/>
    </row>
    <row r="191" ht="13" spans="6:26">
      <c r="F191" s="499"/>
      <c r="Z191" s="617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zoomScaleSheetLayoutView="50" workbookViewId="0">
      <pane xSplit="3" ySplit="5" topLeftCell="P6" activePane="bottomRight" state="frozen"/>
      <selection/>
      <selection pane="topRight"/>
      <selection pane="bottomLeft"/>
      <selection pane="bottomRight" activeCell="P9" sqref="P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6" width="19.2818181818182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0" width="21.5727272727273" style="1" customWidth="1"/>
    <col min="11" max="11" width="9.13636363636364" style="1" customWidth="1"/>
    <col min="12" max="12" width="18.4272727272727" style="1" customWidth="1"/>
    <col min="13" max="13" width="17.7090909090909" style="1" customWidth="1"/>
    <col min="14" max="14" width="16" style="1" customWidth="1"/>
    <col min="15" max="15" width="19.8545454545455" style="1" customWidth="1"/>
    <col min="16" max="16" width="18.1363636363636" style="1" customWidth="1"/>
    <col min="17" max="18" width="19.2818181818182" style="1" customWidth="1"/>
    <col min="19" max="19" width="19.5727272727273" style="1" customWidth="1"/>
    <col min="20" max="20" width="21.7090909090909" style="1" customWidth="1"/>
    <col min="21" max="16384" width="9.13636363636364" style="1"/>
  </cols>
  <sheetData>
    <row r="1" ht="27" customHeight="1" spans="1:9">
      <c r="A1" s="76" t="s">
        <v>0</v>
      </c>
      <c r="B1" s="76"/>
      <c r="C1" s="76"/>
      <c r="D1" s="76"/>
      <c r="E1" s="76"/>
      <c r="F1" s="76"/>
      <c r="G1" s="217"/>
      <c r="H1" s="217"/>
      <c r="I1" s="217"/>
    </row>
    <row r="2" ht="33.75" customHeight="1" spans="1:19">
      <c r="A2" s="76" t="s">
        <v>602</v>
      </c>
      <c r="B2" s="77"/>
      <c r="C2" s="76"/>
      <c r="D2" s="76"/>
      <c r="E2" s="216"/>
      <c r="F2" s="216"/>
      <c r="G2" s="299"/>
      <c r="H2" s="299"/>
      <c r="I2" s="299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9.75" customHeight="1" spans="5:9">
      <c r="E3" s="217" t="e">
        <f>'[1]FEB 08'!E11/'[1]FEB 08'!M11</f>
        <v>#REF!</v>
      </c>
      <c r="F3" s="217"/>
      <c r="G3" s="217"/>
      <c r="H3" s="217"/>
      <c r="I3" s="217"/>
    </row>
    <row r="4" ht="49.5" customHeight="1" spans="1:19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18" t="s">
        <v>7</v>
      </c>
      <c r="H4" s="218" t="s">
        <v>7</v>
      </c>
      <c r="I4" s="218" t="s">
        <v>8</v>
      </c>
      <c r="J4" s="334" t="s">
        <v>9</v>
      </c>
      <c r="K4" s="218" t="s">
        <v>10</v>
      </c>
      <c r="L4" s="218" t="s">
        <v>11</v>
      </c>
      <c r="M4" s="218" t="s">
        <v>12</v>
      </c>
      <c r="N4" s="218" t="s">
        <v>13</v>
      </c>
      <c r="O4" s="24" t="s">
        <v>14</v>
      </c>
      <c r="P4" s="218" t="s">
        <v>15</v>
      </c>
      <c r="Q4" s="347" t="s">
        <v>16</v>
      </c>
      <c r="R4" s="80" t="s">
        <v>599</v>
      </c>
      <c r="S4" s="321" t="s">
        <v>600</v>
      </c>
    </row>
    <row r="5" ht="17.25" customHeight="1" spans="3:19">
      <c r="C5" s="8"/>
      <c r="D5" s="8"/>
      <c r="E5" s="82" t="s">
        <v>19</v>
      </c>
      <c r="F5" s="21"/>
      <c r="G5" s="82" t="s">
        <v>19</v>
      </c>
      <c r="H5" s="82" t="s">
        <v>19</v>
      </c>
      <c r="I5" s="82" t="s">
        <v>19</v>
      </c>
      <c r="J5" s="307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449" t="s">
        <v>19</v>
      </c>
      <c r="R5" s="82" t="s">
        <v>19</v>
      </c>
      <c r="S5" s="230" t="s">
        <v>19</v>
      </c>
    </row>
    <row r="6" customHeight="1" spans="1:20">
      <c r="A6" s="10"/>
      <c r="B6" s="20" t="s">
        <v>172</v>
      </c>
      <c r="C6" s="21"/>
      <c r="D6" s="21"/>
      <c r="E6" s="146"/>
      <c r="F6" s="146"/>
      <c r="G6" s="220"/>
      <c r="H6" s="220"/>
      <c r="I6" s="146"/>
      <c r="J6" s="146"/>
      <c r="K6" s="146"/>
      <c r="L6" s="146"/>
      <c r="M6" s="146"/>
      <c r="N6" s="146"/>
      <c r="O6" s="146"/>
      <c r="P6" s="146"/>
      <c r="Q6" s="450"/>
      <c r="R6" s="146"/>
      <c r="S6" s="233"/>
      <c r="T6" s="13"/>
    </row>
    <row r="7" customHeight="1" spans="1:20">
      <c r="A7" s="10">
        <v>1</v>
      </c>
      <c r="B7" s="14" t="s">
        <v>173</v>
      </c>
      <c r="C7" s="4" t="s">
        <v>174</v>
      </c>
      <c r="D7" s="16" t="s">
        <v>189</v>
      </c>
      <c r="E7" s="85">
        <v>762373.166666667</v>
      </c>
      <c r="F7" s="85"/>
      <c r="G7" s="220"/>
      <c r="H7" s="220">
        <f>80000+10000</f>
        <v>90000</v>
      </c>
      <c r="I7" s="85"/>
      <c r="J7" s="219">
        <f>E7+F7+G7+H7+I7</f>
        <v>852373.166666667</v>
      </c>
      <c r="K7" s="85"/>
      <c r="L7" s="85">
        <f>0</f>
        <v>0</v>
      </c>
      <c r="M7" s="85">
        <v>0</v>
      </c>
      <c r="N7" s="85">
        <v>1066.32925</v>
      </c>
      <c r="O7" s="85">
        <v>130407.527610667</v>
      </c>
      <c r="P7" s="85">
        <v>60989.8533333333</v>
      </c>
      <c r="Q7" s="339">
        <f>O7+N7+M7+L7+K7+P7</f>
        <v>192463.710194</v>
      </c>
      <c r="R7" s="85">
        <v>659909.456472667</v>
      </c>
      <c r="S7" s="231">
        <f>J7-Q7</f>
        <v>659909.456472667</v>
      </c>
      <c r="T7" s="13"/>
    </row>
    <row r="8" customHeight="1" spans="1:20">
      <c r="A8" s="27">
        <v>1</v>
      </c>
      <c r="B8" s="14" t="s">
        <v>173</v>
      </c>
      <c r="C8" s="4" t="s">
        <v>174</v>
      </c>
      <c r="D8" s="15" t="s">
        <v>175</v>
      </c>
      <c r="E8" s="85">
        <f>'[3]Annual &amp; Monthly'!$H$44</f>
        <v>1352042.66666667</v>
      </c>
      <c r="F8" s="85"/>
      <c r="G8" s="220"/>
      <c r="H8" s="220">
        <f>100000</f>
        <v>100000</v>
      </c>
      <c r="I8" s="85">
        <v>0</v>
      </c>
      <c r="J8" s="219">
        <f>SUM(E8:I8)</f>
        <v>1452042.66666667</v>
      </c>
      <c r="K8" s="85"/>
      <c r="L8" s="85"/>
      <c r="M8" s="85"/>
      <c r="N8" s="85">
        <v>1066.32925</v>
      </c>
      <c r="O8" s="85">
        <f>'March New PAYE '!Z93</f>
        <v>236486.748679467</v>
      </c>
      <c r="P8" s="85">
        <v>114857.6</v>
      </c>
      <c r="Q8" s="339">
        <f>O8+N8+M8+L8+K8+P8</f>
        <v>352410.677929467</v>
      </c>
      <c r="R8" s="85">
        <v>659909.456472667</v>
      </c>
      <c r="S8" s="231">
        <f t="shared" ref="S8" si="0">J8-Q8</f>
        <v>1099631.9887372</v>
      </c>
      <c r="T8" s="614">
        <f>R8-S8</f>
        <v>-439722.532264536</v>
      </c>
    </row>
    <row r="9" ht="35.25" customHeight="1" spans="1:20">
      <c r="A9" s="4"/>
      <c r="B9" s="30" t="s">
        <v>594</v>
      </c>
      <c r="C9" s="31" t="e">
        <f>#REF!+#REF!+#REF!+#REF!+#REF!+#REF!+#REF!+#REF!+#REF!+#REF!+#REF!</f>
        <v>#REF!</v>
      </c>
      <c r="D9" s="32"/>
      <c r="E9" s="227">
        <f>E8-E7</f>
        <v>589669.500000003</v>
      </c>
      <c r="F9" s="227">
        <f t="shared" ref="F9:S9" si="1">F8-F7</f>
        <v>0</v>
      </c>
      <c r="G9" s="227">
        <f t="shared" si="1"/>
        <v>0</v>
      </c>
      <c r="H9" s="227">
        <f t="shared" si="1"/>
        <v>10000</v>
      </c>
      <c r="I9" s="227">
        <f t="shared" si="1"/>
        <v>0</v>
      </c>
      <c r="J9" s="227">
        <f t="shared" si="1"/>
        <v>599669.500000003</v>
      </c>
      <c r="K9" s="227">
        <f t="shared" si="1"/>
        <v>0</v>
      </c>
      <c r="L9" s="227">
        <f t="shared" si="1"/>
        <v>0</v>
      </c>
      <c r="M9" s="227">
        <f t="shared" si="1"/>
        <v>0</v>
      </c>
      <c r="N9" s="227">
        <f t="shared" si="1"/>
        <v>0</v>
      </c>
      <c r="O9" s="227">
        <f t="shared" si="1"/>
        <v>106079.2210688</v>
      </c>
      <c r="P9" s="227">
        <f t="shared" si="1"/>
        <v>53867.7466666667</v>
      </c>
      <c r="Q9" s="227">
        <f t="shared" si="1"/>
        <v>159946.967735466</v>
      </c>
      <c r="R9" s="227">
        <f t="shared" si="1"/>
        <v>0</v>
      </c>
      <c r="S9" s="227">
        <f t="shared" si="1"/>
        <v>439722.532264537</v>
      </c>
      <c r="T9" s="13"/>
    </row>
    <row r="10" ht="38.25" customHeight="1" spans="2:20">
      <c r="B10" s="33"/>
      <c r="D10" s="34"/>
      <c r="E10" s="34"/>
      <c r="F10" s="34"/>
      <c r="G10" s="228"/>
      <c r="H10" s="228"/>
      <c r="I10" s="228"/>
      <c r="J10" s="228"/>
      <c r="K10" s="228"/>
      <c r="L10" s="228"/>
      <c r="M10" s="228"/>
      <c r="N10" s="228"/>
      <c r="O10" s="229"/>
      <c r="P10" s="229"/>
      <c r="Q10" s="229"/>
      <c r="R10" s="229"/>
      <c r="S10" s="229"/>
      <c r="T10" s="35"/>
    </row>
    <row r="11" ht="36.75" customHeight="1" spans="2:19">
      <c r="B11" s="33"/>
      <c r="C11" s="34"/>
      <c r="D11" s="34"/>
      <c r="E11" s="34"/>
      <c r="F11" s="34"/>
      <c r="G11" s="228"/>
      <c r="H11" s="228"/>
      <c r="J11" s="228"/>
      <c r="K11" s="228"/>
      <c r="L11" s="228"/>
      <c r="M11" s="228"/>
      <c r="N11" s="228"/>
      <c r="O11" s="229"/>
      <c r="P11" s="229"/>
      <c r="Q11" s="229"/>
      <c r="R11" s="229"/>
      <c r="S11" s="35"/>
    </row>
    <row r="12" customHeight="1" spans="17:19">
      <c r="Q12" s="35"/>
      <c r="S12" s="335"/>
    </row>
    <row r="13" customHeight="1" spans="19:19">
      <c r="S13" s="35"/>
    </row>
    <row r="14" customHeight="1" spans="10:10">
      <c r="J14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38" orientation="landscape" horizontalDpi="1200" verticalDpi="12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"/>
  <sheetViews>
    <sheetView topLeftCell="A20" workbookViewId="0">
      <selection activeCell="G29" sqref="G29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1.8545454545455" style="1" customWidth="1"/>
    <col min="6" max="6" width="20.2818181818182" style="1" customWidth="1"/>
    <col min="7" max="7" width="18" style="1" customWidth="1"/>
    <col min="8" max="8" width="21.7090909090909" style="1" customWidth="1"/>
    <col min="9" max="9" width="16.4272727272727" style="1" customWidth="1"/>
    <col min="10" max="10" width="14.8545454545455" style="1" customWidth="1"/>
    <col min="11" max="16384" width="9.13636363636364" style="1"/>
  </cols>
  <sheetData>
    <row r="1" ht="27" customHeight="1" spans="1:7">
      <c r="A1" s="75" t="s">
        <v>0</v>
      </c>
      <c r="B1" s="75"/>
      <c r="C1" s="75"/>
      <c r="D1" s="75"/>
      <c r="E1" s="75"/>
      <c r="F1" s="75"/>
      <c r="G1" s="75"/>
    </row>
    <row r="2" ht="20.25" customHeight="1" spans="1:7">
      <c r="A2" s="75" t="s">
        <v>603</v>
      </c>
      <c r="B2" s="75"/>
      <c r="C2" s="75"/>
      <c r="D2" s="75"/>
      <c r="E2" s="75"/>
      <c r="F2" s="75"/>
      <c r="G2" s="75"/>
    </row>
    <row r="3" ht="9.75" customHeight="1" spans="1:7">
      <c r="A3" s="75"/>
      <c r="B3" s="75"/>
      <c r="C3" s="75"/>
      <c r="D3" s="75"/>
      <c r="E3" s="75"/>
      <c r="F3" s="75"/>
      <c r="G3" s="75"/>
    </row>
    <row r="4" ht="13.5" customHeight="1" spans="5:7">
      <c r="E4" s="217"/>
      <c r="F4" s="217"/>
      <c r="G4" s="217"/>
    </row>
    <row r="5" ht="52.5" customHeight="1" spans="1:9">
      <c r="A5" s="4"/>
      <c r="B5" s="5" t="s">
        <v>2</v>
      </c>
      <c r="C5" s="6" t="s">
        <v>3</v>
      </c>
      <c r="D5" s="7" t="s">
        <v>4</v>
      </c>
      <c r="E5" s="218" t="s">
        <v>604</v>
      </c>
      <c r="F5" s="218" t="s">
        <v>605</v>
      </c>
      <c r="G5" s="218" t="s">
        <v>606</v>
      </c>
      <c r="H5" s="218" t="s">
        <v>607</v>
      </c>
      <c r="I5" s="218" t="s">
        <v>594</v>
      </c>
    </row>
    <row r="6" ht="17.25" customHeight="1" spans="3:9">
      <c r="C6" s="8"/>
      <c r="D6" s="8"/>
      <c r="E6" s="82" t="s">
        <v>19</v>
      </c>
      <c r="F6" s="82" t="s">
        <v>19</v>
      </c>
      <c r="G6" s="82" t="s">
        <v>19</v>
      </c>
      <c r="H6" s="82" t="s">
        <v>19</v>
      </c>
      <c r="I6" s="82" t="s">
        <v>19</v>
      </c>
    </row>
    <row r="7" ht="20.1" customHeight="1" spans="1:9">
      <c r="A7" s="9" t="s">
        <v>20</v>
      </c>
      <c r="B7" s="8" t="s">
        <v>21</v>
      </c>
      <c r="C7" s="8"/>
      <c r="D7" s="8"/>
      <c r="E7" s="82"/>
      <c r="F7" s="82"/>
      <c r="G7" s="21"/>
      <c r="H7" s="21"/>
      <c r="I7" s="21"/>
    </row>
    <row r="8" ht="20.1" customHeight="1" spans="1:9">
      <c r="A8" s="10">
        <v>1</v>
      </c>
      <c r="B8" s="11" t="s">
        <v>22</v>
      </c>
      <c r="C8" s="12" t="s">
        <v>23</v>
      </c>
      <c r="D8" s="12" t="s">
        <v>24</v>
      </c>
      <c r="E8" s="85"/>
      <c r="F8" s="85">
        <f>E8/12</f>
        <v>0</v>
      </c>
      <c r="G8" s="85">
        <f>E8*0.025</f>
        <v>0</v>
      </c>
      <c r="H8" s="85"/>
      <c r="I8" s="85">
        <f>G8-H8</f>
        <v>0</v>
      </c>
    </row>
    <row r="9" ht="20.1" customHeight="1" spans="1:9">
      <c r="A9" s="10">
        <v>2</v>
      </c>
      <c r="B9" s="11" t="s">
        <v>25</v>
      </c>
      <c r="C9" s="12" t="s">
        <v>26</v>
      </c>
      <c r="D9" s="10" t="s">
        <v>27</v>
      </c>
      <c r="E9" s="85"/>
      <c r="F9" s="85">
        <f t="shared" ref="F9:F34" si="0">E9/12</f>
        <v>0</v>
      </c>
      <c r="G9" s="85">
        <f t="shared" ref="G9:G34" si="1">E9*0.025</f>
        <v>0</v>
      </c>
      <c r="H9" s="85"/>
      <c r="I9" s="85">
        <f t="shared" ref="I9:I34" si="2">G9-H9</f>
        <v>0</v>
      </c>
    </row>
    <row r="10" ht="20.1" customHeight="1" spans="1:9">
      <c r="A10" s="10">
        <v>3</v>
      </c>
      <c r="B10" s="14" t="s">
        <v>28</v>
      </c>
      <c r="C10" s="4" t="s">
        <v>29</v>
      </c>
      <c r="D10" s="10" t="s">
        <v>27</v>
      </c>
      <c r="E10" s="85"/>
      <c r="F10" s="85">
        <f t="shared" si="0"/>
        <v>0</v>
      </c>
      <c r="G10" s="85">
        <f t="shared" si="1"/>
        <v>0</v>
      </c>
      <c r="H10" s="85"/>
      <c r="I10" s="85">
        <f t="shared" si="2"/>
        <v>0</v>
      </c>
    </row>
    <row r="11" ht="20.1" customHeight="1" spans="1:9">
      <c r="A11" s="10">
        <v>4</v>
      </c>
      <c r="B11" s="11" t="s">
        <v>30</v>
      </c>
      <c r="C11" s="17" t="s">
        <v>31</v>
      </c>
      <c r="D11" s="10" t="s">
        <v>27</v>
      </c>
      <c r="E11" s="85">
        <f>'[8]NASS New Structure'!$J$20</f>
        <v>4940831</v>
      </c>
      <c r="F11" s="85">
        <f t="shared" si="0"/>
        <v>411735.916666667</v>
      </c>
      <c r="G11" s="85">
        <f>F11*0.025</f>
        <v>10293.3979166667</v>
      </c>
      <c r="H11" s="85">
        <v>1066.32925</v>
      </c>
      <c r="I11" s="85">
        <f t="shared" si="2"/>
        <v>9227.06866666667</v>
      </c>
    </row>
    <row r="12" ht="20.1" customHeight="1" spans="1:9">
      <c r="A12" s="10">
        <v>5</v>
      </c>
      <c r="B12" s="14" t="s">
        <v>32</v>
      </c>
      <c r="C12" s="4" t="s">
        <v>608</v>
      </c>
      <c r="D12" s="10" t="s">
        <v>27</v>
      </c>
      <c r="E12" s="85">
        <f>'[8]NASS New Structure'!$J$20</f>
        <v>4940831</v>
      </c>
      <c r="F12" s="85">
        <f t="shared" si="0"/>
        <v>411735.916666667</v>
      </c>
      <c r="G12" s="85">
        <f t="shared" ref="G12:G15" si="3">F12*0.025</f>
        <v>10293.3979166667</v>
      </c>
      <c r="H12" s="85">
        <v>1066.32925</v>
      </c>
      <c r="I12" s="85">
        <f t="shared" si="2"/>
        <v>9227.06866666667</v>
      </c>
    </row>
    <row r="13" ht="20.1" customHeight="1" spans="1:9">
      <c r="A13" s="10">
        <v>6</v>
      </c>
      <c r="B13" s="18" t="s">
        <v>576</v>
      </c>
      <c r="C13" s="10" t="s">
        <v>577</v>
      </c>
      <c r="D13" s="10" t="s">
        <v>27</v>
      </c>
      <c r="E13" s="85"/>
      <c r="F13" s="85">
        <f t="shared" si="0"/>
        <v>0</v>
      </c>
      <c r="G13" s="85">
        <f t="shared" si="3"/>
        <v>0</v>
      </c>
      <c r="H13" s="85"/>
      <c r="I13" s="85">
        <f t="shared" si="2"/>
        <v>0</v>
      </c>
    </row>
    <row r="14" ht="20.1" customHeight="1" spans="1:9">
      <c r="A14" s="10">
        <v>7</v>
      </c>
      <c r="B14" s="11" t="s">
        <v>34</v>
      </c>
      <c r="C14" s="12" t="s">
        <v>35</v>
      </c>
      <c r="D14" s="15" t="s">
        <v>36</v>
      </c>
      <c r="E14" s="85">
        <f>'[8]NASS New Structure'!$J$19</f>
        <v>4022509</v>
      </c>
      <c r="F14" s="85">
        <f t="shared" si="0"/>
        <v>335209.083333333</v>
      </c>
      <c r="G14" s="85">
        <f t="shared" si="3"/>
        <v>8380.22708333333</v>
      </c>
      <c r="H14" s="85">
        <v>837.6875</v>
      </c>
      <c r="I14" s="85">
        <f t="shared" si="2"/>
        <v>7542.53958333333</v>
      </c>
    </row>
    <row r="15" ht="20.1" customHeight="1" spans="1:9">
      <c r="A15" s="10">
        <v>8</v>
      </c>
      <c r="B15" s="11" t="s">
        <v>37</v>
      </c>
      <c r="C15" s="4" t="s">
        <v>38</v>
      </c>
      <c r="D15" s="10" t="s">
        <v>39</v>
      </c>
      <c r="E15" s="85">
        <f>'[8]NASS New Structure'!$H$19</f>
        <v>3772623</v>
      </c>
      <c r="F15" s="85">
        <f t="shared" si="0"/>
        <v>314385.25</v>
      </c>
      <c r="G15" s="85">
        <f t="shared" si="3"/>
        <v>7859.63125</v>
      </c>
      <c r="H15" s="85">
        <v>775.496</v>
      </c>
      <c r="I15" s="85">
        <f t="shared" si="2"/>
        <v>7084.13525</v>
      </c>
    </row>
    <row r="16" ht="20.1" customHeight="1" spans="1:9">
      <c r="A16" s="10">
        <v>9</v>
      </c>
      <c r="B16" s="11" t="s">
        <v>40</v>
      </c>
      <c r="C16" s="4" t="s">
        <v>41</v>
      </c>
      <c r="D16" s="15" t="s">
        <v>42</v>
      </c>
      <c r="E16" s="85"/>
      <c r="F16" s="85">
        <f t="shared" si="0"/>
        <v>0</v>
      </c>
      <c r="G16" s="85">
        <f t="shared" si="1"/>
        <v>0</v>
      </c>
      <c r="H16" s="85"/>
      <c r="I16" s="85">
        <f t="shared" si="2"/>
        <v>0</v>
      </c>
    </row>
    <row r="17" ht="20.1" customHeight="1" spans="1:9">
      <c r="A17" s="10">
        <v>10</v>
      </c>
      <c r="B17" s="14" t="s">
        <v>43</v>
      </c>
      <c r="C17" s="17" t="s">
        <v>133</v>
      </c>
      <c r="D17" s="15" t="s">
        <v>222</v>
      </c>
      <c r="E17" s="85"/>
      <c r="F17" s="85">
        <f t="shared" si="0"/>
        <v>0</v>
      </c>
      <c r="G17" s="85">
        <f t="shared" si="1"/>
        <v>0</v>
      </c>
      <c r="H17" s="85"/>
      <c r="I17" s="85">
        <f t="shared" si="2"/>
        <v>0</v>
      </c>
    </row>
    <row r="18" ht="20.1" customHeight="1" spans="1:9">
      <c r="A18" s="10">
        <v>11</v>
      </c>
      <c r="B18" s="11" t="s">
        <v>45</v>
      </c>
      <c r="C18" s="4" t="s">
        <v>46</v>
      </c>
      <c r="D18" s="10" t="s">
        <v>47</v>
      </c>
      <c r="E18" s="85"/>
      <c r="F18" s="85">
        <f t="shared" si="0"/>
        <v>0</v>
      </c>
      <c r="G18" s="85">
        <f t="shared" si="1"/>
        <v>0</v>
      </c>
      <c r="H18" s="85"/>
      <c r="I18" s="85">
        <f t="shared" si="2"/>
        <v>0</v>
      </c>
    </row>
    <row r="19" ht="20.1" customHeight="1" spans="1:9">
      <c r="A19" s="10">
        <v>12</v>
      </c>
      <c r="B19" s="11" t="s">
        <v>48</v>
      </c>
      <c r="C19" s="4" t="s">
        <v>579</v>
      </c>
      <c r="D19" s="10" t="s">
        <v>192</v>
      </c>
      <c r="E19" s="85"/>
      <c r="F19" s="85">
        <f t="shared" si="0"/>
        <v>0</v>
      </c>
      <c r="G19" s="85">
        <f t="shared" si="1"/>
        <v>0</v>
      </c>
      <c r="H19" s="85"/>
      <c r="I19" s="85">
        <f t="shared" si="2"/>
        <v>0</v>
      </c>
    </row>
    <row r="20" ht="20.1" customHeight="1" spans="1:9">
      <c r="A20" s="10">
        <v>13</v>
      </c>
      <c r="B20" s="11" t="s">
        <v>50</v>
      </c>
      <c r="C20" s="12" t="s">
        <v>51</v>
      </c>
      <c r="D20" s="15" t="s">
        <v>52</v>
      </c>
      <c r="E20" s="85"/>
      <c r="F20" s="85">
        <f t="shared" si="0"/>
        <v>0</v>
      </c>
      <c r="G20" s="85">
        <f t="shared" si="1"/>
        <v>0</v>
      </c>
      <c r="H20" s="85"/>
      <c r="I20" s="85">
        <f t="shared" si="2"/>
        <v>0</v>
      </c>
    </row>
    <row r="21" ht="20.1" customHeight="1" spans="1:9">
      <c r="A21" s="10">
        <v>14</v>
      </c>
      <c r="B21" s="18" t="s">
        <v>53</v>
      </c>
      <c r="C21" s="4" t="s">
        <v>609</v>
      </c>
      <c r="D21" s="15" t="s">
        <v>55</v>
      </c>
      <c r="E21" s="85">
        <f>'[8]NASS New Structure'!$J$17</f>
        <v>2691445</v>
      </c>
      <c r="F21" s="85">
        <f t="shared" si="0"/>
        <v>224287.083333333</v>
      </c>
      <c r="G21" s="85">
        <f>F21*0.025</f>
        <v>5607.17708333333</v>
      </c>
      <c r="H21" s="85">
        <v>618.5315</v>
      </c>
      <c r="I21" s="85">
        <f t="shared" si="2"/>
        <v>4988.64558333333</v>
      </c>
    </row>
    <row r="22" ht="18.75" customHeight="1" spans="1:9">
      <c r="A22" s="10">
        <v>15</v>
      </c>
      <c r="B22" s="11" t="s">
        <v>60</v>
      </c>
      <c r="C22" s="12" t="s">
        <v>61</v>
      </c>
      <c r="D22" s="15" t="s">
        <v>62</v>
      </c>
      <c r="E22" s="85"/>
      <c r="F22" s="85">
        <f t="shared" si="0"/>
        <v>0</v>
      </c>
      <c r="G22" s="85">
        <f t="shared" si="1"/>
        <v>0</v>
      </c>
      <c r="H22" s="85"/>
      <c r="I22" s="85">
        <f t="shared" si="2"/>
        <v>0</v>
      </c>
    </row>
    <row r="23" ht="20.1" customHeight="1" spans="1:9">
      <c r="A23" s="10">
        <v>16</v>
      </c>
      <c r="B23" s="14" t="s">
        <v>63</v>
      </c>
      <c r="C23" s="17" t="s">
        <v>610</v>
      </c>
      <c r="D23" s="10" t="s">
        <v>65</v>
      </c>
      <c r="E23" s="85"/>
      <c r="F23" s="85">
        <f t="shared" si="0"/>
        <v>0</v>
      </c>
      <c r="G23" s="85">
        <f t="shared" si="1"/>
        <v>0</v>
      </c>
      <c r="H23" s="85"/>
      <c r="I23" s="85">
        <f t="shared" si="2"/>
        <v>0</v>
      </c>
    </row>
    <row r="24" ht="21.6" customHeight="1" spans="1:9">
      <c r="A24" s="10">
        <v>17</v>
      </c>
      <c r="B24" s="11" t="s">
        <v>66</v>
      </c>
      <c r="C24" s="17" t="s">
        <v>67</v>
      </c>
      <c r="D24" s="15" t="s">
        <v>65</v>
      </c>
      <c r="E24" s="85"/>
      <c r="F24" s="85">
        <f t="shared" si="0"/>
        <v>0</v>
      </c>
      <c r="G24" s="85">
        <f t="shared" si="1"/>
        <v>0</v>
      </c>
      <c r="H24" s="85"/>
      <c r="I24" s="85">
        <f t="shared" si="2"/>
        <v>0</v>
      </c>
    </row>
    <row r="25" ht="20.1" customHeight="1" spans="1:9">
      <c r="A25" s="10">
        <v>18</v>
      </c>
      <c r="B25" s="14" t="s">
        <v>68</v>
      </c>
      <c r="C25" s="17" t="s">
        <v>69</v>
      </c>
      <c r="D25" s="10" t="s">
        <v>70</v>
      </c>
      <c r="E25" s="85"/>
      <c r="F25" s="85">
        <f t="shared" si="0"/>
        <v>0</v>
      </c>
      <c r="G25" s="85">
        <f t="shared" si="1"/>
        <v>0</v>
      </c>
      <c r="H25" s="85"/>
      <c r="I25" s="85">
        <f t="shared" si="2"/>
        <v>0</v>
      </c>
    </row>
    <row r="26" ht="18.75" customHeight="1" spans="1:9">
      <c r="A26" s="10">
        <v>19</v>
      </c>
      <c r="B26" s="4" t="s">
        <v>73</v>
      </c>
      <c r="C26" s="4" t="s">
        <v>74</v>
      </c>
      <c r="D26" s="10" t="s">
        <v>75</v>
      </c>
      <c r="E26" s="85"/>
      <c r="F26" s="85">
        <f t="shared" si="0"/>
        <v>0</v>
      </c>
      <c r="G26" s="85">
        <f t="shared" si="1"/>
        <v>0</v>
      </c>
      <c r="H26" s="85"/>
      <c r="I26" s="85">
        <f t="shared" si="2"/>
        <v>0</v>
      </c>
    </row>
    <row r="27" ht="18.75" customHeight="1" spans="1:9">
      <c r="A27" s="10">
        <v>20</v>
      </c>
      <c r="B27" s="18" t="s">
        <v>76</v>
      </c>
      <c r="C27" s="12" t="s">
        <v>74</v>
      </c>
      <c r="D27" s="15" t="s">
        <v>75</v>
      </c>
      <c r="E27" s="85"/>
      <c r="F27" s="85">
        <f t="shared" si="0"/>
        <v>0</v>
      </c>
      <c r="G27" s="85">
        <f t="shared" si="1"/>
        <v>0</v>
      </c>
      <c r="H27" s="85"/>
      <c r="I27" s="85">
        <f t="shared" si="2"/>
        <v>0</v>
      </c>
    </row>
    <row r="28" ht="20.1" customHeight="1" spans="1:9">
      <c r="A28" s="10">
        <v>21</v>
      </c>
      <c r="B28" s="11" t="s">
        <v>77</v>
      </c>
      <c r="C28" s="17" t="s">
        <v>64</v>
      </c>
      <c r="D28" s="10" t="s">
        <v>75</v>
      </c>
      <c r="E28" s="85"/>
      <c r="F28" s="85">
        <f t="shared" si="0"/>
        <v>0</v>
      </c>
      <c r="G28" s="85">
        <f t="shared" si="1"/>
        <v>0</v>
      </c>
      <c r="H28" s="85"/>
      <c r="I28" s="85">
        <f t="shared" si="2"/>
        <v>0</v>
      </c>
    </row>
    <row r="29" ht="18.75" customHeight="1" spans="1:9">
      <c r="A29" s="10">
        <v>22</v>
      </c>
      <c r="B29" s="18" t="s">
        <v>78</v>
      </c>
      <c r="C29" s="12" t="s">
        <v>79</v>
      </c>
      <c r="D29" s="15" t="s">
        <v>80</v>
      </c>
      <c r="E29" s="85"/>
      <c r="F29" s="85">
        <f t="shared" si="0"/>
        <v>0</v>
      </c>
      <c r="G29" s="85">
        <f t="shared" si="1"/>
        <v>0</v>
      </c>
      <c r="H29" s="85"/>
      <c r="I29" s="85">
        <f t="shared" si="2"/>
        <v>0</v>
      </c>
    </row>
    <row r="30" ht="18.75" customHeight="1" spans="1:9">
      <c r="A30" s="10">
        <v>23</v>
      </c>
      <c r="B30" s="18" t="s">
        <v>81</v>
      </c>
      <c r="C30" s="4" t="s">
        <v>82</v>
      </c>
      <c r="D30" s="10" t="s">
        <v>83</v>
      </c>
      <c r="E30" s="85"/>
      <c r="F30" s="85">
        <f t="shared" si="0"/>
        <v>0</v>
      </c>
      <c r="G30" s="85">
        <f t="shared" si="1"/>
        <v>0</v>
      </c>
      <c r="H30" s="85"/>
      <c r="I30" s="85">
        <f t="shared" si="2"/>
        <v>0</v>
      </c>
    </row>
    <row r="31" ht="18.75" customHeight="1" spans="1:9">
      <c r="A31" s="10">
        <v>24</v>
      </c>
      <c r="B31" s="18" t="s">
        <v>84</v>
      </c>
      <c r="C31" s="4" t="s">
        <v>82</v>
      </c>
      <c r="D31" s="10" t="s">
        <v>83</v>
      </c>
      <c r="E31" s="85"/>
      <c r="F31" s="85">
        <f t="shared" si="0"/>
        <v>0</v>
      </c>
      <c r="G31" s="85">
        <f t="shared" si="1"/>
        <v>0</v>
      </c>
      <c r="H31" s="85"/>
      <c r="I31" s="85">
        <f t="shared" si="2"/>
        <v>0</v>
      </c>
    </row>
    <row r="32" ht="18.75" customHeight="1" spans="1:9">
      <c r="A32" s="10">
        <v>25</v>
      </c>
      <c r="B32" s="18" t="s">
        <v>85</v>
      </c>
      <c r="C32" s="17" t="s">
        <v>86</v>
      </c>
      <c r="D32" s="15" t="s">
        <v>75</v>
      </c>
      <c r="E32" s="85">
        <f>'[9]NASS New Structure'!$J$14</f>
        <v>1753681</v>
      </c>
      <c r="F32" s="85">
        <f t="shared" si="0"/>
        <v>146140.083333333</v>
      </c>
      <c r="G32" s="85">
        <f>F32*0.025</f>
        <v>3653.50208333333</v>
      </c>
      <c r="H32" s="85"/>
      <c r="I32" s="85">
        <f t="shared" si="2"/>
        <v>3653.50208333333</v>
      </c>
    </row>
    <row r="33" ht="18.75" customHeight="1" spans="1:9">
      <c r="A33" s="10">
        <v>26</v>
      </c>
      <c r="B33" s="18" t="s">
        <v>88</v>
      </c>
      <c r="C33" s="4" t="s">
        <v>89</v>
      </c>
      <c r="D33" s="10" t="s">
        <v>171</v>
      </c>
      <c r="E33" s="85"/>
      <c r="F33" s="85">
        <f t="shared" si="0"/>
        <v>0</v>
      </c>
      <c r="G33" s="85">
        <f t="shared" si="1"/>
        <v>0</v>
      </c>
      <c r="H33" s="85"/>
      <c r="I33" s="85">
        <f t="shared" si="2"/>
        <v>0</v>
      </c>
    </row>
    <row r="34" ht="18.75" customHeight="1" spans="1:9">
      <c r="A34" s="10">
        <v>27</v>
      </c>
      <c r="B34" s="18" t="s">
        <v>90</v>
      </c>
      <c r="C34" s="12" t="s">
        <v>91</v>
      </c>
      <c r="D34" s="15" t="s">
        <v>92</v>
      </c>
      <c r="E34" s="85"/>
      <c r="F34" s="85">
        <f t="shared" si="0"/>
        <v>0</v>
      </c>
      <c r="G34" s="85">
        <f t="shared" si="1"/>
        <v>0</v>
      </c>
      <c r="H34" s="85"/>
      <c r="I34" s="85">
        <f t="shared" si="2"/>
        <v>0</v>
      </c>
    </row>
    <row r="35" ht="26.25" customHeight="1" spans="1:9">
      <c r="A35" s="10"/>
      <c r="B35" s="20" t="s">
        <v>96</v>
      </c>
      <c r="C35" s="21">
        <v>27</v>
      </c>
      <c r="D35" s="15"/>
      <c r="E35" s="221">
        <f>SUM(E8:E34)</f>
        <v>22121920</v>
      </c>
      <c r="F35" s="221">
        <f>SUM(F8:F34)</f>
        <v>1843493.33333333</v>
      </c>
      <c r="G35" s="221">
        <f t="shared" ref="G35:I35" si="4">SUM(G8:G34)</f>
        <v>46087.3333333333</v>
      </c>
      <c r="H35" s="221">
        <f t="shared" si="4"/>
        <v>4364.3735</v>
      </c>
      <c r="I35" s="221">
        <f t="shared" si="4"/>
        <v>41722.9598333333</v>
      </c>
    </row>
    <row r="36" ht="18.75" customHeight="1" spans="1:9">
      <c r="A36" s="10"/>
      <c r="B36" s="22"/>
      <c r="C36" s="4"/>
      <c r="D36" s="15"/>
      <c r="E36" s="221"/>
      <c r="F36" s="221"/>
      <c r="G36" s="221"/>
      <c r="H36" s="221"/>
      <c r="I36" s="221"/>
    </row>
    <row r="37" ht="18.75" customHeight="1" spans="1:9">
      <c r="A37" s="10"/>
      <c r="B37" s="20" t="s">
        <v>97</v>
      </c>
      <c r="C37" s="4"/>
      <c r="D37" s="15"/>
      <c r="E37" s="85"/>
      <c r="F37" s="85"/>
      <c r="G37" s="85"/>
      <c r="H37" s="85"/>
      <c r="I37" s="85"/>
    </row>
    <row r="38" ht="18.75" customHeight="1" spans="1:9">
      <c r="A38" s="10">
        <v>1</v>
      </c>
      <c r="B38" s="18" t="s">
        <v>98</v>
      </c>
      <c r="C38" s="4" t="s">
        <v>99</v>
      </c>
      <c r="D38" s="10" t="s">
        <v>100</v>
      </c>
      <c r="E38" s="85"/>
      <c r="F38" s="85"/>
      <c r="G38" s="85">
        <f>E38*0.025</f>
        <v>0</v>
      </c>
      <c r="H38" s="85">
        <f t="shared" ref="H38:I38" si="5">F38*0.025</f>
        <v>0</v>
      </c>
      <c r="I38" s="85">
        <f t="shared" si="5"/>
        <v>0</v>
      </c>
    </row>
    <row r="39" ht="18.75" customHeight="1" spans="1:9">
      <c r="A39" s="10">
        <v>2</v>
      </c>
      <c r="B39" s="18" t="s">
        <v>101</v>
      </c>
      <c r="C39" s="4" t="s">
        <v>611</v>
      </c>
      <c r="D39" s="10" t="s">
        <v>70</v>
      </c>
      <c r="E39" s="85"/>
      <c r="F39" s="85"/>
      <c r="G39" s="85">
        <f t="shared" ref="G39:I40" si="6">E39*0.025</f>
        <v>0</v>
      </c>
      <c r="H39" s="85">
        <f t="shared" si="6"/>
        <v>0</v>
      </c>
      <c r="I39" s="85">
        <f t="shared" si="6"/>
        <v>0</v>
      </c>
    </row>
    <row r="40" ht="18.75" customHeight="1" spans="1:9">
      <c r="A40" s="10">
        <v>3</v>
      </c>
      <c r="B40" s="11" t="s">
        <v>103</v>
      </c>
      <c r="C40" s="12" t="s">
        <v>612</v>
      </c>
      <c r="D40" s="15" t="s">
        <v>104</v>
      </c>
      <c r="E40" s="85"/>
      <c r="F40" s="85"/>
      <c r="G40" s="85">
        <f t="shared" si="6"/>
        <v>0</v>
      </c>
      <c r="H40" s="85">
        <f t="shared" si="6"/>
        <v>0</v>
      </c>
      <c r="I40" s="85">
        <f t="shared" si="6"/>
        <v>0</v>
      </c>
    </row>
    <row r="41" ht="19.5" customHeight="1" spans="1:9">
      <c r="A41" s="10"/>
      <c r="B41" s="14"/>
      <c r="C41" s="21">
        <v>3</v>
      </c>
      <c r="D41" s="10"/>
      <c r="E41" s="221">
        <f>SUM(E38:E40)</f>
        <v>0</v>
      </c>
      <c r="F41" s="221"/>
      <c r="G41" s="221">
        <f t="shared" ref="G41:I41" si="7">SUM(G38:G40)</f>
        <v>0</v>
      </c>
      <c r="H41" s="221">
        <f t="shared" si="7"/>
        <v>0</v>
      </c>
      <c r="I41" s="221">
        <f t="shared" si="7"/>
        <v>0</v>
      </c>
    </row>
    <row r="42" ht="20.1" customHeight="1" spans="1:9">
      <c r="A42" s="10"/>
      <c r="B42" s="14"/>
      <c r="C42" s="4"/>
      <c r="D42" s="10"/>
      <c r="E42" s="221"/>
      <c r="F42" s="221"/>
      <c r="G42" s="221"/>
      <c r="H42" s="221"/>
      <c r="I42" s="221"/>
    </row>
    <row r="43" ht="20.1" customHeight="1" spans="1:9">
      <c r="A43" s="10"/>
      <c r="B43" s="23" t="s">
        <v>107</v>
      </c>
      <c r="C43" s="5"/>
      <c r="D43" s="24"/>
      <c r="E43" s="221"/>
      <c r="F43" s="221"/>
      <c r="G43" s="221"/>
      <c r="H43" s="221"/>
      <c r="I43" s="221"/>
    </row>
    <row r="44" ht="20.1" customHeight="1" spans="1:9">
      <c r="A44" s="10">
        <v>1</v>
      </c>
      <c r="B44" s="11" t="s">
        <v>501</v>
      </c>
      <c r="C44" s="4" t="s">
        <v>502</v>
      </c>
      <c r="D44" s="10" t="s">
        <v>100</v>
      </c>
      <c r="E44" s="85"/>
      <c r="F44" s="85"/>
      <c r="G44" s="85">
        <f>E44*0.025</f>
        <v>0</v>
      </c>
      <c r="H44" s="85"/>
      <c r="I44" s="85">
        <f t="shared" ref="I44" si="8">G44*0.025</f>
        <v>0</v>
      </c>
    </row>
    <row r="45" ht="20.1" customHeight="1" spans="1:9">
      <c r="A45" s="10">
        <v>2</v>
      </c>
      <c r="B45" s="11" t="s">
        <v>491</v>
      </c>
      <c r="C45" s="4" t="s">
        <v>44</v>
      </c>
      <c r="D45" s="10" t="s">
        <v>36</v>
      </c>
      <c r="E45" s="85"/>
      <c r="F45" s="85"/>
      <c r="G45" s="85">
        <f t="shared" ref="G45:I54" si="9">E45*0.025</f>
        <v>0</v>
      </c>
      <c r="H45" s="85"/>
      <c r="I45" s="85">
        <f t="shared" si="9"/>
        <v>0</v>
      </c>
    </row>
    <row r="46" ht="20.1" customHeight="1" spans="1:9">
      <c r="A46" s="10">
        <v>3</v>
      </c>
      <c r="B46" s="11" t="s">
        <v>108</v>
      </c>
      <c r="C46" s="4" t="s">
        <v>109</v>
      </c>
      <c r="D46" s="10" t="s">
        <v>110</v>
      </c>
      <c r="E46" s="85"/>
      <c r="F46" s="85"/>
      <c r="G46" s="85">
        <f t="shared" si="9"/>
        <v>0</v>
      </c>
      <c r="H46" s="85"/>
      <c r="I46" s="85">
        <f t="shared" si="9"/>
        <v>0</v>
      </c>
    </row>
    <row r="47" ht="20.1" customHeight="1" spans="1:9">
      <c r="A47" s="10">
        <v>4</v>
      </c>
      <c r="B47" s="11" t="s">
        <v>111</v>
      </c>
      <c r="C47" s="4" t="s">
        <v>112</v>
      </c>
      <c r="D47" s="10" t="s">
        <v>36</v>
      </c>
      <c r="E47" s="85"/>
      <c r="F47" s="85"/>
      <c r="G47" s="85">
        <f t="shared" si="9"/>
        <v>0</v>
      </c>
      <c r="H47" s="85"/>
      <c r="I47" s="85">
        <f t="shared" si="9"/>
        <v>0</v>
      </c>
    </row>
    <row r="48" ht="20.1" customHeight="1" spans="1:9">
      <c r="A48" s="10">
        <v>5</v>
      </c>
      <c r="B48" s="11" t="s">
        <v>113</v>
      </c>
      <c r="C48" s="4" t="s">
        <v>112</v>
      </c>
      <c r="D48" s="10" t="s">
        <v>36</v>
      </c>
      <c r="E48" s="85">
        <f>'[8]NASS New Structure'!$J$19</f>
        <v>4022509</v>
      </c>
      <c r="F48" s="85">
        <f>E48/12</f>
        <v>335209.083333333</v>
      </c>
      <c r="G48" s="85">
        <f>F48*0.025</f>
        <v>8380.22708333333</v>
      </c>
      <c r="H48" s="85">
        <v>837.6875</v>
      </c>
      <c r="I48" s="85">
        <f>G48-H48</f>
        <v>7542.53958333333</v>
      </c>
    </row>
    <row r="49" ht="20.1" customHeight="1" spans="1:9">
      <c r="A49" s="10">
        <v>6</v>
      </c>
      <c r="B49" s="11" t="s">
        <v>114</v>
      </c>
      <c r="C49" s="4" t="s">
        <v>112</v>
      </c>
      <c r="D49" s="10" t="s">
        <v>39</v>
      </c>
      <c r="E49" s="85"/>
      <c r="F49" s="85"/>
      <c r="G49" s="85">
        <f t="shared" si="9"/>
        <v>0</v>
      </c>
      <c r="H49" s="85"/>
      <c r="I49" s="85">
        <f t="shared" si="9"/>
        <v>0</v>
      </c>
    </row>
    <row r="50" ht="20.1" customHeight="1" spans="1:9">
      <c r="A50" s="10">
        <v>7</v>
      </c>
      <c r="B50" s="14" t="s">
        <v>115</v>
      </c>
      <c r="C50" s="4" t="s">
        <v>133</v>
      </c>
      <c r="D50" s="16" t="s">
        <v>222</v>
      </c>
      <c r="E50" s="85"/>
      <c r="F50" s="85"/>
      <c r="G50" s="85">
        <f t="shared" si="9"/>
        <v>0</v>
      </c>
      <c r="H50" s="85">
        <v>0</v>
      </c>
      <c r="I50" s="85">
        <f t="shared" si="9"/>
        <v>0</v>
      </c>
    </row>
    <row r="51" ht="20.1" customHeight="1" spans="1:9">
      <c r="A51" s="10">
        <v>8</v>
      </c>
      <c r="B51" s="11" t="s">
        <v>116</v>
      </c>
      <c r="C51" s="4" t="s">
        <v>117</v>
      </c>
      <c r="D51" s="10" t="s">
        <v>104</v>
      </c>
      <c r="E51" s="85"/>
      <c r="F51" s="85"/>
      <c r="G51" s="85">
        <f t="shared" si="9"/>
        <v>0</v>
      </c>
      <c r="H51" s="85"/>
      <c r="I51" s="85">
        <f t="shared" si="9"/>
        <v>0</v>
      </c>
    </row>
    <row r="52" ht="20.1" customHeight="1" spans="1:9">
      <c r="A52" s="10">
        <v>9</v>
      </c>
      <c r="B52" s="11" t="s">
        <v>118</v>
      </c>
      <c r="C52" s="4" t="s">
        <v>117</v>
      </c>
      <c r="D52" s="10" t="s">
        <v>80</v>
      </c>
      <c r="E52" s="85"/>
      <c r="F52" s="85"/>
      <c r="G52" s="85">
        <f t="shared" si="9"/>
        <v>0</v>
      </c>
      <c r="H52" s="85"/>
      <c r="I52" s="85">
        <f t="shared" si="9"/>
        <v>0</v>
      </c>
    </row>
    <row r="53" ht="20.1" customHeight="1" spans="1:9">
      <c r="A53" s="10">
        <v>10</v>
      </c>
      <c r="B53" s="11" t="s">
        <v>580</v>
      </c>
      <c r="C53" s="4" t="s">
        <v>117</v>
      </c>
      <c r="D53" s="10" t="s">
        <v>80</v>
      </c>
      <c r="E53" s="85"/>
      <c r="F53" s="85"/>
      <c r="G53" s="85">
        <f t="shared" si="9"/>
        <v>0</v>
      </c>
      <c r="H53" s="85"/>
      <c r="I53" s="85">
        <f t="shared" si="9"/>
        <v>0</v>
      </c>
    </row>
    <row r="54" ht="20.1" customHeight="1" spans="1:9">
      <c r="A54" s="10">
        <v>11</v>
      </c>
      <c r="B54" s="11" t="s">
        <v>119</v>
      </c>
      <c r="C54" s="4" t="s">
        <v>117</v>
      </c>
      <c r="D54" s="10" t="s">
        <v>80</v>
      </c>
      <c r="E54" s="85"/>
      <c r="F54" s="85"/>
      <c r="G54" s="85">
        <f t="shared" si="9"/>
        <v>0</v>
      </c>
      <c r="H54" s="85"/>
      <c r="I54" s="85">
        <f t="shared" si="9"/>
        <v>0</v>
      </c>
    </row>
    <row r="55" ht="25.5" customHeight="1" spans="1:9">
      <c r="A55" s="10"/>
      <c r="B55" s="20" t="s">
        <v>96</v>
      </c>
      <c r="C55" s="21">
        <v>11</v>
      </c>
      <c r="D55" s="21"/>
      <c r="E55" s="93">
        <f>SUM(E44:E54)</f>
        <v>4022509</v>
      </c>
      <c r="F55" s="93">
        <f>SUM(F44:F54)</f>
        <v>335209.083333333</v>
      </c>
      <c r="G55" s="93">
        <f t="shared" ref="G55:I55" si="10">SUM(G44:G54)</f>
        <v>8380.22708333333</v>
      </c>
      <c r="H55" s="93">
        <f t="shared" si="10"/>
        <v>837.6875</v>
      </c>
      <c r="I55" s="93">
        <f t="shared" si="10"/>
        <v>7542.53958333333</v>
      </c>
    </row>
    <row r="56" ht="20.1" customHeight="1" spans="1:9">
      <c r="A56" s="10"/>
      <c r="B56" s="22"/>
      <c r="C56" s="21"/>
      <c r="D56" s="21"/>
      <c r="E56" s="146"/>
      <c r="F56" s="146"/>
      <c r="G56" s="146"/>
      <c r="H56" s="146"/>
      <c r="I56" s="146"/>
    </row>
    <row r="57" ht="20.1" customHeight="1" spans="1:9">
      <c r="A57" s="10"/>
      <c r="B57" s="20" t="s">
        <v>120</v>
      </c>
      <c r="C57" s="21"/>
      <c r="D57" s="21"/>
      <c r="E57" s="146"/>
      <c r="F57" s="146"/>
      <c r="G57" s="146"/>
      <c r="H57" s="146"/>
      <c r="I57" s="146"/>
    </row>
    <row r="58" ht="20.1" customHeight="1" spans="1:9">
      <c r="A58" s="10">
        <v>1</v>
      </c>
      <c r="B58" s="11" t="s">
        <v>503</v>
      </c>
      <c r="C58" s="12" t="s">
        <v>122</v>
      </c>
      <c r="D58" s="15" t="s">
        <v>100</v>
      </c>
      <c r="E58" s="85"/>
      <c r="F58" s="85"/>
      <c r="G58" s="85">
        <f>E58*0.025</f>
        <v>0</v>
      </c>
      <c r="H58" s="85">
        <f>F58*0.025</f>
        <v>0</v>
      </c>
      <c r="I58" s="85">
        <f t="shared" ref="H58:I59" si="11">G58*0.025</f>
        <v>0</v>
      </c>
    </row>
    <row r="59" ht="20.1" customHeight="1" spans="1:9">
      <c r="A59" s="10">
        <v>2</v>
      </c>
      <c r="B59" s="11" t="s">
        <v>123</v>
      </c>
      <c r="C59" s="12" t="s">
        <v>124</v>
      </c>
      <c r="D59" s="15" t="s">
        <v>125</v>
      </c>
      <c r="E59" s="85"/>
      <c r="F59" s="85"/>
      <c r="G59" s="85">
        <f>E59*0.025</f>
        <v>0</v>
      </c>
      <c r="H59" s="85">
        <f t="shared" si="11"/>
        <v>0</v>
      </c>
      <c r="I59" s="85">
        <f t="shared" si="11"/>
        <v>0</v>
      </c>
    </row>
    <row r="60" ht="20.1" customHeight="1" spans="1:9">
      <c r="A60" s="10"/>
      <c r="B60" s="20" t="s">
        <v>96</v>
      </c>
      <c r="C60" s="21">
        <v>2</v>
      </c>
      <c r="D60" s="21"/>
      <c r="E60" s="93">
        <f>SUM(E58:E59)</f>
        <v>0</v>
      </c>
      <c r="F60" s="93"/>
      <c r="G60" s="93">
        <f t="shared" ref="G60:I60" si="12">SUM(G58:G59)</f>
        <v>0</v>
      </c>
      <c r="H60" s="93">
        <f t="shared" si="12"/>
        <v>0</v>
      </c>
      <c r="I60" s="93">
        <f t="shared" si="12"/>
        <v>0</v>
      </c>
    </row>
    <row r="61" ht="20.1" customHeight="1" spans="1:9">
      <c r="A61" s="10"/>
      <c r="B61" s="20"/>
      <c r="C61" s="21"/>
      <c r="D61" s="21"/>
      <c r="E61" s="146"/>
      <c r="F61" s="146"/>
      <c r="G61" s="146"/>
      <c r="H61" s="146"/>
      <c r="I61" s="146"/>
    </row>
    <row r="62" ht="20.1" customHeight="1" spans="1:9">
      <c r="A62" s="10"/>
      <c r="B62" s="20" t="s">
        <v>126</v>
      </c>
      <c r="C62" s="21"/>
      <c r="D62" s="21"/>
      <c r="E62" s="146"/>
      <c r="F62" s="146"/>
      <c r="G62" s="146"/>
      <c r="H62" s="146"/>
      <c r="I62" s="146"/>
    </row>
    <row r="63" ht="20.1" customHeight="1" spans="1:9">
      <c r="A63" s="10">
        <v>1</v>
      </c>
      <c r="B63" s="11" t="s">
        <v>127</v>
      </c>
      <c r="C63" s="17" t="s">
        <v>128</v>
      </c>
      <c r="D63" s="10" t="s">
        <v>100</v>
      </c>
      <c r="E63" s="85"/>
      <c r="F63" s="85"/>
      <c r="G63" s="85">
        <f>E63*0.025</f>
        <v>0</v>
      </c>
      <c r="H63" s="85">
        <f t="shared" ref="H63:I63" si="13">F63*0.025</f>
        <v>0</v>
      </c>
      <c r="I63" s="85">
        <f t="shared" si="13"/>
        <v>0</v>
      </c>
    </row>
    <row r="64" ht="20.1" customHeight="1" spans="1:9">
      <c r="A64" s="10">
        <v>2</v>
      </c>
      <c r="B64" s="351" t="s">
        <v>129</v>
      </c>
      <c r="C64" s="17" t="s">
        <v>130</v>
      </c>
      <c r="D64" s="15" t="s">
        <v>131</v>
      </c>
      <c r="E64" s="85"/>
      <c r="F64" s="85"/>
      <c r="G64" s="85">
        <f t="shared" ref="G64:I72" si="14">E64*0.025</f>
        <v>0</v>
      </c>
      <c r="H64" s="85">
        <f t="shared" si="14"/>
        <v>0</v>
      </c>
      <c r="I64" s="85">
        <f t="shared" si="14"/>
        <v>0</v>
      </c>
    </row>
    <row r="65" ht="20.1" customHeight="1" spans="1:9">
      <c r="A65" s="10">
        <v>3</v>
      </c>
      <c r="B65" s="11" t="s">
        <v>132</v>
      </c>
      <c r="C65" s="4" t="s">
        <v>133</v>
      </c>
      <c r="D65" s="10" t="s">
        <v>47</v>
      </c>
      <c r="E65" s="85"/>
      <c r="F65" s="85"/>
      <c r="G65" s="85">
        <f t="shared" si="14"/>
        <v>0</v>
      </c>
      <c r="H65" s="85">
        <f t="shared" si="14"/>
        <v>0</v>
      </c>
      <c r="I65" s="85">
        <f t="shared" si="14"/>
        <v>0</v>
      </c>
    </row>
    <row r="66" ht="20.1" customHeight="1" spans="1:9">
      <c r="A66" s="10">
        <v>4</v>
      </c>
      <c r="B66" s="18" t="s">
        <v>486</v>
      </c>
      <c r="C66" s="17" t="s">
        <v>165</v>
      </c>
      <c r="D66" s="15" t="s">
        <v>52</v>
      </c>
      <c r="E66" s="85"/>
      <c r="F66" s="85"/>
      <c r="G66" s="85">
        <f t="shared" si="14"/>
        <v>0</v>
      </c>
      <c r="H66" s="85">
        <f t="shared" si="14"/>
        <v>0</v>
      </c>
      <c r="I66" s="85">
        <f t="shared" si="14"/>
        <v>0</v>
      </c>
    </row>
    <row r="67" ht="20.1" customHeight="1" spans="1:9">
      <c r="A67" s="10">
        <v>5</v>
      </c>
      <c r="B67" s="14" t="s">
        <v>519</v>
      </c>
      <c r="C67" s="17" t="s">
        <v>133</v>
      </c>
      <c r="D67" s="15" t="s">
        <v>42</v>
      </c>
      <c r="E67" s="85"/>
      <c r="F67" s="85"/>
      <c r="G67" s="85">
        <f t="shared" si="14"/>
        <v>0</v>
      </c>
      <c r="H67" s="85">
        <f t="shared" si="14"/>
        <v>0</v>
      </c>
      <c r="I67" s="85">
        <f t="shared" si="14"/>
        <v>0</v>
      </c>
    </row>
    <row r="68" ht="20.1" customHeight="1" spans="1:9">
      <c r="A68" s="10">
        <v>7</v>
      </c>
      <c r="B68" s="11" t="s">
        <v>134</v>
      </c>
      <c r="C68" s="4" t="s">
        <v>117</v>
      </c>
      <c r="D68" s="10" t="s">
        <v>135</v>
      </c>
      <c r="E68" s="85"/>
      <c r="F68" s="85"/>
      <c r="G68" s="85">
        <f t="shared" si="14"/>
        <v>0</v>
      </c>
      <c r="H68" s="85">
        <f t="shared" si="14"/>
        <v>0</v>
      </c>
      <c r="I68" s="85">
        <f t="shared" si="14"/>
        <v>0</v>
      </c>
    </row>
    <row r="69" ht="20.1" customHeight="1" spans="1:9">
      <c r="A69" s="10">
        <v>8</v>
      </c>
      <c r="B69" s="11" t="s">
        <v>136</v>
      </c>
      <c r="C69" s="17" t="s">
        <v>67</v>
      </c>
      <c r="D69" s="10" t="s">
        <v>135</v>
      </c>
      <c r="E69" s="85"/>
      <c r="F69" s="85"/>
      <c r="G69" s="85">
        <f t="shared" si="14"/>
        <v>0</v>
      </c>
      <c r="H69" s="85">
        <f t="shared" si="14"/>
        <v>0</v>
      </c>
      <c r="I69" s="85">
        <f t="shared" si="14"/>
        <v>0</v>
      </c>
    </row>
    <row r="70" ht="20.1" customHeight="1" spans="1:9">
      <c r="A70" s="10">
        <v>9</v>
      </c>
      <c r="B70" s="11" t="s">
        <v>137</v>
      </c>
      <c r="C70" s="17" t="s">
        <v>67</v>
      </c>
      <c r="D70" s="10" t="s">
        <v>135</v>
      </c>
      <c r="E70" s="85"/>
      <c r="F70" s="85"/>
      <c r="G70" s="85">
        <f t="shared" si="14"/>
        <v>0</v>
      </c>
      <c r="H70" s="85">
        <f t="shared" si="14"/>
        <v>0</v>
      </c>
      <c r="I70" s="85">
        <f t="shared" si="14"/>
        <v>0</v>
      </c>
    </row>
    <row r="71" ht="20.1" customHeight="1" spans="1:9">
      <c r="A71" s="10">
        <v>10</v>
      </c>
      <c r="B71" s="11" t="s">
        <v>138</v>
      </c>
      <c r="C71" s="4" t="s">
        <v>139</v>
      </c>
      <c r="D71" s="10" t="s">
        <v>62</v>
      </c>
      <c r="E71" s="457"/>
      <c r="F71" s="457"/>
      <c r="G71" s="85">
        <f t="shared" si="14"/>
        <v>0</v>
      </c>
      <c r="H71" s="85">
        <f t="shared" si="14"/>
        <v>0</v>
      </c>
      <c r="I71" s="85">
        <f t="shared" si="14"/>
        <v>0</v>
      </c>
    </row>
    <row r="72" ht="21.6" customHeight="1" spans="1:9">
      <c r="A72" s="10">
        <v>11</v>
      </c>
      <c r="B72" s="11" t="s">
        <v>140</v>
      </c>
      <c r="C72" s="4" t="s">
        <v>117</v>
      </c>
      <c r="D72" s="10" t="s">
        <v>104</v>
      </c>
      <c r="E72" s="220"/>
      <c r="F72" s="220"/>
      <c r="G72" s="85">
        <f t="shared" si="14"/>
        <v>0</v>
      </c>
      <c r="H72" s="85">
        <f t="shared" si="14"/>
        <v>0</v>
      </c>
      <c r="I72" s="85">
        <f t="shared" si="14"/>
        <v>0</v>
      </c>
    </row>
    <row r="73" ht="27" customHeight="1" spans="1:9">
      <c r="A73" s="10"/>
      <c r="B73" s="20" t="s">
        <v>96</v>
      </c>
      <c r="C73" s="21">
        <v>12</v>
      </c>
      <c r="D73" s="21"/>
      <c r="E73" s="93">
        <f>SUM(E63:E72)</f>
        <v>0</v>
      </c>
      <c r="F73" s="93"/>
      <c r="G73" s="93">
        <f t="shared" ref="G73:I73" si="15">SUM(G63:G72)</f>
        <v>0</v>
      </c>
      <c r="H73" s="93">
        <f t="shared" si="15"/>
        <v>0</v>
      </c>
      <c r="I73" s="93">
        <f t="shared" si="15"/>
        <v>0</v>
      </c>
    </row>
    <row r="74" ht="20.1" customHeight="1" spans="1:9">
      <c r="A74" s="10"/>
      <c r="B74" s="22"/>
      <c r="C74" s="21"/>
      <c r="D74" s="21"/>
      <c r="E74" s="146"/>
      <c r="F74" s="146"/>
      <c r="G74" s="146"/>
      <c r="H74" s="146"/>
      <c r="I74" s="146"/>
    </row>
    <row r="75" ht="20.1" customHeight="1" spans="1:9">
      <c r="A75" s="10"/>
      <c r="B75" s="20" t="s">
        <v>141</v>
      </c>
      <c r="C75" s="21"/>
      <c r="D75" s="21"/>
      <c r="E75" s="146"/>
      <c r="F75" s="146"/>
      <c r="G75" s="146"/>
      <c r="H75" s="146"/>
      <c r="I75" s="146"/>
    </row>
    <row r="76" ht="20.1" customHeight="1" spans="1:9">
      <c r="A76" s="10">
        <v>1</v>
      </c>
      <c r="B76" s="11" t="s">
        <v>142</v>
      </c>
      <c r="C76" s="4" t="s">
        <v>143</v>
      </c>
      <c r="D76" s="10" t="s">
        <v>100</v>
      </c>
      <c r="E76" s="85"/>
      <c r="F76" s="85"/>
      <c r="G76" s="85">
        <f>E76*0.025</f>
        <v>0</v>
      </c>
      <c r="H76" s="85">
        <f t="shared" ref="H76:I76" si="16">F76*0.025</f>
        <v>0</v>
      </c>
      <c r="I76" s="85">
        <f t="shared" si="16"/>
        <v>0</v>
      </c>
    </row>
    <row r="77" ht="20.1" customHeight="1" spans="1:9">
      <c r="A77" s="10">
        <v>2</v>
      </c>
      <c r="B77" s="14" t="s">
        <v>520</v>
      </c>
      <c r="C77" s="4" t="s">
        <v>572</v>
      </c>
      <c r="D77" s="15" t="s">
        <v>573</v>
      </c>
      <c r="E77" s="85"/>
      <c r="F77" s="85"/>
      <c r="G77" s="85">
        <f t="shared" ref="G77:I82" si="17">E77*0.025</f>
        <v>0</v>
      </c>
      <c r="H77" s="85">
        <f t="shared" si="17"/>
        <v>0</v>
      </c>
      <c r="I77" s="85">
        <f t="shared" si="17"/>
        <v>0</v>
      </c>
    </row>
    <row r="78" ht="20.1" customHeight="1" spans="1:9">
      <c r="A78" s="10">
        <v>3</v>
      </c>
      <c r="B78" s="18" t="s">
        <v>521</v>
      </c>
      <c r="C78" s="12" t="s">
        <v>574</v>
      </c>
      <c r="D78" s="10" t="s">
        <v>125</v>
      </c>
      <c r="E78" s="85"/>
      <c r="F78" s="85"/>
      <c r="G78" s="85">
        <f t="shared" si="17"/>
        <v>0</v>
      </c>
      <c r="H78" s="85">
        <f t="shared" si="17"/>
        <v>0</v>
      </c>
      <c r="I78" s="85">
        <f t="shared" si="17"/>
        <v>0</v>
      </c>
    </row>
    <row r="79" ht="20.1" customHeight="1" spans="1:9">
      <c r="A79" s="10">
        <v>4</v>
      </c>
      <c r="B79" s="11" t="s">
        <v>146</v>
      </c>
      <c r="C79" s="4" t="s">
        <v>147</v>
      </c>
      <c r="D79" s="15" t="s">
        <v>148</v>
      </c>
      <c r="E79" s="85">
        <f>'[8]NASS New Structure'!$J$18</f>
        <v>2954075</v>
      </c>
      <c r="F79" s="85">
        <f>E79/12</f>
        <v>246172.916666667</v>
      </c>
      <c r="G79" s="85">
        <f>F79*0.025</f>
        <v>6154.32291666667</v>
      </c>
      <c r="H79" s="85">
        <v>668.31625</v>
      </c>
      <c r="I79" s="85">
        <f>G79-H79</f>
        <v>5486.00666666667</v>
      </c>
    </row>
    <row r="80" ht="20.1" customHeight="1" spans="1:9">
      <c r="A80" s="10">
        <v>5</v>
      </c>
      <c r="B80" s="11" t="s">
        <v>149</v>
      </c>
      <c r="C80" s="4" t="s">
        <v>152</v>
      </c>
      <c r="D80" s="10" t="s">
        <v>265</v>
      </c>
      <c r="E80" s="85"/>
      <c r="F80" s="85"/>
      <c r="G80" s="85">
        <f t="shared" si="17"/>
        <v>0</v>
      </c>
      <c r="H80" s="85">
        <f t="shared" si="17"/>
        <v>0</v>
      </c>
      <c r="I80" s="85">
        <f t="shared" si="17"/>
        <v>0</v>
      </c>
    </row>
    <row r="81" ht="20.1" customHeight="1" spans="1:9">
      <c r="A81" s="10">
        <v>6</v>
      </c>
      <c r="B81" s="11" t="s">
        <v>151</v>
      </c>
      <c r="C81" s="4" t="s">
        <v>152</v>
      </c>
      <c r="D81" s="10" t="s">
        <v>80</v>
      </c>
      <c r="E81" s="85"/>
      <c r="F81" s="85"/>
      <c r="G81" s="85">
        <f t="shared" si="17"/>
        <v>0</v>
      </c>
      <c r="H81" s="85">
        <f t="shared" si="17"/>
        <v>0</v>
      </c>
      <c r="I81" s="85">
        <f t="shared" si="17"/>
        <v>0</v>
      </c>
    </row>
    <row r="82" ht="20.1" customHeight="1" spans="1:9">
      <c r="A82" s="10">
        <v>7</v>
      </c>
      <c r="B82" s="11" t="s">
        <v>153</v>
      </c>
      <c r="C82" s="4" t="s">
        <v>154</v>
      </c>
      <c r="D82" s="10" t="s">
        <v>92</v>
      </c>
      <c r="E82" s="85"/>
      <c r="F82" s="85"/>
      <c r="G82" s="85">
        <f t="shared" si="17"/>
        <v>0</v>
      </c>
      <c r="H82" s="85">
        <f t="shared" si="17"/>
        <v>0</v>
      </c>
      <c r="I82" s="85">
        <f t="shared" si="17"/>
        <v>0</v>
      </c>
    </row>
    <row r="83" ht="20.1" customHeight="1" spans="1:9">
      <c r="A83" s="10"/>
      <c r="B83" s="20" t="s">
        <v>96</v>
      </c>
      <c r="C83" s="21">
        <v>7</v>
      </c>
      <c r="D83" s="21"/>
      <c r="E83" s="93">
        <f>SUM(E76:E82)</f>
        <v>2954075</v>
      </c>
      <c r="F83" s="93">
        <f>SUM(F76:F82)</f>
        <v>246172.916666667</v>
      </c>
      <c r="G83" s="93">
        <f t="shared" ref="G83:I83" si="18">SUM(G76:G82)</f>
        <v>6154.32291666667</v>
      </c>
      <c r="H83" s="93">
        <f t="shared" si="18"/>
        <v>668.31625</v>
      </c>
      <c r="I83" s="93">
        <f t="shared" si="18"/>
        <v>5486.00666666667</v>
      </c>
    </row>
    <row r="84" ht="20.1" customHeight="1" spans="1:9">
      <c r="A84" s="10"/>
      <c r="B84" s="20"/>
      <c r="C84" s="21"/>
      <c r="D84" s="21"/>
      <c r="E84" s="146"/>
      <c r="F84" s="146"/>
      <c r="G84" s="146"/>
      <c r="H84" s="146"/>
      <c r="I84" s="146"/>
    </row>
    <row r="85" ht="20.1" customHeight="1" spans="1:9">
      <c r="A85" s="10"/>
      <c r="B85" s="20" t="s">
        <v>155</v>
      </c>
      <c r="C85" s="25"/>
      <c r="D85" s="21"/>
      <c r="E85" s="146"/>
      <c r="F85" s="146"/>
      <c r="G85" s="146"/>
      <c r="H85" s="146"/>
      <c r="I85" s="146"/>
    </row>
    <row r="86" ht="20.1" customHeight="1" spans="1:9">
      <c r="A86" s="10">
        <v>1</v>
      </c>
      <c r="B86" s="11" t="s">
        <v>156</v>
      </c>
      <c r="C86" s="4" t="s">
        <v>112</v>
      </c>
      <c r="D86" s="10" t="s">
        <v>36</v>
      </c>
      <c r="E86" s="85"/>
      <c r="F86" s="85"/>
      <c r="G86" s="85">
        <f>E86*0.025</f>
        <v>0</v>
      </c>
      <c r="H86" s="85"/>
      <c r="I86" s="85">
        <f t="shared" ref="I86" si="19">G86*0.025</f>
        <v>0</v>
      </c>
    </row>
    <row r="87" ht="20.1" customHeight="1" spans="1:9">
      <c r="A87" s="10">
        <v>2</v>
      </c>
      <c r="B87" s="11" t="s">
        <v>157</v>
      </c>
      <c r="C87" s="4" t="s">
        <v>112</v>
      </c>
      <c r="D87" s="10" t="s">
        <v>36</v>
      </c>
      <c r="E87" s="85">
        <f>'[8]NASS New Structure'!$J$19</f>
        <v>4022509</v>
      </c>
      <c r="F87" s="85">
        <f>E87/12</f>
        <v>335209.083333333</v>
      </c>
      <c r="G87" s="85">
        <f>F87*0.025</f>
        <v>8380.22708333333</v>
      </c>
      <c r="H87" s="85">
        <v>837.6875</v>
      </c>
      <c r="I87" s="85">
        <f>G87-H87</f>
        <v>7542.53958333333</v>
      </c>
    </row>
    <row r="88" ht="20.1" customHeight="1" spans="1:9">
      <c r="A88" s="10">
        <v>3</v>
      </c>
      <c r="B88" s="11" t="s">
        <v>158</v>
      </c>
      <c r="C88" s="4" t="s">
        <v>112</v>
      </c>
      <c r="D88" s="10" t="s">
        <v>39</v>
      </c>
      <c r="E88" s="85"/>
      <c r="F88" s="85"/>
      <c r="G88" s="85">
        <f t="shared" ref="G88:I95" si="20">E88*0.025</f>
        <v>0</v>
      </c>
      <c r="H88" s="85"/>
      <c r="I88" s="85">
        <f t="shared" si="20"/>
        <v>0</v>
      </c>
    </row>
    <row r="89" ht="21.6" customHeight="1" spans="1:9">
      <c r="A89" s="10">
        <v>4</v>
      </c>
      <c r="B89" s="11" t="s">
        <v>159</v>
      </c>
      <c r="C89" s="4" t="s">
        <v>483</v>
      </c>
      <c r="D89" s="15" t="s">
        <v>192</v>
      </c>
      <c r="E89" s="85"/>
      <c r="F89" s="85"/>
      <c r="G89" s="85">
        <f t="shared" si="20"/>
        <v>0</v>
      </c>
      <c r="H89" s="85"/>
      <c r="I89" s="85">
        <f t="shared" si="20"/>
        <v>0</v>
      </c>
    </row>
    <row r="90" ht="21.6" customHeight="1" spans="1:9">
      <c r="A90" s="10">
        <v>5</v>
      </c>
      <c r="B90" s="11" t="s">
        <v>160</v>
      </c>
      <c r="C90" s="12" t="s">
        <v>165</v>
      </c>
      <c r="D90" s="15" t="s">
        <v>52</v>
      </c>
      <c r="E90" s="85"/>
      <c r="F90" s="85"/>
      <c r="G90" s="85">
        <f t="shared" si="20"/>
        <v>0</v>
      </c>
      <c r="H90" s="85"/>
      <c r="I90" s="85">
        <f t="shared" si="20"/>
        <v>0</v>
      </c>
    </row>
    <row r="91" ht="21.6" customHeight="1" spans="1:9">
      <c r="A91" s="10">
        <v>6</v>
      </c>
      <c r="B91" s="11" t="s">
        <v>161</v>
      </c>
      <c r="C91" s="12" t="s">
        <v>133</v>
      </c>
      <c r="D91" s="15" t="s">
        <v>162</v>
      </c>
      <c r="E91" s="85"/>
      <c r="F91" s="85"/>
      <c r="G91" s="85">
        <f t="shared" si="20"/>
        <v>0</v>
      </c>
      <c r="H91" s="85"/>
      <c r="I91" s="85">
        <f t="shared" si="20"/>
        <v>0</v>
      </c>
    </row>
    <row r="92" ht="21.6" customHeight="1" spans="1:9">
      <c r="A92" s="10">
        <v>7</v>
      </c>
      <c r="B92" s="11" t="s">
        <v>163</v>
      </c>
      <c r="C92" s="17" t="s">
        <v>67</v>
      </c>
      <c r="D92" s="15" t="s">
        <v>135</v>
      </c>
      <c r="E92" s="85"/>
      <c r="F92" s="85"/>
      <c r="G92" s="85">
        <f t="shared" si="20"/>
        <v>0</v>
      </c>
      <c r="H92" s="85"/>
      <c r="I92" s="85">
        <f t="shared" si="20"/>
        <v>0</v>
      </c>
    </row>
    <row r="93" ht="21.6" customHeight="1" spans="1:9">
      <c r="A93" s="10">
        <v>8</v>
      </c>
      <c r="B93" s="11" t="s">
        <v>164</v>
      </c>
      <c r="C93" s="17" t="s">
        <v>165</v>
      </c>
      <c r="D93" s="15" t="s">
        <v>166</v>
      </c>
      <c r="E93" s="85">
        <f>'[8]NASS New Structure'!$H$17</f>
        <v>2524677</v>
      </c>
      <c r="F93" s="85">
        <f>E93/12</f>
        <v>210389.75</v>
      </c>
      <c r="G93" s="85">
        <f>F93*0.025</f>
        <v>5259.74375</v>
      </c>
      <c r="H93" s="85">
        <v>576.87475</v>
      </c>
      <c r="I93" s="85">
        <f>G93-H93</f>
        <v>4682.869</v>
      </c>
    </row>
    <row r="94" ht="21.6" customHeight="1" spans="1:9">
      <c r="A94" s="10">
        <v>9</v>
      </c>
      <c r="B94" s="11" t="s">
        <v>167</v>
      </c>
      <c r="C94" s="4" t="s">
        <v>168</v>
      </c>
      <c r="D94" s="10" t="s">
        <v>104</v>
      </c>
      <c r="E94" s="220"/>
      <c r="F94" s="220"/>
      <c r="G94" s="85">
        <f t="shared" si="20"/>
        <v>0</v>
      </c>
      <c r="H94" s="85"/>
      <c r="I94" s="85">
        <f t="shared" si="20"/>
        <v>0</v>
      </c>
    </row>
    <row r="95" ht="21.6" customHeight="1" spans="1:9">
      <c r="A95" s="10">
        <v>10</v>
      </c>
      <c r="B95" s="11" t="s">
        <v>169</v>
      </c>
      <c r="C95" s="17" t="s">
        <v>170</v>
      </c>
      <c r="D95" s="15" t="s">
        <v>171</v>
      </c>
      <c r="E95" s="220"/>
      <c r="F95" s="220"/>
      <c r="G95" s="85">
        <f t="shared" si="20"/>
        <v>0</v>
      </c>
      <c r="H95" s="85">
        <v>0</v>
      </c>
      <c r="I95" s="85">
        <f t="shared" si="20"/>
        <v>0</v>
      </c>
    </row>
    <row r="96" ht="20.1" customHeight="1" spans="1:9">
      <c r="A96" s="10"/>
      <c r="B96" s="20" t="s">
        <v>96</v>
      </c>
      <c r="C96" s="21">
        <v>11</v>
      </c>
      <c r="D96" s="21"/>
      <c r="E96" s="93">
        <f>SUM(E86:E95)</f>
        <v>6547186</v>
      </c>
      <c r="F96" s="93">
        <f>SUM(F86:F95)</f>
        <v>545598.833333333</v>
      </c>
      <c r="G96" s="93">
        <f t="shared" ref="G96:I96" si="21">SUM(G86:G95)</f>
        <v>13639.9708333333</v>
      </c>
      <c r="H96" s="93">
        <f t="shared" si="21"/>
        <v>1414.56225</v>
      </c>
      <c r="I96" s="93">
        <f t="shared" si="21"/>
        <v>12225.4085833333</v>
      </c>
    </row>
    <row r="97" ht="20.1" customHeight="1" spans="1:9">
      <c r="A97" s="10"/>
      <c r="B97" s="22"/>
      <c r="C97" s="21"/>
      <c r="D97" s="21"/>
      <c r="E97" s="146"/>
      <c r="F97" s="146"/>
      <c r="G97" s="146"/>
      <c r="H97" s="146"/>
      <c r="I97" s="146"/>
    </row>
    <row r="98" ht="20.1" customHeight="1" spans="1:9">
      <c r="A98" s="10"/>
      <c r="B98" s="20" t="s">
        <v>172</v>
      </c>
      <c r="C98" s="21"/>
      <c r="D98" s="21"/>
      <c r="E98" s="146"/>
      <c r="F98" s="146"/>
      <c r="G98" s="146"/>
      <c r="H98" s="146"/>
      <c r="I98" s="146"/>
    </row>
    <row r="99" ht="20.1" customHeight="1" spans="1:9">
      <c r="A99" s="10">
        <v>1</v>
      </c>
      <c r="B99" s="14" t="s">
        <v>173</v>
      </c>
      <c r="C99" s="4" t="s">
        <v>174</v>
      </c>
      <c r="D99" s="16" t="s">
        <v>189</v>
      </c>
      <c r="E99" s="85">
        <f>'[8]NASS New Structure'!$H$21</f>
        <v>8762388</v>
      </c>
      <c r="F99" s="85">
        <f>E99/12</f>
        <v>730199</v>
      </c>
      <c r="G99" s="85">
        <f>F99*0.025</f>
        <v>18254.975</v>
      </c>
      <c r="H99" s="85">
        <f>H12</f>
        <v>1066.32925</v>
      </c>
      <c r="I99" s="85">
        <f>G99-H99</f>
        <v>17188.64575</v>
      </c>
    </row>
    <row r="100" ht="20.1" customHeight="1" spans="1:9">
      <c r="A100" s="10">
        <v>2</v>
      </c>
      <c r="B100" s="11" t="s">
        <v>176</v>
      </c>
      <c r="C100" s="4" t="s">
        <v>177</v>
      </c>
      <c r="D100" s="15" t="s">
        <v>148</v>
      </c>
      <c r="E100" s="85"/>
      <c r="F100" s="85"/>
      <c r="G100" s="85">
        <f t="shared" ref="G100:I102" si="22">E100*0.025</f>
        <v>0</v>
      </c>
      <c r="H100" s="85">
        <f t="shared" si="22"/>
        <v>0</v>
      </c>
      <c r="I100" s="85">
        <f t="shared" si="22"/>
        <v>0</v>
      </c>
    </row>
    <row r="101" ht="20.1" customHeight="1" spans="1:9">
      <c r="A101" s="10">
        <v>3</v>
      </c>
      <c r="B101" s="11" t="s">
        <v>180</v>
      </c>
      <c r="C101" s="4" t="s">
        <v>181</v>
      </c>
      <c r="D101" s="15" t="s">
        <v>62</v>
      </c>
      <c r="E101" s="85"/>
      <c r="F101" s="85"/>
      <c r="G101" s="85">
        <f t="shared" si="22"/>
        <v>0</v>
      </c>
      <c r="H101" s="85">
        <f t="shared" si="22"/>
        <v>0</v>
      </c>
      <c r="I101" s="85">
        <f t="shared" si="22"/>
        <v>0</v>
      </c>
    </row>
    <row r="102" ht="20.1" customHeight="1" spans="1:9">
      <c r="A102" s="10">
        <v>4</v>
      </c>
      <c r="B102" s="11" t="s">
        <v>182</v>
      </c>
      <c r="C102" s="4" t="s">
        <v>183</v>
      </c>
      <c r="D102" s="15" t="s">
        <v>104</v>
      </c>
      <c r="E102" s="220"/>
      <c r="F102" s="220"/>
      <c r="G102" s="85">
        <f t="shared" si="22"/>
        <v>0</v>
      </c>
      <c r="H102" s="85">
        <f t="shared" si="22"/>
        <v>0</v>
      </c>
      <c r="I102" s="85">
        <f t="shared" si="22"/>
        <v>0</v>
      </c>
    </row>
    <row r="103" ht="20.1" customHeight="1" spans="1:9">
      <c r="A103" s="4"/>
      <c r="B103" s="20" t="s">
        <v>96</v>
      </c>
      <c r="C103" s="21">
        <v>4</v>
      </c>
      <c r="D103" s="26"/>
      <c r="E103" s="93">
        <f>SUM(E99:E102)</f>
        <v>8762388</v>
      </c>
      <c r="F103" s="93">
        <f>SUM(F99:F102)</f>
        <v>730199</v>
      </c>
      <c r="G103" s="93">
        <f t="shared" ref="G103:I103" si="23">SUM(G99:G102)</f>
        <v>18254.975</v>
      </c>
      <c r="H103" s="93">
        <f t="shared" si="23"/>
        <v>1066.32925</v>
      </c>
      <c r="I103" s="93">
        <f t="shared" si="23"/>
        <v>17188.64575</v>
      </c>
    </row>
    <row r="104" ht="20.1" customHeight="1" spans="1:9">
      <c r="A104" s="4"/>
      <c r="B104" s="22"/>
      <c r="C104" s="21"/>
      <c r="D104" s="26"/>
      <c r="E104" s="146"/>
      <c r="F104" s="146"/>
      <c r="G104" s="146"/>
      <c r="H104" s="146"/>
      <c r="I104" s="146"/>
    </row>
    <row r="105" ht="20.1" customHeight="1" spans="1:9">
      <c r="A105" s="4"/>
      <c r="B105" s="20" t="s">
        <v>184</v>
      </c>
      <c r="C105" s="4"/>
      <c r="D105" s="4"/>
      <c r="E105" s="4"/>
      <c r="F105" s="4"/>
      <c r="G105" s="4"/>
      <c r="H105" s="4"/>
      <c r="I105" s="4"/>
    </row>
    <row r="106" ht="20.1" customHeight="1" spans="1:9">
      <c r="A106" s="4">
        <v>1</v>
      </c>
      <c r="B106" s="11" t="s">
        <v>185</v>
      </c>
      <c r="C106" s="12" t="s">
        <v>186</v>
      </c>
      <c r="D106" s="15" t="s">
        <v>100</v>
      </c>
      <c r="E106" s="85"/>
      <c r="F106" s="85"/>
      <c r="G106" s="85">
        <f>E106*0.08</f>
        <v>0</v>
      </c>
      <c r="H106" s="85">
        <f t="shared" ref="H106:I106" si="24">F106*0.08</f>
        <v>0</v>
      </c>
      <c r="I106" s="85">
        <f t="shared" si="24"/>
        <v>0</v>
      </c>
    </row>
    <row r="107" ht="20.1" customHeight="1" spans="1:9">
      <c r="A107" s="4">
        <v>2</v>
      </c>
      <c r="B107" s="11" t="s">
        <v>187</v>
      </c>
      <c r="C107" s="4" t="s">
        <v>188</v>
      </c>
      <c r="D107" s="16" t="s">
        <v>189</v>
      </c>
      <c r="E107" s="85">
        <f>'[8]NASS New Structure'!$J$20</f>
        <v>4940831</v>
      </c>
      <c r="F107" s="85">
        <f>E107/12</f>
        <v>411735.916666667</v>
      </c>
      <c r="G107" s="85">
        <f>F107*0.025</f>
        <v>10293.3979166667</v>
      </c>
      <c r="H107" s="85">
        <v>1066.32925</v>
      </c>
      <c r="I107" s="85">
        <f>G107-H107</f>
        <v>9227.06866666667</v>
      </c>
    </row>
    <row r="108" ht="20.1" customHeight="1" spans="1:9">
      <c r="A108" s="4">
        <v>3</v>
      </c>
      <c r="B108" s="11" t="s">
        <v>190</v>
      </c>
      <c r="C108" s="4" t="s">
        <v>191</v>
      </c>
      <c r="D108" s="10" t="s">
        <v>192</v>
      </c>
      <c r="E108" s="85">
        <f>'[8]NASS New Structure'!$L$17</f>
        <v>2858213</v>
      </c>
      <c r="F108" s="85">
        <f>E108/12</f>
        <v>238184.416666667</v>
      </c>
      <c r="G108" s="85">
        <f>F108*0.025</f>
        <v>5954.61041666667</v>
      </c>
      <c r="H108" s="85">
        <v>658.4825</v>
      </c>
      <c r="I108" s="85">
        <f>G108-H108</f>
        <v>5296.12791666667</v>
      </c>
    </row>
    <row r="109" ht="20.1" customHeight="1" spans="1:9">
      <c r="A109" s="4">
        <v>4</v>
      </c>
      <c r="B109" s="11" t="s">
        <v>193</v>
      </c>
      <c r="C109" s="4" t="s">
        <v>191</v>
      </c>
      <c r="D109" s="10" t="s">
        <v>192</v>
      </c>
      <c r="E109" s="85"/>
      <c r="F109" s="85"/>
      <c r="G109" s="85">
        <f t="shared" ref="G109:G112" si="25">E109*0.08</f>
        <v>0</v>
      </c>
      <c r="H109" s="85">
        <f t="shared" ref="H109:H112" si="26">F109*0.08</f>
        <v>0</v>
      </c>
      <c r="I109" s="85">
        <f t="shared" ref="I109:I112" si="27">G109*0.08</f>
        <v>0</v>
      </c>
    </row>
    <row r="110" ht="20.1" customHeight="1" spans="1:9">
      <c r="A110" s="4">
        <v>5</v>
      </c>
      <c r="B110" s="11" t="s">
        <v>194</v>
      </c>
      <c r="C110" s="4" t="s">
        <v>195</v>
      </c>
      <c r="D110" s="15" t="s">
        <v>196</v>
      </c>
      <c r="E110" s="220"/>
      <c r="F110" s="220"/>
      <c r="G110" s="85">
        <f t="shared" si="25"/>
        <v>0</v>
      </c>
      <c r="H110" s="85">
        <f t="shared" si="26"/>
        <v>0</v>
      </c>
      <c r="I110" s="85">
        <f t="shared" si="27"/>
        <v>0</v>
      </c>
    </row>
    <row r="111" ht="20.1" customHeight="1" spans="1:9">
      <c r="A111" s="4">
        <v>6</v>
      </c>
      <c r="B111" s="18" t="s">
        <v>197</v>
      </c>
      <c r="C111" s="4" t="s">
        <v>195</v>
      </c>
      <c r="D111" s="10" t="s">
        <v>198</v>
      </c>
      <c r="E111" s="220"/>
      <c r="F111" s="220"/>
      <c r="G111" s="85">
        <f t="shared" si="25"/>
        <v>0</v>
      </c>
      <c r="H111" s="85">
        <f t="shared" si="26"/>
        <v>0</v>
      </c>
      <c r="I111" s="85">
        <f t="shared" si="27"/>
        <v>0</v>
      </c>
    </row>
    <row r="112" ht="20.1" customHeight="1" spans="1:9">
      <c r="A112" s="4">
        <v>7</v>
      </c>
      <c r="B112" s="18" t="s">
        <v>199</v>
      </c>
      <c r="C112" s="4" t="s">
        <v>195</v>
      </c>
      <c r="D112" s="15" t="s">
        <v>171</v>
      </c>
      <c r="E112" s="220"/>
      <c r="F112" s="220"/>
      <c r="G112" s="85">
        <f t="shared" si="25"/>
        <v>0</v>
      </c>
      <c r="H112" s="85">
        <f t="shared" si="26"/>
        <v>0</v>
      </c>
      <c r="I112" s="85">
        <f t="shared" si="27"/>
        <v>0</v>
      </c>
    </row>
    <row r="113" ht="25.5" customHeight="1" spans="1:9">
      <c r="A113" s="4"/>
      <c r="B113" s="20" t="s">
        <v>96</v>
      </c>
      <c r="C113" s="21">
        <v>7</v>
      </c>
      <c r="D113" s="4"/>
      <c r="E113" s="223">
        <f>SUM(E106:E112)</f>
        <v>7799044</v>
      </c>
      <c r="F113" s="223">
        <f>SUM(F106:F112)</f>
        <v>649920.333333333</v>
      </c>
      <c r="G113" s="223">
        <f t="shared" ref="G113:I113" si="28">SUM(G106:G112)</f>
        <v>16248.0083333333</v>
      </c>
      <c r="H113" s="223">
        <f t="shared" si="28"/>
        <v>1724.81175</v>
      </c>
      <c r="I113" s="223">
        <f t="shared" si="28"/>
        <v>14523.1965833333</v>
      </c>
    </row>
    <row r="114" ht="20.1" customHeight="1" spans="1:9">
      <c r="A114" s="4"/>
      <c r="B114" s="20"/>
      <c r="C114" s="21"/>
      <c r="D114" s="4"/>
      <c r="E114" s="223"/>
      <c r="F114" s="223"/>
      <c r="G114" s="223"/>
      <c r="H114" s="223"/>
      <c r="I114" s="223"/>
    </row>
    <row r="115" ht="20.1" customHeight="1" spans="1:9">
      <c r="A115" s="10"/>
      <c r="B115" s="20" t="s">
        <v>200</v>
      </c>
      <c r="C115" s="21"/>
      <c r="D115" s="21"/>
      <c r="E115" s="146"/>
      <c r="F115" s="146"/>
      <c r="G115" s="146"/>
      <c r="H115" s="146"/>
      <c r="I115" s="146"/>
    </row>
    <row r="116" ht="20.1" customHeight="1" spans="1:9">
      <c r="A116" s="10">
        <v>1</v>
      </c>
      <c r="B116" s="14" t="s">
        <v>201</v>
      </c>
      <c r="C116" s="4" t="s">
        <v>112</v>
      </c>
      <c r="D116" s="10" t="s">
        <v>131</v>
      </c>
      <c r="E116" s="85">
        <f>'[8]NASS New Structure'!$I$19</f>
        <v>3897566</v>
      </c>
      <c r="F116" s="85">
        <f>E116/12</f>
        <v>324797.166666667</v>
      </c>
      <c r="G116" s="85">
        <f>F116*0.025</f>
        <v>8119.92916666667</v>
      </c>
      <c r="H116" s="85">
        <v>806.58</v>
      </c>
      <c r="I116" s="85">
        <f>G116-H116</f>
        <v>7313.34916666667</v>
      </c>
    </row>
    <row r="117" ht="18.75" customHeight="1" spans="1:9">
      <c r="A117" s="10">
        <v>2</v>
      </c>
      <c r="B117" s="11" t="s">
        <v>202</v>
      </c>
      <c r="C117" s="4" t="s">
        <v>203</v>
      </c>
      <c r="D117" s="15" t="s">
        <v>62</v>
      </c>
      <c r="E117" s="85"/>
      <c r="F117" s="85"/>
      <c r="G117" s="85">
        <f t="shared" ref="G117:G118" si="29">F117*0.025</f>
        <v>0</v>
      </c>
      <c r="H117" s="85"/>
      <c r="I117" s="85">
        <f t="shared" ref="I117:I118" si="30">G117-H117</f>
        <v>0</v>
      </c>
    </row>
    <row r="118" ht="20.1" customHeight="1" spans="1:9">
      <c r="A118" s="10">
        <v>3</v>
      </c>
      <c r="B118" s="11" t="s">
        <v>204</v>
      </c>
      <c r="C118" s="12" t="s">
        <v>581</v>
      </c>
      <c r="D118" s="15" t="s">
        <v>253</v>
      </c>
      <c r="E118" s="85">
        <f>'[8]NASS New Structure'!$K$16</f>
        <v>2523630</v>
      </c>
      <c r="F118" s="85">
        <f>E118/12</f>
        <v>210302.5</v>
      </c>
      <c r="G118" s="85">
        <f t="shared" si="29"/>
        <v>5257.5625</v>
      </c>
      <c r="H118" s="85">
        <v>576.62125</v>
      </c>
      <c r="I118" s="85">
        <f t="shared" si="30"/>
        <v>4680.94125</v>
      </c>
    </row>
    <row r="119" ht="24.75" customHeight="1" spans="1:9">
      <c r="A119" s="4"/>
      <c r="B119" s="20" t="s">
        <v>96</v>
      </c>
      <c r="C119" s="21">
        <v>2</v>
      </c>
      <c r="D119" s="26"/>
      <c r="E119" s="93">
        <f>SUM(E116:E118)</f>
        <v>6421196</v>
      </c>
      <c r="F119" s="93">
        <f>SUM(F116:F118)</f>
        <v>535099.666666667</v>
      </c>
      <c r="G119" s="93">
        <f t="shared" ref="G119:I119" si="31">SUM(G116:G118)</f>
        <v>13377.4916666667</v>
      </c>
      <c r="H119" s="93">
        <f t="shared" si="31"/>
        <v>1383.20125</v>
      </c>
      <c r="I119" s="93">
        <f t="shared" si="31"/>
        <v>11994.2904166667</v>
      </c>
    </row>
    <row r="120" ht="20.1" customHeight="1" spans="1:9">
      <c r="A120" s="4"/>
      <c r="B120" s="22"/>
      <c r="C120" s="10"/>
      <c r="D120" s="4"/>
      <c r="E120" s="224"/>
      <c r="F120" s="224"/>
      <c r="G120" s="9"/>
      <c r="H120" s="9"/>
      <c r="I120" s="9"/>
    </row>
    <row r="121" ht="20.1" customHeight="1" spans="1:9">
      <c r="A121" s="4"/>
      <c r="B121" s="20" t="s">
        <v>213</v>
      </c>
      <c r="C121" s="21"/>
      <c r="D121" s="21"/>
      <c r="E121" s="146"/>
      <c r="F121" s="146"/>
      <c r="G121" s="146"/>
      <c r="H121" s="146"/>
      <c r="I121" s="146"/>
    </row>
    <row r="122" ht="20.1" customHeight="1" spans="1:9">
      <c r="A122" s="4">
        <v>1</v>
      </c>
      <c r="B122" s="11" t="s">
        <v>214</v>
      </c>
      <c r="C122" s="12" t="s">
        <v>215</v>
      </c>
      <c r="D122" s="15" t="s">
        <v>100</v>
      </c>
      <c r="E122" s="85">
        <f>'[8]NASS New Structure'!$J$21</f>
        <v>9304688</v>
      </c>
      <c r="F122" s="85">
        <f>E122/12</f>
        <v>775390.666666667</v>
      </c>
      <c r="G122" s="85">
        <f>F122*0.025</f>
        <v>19384.7666666667</v>
      </c>
      <c r="H122" s="85">
        <v>2043.5005</v>
      </c>
      <c r="I122" s="85">
        <f>G122-H122</f>
        <v>17341.2661666667</v>
      </c>
    </row>
    <row r="123" ht="20.1" customHeight="1" spans="1:9">
      <c r="A123" s="4">
        <v>2</v>
      </c>
      <c r="B123" s="11" t="s">
        <v>216</v>
      </c>
      <c r="C123" s="12" t="s">
        <v>217</v>
      </c>
      <c r="D123" s="15" t="s">
        <v>110</v>
      </c>
      <c r="E123" s="85">
        <f>'[8]NASS New Structure'!$I$20</f>
        <v>4790672</v>
      </c>
      <c r="F123" s="85">
        <f t="shared" ref="F123:F128" si="32">E123/12</f>
        <v>399222.666666667</v>
      </c>
      <c r="G123" s="85">
        <f t="shared" ref="G123:G128" si="33">F123*0.025</f>
        <v>9980.56666666667</v>
      </c>
      <c r="H123" s="85">
        <v>1028.94225</v>
      </c>
      <c r="I123" s="85">
        <f t="shared" ref="I123:I128" si="34">G123-H123</f>
        <v>8951.62441666667</v>
      </c>
    </row>
    <row r="124" ht="20.1" customHeight="1" spans="1:9">
      <c r="A124" s="4">
        <v>3</v>
      </c>
      <c r="B124" s="14" t="s">
        <v>218</v>
      </c>
      <c r="C124" s="12" t="s">
        <v>219</v>
      </c>
      <c r="D124" s="15" t="s">
        <v>36</v>
      </c>
      <c r="E124" s="85">
        <f>'[8]NASS New Structure'!$J$19</f>
        <v>4022509</v>
      </c>
      <c r="F124" s="85">
        <f t="shared" si="32"/>
        <v>335209.083333333</v>
      </c>
      <c r="G124" s="85">
        <f t="shared" si="33"/>
        <v>8380.22708333333</v>
      </c>
      <c r="H124" s="85">
        <v>837.6875</v>
      </c>
      <c r="I124" s="85">
        <f t="shared" si="34"/>
        <v>7542.53958333333</v>
      </c>
    </row>
    <row r="125" ht="20.1" customHeight="1" spans="1:9">
      <c r="A125" s="4">
        <v>4</v>
      </c>
      <c r="B125" s="14" t="s">
        <v>523</v>
      </c>
      <c r="C125" s="12" t="s">
        <v>219</v>
      </c>
      <c r="D125" s="15" t="s">
        <v>39</v>
      </c>
      <c r="E125" s="85"/>
      <c r="F125" s="85">
        <f t="shared" si="32"/>
        <v>0</v>
      </c>
      <c r="G125" s="85">
        <f t="shared" si="33"/>
        <v>0</v>
      </c>
      <c r="H125" s="85"/>
      <c r="I125" s="85">
        <f t="shared" si="34"/>
        <v>0</v>
      </c>
    </row>
    <row r="126" ht="20.1" customHeight="1" spans="1:9">
      <c r="A126" s="4">
        <v>5</v>
      </c>
      <c r="B126" s="11" t="s">
        <v>220</v>
      </c>
      <c r="C126" s="12" t="s">
        <v>221</v>
      </c>
      <c r="D126" s="15" t="s">
        <v>222</v>
      </c>
      <c r="E126" s="85"/>
      <c r="F126" s="85">
        <f t="shared" si="32"/>
        <v>0</v>
      </c>
      <c r="G126" s="85">
        <f t="shared" si="33"/>
        <v>0</v>
      </c>
      <c r="H126" s="85"/>
      <c r="I126" s="85">
        <f t="shared" si="34"/>
        <v>0</v>
      </c>
    </row>
    <row r="127" ht="20.1" customHeight="1" spans="1:9">
      <c r="A127" s="4">
        <v>6</v>
      </c>
      <c r="B127" s="11" t="s">
        <v>223</v>
      </c>
      <c r="C127" s="12" t="s">
        <v>224</v>
      </c>
      <c r="D127" s="15" t="s">
        <v>47</v>
      </c>
      <c r="E127" s="85">
        <f>'[8]NASS New Structure'!$I$18</f>
        <v>2864307</v>
      </c>
      <c r="F127" s="85">
        <f t="shared" si="32"/>
        <v>238692.25</v>
      </c>
      <c r="G127" s="85">
        <f t="shared" si="33"/>
        <v>5967.30625</v>
      </c>
      <c r="H127" s="85">
        <v>646.3525</v>
      </c>
      <c r="I127" s="85">
        <f t="shared" si="34"/>
        <v>5320.95375</v>
      </c>
    </row>
    <row r="128" ht="20.1" customHeight="1" spans="1:9">
      <c r="A128" s="4">
        <v>7</v>
      </c>
      <c r="B128" s="11" t="s">
        <v>225</v>
      </c>
      <c r="C128" s="12" t="s">
        <v>221</v>
      </c>
      <c r="D128" s="15" t="s">
        <v>148</v>
      </c>
      <c r="E128" s="85">
        <f>'[8]NASS New Structure'!$J$18</f>
        <v>2954075</v>
      </c>
      <c r="F128" s="85">
        <f t="shared" si="32"/>
        <v>246172.916666667</v>
      </c>
      <c r="G128" s="85">
        <f t="shared" si="33"/>
        <v>6154.32291666667</v>
      </c>
      <c r="H128" s="85">
        <v>668.31625</v>
      </c>
      <c r="I128" s="85">
        <f t="shared" si="34"/>
        <v>5486.00666666667</v>
      </c>
    </row>
    <row r="129" ht="20.1" customHeight="1" spans="1:9">
      <c r="A129" s="4">
        <v>8</v>
      </c>
      <c r="B129" s="11" t="s">
        <v>226</v>
      </c>
      <c r="C129" s="12" t="s">
        <v>227</v>
      </c>
      <c r="D129" s="10" t="s">
        <v>75</v>
      </c>
      <c r="E129" s="85"/>
      <c r="F129" s="85"/>
      <c r="G129" s="85">
        <f t="shared" ref="G129:G131" si="35">E129*0.08</f>
        <v>0</v>
      </c>
      <c r="H129" s="85"/>
      <c r="I129" s="85">
        <f t="shared" ref="I129:I131" si="36">G129*0.08</f>
        <v>0</v>
      </c>
    </row>
    <row r="130" ht="20.1" customHeight="1" spans="1:9">
      <c r="A130" s="4">
        <v>9</v>
      </c>
      <c r="B130" s="18" t="s">
        <v>228</v>
      </c>
      <c r="C130" s="12" t="s">
        <v>229</v>
      </c>
      <c r="D130" s="15" t="s">
        <v>92</v>
      </c>
      <c r="E130" s="85"/>
      <c r="F130" s="85"/>
      <c r="G130" s="85">
        <f t="shared" si="35"/>
        <v>0</v>
      </c>
      <c r="H130" s="85">
        <v>0</v>
      </c>
      <c r="I130" s="85">
        <f t="shared" si="36"/>
        <v>0</v>
      </c>
    </row>
    <row r="131" ht="20.1" customHeight="1" spans="1:9">
      <c r="A131" s="4">
        <v>10</v>
      </c>
      <c r="B131" s="18" t="s">
        <v>230</v>
      </c>
      <c r="C131" s="12" t="s">
        <v>231</v>
      </c>
      <c r="D131" s="15" t="s">
        <v>92</v>
      </c>
      <c r="E131" s="85"/>
      <c r="F131" s="85"/>
      <c r="G131" s="85">
        <f t="shared" si="35"/>
        <v>0</v>
      </c>
      <c r="H131" s="85">
        <v>0</v>
      </c>
      <c r="I131" s="85">
        <f t="shared" si="36"/>
        <v>0</v>
      </c>
    </row>
    <row r="132" ht="28.5" customHeight="1" spans="1:9">
      <c r="A132" s="4"/>
      <c r="B132" s="20" t="s">
        <v>96</v>
      </c>
      <c r="C132" s="26" t="s">
        <v>233</v>
      </c>
      <c r="D132" s="15"/>
      <c r="E132" s="146">
        <f>SUM(E122:E131)</f>
        <v>23936251</v>
      </c>
      <c r="F132" s="146">
        <f>SUM(F122:F131)</f>
        <v>1994687.58333333</v>
      </c>
      <c r="G132" s="146">
        <f t="shared" ref="G132:I132" si="37">SUM(G122:G131)</f>
        <v>49867.1895833333</v>
      </c>
      <c r="H132" s="146">
        <f t="shared" si="37"/>
        <v>5224.799</v>
      </c>
      <c r="I132" s="146">
        <f t="shared" si="37"/>
        <v>44642.3905833333</v>
      </c>
    </row>
    <row r="133" ht="20.1" customHeight="1" spans="1:9">
      <c r="A133" s="4"/>
      <c r="B133" s="22"/>
      <c r="C133" s="26"/>
      <c r="D133" s="15"/>
      <c r="E133" s="146"/>
      <c r="F133" s="146"/>
      <c r="G133" s="146"/>
      <c r="H133" s="146"/>
      <c r="I133" s="146"/>
    </row>
    <row r="134" ht="20.1" customHeight="1" spans="1:9">
      <c r="A134" s="4"/>
      <c r="B134" s="20" t="s">
        <v>234</v>
      </c>
      <c r="C134" s="12"/>
      <c r="D134" s="15"/>
      <c r="E134" s="85"/>
      <c r="F134" s="85"/>
      <c r="G134" s="85"/>
      <c r="H134" s="85"/>
      <c r="I134" s="85"/>
    </row>
    <row r="135" ht="20.1" customHeight="1" spans="1:9">
      <c r="A135" s="27">
        <v>1</v>
      </c>
      <c r="B135" s="11" t="s">
        <v>235</v>
      </c>
      <c r="C135" s="12" t="s">
        <v>236</v>
      </c>
      <c r="D135" s="15" t="s">
        <v>100</v>
      </c>
      <c r="E135" s="85"/>
      <c r="F135" s="85"/>
      <c r="G135" s="85">
        <f>E135*0.08</f>
        <v>0</v>
      </c>
      <c r="H135" s="85">
        <f t="shared" ref="H135:I135" si="38">F135*0.08</f>
        <v>0</v>
      </c>
      <c r="I135" s="85">
        <f t="shared" si="38"/>
        <v>0</v>
      </c>
    </row>
    <row r="136" ht="20.1" customHeight="1" spans="1:9">
      <c r="A136" s="27">
        <v>2</v>
      </c>
      <c r="B136" s="11" t="s">
        <v>524</v>
      </c>
      <c r="C136" s="12" t="s">
        <v>575</v>
      </c>
      <c r="D136" s="15" t="s">
        <v>189</v>
      </c>
      <c r="E136" s="85"/>
      <c r="F136" s="85"/>
      <c r="G136" s="85"/>
      <c r="H136" s="85"/>
      <c r="I136" s="85"/>
    </row>
    <row r="137" ht="20.1" customHeight="1" spans="1:9">
      <c r="A137" s="27">
        <v>3</v>
      </c>
      <c r="B137" s="14" t="s">
        <v>237</v>
      </c>
      <c r="C137" s="4" t="s">
        <v>238</v>
      </c>
      <c r="D137" s="16" t="s">
        <v>189</v>
      </c>
      <c r="E137" s="85">
        <f>'[8]NASS New Structure'!$J$20</f>
        <v>4940831</v>
      </c>
      <c r="F137" s="85">
        <f>E137/12</f>
        <v>411735.916666667</v>
      </c>
      <c r="G137" s="85">
        <f>F137*0.025</f>
        <v>10293.3979166667</v>
      </c>
      <c r="H137" s="85">
        <v>1066.32925</v>
      </c>
      <c r="I137" s="85">
        <f>G137-H137</f>
        <v>9227.06866666667</v>
      </c>
    </row>
    <row r="138" ht="20.1" customHeight="1" spans="1:9">
      <c r="A138" s="27">
        <v>4</v>
      </c>
      <c r="B138" s="11" t="s">
        <v>239</v>
      </c>
      <c r="C138" s="12" t="s">
        <v>582</v>
      </c>
      <c r="D138" s="15" t="s">
        <v>42</v>
      </c>
      <c r="E138" s="85">
        <f>'[8]NASS New Structure'!$L$18</f>
        <v>3133611</v>
      </c>
      <c r="F138" s="85">
        <f t="shared" ref="F138:F141" si="39">E138/12</f>
        <v>261134.25</v>
      </c>
      <c r="G138" s="85">
        <f t="shared" ref="G138:G166" si="40">F138*0.025</f>
        <v>6528.35625</v>
      </c>
      <c r="H138" s="85">
        <v>712.24525</v>
      </c>
      <c r="I138" s="85">
        <f t="shared" ref="I138:I166" si="41">G138-H138</f>
        <v>5816.111</v>
      </c>
    </row>
    <row r="139" ht="20.1" customHeight="1" spans="1:9">
      <c r="A139" s="27">
        <v>5</v>
      </c>
      <c r="B139" s="11" t="s">
        <v>241</v>
      </c>
      <c r="C139" s="4" t="s">
        <v>583</v>
      </c>
      <c r="D139" s="15" t="s">
        <v>42</v>
      </c>
      <c r="E139" s="85">
        <f>'[8]NASS New Structure'!$L$18</f>
        <v>3133611</v>
      </c>
      <c r="F139" s="85">
        <f t="shared" si="39"/>
        <v>261134.25</v>
      </c>
      <c r="G139" s="85">
        <f t="shared" si="40"/>
        <v>6528.35625</v>
      </c>
      <c r="H139" s="85">
        <v>712.24525</v>
      </c>
      <c r="I139" s="85">
        <f t="shared" si="41"/>
        <v>5816.111</v>
      </c>
    </row>
    <row r="140" ht="20.1" customHeight="1" spans="1:9">
      <c r="A140" s="27">
        <v>6</v>
      </c>
      <c r="B140" s="11" t="s">
        <v>243</v>
      </c>
      <c r="C140" s="4" t="s">
        <v>583</v>
      </c>
      <c r="D140" s="15" t="s">
        <v>42</v>
      </c>
      <c r="E140" s="85">
        <f>'[8]NASS New Structure'!$L$18</f>
        <v>3133611</v>
      </c>
      <c r="F140" s="85">
        <f t="shared" si="39"/>
        <v>261134.25</v>
      </c>
      <c r="G140" s="85">
        <f t="shared" si="40"/>
        <v>6528.35625</v>
      </c>
      <c r="H140" s="85">
        <v>712.24525</v>
      </c>
      <c r="I140" s="85">
        <f t="shared" si="41"/>
        <v>5816.111</v>
      </c>
    </row>
    <row r="141" ht="20.1" customHeight="1" spans="1:9">
      <c r="A141" s="27">
        <v>7</v>
      </c>
      <c r="B141" s="11" t="s">
        <v>178</v>
      </c>
      <c r="C141" s="12" t="s">
        <v>584</v>
      </c>
      <c r="D141" s="15" t="s">
        <v>253</v>
      </c>
      <c r="E141" s="85">
        <f>'[8]NASS New Structure'!$K$16</f>
        <v>2523630</v>
      </c>
      <c r="F141" s="85">
        <f t="shared" si="39"/>
        <v>210302.5</v>
      </c>
      <c r="G141" s="85">
        <f t="shared" si="40"/>
        <v>5257.5625</v>
      </c>
      <c r="H141" s="85">
        <v>576.62125</v>
      </c>
      <c r="I141" s="85">
        <f t="shared" si="41"/>
        <v>4680.94125</v>
      </c>
    </row>
    <row r="142" ht="20.1" customHeight="1" spans="1:9">
      <c r="A142" s="27">
        <v>8</v>
      </c>
      <c r="B142" s="11" t="s">
        <v>244</v>
      </c>
      <c r="C142" s="12" t="s">
        <v>584</v>
      </c>
      <c r="D142" s="15" t="s">
        <v>253</v>
      </c>
      <c r="E142" s="85"/>
      <c r="F142" s="85"/>
      <c r="G142" s="85">
        <f t="shared" si="40"/>
        <v>0</v>
      </c>
      <c r="H142" s="85"/>
      <c r="I142" s="85">
        <f t="shared" si="41"/>
        <v>0</v>
      </c>
    </row>
    <row r="143" ht="20.1" customHeight="1" spans="1:9">
      <c r="A143" s="27">
        <v>9</v>
      </c>
      <c r="B143" s="11" t="s">
        <v>245</v>
      </c>
      <c r="C143" s="4" t="s">
        <v>585</v>
      </c>
      <c r="D143" s="15" t="s">
        <v>253</v>
      </c>
      <c r="E143" s="85"/>
      <c r="F143" s="85"/>
      <c r="G143" s="85">
        <f t="shared" si="40"/>
        <v>0</v>
      </c>
      <c r="H143" s="85"/>
      <c r="I143" s="85">
        <f t="shared" si="41"/>
        <v>0</v>
      </c>
    </row>
    <row r="144" ht="20.1" customHeight="1" spans="1:9">
      <c r="A144" s="27">
        <v>10</v>
      </c>
      <c r="B144" s="11" t="s">
        <v>247</v>
      </c>
      <c r="C144" s="12" t="s">
        <v>248</v>
      </c>
      <c r="D144" s="15" t="s">
        <v>62</v>
      </c>
      <c r="E144" s="85"/>
      <c r="F144" s="85"/>
      <c r="G144" s="85">
        <f t="shared" si="40"/>
        <v>0</v>
      </c>
      <c r="H144" s="85"/>
      <c r="I144" s="85">
        <f t="shared" si="41"/>
        <v>0</v>
      </c>
    </row>
    <row r="145" ht="20.1" customHeight="1" spans="1:9">
      <c r="A145" s="27">
        <v>11</v>
      </c>
      <c r="B145" s="11" t="s">
        <v>249</v>
      </c>
      <c r="C145" s="12" t="s">
        <v>250</v>
      </c>
      <c r="D145" s="15" t="s">
        <v>135</v>
      </c>
      <c r="E145" s="85">
        <f>'[8]NASS New Structure'!$I$16</f>
        <v>2365888</v>
      </c>
      <c r="F145" s="85">
        <f>E145/12</f>
        <v>197157.333333333</v>
      </c>
      <c r="G145" s="85">
        <f t="shared" si="40"/>
        <v>4928.93333333333</v>
      </c>
      <c r="H145" s="85">
        <v>538.022</v>
      </c>
      <c r="I145" s="85">
        <f t="shared" si="41"/>
        <v>4390.91133333333</v>
      </c>
    </row>
    <row r="146" ht="20.1" customHeight="1" spans="1:9">
      <c r="A146" s="27">
        <v>12</v>
      </c>
      <c r="B146" s="11" t="s">
        <v>251</v>
      </c>
      <c r="C146" s="12" t="s">
        <v>252</v>
      </c>
      <c r="D146" s="15" t="s">
        <v>253</v>
      </c>
      <c r="E146" s="85">
        <f>'[8]NASS New Structure'!$K$16</f>
        <v>2523630</v>
      </c>
      <c r="F146" s="85">
        <f t="shared" ref="F146:F149" si="42">E146/12</f>
        <v>210302.5</v>
      </c>
      <c r="G146" s="85">
        <f t="shared" si="40"/>
        <v>5257.5625</v>
      </c>
      <c r="H146" s="85">
        <v>576.62125</v>
      </c>
      <c r="I146" s="85">
        <f t="shared" si="41"/>
        <v>4680.94125</v>
      </c>
    </row>
    <row r="147" ht="20.1" customHeight="1" spans="1:9">
      <c r="A147" s="27">
        <v>13</v>
      </c>
      <c r="B147" s="18" t="s">
        <v>254</v>
      </c>
      <c r="C147" s="4" t="s">
        <v>255</v>
      </c>
      <c r="D147" s="15" t="s">
        <v>65</v>
      </c>
      <c r="E147" s="220"/>
      <c r="F147" s="85">
        <f t="shared" si="42"/>
        <v>0</v>
      </c>
      <c r="G147" s="85">
        <f t="shared" si="40"/>
        <v>0</v>
      </c>
      <c r="H147" s="85">
        <v>0</v>
      </c>
      <c r="I147" s="85">
        <f t="shared" si="41"/>
        <v>0</v>
      </c>
    </row>
    <row r="148" ht="20.1" customHeight="1" spans="1:9">
      <c r="A148" s="27">
        <v>14</v>
      </c>
      <c r="B148" s="11" t="s">
        <v>256</v>
      </c>
      <c r="C148" s="4" t="s">
        <v>586</v>
      </c>
      <c r="D148" s="15" t="s">
        <v>265</v>
      </c>
      <c r="E148" s="220"/>
      <c r="F148" s="85">
        <f t="shared" si="42"/>
        <v>0</v>
      </c>
      <c r="G148" s="85">
        <f t="shared" si="40"/>
        <v>0</v>
      </c>
      <c r="H148" s="85"/>
      <c r="I148" s="85">
        <f t="shared" si="41"/>
        <v>0</v>
      </c>
    </row>
    <row r="149" ht="20.1" customHeight="1" spans="1:9">
      <c r="A149" s="27">
        <v>15</v>
      </c>
      <c r="B149" s="11" t="s">
        <v>257</v>
      </c>
      <c r="C149" s="4" t="s">
        <v>586</v>
      </c>
      <c r="D149" s="15" t="s">
        <v>587</v>
      </c>
      <c r="E149" s="220">
        <f>'[8]NASS New Structure'!$K$15</f>
        <v>2030090</v>
      </c>
      <c r="F149" s="85">
        <f t="shared" si="42"/>
        <v>169174.166666667</v>
      </c>
      <c r="G149" s="85">
        <f t="shared" si="40"/>
        <v>4229.35416666667</v>
      </c>
      <c r="H149" s="85">
        <v>469.4825</v>
      </c>
      <c r="I149" s="85">
        <f t="shared" si="41"/>
        <v>3759.87166666667</v>
      </c>
    </row>
    <row r="150" ht="20.1" customHeight="1" spans="1:9">
      <c r="A150" s="27">
        <v>16</v>
      </c>
      <c r="B150" s="11" t="s">
        <v>258</v>
      </c>
      <c r="C150" s="4" t="s">
        <v>586</v>
      </c>
      <c r="D150" s="15" t="s">
        <v>587</v>
      </c>
      <c r="E150" s="220"/>
      <c r="F150" s="220"/>
      <c r="G150" s="85">
        <f t="shared" si="40"/>
        <v>0</v>
      </c>
      <c r="H150" s="85"/>
      <c r="I150" s="85">
        <f t="shared" si="41"/>
        <v>0</v>
      </c>
    </row>
    <row r="151" ht="20.1" customHeight="1" spans="1:9">
      <c r="A151" s="27">
        <v>17</v>
      </c>
      <c r="B151" s="11" t="s">
        <v>259</v>
      </c>
      <c r="C151" s="12" t="s">
        <v>260</v>
      </c>
      <c r="D151" s="15" t="s">
        <v>104</v>
      </c>
      <c r="E151" s="220"/>
      <c r="F151" s="220"/>
      <c r="G151" s="85">
        <f t="shared" si="40"/>
        <v>0</v>
      </c>
      <c r="H151" s="85"/>
      <c r="I151" s="85">
        <f t="shared" si="41"/>
        <v>0</v>
      </c>
    </row>
    <row r="152" ht="20.1" customHeight="1" spans="1:9">
      <c r="A152" s="27">
        <v>18</v>
      </c>
      <c r="B152" s="11" t="s">
        <v>261</v>
      </c>
      <c r="C152" s="12" t="s">
        <v>262</v>
      </c>
      <c r="D152" s="10" t="s">
        <v>80</v>
      </c>
      <c r="E152" s="85"/>
      <c r="F152" s="85"/>
      <c r="G152" s="85">
        <f t="shared" si="40"/>
        <v>0</v>
      </c>
      <c r="H152" s="85"/>
      <c r="I152" s="85">
        <f t="shared" si="41"/>
        <v>0</v>
      </c>
    </row>
    <row r="153" ht="20.1" customHeight="1" spans="1:9">
      <c r="A153" s="27">
        <v>19</v>
      </c>
      <c r="B153" s="11" t="s">
        <v>263</v>
      </c>
      <c r="C153" s="12" t="s">
        <v>264</v>
      </c>
      <c r="D153" s="15" t="s">
        <v>265</v>
      </c>
      <c r="E153" s="220"/>
      <c r="F153" s="220"/>
      <c r="G153" s="85">
        <f t="shared" si="40"/>
        <v>0</v>
      </c>
      <c r="H153" s="85"/>
      <c r="I153" s="85">
        <f t="shared" si="41"/>
        <v>0</v>
      </c>
    </row>
    <row r="154" ht="20.1" customHeight="1" spans="1:9">
      <c r="A154" s="27">
        <v>20</v>
      </c>
      <c r="B154" s="11" t="s">
        <v>266</v>
      </c>
      <c r="C154" s="12" t="s">
        <v>267</v>
      </c>
      <c r="D154" s="15" t="s">
        <v>75</v>
      </c>
      <c r="E154" s="220"/>
      <c r="F154" s="220"/>
      <c r="G154" s="85">
        <f t="shared" si="40"/>
        <v>0</v>
      </c>
      <c r="H154" s="85"/>
      <c r="I154" s="85">
        <f t="shared" si="41"/>
        <v>0</v>
      </c>
    </row>
    <row r="155" ht="20.1" customHeight="1" spans="1:9">
      <c r="A155" s="27">
        <v>21</v>
      </c>
      <c r="B155" s="11" t="s">
        <v>268</v>
      </c>
      <c r="C155" s="12" t="s">
        <v>269</v>
      </c>
      <c r="D155" s="15" t="s">
        <v>265</v>
      </c>
      <c r="E155" s="220">
        <f>'[8]NASS New Structure'!$J$15</f>
        <v>1979242</v>
      </c>
      <c r="F155" s="220">
        <f>E155/12</f>
        <v>164936.833333333</v>
      </c>
      <c r="G155" s="85">
        <f t="shared" si="40"/>
        <v>4123.42083333333</v>
      </c>
      <c r="H155" s="85">
        <v>457.041</v>
      </c>
      <c r="I155" s="85">
        <f t="shared" si="41"/>
        <v>3666.37983333333</v>
      </c>
    </row>
    <row r="156" ht="20.1" customHeight="1" spans="1:9">
      <c r="A156" s="27">
        <v>22</v>
      </c>
      <c r="B156" s="11" t="s">
        <v>270</v>
      </c>
      <c r="C156" s="12" t="s">
        <v>271</v>
      </c>
      <c r="D156" s="15" t="s">
        <v>75</v>
      </c>
      <c r="E156" s="220"/>
      <c r="F156" s="220"/>
      <c r="G156" s="85">
        <f t="shared" si="40"/>
        <v>0</v>
      </c>
      <c r="H156" s="85"/>
      <c r="I156" s="85">
        <f t="shared" si="41"/>
        <v>0</v>
      </c>
    </row>
    <row r="157" ht="20.1" customHeight="1" spans="1:9">
      <c r="A157" s="27">
        <v>23</v>
      </c>
      <c r="B157" s="18" t="s">
        <v>272</v>
      </c>
      <c r="C157" s="12" t="s">
        <v>273</v>
      </c>
      <c r="D157" s="15" t="s">
        <v>83</v>
      </c>
      <c r="E157" s="220"/>
      <c r="F157" s="220"/>
      <c r="G157" s="85">
        <f t="shared" si="40"/>
        <v>0</v>
      </c>
      <c r="H157" s="85"/>
      <c r="I157" s="85">
        <f t="shared" si="41"/>
        <v>0</v>
      </c>
    </row>
    <row r="158" ht="20.1" customHeight="1" spans="1:9">
      <c r="A158" s="27">
        <v>24</v>
      </c>
      <c r="B158" s="18" t="s">
        <v>275</v>
      </c>
      <c r="C158" s="12" t="s">
        <v>276</v>
      </c>
      <c r="D158" s="15" t="s">
        <v>92</v>
      </c>
      <c r="E158" s="85"/>
      <c r="F158" s="85"/>
      <c r="G158" s="85">
        <f t="shared" si="40"/>
        <v>0</v>
      </c>
      <c r="H158" s="85">
        <v>0</v>
      </c>
      <c r="I158" s="85">
        <f t="shared" si="41"/>
        <v>0</v>
      </c>
    </row>
    <row r="159" ht="20.1" customHeight="1" spans="1:9">
      <c r="A159" s="27">
        <v>25</v>
      </c>
      <c r="B159" s="18" t="s">
        <v>277</v>
      </c>
      <c r="C159" s="12" t="s">
        <v>278</v>
      </c>
      <c r="D159" s="15" t="s">
        <v>92</v>
      </c>
      <c r="E159" s="85"/>
      <c r="F159" s="85"/>
      <c r="G159" s="85">
        <f t="shared" si="40"/>
        <v>0</v>
      </c>
      <c r="H159" s="85">
        <v>0</v>
      </c>
      <c r="I159" s="85">
        <f t="shared" si="41"/>
        <v>0</v>
      </c>
    </row>
    <row r="160" ht="20.1" customHeight="1" spans="1:9">
      <c r="A160" s="27">
        <v>26</v>
      </c>
      <c r="B160" s="18" t="s">
        <v>279</v>
      </c>
      <c r="C160" s="12" t="s">
        <v>280</v>
      </c>
      <c r="D160" s="15" t="s">
        <v>92</v>
      </c>
      <c r="E160" s="85"/>
      <c r="F160" s="85"/>
      <c r="G160" s="85">
        <f t="shared" si="40"/>
        <v>0</v>
      </c>
      <c r="H160" s="85">
        <v>0</v>
      </c>
      <c r="I160" s="85">
        <f t="shared" si="41"/>
        <v>0</v>
      </c>
    </row>
    <row r="161" ht="20.1" customHeight="1" spans="1:9">
      <c r="A161" s="27">
        <v>27</v>
      </c>
      <c r="B161" s="18" t="s">
        <v>281</v>
      </c>
      <c r="C161" s="12" t="s">
        <v>282</v>
      </c>
      <c r="D161" s="15" t="s">
        <v>171</v>
      </c>
      <c r="E161" s="85"/>
      <c r="F161" s="85"/>
      <c r="G161" s="85">
        <f t="shared" si="40"/>
        <v>0</v>
      </c>
      <c r="H161" s="85">
        <v>0</v>
      </c>
      <c r="I161" s="85">
        <f t="shared" si="41"/>
        <v>0</v>
      </c>
    </row>
    <row r="162" ht="20.1" customHeight="1" spans="1:9">
      <c r="A162" s="27">
        <v>28</v>
      </c>
      <c r="B162" s="18" t="s">
        <v>283</v>
      </c>
      <c r="C162" s="12" t="s">
        <v>278</v>
      </c>
      <c r="D162" s="15" t="s">
        <v>92</v>
      </c>
      <c r="E162" s="85"/>
      <c r="F162" s="85"/>
      <c r="G162" s="85">
        <f t="shared" si="40"/>
        <v>0</v>
      </c>
      <c r="H162" s="85">
        <v>0</v>
      </c>
      <c r="I162" s="85">
        <f t="shared" si="41"/>
        <v>0</v>
      </c>
    </row>
    <row r="163" ht="20.1" customHeight="1" spans="1:9">
      <c r="A163" s="27">
        <v>29</v>
      </c>
      <c r="B163" s="11" t="s">
        <v>287</v>
      </c>
      <c r="C163" s="12" t="s">
        <v>288</v>
      </c>
      <c r="D163" s="15" t="s">
        <v>289</v>
      </c>
      <c r="E163" s="226">
        <f>'[8]NASS New Structure'!$G$12</f>
        <v>1110516</v>
      </c>
      <c r="F163" s="226">
        <f>E163/12</f>
        <v>92543</v>
      </c>
      <c r="G163" s="85">
        <f t="shared" si="40"/>
        <v>2313.575</v>
      </c>
      <c r="H163" s="85">
        <v>263.19</v>
      </c>
      <c r="I163" s="85">
        <f t="shared" si="41"/>
        <v>2050.385</v>
      </c>
    </row>
    <row r="164" ht="20.1" customHeight="1" spans="1:9">
      <c r="A164" s="27">
        <v>30</v>
      </c>
      <c r="B164" s="11" t="s">
        <v>290</v>
      </c>
      <c r="C164" s="12" t="s">
        <v>288</v>
      </c>
      <c r="D164" s="15" t="s">
        <v>289</v>
      </c>
      <c r="E164" s="226"/>
      <c r="F164" s="226"/>
      <c r="G164" s="85">
        <f t="shared" si="40"/>
        <v>0</v>
      </c>
      <c r="H164" s="85"/>
      <c r="I164" s="85">
        <f t="shared" si="41"/>
        <v>0</v>
      </c>
    </row>
    <row r="165" ht="20.1" customHeight="1" spans="1:9">
      <c r="A165" s="27">
        <v>31</v>
      </c>
      <c r="B165" s="11" t="s">
        <v>291</v>
      </c>
      <c r="C165" s="12" t="s">
        <v>288</v>
      </c>
      <c r="D165" s="15" t="s">
        <v>289</v>
      </c>
      <c r="E165" s="226"/>
      <c r="F165" s="226"/>
      <c r="G165" s="85">
        <f t="shared" si="40"/>
        <v>0</v>
      </c>
      <c r="H165" s="85"/>
      <c r="I165" s="85">
        <f t="shared" si="41"/>
        <v>0</v>
      </c>
    </row>
    <row r="166" ht="20.1" customHeight="1" spans="1:9">
      <c r="A166" s="27">
        <v>32</v>
      </c>
      <c r="B166" s="11" t="s">
        <v>292</v>
      </c>
      <c r="C166" s="12" t="s">
        <v>288</v>
      </c>
      <c r="D166" s="15" t="s">
        <v>289</v>
      </c>
      <c r="E166" s="226">
        <f>'[8]NASS New Structure'!$G$12</f>
        <v>1110516</v>
      </c>
      <c r="F166" s="226">
        <f>E166/12</f>
        <v>92543</v>
      </c>
      <c r="G166" s="85">
        <f t="shared" si="40"/>
        <v>2313.575</v>
      </c>
      <c r="H166" s="85">
        <v>263.19</v>
      </c>
      <c r="I166" s="85">
        <f t="shared" si="41"/>
        <v>2050.385</v>
      </c>
    </row>
    <row r="167" ht="20.1" customHeight="1" spans="1:9">
      <c r="A167" s="27">
        <v>33</v>
      </c>
      <c r="B167" s="11" t="s">
        <v>293</v>
      </c>
      <c r="C167" s="12" t="s">
        <v>288</v>
      </c>
      <c r="D167" s="15" t="s">
        <v>289</v>
      </c>
      <c r="E167" s="226"/>
      <c r="F167" s="226"/>
      <c r="G167" s="85">
        <f t="shared" ref="G167:G193" si="43">E167*0.08</f>
        <v>0</v>
      </c>
      <c r="H167" s="85">
        <f t="shared" ref="H167:H193" si="44">F167*0.08</f>
        <v>0</v>
      </c>
      <c r="I167" s="85">
        <f t="shared" ref="I167:I193" si="45">G167*0.08</f>
        <v>0</v>
      </c>
    </row>
    <row r="168" ht="20.1" customHeight="1" spans="1:9">
      <c r="A168" s="27">
        <v>34</v>
      </c>
      <c r="B168" s="11" t="s">
        <v>294</v>
      </c>
      <c r="C168" s="12" t="s">
        <v>288</v>
      </c>
      <c r="D168" s="15" t="s">
        <v>295</v>
      </c>
      <c r="E168" s="226"/>
      <c r="F168" s="226"/>
      <c r="G168" s="85">
        <f t="shared" si="43"/>
        <v>0</v>
      </c>
      <c r="H168" s="85">
        <f t="shared" si="44"/>
        <v>0</v>
      </c>
      <c r="I168" s="85">
        <f t="shared" si="45"/>
        <v>0</v>
      </c>
    </row>
    <row r="169" ht="20.1" customHeight="1" spans="1:9">
      <c r="A169" s="27">
        <v>35</v>
      </c>
      <c r="B169" s="11" t="s">
        <v>296</v>
      </c>
      <c r="C169" s="12" t="s">
        <v>288</v>
      </c>
      <c r="D169" s="15" t="s">
        <v>295</v>
      </c>
      <c r="E169" s="226"/>
      <c r="F169" s="226"/>
      <c r="G169" s="85">
        <f t="shared" si="43"/>
        <v>0</v>
      </c>
      <c r="H169" s="85">
        <f t="shared" si="44"/>
        <v>0</v>
      </c>
      <c r="I169" s="85">
        <f t="shared" si="45"/>
        <v>0</v>
      </c>
    </row>
    <row r="170" ht="20.1" customHeight="1" spans="1:9">
      <c r="A170" s="27">
        <v>36</v>
      </c>
      <c r="B170" s="14" t="s">
        <v>297</v>
      </c>
      <c r="C170" s="12" t="s">
        <v>288</v>
      </c>
      <c r="D170" s="15" t="s">
        <v>295</v>
      </c>
      <c r="E170" s="226"/>
      <c r="F170" s="226"/>
      <c r="G170" s="85">
        <f t="shared" si="43"/>
        <v>0</v>
      </c>
      <c r="H170" s="85">
        <f t="shared" si="44"/>
        <v>0</v>
      </c>
      <c r="I170" s="85">
        <f t="shared" si="45"/>
        <v>0</v>
      </c>
    </row>
    <row r="171" ht="20.1" customHeight="1" spans="1:9">
      <c r="A171" s="27">
        <v>37</v>
      </c>
      <c r="B171" s="11" t="s">
        <v>298</v>
      </c>
      <c r="C171" s="12" t="s">
        <v>288</v>
      </c>
      <c r="D171" s="15" t="s">
        <v>295</v>
      </c>
      <c r="E171" s="226"/>
      <c r="F171" s="226"/>
      <c r="G171" s="85">
        <f t="shared" si="43"/>
        <v>0</v>
      </c>
      <c r="H171" s="85">
        <f t="shared" si="44"/>
        <v>0</v>
      </c>
      <c r="I171" s="85">
        <f t="shared" si="45"/>
        <v>0</v>
      </c>
    </row>
    <row r="172" ht="20.1" customHeight="1" spans="1:9">
      <c r="A172" s="27">
        <v>38</v>
      </c>
      <c r="B172" s="18" t="s">
        <v>299</v>
      </c>
      <c r="C172" s="12" t="s">
        <v>288</v>
      </c>
      <c r="D172" s="15" t="s">
        <v>295</v>
      </c>
      <c r="E172" s="226"/>
      <c r="F172" s="226"/>
      <c r="G172" s="85">
        <f t="shared" si="43"/>
        <v>0</v>
      </c>
      <c r="H172" s="85">
        <f t="shared" si="44"/>
        <v>0</v>
      </c>
      <c r="I172" s="85">
        <f t="shared" si="45"/>
        <v>0</v>
      </c>
    </row>
    <row r="173" ht="20.1" customHeight="1" spans="1:9">
      <c r="A173" s="27">
        <v>39</v>
      </c>
      <c r="B173" s="18" t="s">
        <v>300</v>
      </c>
      <c r="C173" s="12" t="s">
        <v>288</v>
      </c>
      <c r="D173" s="15" t="s">
        <v>295</v>
      </c>
      <c r="E173" s="226"/>
      <c r="F173" s="226"/>
      <c r="G173" s="85">
        <f t="shared" si="43"/>
        <v>0</v>
      </c>
      <c r="H173" s="85">
        <f t="shared" si="44"/>
        <v>0</v>
      </c>
      <c r="I173" s="85">
        <f t="shared" si="45"/>
        <v>0</v>
      </c>
    </row>
    <row r="174" ht="20.1" customHeight="1" spans="1:9">
      <c r="A174" s="27">
        <v>40</v>
      </c>
      <c r="B174" s="11" t="s">
        <v>301</v>
      </c>
      <c r="C174" s="12" t="s">
        <v>302</v>
      </c>
      <c r="D174" s="15" t="s">
        <v>303</v>
      </c>
      <c r="E174" s="85"/>
      <c r="F174" s="85"/>
      <c r="G174" s="85">
        <f t="shared" si="43"/>
        <v>0</v>
      </c>
      <c r="H174" s="85">
        <f t="shared" si="44"/>
        <v>0</v>
      </c>
      <c r="I174" s="85">
        <f t="shared" si="45"/>
        <v>0</v>
      </c>
    </row>
    <row r="175" ht="20.1" customHeight="1" spans="1:9">
      <c r="A175" s="27">
        <v>41</v>
      </c>
      <c r="B175" s="11" t="s">
        <v>304</v>
      </c>
      <c r="C175" s="12" t="s">
        <v>302</v>
      </c>
      <c r="D175" s="15" t="s">
        <v>303</v>
      </c>
      <c r="E175" s="85"/>
      <c r="F175" s="85"/>
      <c r="G175" s="85">
        <f t="shared" si="43"/>
        <v>0</v>
      </c>
      <c r="H175" s="85">
        <f t="shared" si="44"/>
        <v>0</v>
      </c>
      <c r="I175" s="85">
        <f t="shared" si="45"/>
        <v>0</v>
      </c>
    </row>
    <row r="176" ht="20.1" customHeight="1" spans="1:9">
      <c r="A176" s="27">
        <v>42</v>
      </c>
      <c r="B176" s="18" t="s">
        <v>305</v>
      </c>
      <c r="C176" s="12" t="s">
        <v>302</v>
      </c>
      <c r="D176" s="15" t="s">
        <v>306</v>
      </c>
      <c r="E176" s="85"/>
      <c r="F176" s="85"/>
      <c r="G176" s="85">
        <f t="shared" si="43"/>
        <v>0</v>
      </c>
      <c r="H176" s="85">
        <f t="shared" si="44"/>
        <v>0</v>
      </c>
      <c r="I176" s="85">
        <f t="shared" si="45"/>
        <v>0</v>
      </c>
    </row>
    <row r="177" ht="20.1" customHeight="1" spans="1:9">
      <c r="A177" s="27">
        <v>43</v>
      </c>
      <c r="B177" s="11" t="s">
        <v>307</v>
      </c>
      <c r="C177" s="12" t="s">
        <v>308</v>
      </c>
      <c r="D177" s="15" t="s">
        <v>588</v>
      </c>
      <c r="E177" s="85"/>
      <c r="F177" s="85"/>
      <c r="G177" s="85">
        <f t="shared" si="43"/>
        <v>0</v>
      </c>
      <c r="H177" s="85">
        <f t="shared" si="44"/>
        <v>0</v>
      </c>
      <c r="I177" s="85">
        <f t="shared" si="45"/>
        <v>0</v>
      </c>
    </row>
    <row r="178" ht="20.1" customHeight="1" spans="1:9">
      <c r="A178" s="27">
        <v>44</v>
      </c>
      <c r="B178" s="11" t="s">
        <v>309</v>
      </c>
      <c r="C178" s="12" t="s">
        <v>310</v>
      </c>
      <c r="D178" s="15" t="s">
        <v>311</v>
      </c>
      <c r="E178" s="85"/>
      <c r="F178" s="85"/>
      <c r="G178" s="85">
        <f t="shared" si="43"/>
        <v>0</v>
      </c>
      <c r="H178" s="85">
        <f t="shared" si="44"/>
        <v>0</v>
      </c>
      <c r="I178" s="85">
        <f t="shared" si="45"/>
        <v>0</v>
      </c>
    </row>
    <row r="179" ht="20.1" customHeight="1" spans="1:9">
      <c r="A179" s="27">
        <v>45</v>
      </c>
      <c r="B179" s="11" t="s">
        <v>312</v>
      </c>
      <c r="C179" s="12" t="s">
        <v>310</v>
      </c>
      <c r="D179" s="15" t="s">
        <v>311</v>
      </c>
      <c r="E179" s="85"/>
      <c r="F179" s="85"/>
      <c r="G179" s="85">
        <f t="shared" si="43"/>
        <v>0</v>
      </c>
      <c r="H179" s="85">
        <f t="shared" si="44"/>
        <v>0</v>
      </c>
      <c r="I179" s="85">
        <f t="shared" si="45"/>
        <v>0</v>
      </c>
    </row>
    <row r="180" ht="20.1" customHeight="1" spans="1:9">
      <c r="A180" s="27">
        <v>46</v>
      </c>
      <c r="B180" s="11" t="s">
        <v>313</v>
      </c>
      <c r="C180" s="12" t="s">
        <v>310</v>
      </c>
      <c r="D180" s="15" t="s">
        <v>311</v>
      </c>
      <c r="E180" s="85"/>
      <c r="F180" s="85"/>
      <c r="G180" s="85">
        <f t="shared" si="43"/>
        <v>0</v>
      </c>
      <c r="H180" s="85">
        <f t="shared" si="44"/>
        <v>0</v>
      </c>
      <c r="I180" s="85">
        <f t="shared" si="45"/>
        <v>0</v>
      </c>
    </row>
    <row r="181" ht="20.1" customHeight="1" spans="1:9">
      <c r="A181" s="27">
        <v>47</v>
      </c>
      <c r="B181" s="11" t="s">
        <v>314</v>
      </c>
      <c r="C181" s="12" t="s">
        <v>310</v>
      </c>
      <c r="D181" s="15" t="s">
        <v>311</v>
      </c>
      <c r="E181" s="85"/>
      <c r="F181" s="85"/>
      <c r="G181" s="85">
        <f t="shared" si="43"/>
        <v>0</v>
      </c>
      <c r="H181" s="85">
        <f t="shared" si="44"/>
        <v>0</v>
      </c>
      <c r="I181" s="85">
        <f t="shared" si="45"/>
        <v>0</v>
      </c>
    </row>
    <row r="182" ht="20.1" customHeight="1" spans="1:9">
      <c r="A182" s="27">
        <v>48</v>
      </c>
      <c r="B182" s="11" t="s">
        <v>315</v>
      </c>
      <c r="C182" s="12" t="s">
        <v>310</v>
      </c>
      <c r="D182" s="15" t="s">
        <v>311</v>
      </c>
      <c r="E182" s="85"/>
      <c r="F182" s="85"/>
      <c r="G182" s="85">
        <f t="shared" si="43"/>
        <v>0</v>
      </c>
      <c r="H182" s="85">
        <f t="shared" si="44"/>
        <v>0</v>
      </c>
      <c r="I182" s="85">
        <f t="shared" si="45"/>
        <v>0</v>
      </c>
    </row>
    <row r="183" ht="20.1" customHeight="1" spans="1:9">
      <c r="A183" s="27">
        <v>49</v>
      </c>
      <c r="B183" s="18" t="s">
        <v>316</v>
      </c>
      <c r="C183" s="12" t="s">
        <v>310</v>
      </c>
      <c r="D183" s="15" t="s">
        <v>311</v>
      </c>
      <c r="E183" s="85"/>
      <c r="F183" s="85"/>
      <c r="G183" s="85">
        <f t="shared" si="43"/>
        <v>0</v>
      </c>
      <c r="H183" s="85">
        <f t="shared" si="44"/>
        <v>0</v>
      </c>
      <c r="I183" s="85">
        <f t="shared" si="45"/>
        <v>0</v>
      </c>
    </row>
    <row r="184" ht="20.1" customHeight="1" spans="1:9">
      <c r="A184" s="27">
        <v>50</v>
      </c>
      <c r="B184" s="18" t="s">
        <v>317</v>
      </c>
      <c r="C184" s="12" t="s">
        <v>310</v>
      </c>
      <c r="D184" s="15" t="s">
        <v>311</v>
      </c>
      <c r="E184" s="85"/>
      <c r="F184" s="85"/>
      <c r="G184" s="85">
        <f t="shared" si="43"/>
        <v>0</v>
      </c>
      <c r="H184" s="85">
        <f t="shared" si="44"/>
        <v>0</v>
      </c>
      <c r="I184" s="85">
        <f t="shared" si="45"/>
        <v>0</v>
      </c>
    </row>
    <row r="185" ht="20.1" customHeight="1" spans="1:9">
      <c r="A185" s="27">
        <v>51</v>
      </c>
      <c r="B185" s="11" t="s">
        <v>318</v>
      </c>
      <c r="C185" s="12" t="s">
        <v>308</v>
      </c>
      <c r="D185" s="15" t="s">
        <v>311</v>
      </c>
      <c r="E185" s="85"/>
      <c r="F185" s="85"/>
      <c r="G185" s="85">
        <f t="shared" si="43"/>
        <v>0</v>
      </c>
      <c r="H185" s="85">
        <f t="shared" si="44"/>
        <v>0</v>
      </c>
      <c r="I185" s="85">
        <f t="shared" si="45"/>
        <v>0</v>
      </c>
    </row>
    <row r="186" ht="20.1" customHeight="1" spans="1:9">
      <c r="A186" s="27">
        <v>52</v>
      </c>
      <c r="B186" s="11" t="s">
        <v>319</v>
      </c>
      <c r="C186" s="12" t="s">
        <v>308</v>
      </c>
      <c r="D186" s="15" t="s">
        <v>311</v>
      </c>
      <c r="E186" s="85"/>
      <c r="F186" s="85"/>
      <c r="G186" s="85">
        <f t="shared" si="43"/>
        <v>0</v>
      </c>
      <c r="H186" s="85">
        <f t="shared" si="44"/>
        <v>0</v>
      </c>
      <c r="I186" s="85">
        <f t="shared" si="45"/>
        <v>0</v>
      </c>
    </row>
    <row r="187" ht="20.1" customHeight="1" spans="1:9">
      <c r="A187" s="27">
        <v>53</v>
      </c>
      <c r="B187" s="18" t="s">
        <v>320</v>
      </c>
      <c r="C187" s="12" t="s">
        <v>321</v>
      </c>
      <c r="D187" s="15" t="s">
        <v>322</v>
      </c>
      <c r="E187" s="85"/>
      <c r="F187" s="85"/>
      <c r="G187" s="85">
        <f t="shared" si="43"/>
        <v>0</v>
      </c>
      <c r="H187" s="85">
        <f t="shared" si="44"/>
        <v>0</v>
      </c>
      <c r="I187" s="85">
        <f t="shared" si="45"/>
        <v>0</v>
      </c>
    </row>
    <row r="188" ht="20.1" customHeight="1" spans="1:9">
      <c r="A188" s="27">
        <v>54</v>
      </c>
      <c r="B188" s="18" t="s">
        <v>325</v>
      </c>
      <c r="C188" s="12" t="s">
        <v>310</v>
      </c>
      <c r="D188" s="15" t="s">
        <v>589</v>
      </c>
      <c r="E188" s="220"/>
      <c r="F188" s="220"/>
      <c r="G188" s="85">
        <f t="shared" si="43"/>
        <v>0</v>
      </c>
      <c r="H188" s="85">
        <f t="shared" si="44"/>
        <v>0</v>
      </c>
      <c r="I188" s="85">
        <f t="shared" si="45"/>
        <v>0</v>
      </c>
    </row>
    <row r="189" ht="20.1" customHeight="1" spans="1:9">
      <c r="A189" s="27">
        <v>55</v>
      </c>
      <c r="B189" s="18" t="s">
        <v>326</v>
      </c>
      <c r="C189" s="12" t="s">
        <v>327</v>
      </c>
      <c r="D189" s="15" t="s">
        <v>328</v>
      </c>
      <c r="E189" s="85"/>
      <c r="F189" s="85"/>
      <c r="G189" s="85">
        <f t="shared" si="43"/>
        <v>0</v>
      </c>
      <c r="H189" s="85">
        <f t="shared" si="44"/>
        <v>0</v>
      </c>
      <c r="I189" s="85">
        <f t="shared" si="45"/>
        <v>0</v>
      </c>
    </row>
    <row r="190" ht="20.1" customHeight="1" spans="1:9">
      <c r="A190" s="27">
        <v>56</v>
      </c>
      <c r="B190" s="18" t="s">
        <v>329</v>
      </c>
      <c r="C190" s="12" t="s">
        <v>327</v>
      </c>
      <c r="D190" s="15" t="s">
        <v>328</v>
      </c>
      <c r="E190" s="85"/>
      <c r="F190" s="85"/>
      <c r="G190" s="85">
        <f t="shared" si="43"/>
        <v>0</v>
      </c>
      <c r="H190" s="85">
        <f t="shared" si="44"/>
        <v>0</v>
      </c>
      <c r="I190" s="85">
        <f t="shared" si="45"/>
        <v>0</v>
      </c>
    </row>
    <row r="191" ht="20.1" customHeight="1" spans="1:9">
      <c r="A191" s="27">
        <v>57</v>
      </c>
      <c r="B191" s="18" t="s">
        <v>330</v>
      </c>
      <c r="C191" s="12" t="s">
        <v>327</v>
      </c>
      <c r="D191" s="15" t="s">
        <v>328</v>
      </c>
      <c r="E191" s="85"/>
      <c r="F191" s="85"/>
      <c r="G191" s="85">
        <f t="shared" si="43"/>
        <v>0</v>
      </c>
      <c r="H191" s="85">
        <f t="shared" si="44"/>
        <v>0</v>
      </c>
      <c r="I191" s="85">
        <f t="shared" si="45"/>
        <v>0</v>
      </c>
    </row>
    <row r="192" ht="20.1" customHeight="1" spans="1:9">
      <c r="A192" s="27">
        <v>58</v>
      </c>
      <c r="B192" s="18" t="s">
        <v>331</v>
      </c>
      <c r="C192" s="12" t="s">
        <v>332</v>
      </c>
      <c r="D192" s="15" t="s">
        <v>333</v>
      </c>
      <c r="E192" s="85"/>
      <c r="F192" s="85"/>
      <c r="G192" s="85">
        <f t="shared" si="43"/>
        <v>0</v>
      </c>
      <c r="H192" s="85">
        <f t="shared" si="44"/>
        <v>0</v>
      </c>
      <c r="I192" s="85">
        <f t="shared" si="45"/>
        <v>0</v>
      </c>
    </row>
    <row r="193" ht="20.1" customHeight="1" spans="1:9">
      <c r="A193" s="27">
        <v>59</v>
      </c>
      <c r="B193" s="18" t="s">
        <v>334</v>
      </c>
      <c r="C193" s="12" t="s">
        <v>332</v>
      </c>
      <c r="D193" s="15" t="s">
        <v>333</v>
      </c>
      <c r="E193" s="85"/>
      <c r="F193" s="85"/>
      <c r="G193" s="85">
        <f t="shared" si="43"/>
        <v>0</v>
      </c>
      <c r="H193" s="85">
        <f t="shared" si="44"/>
        <v>0</v>
      </c>
      <c r="I193" s="85">
        <f t="shared" si="45"/>
        <v>0</v>
      </c>
    </row>
    <row r="194" ht="20.1" customHeight="1" spans="1:9">
      <c r="A194" s="27"/>
      <c r="B194" s="8" t="s">
        <v>96</v>
      </c>
      <c r="C194" s="28" t="s">
        <v>590</v>
      </c>
      <c r="D194" s="29"/>
      <c r="E194" s="93">
        <f>SUM(E135:E193)</f>
        <v>27985176</v>
      </c>
      <c r="F194" s="93">
        <f>SUM(F135:F193)</f>
        <v>2332098</v>
      </c>
      <c r="G194" s="93">
        <f t="shared" ref="G194:I194" si="46">SUM(G135:G193)</f>
        <v>58302.45</v>
      </c>
      <c r="H194" s="93">
        <f t="shared" si="46"/>
        <v>6347.233</v>
      </c>
      <c r="I194" s="93">
        <f t="shared" si="46"/>
        <v>51955.217</v>
      </c>
    </row>
    <row r="195" ht="19.5" customHeight="1" spans="1:10">
      <c r="A195" s="4"/>
      <c r="B195" s="30" t="s">
        <v>336</v>
      </c>
      <c r="C195" s="31">
        <f>C35+C41+C55+C60+C73+C83+C96+C103+C113+C132+C194</f>
        <v>153</v>
      </c>
      <c r="D195" s="32"/>
      <c r="E195" s="227">
        <f>E194+E132+E119+E113+E103+E96+E83+E73+E60+E55+E41+E35</f>
        <v>110549745</v>
      </c>
      <c r="F195" s="227">
        <f>F194+F132+F119+F113+F103+F96+F83+F73+F60+F55+F41+F35</f>
        <v>9212478.75</v>
      </c>
      <c r="G195" s="227">
        <f t="shared" ref="G195:I195" si="47">G194+G132+G119+G113+G103+G96+G83+G73+G60+G55+G41+G35</f>
        <v>230311.96875</v>
      </c>
      <c r="H195" s="227">
        <f t="shared" si="47"/>
        <v>23031.31375</v>
      </c>
      <c r="I195" s="227">
        <f t="shared" si="47"/>
        <v>207280.655</v>
      </c>
      <c r="J195" s="35"/>
    </row>
    <row r="196" ht="20.1" customHeight="1" spans="2:8">
      <c r="B196" s="33"/>
      <c r="D196" s="34"/>
      <c r="E196" s="34"/>
      <c r="F196" s="34"/>
      <c r="G196" s="34"/>
      <c r="H196" s="35"/>
    </row>
    <row r="197" ht="36.75" customHeight="1" spans="2:7">
      <c r="B197" s="33"/>
      <c r="C197" s="34"/>
      <c r="D197" s="34"/>
      <c r="E197" s="34"/>
      <c r="F197" s="34"/>
      <c r="G197" s="34"/>
    </row>
    <row r="199" ht="20.1" customHeight="1"/>
  </sheetData>
  <mergeCells count="2">
    <mergeCell ref="A1:G1"/>
    <mergeCell ref="A2:G3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11" sqref="I11"/>
    </sheetView>
  </sheetViews>
  <sheetFormatPr defaultColWidth="9" defaultRowHeight="12.5" outlineLevelRow="5" outlineLevelCol="6"/>
  <cols>
    <col min="1" max="1" width="21.8545454545455" customWidth="1"/>
    <col min="2" max="2" width="32.2818181818182" customWidth="1"/>
    <col min="3" max="3" width="15.5727272727273" customWidth="1"/>
    <col min="4" max="4" width="12.5727272727273" customWidth="1"/>
    <col min="5" max="5" width="12" customWidth="1"/>
    <col min="6" max="6" width="15.5727272727273" customWidth="1"/>
  </cols>
  <sheetData>
    <row r="1" ht="15.5" spans="4:7">
      <c r="D1" s="610" t="s">
        <v>613</v>
      </c>
      <c r="E1" s="610" t="s">
        <v>14</v>
      </c>
      <c r="F1" s="611"/>
      <c r="G1" s="611"/>
    </row>
    <row r="2" ht="36" customHeight="1" spans="1:7">
      <c r="A2" s="18" t="s">
        <v>90</v>
      </c>
      <c r="B2" s="12" t="s">
        <v>91</v>
      </c>
      <c r="C2" s="612" t="s">
        <v>95</v>
      </c>
      <c r="D2" s="610">
        <f>'[6]JANUARY 2024'!$R$33</f>
        <v>173329.0495</v>
      </c>
      <c r="E2" s="610">
        <f>'[6]JANUARY 2024'!$W$33</f>
        <v>16512.6821906667</v>
      </c>
      <c r="F2" s="611"/>
      <c r="G2" s="611"/>
    </row>
    <row r="3" ht="36" spans="1:7">
      <c r="A3" s="18" t="s">
        <v>90</v>
      </c>
      <c r="B3" s="12" t="s">
        <v>91</v>
      </c>
      <c r="C3" s="612" t="s">
        <v>92</v>
      </c>
      <c r="D3" s="610">
        <f>'[6]JANUARY 2024'!$R$38</f>
        <v>176816.1</v>
      </c>
      <c r="E3" s="610">
        <f>'[6]JANUARY 2024'!$W$38</f>
        <v>17042.7138666667</v>
      </c>
      <c r="F3" s="611"/>
      <c r="G3" s="611"/>
    </row>
    <row r="4" ht="25.5" customHeight="1" spans="1:7">
      <c r="A4" s="294" t="s">
        <v>518</v>
      </c>
      <c r="D4" s="610">
        <f>D3-D2</f>
        <v>3487.05050000001</v>
      </c>
      <c r="E4" s="610">
        <f>E3-E2</f>
        <v>530.031676000002</v>
      </c>
      <c r="F4" s="613">
        <f>D4-E4</f>
        <v>2957.01882400001</v>
      </c>
      <c r="G4" s="611"/>
    </row>
    <row r="5" ht="15.5" spans="4:7">
      <c r="D5" s="611"/>
      <c r="E5" s="611"/>
      <c r="F5" s="611"/>
      <c r="G5" s="611"/>
    </row>
    <row r="6" ht="15.5" spans="4:7">
      <c r="D6" s="611"/>
      <c r="E6" s="611"/>
      <c r="F6" s="611"/>
      <c r="G6" s="611"/>
    </row>
  </sheetData>
  <pageMargins left="0.7" right="0.7" top="0.75" bottom="0.75" header="0.3" footer="0.3"/>
  <pageSetup paperSize="9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6"/>
  <sheetViews>
    <sheetView zoomScaleSheetLayoutView="50" workbookViewId="0">
      <pane xSplit="3" ySplit="7" topLeftCell="D190" activePane="bottomRight" state="frozen"/>
      <selection/>
      <selection pane="topRight"/>
      <selection pane="bottomLeft"/>
      <selection pane="bottomRight" activeCell="H128" sqref="H128"/>
    </sheetView>
  </sheetViews>
  <sheetFormatPr defaultColWidth="9.13636363636364" defaultRowHeight="20.1" customHeight="1" outlineLevelCol="4"/>
  <cols>
    <col min="1" max="1" width="5.42727272727273" style="1" customWidth="1"/>
    <col min="2" max="2" width="41.8545454545455" style="1" customWidth="1"/>
    <col min="3" max="3" width="38.7090909090909" style="1" customWidth="1"/>
    <col min="4" max="4" width="11.5727272727273" style="1" customWidth="1"/>
    <col min="5" max="5" width="19.5727272727273" style="1" customWidth="1"/>
    <col min="6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609" t="s">
        <v>614</v>
      </c>
      <c r="B2" s="77"/>
      <c r="C2" s="76"/>
      <c r="D2" s="76"/>
      <c r="E2" s="216"/>
    </row>
    <row r="3" ht="9.75" customHeight="1" spans="5:5">
      <c r="E3" s="217" t="e">
        <f>'[1]FEB 08'!E11/'[1]FEB 08'!M11</f>
        <v>#REF!</v>
      </c>
    </row>
    <row r="4" ht="40.5" customHeight="1" spans="1:5">
      <c r="A4" s="4"/>
      <c r="B4" s="5" t="s">
        <v>2</v>
      </c>
      <c r="C4" s="6" t="s">
        <v>3</v>
      </c>
      <c r="D4" s="7" t="s">
        <v>4</v>
      </c>
      <c r="E4" s="357" t="s">
        <v>500</v>
      </c>
    </row>
    <row r="5" ht="17.25" customHeight="1" spans="3:5">
      <c r="C5" s="8"/>
      <c r="D5" s="8"/>
      <c r="E5" s="358" t="s">
        <v>19</v>
      </c>
    </row>
    <row r="6" customHeight="1" spans="1:5">
      <c r="A6" s="9" t="s">
        <v>20</v>
      </c>
      <c r="B6" s="8" t="s">
        <v>21</v>
      </c>
      <c r="C6" s="8"/>
      <c r="D6" s="8"/>
      <c r="E6" s="82"/>
    </row>
    <row r="7" customHeight="1" spans="1:5">
      <c r="A7" s="10">
        <v>1</v>
      </c>
      <c r="B7" s="11" t="s">
        <v>22</v>
      </c>
      <c r="C7" s="12" t="s">
        <v>23</v>
      </c>
      <c r="D7" s="12" t="s">
        <v>24</v>
      </c>
      <c r="E7" s="85">
        <v>540000</v>
      </c>
    </row>
    <row r="8" customHeight="1" spans="1:5">
      <c r="A8" s="10">
        <v>2</v>
      </c>
      <c r="B8" s="11" t="s">
        <v>25</v>
      </c>
      <c r="C8" s="12" t="s">
        <v>26</v>
      </c>
      <c r="D8" s="10" t="s">
        <v>27</v>
      </c>
      <c r="E8" s="85">
        <v>180000</v>
      </c>
    </row>
    <row r="9" customHeight="1" spans="1:5">
      <c r="A9" s="10">
        <v>3</v>
      </c>
      <c r="B9" s="14" t="s">
        <v>28</v>
      </c>
      <c r="C9" s="4" t="s">
        <v>29</v>
      </c>
      <c r="D9" s="10" t="s">
        <v>27</v>
      </c>
      <c r="E9" s="85">
        <v>180000</v>
      </c>
    </row>
    <row r="10" customHeight="1" spans="1:5">
      <c r="A10" s="10">
        <v>4</v>
      </c>
      <c r="B10" s="11" t="s">
        <v>30</v>
      </c>
      <c r="C10" s="17" t="s">
        <v>31</v>
      </c>
      <c r="D10" s="10" t="s">
        <v>27</v>
      </c>
      <c r="E10" s="85">
        <v>180000</v>
      </c>
    </row>
    <row r="11" customHeight="1" spans="1:5">
      <c r="A11" s="10">
        <v>5</v>
      </c>
      <c r="B11" s="14" t="s">
        <v>32</v>
      </c>
      <c r="C11" s="4" t="s">
        <v>33</v>
      </c>
      <c r="D11" s="10" t="s">
        <v>27</v>
      </c>
      <c r="E11" s="85">
        <v>180000</v>
      </c>
    </row>
    <row r="12" customHeight="1" spans="1:5">
      <c r="A12" s="10">
        <v>6</v>
      </c>
      <c r="B12" s="18" t="s">
        <v>576</v>
      </c>
      <c r="C12" s="10" t="s">
        <v>577</v>
      </c>
      <c r="D12" s="10" t="s">
        <v>27</v>
      </c>
      <c r="E12" s="85">
        <v>180000</v>
      </c>
    </row>
    <row r="13" customHeight="1" spans="1:5">
      <c r="A13" s="10">
        <v>7</v>
      </c>
      <c r="B13" s="11" t="s">
        <v>34</v>
      </c>
      <c r="C13" s="12" t="s">
        <v>35</v>
      </c>
      <c r="D13" s="15" t="s">
        <v>36</v>
      </c>
      <c r="E13" s="85">
        <v>126000</v>
      </c>
    </row>
    <row r="14" customHeight="1" spans="1:5">
      <c r="A14" s="10">
        <v>8</v>
      </c>
      <c r="B14" s="11" t="s">
        <v>37</v>
      </c>
      <c r="C14" s="4" t="s">
        <v>38</v>
      </c>
      <c r="D14" s="10" t="s">
        <v>39</v>
      </c>
      <c r="E14" s="85">
        <v>126000</v>
      </c>
    </row>
    <row r="15" customHeight="1" spans="1:5">
      <c r="A15" s="10">
        <v>9</v>
      </c>
      <c r="B15" s="11" t="s">
        <v>40</v>
      </c>
      <c r="C15" s="4" t="s">
        <v>41</v>
      </c>
      <c r="D15" s="15" t="s">
        <v>42</v>
      </c>
      <c r="E15" s="85">
        <v>90000</v>
      </c>
    </row>
    <row r="16" customHeight="1" spans="1:5">
      <c r="A16" s="10">
        <v>10</v>
      </c>
      <c r="B16" s="14" t="s">
        <v>43</v>
      </c>
      <c r="C16" s="17" t="s">
        <v>133</v>
      </c>
      <c r="D16" s="15" t="s">
        <v>222</v>
      </c>
      <c r="E16" s="85">
        <v>90000</v>
      </c>
    </row>
    <row r="17" customHeight="1" spans="1:5">
      <c r="A17" s="10">
        <v>11</v>
      </c>
      <c r="B17" s="11" t="s">
        <v>45</v>
      </c>
      <c r="C17" s="4" t="s">
        <v>46</v>
      </c>
      <c r="D17" s="10" t="s">
        <v>47</v>
      </c>
      <c r="E17" s="85">
        <v>90000</v>
      </c>
    </row>
    <row r="18" customHeight="1" spans="1:5">
      <c r="A18" s="10">
        <v>12</v>
      </c>
      <c r="B18" s="11" t="s">
        <v>48</v>
      </c>
      <c r="C18" s="4" t="s">
        <v>579</v>
      </c>
      <c r="D18" s="10" t="s">
        <v>192</v>
      </c>
      <c r="E18" s="85">
        <v>90000</v>
      </c>
    </row>
    <row r="19" customHeight="1" spans="1:5">
      <c r="A19" s="10">
        <v>13</v>
      </c>
      <c r="B19" s="11" t="s">
        <v>50</v>
      </c>
      <c r="C19" s="12" t="s">
        <v>51</v>
      </c>
      <c r="D19" s="15" t="s">
        <v>52</v>
      </c>
      <c r="E19" s="85">
        <v>90000</v>
      </c>
    </row>
    <row r="20" customHeight="1" spans="1:5">
      <c r="A20" s="10">
        <v>14</v>
      </c>
      <c r="B20" s="18" t="s">
        <v>53</v>
      </c>
      <c r="C20" s="4" t="s">
        <v>54</v>
      </c>
      <c r="D20" s="15" t="s">
        <v>55</v>
      </c>
      <c r="E20" s="85">
        <v>90000</v>
      </c>
    </row>
    <row r="21" ht="18.75" customHeight="1" spans="1:5">
      <c r="A21" s="10">
        <v>15</v>
      </c>
      <c r="B21" s="11" t="s">
        <v>60</v>
      </c>
      <c r="C21" s="12" t="s">
        <v>61</v>
      </c>
      <c r="D21" s="15" t="s">
        <v>62</v>
      </c>
      <c r="E21" s="85">
        <v>68000</v>
      </c>
    </row>
    <row r="22" customHeight="1" spans="1:5">
      <c r="A22" s="10">
        <v>16</v>
      </c>
      <c r="B22" s="14" t="s">
        <v>63</v>
      </c>
      <c r="C22" s="17" t="s">
        <v>64</v>
      </c>
      <c r="D22" s="10" t="s">
        <v>65</v>
      </c>
      <c r="E22" s="85">
        <v>68000</v>
      </c>
    </row>
    <row r="23" ht="21.6" customHeight="1" spans="1:5">
      <c r="A23" s="10">
        <v>17</v>
      </c>
      <c r="B23" s="11" t="s">
        <v>66</v>
      </c>
      <c r="C23" s="17" t="s">
        <v>67</v>
      </c>
      <c r="D23" s="15" t="s">
        <v>65</v>
      </c>
      <c r="E23" s="85">
        <v>68000</v>
      </c>
    </row>
    <row r="24" customHeight="1" spans="1:5">
      <c r="A24" s="10">
        <v>18</v>
      </c>
      <c r="B24" s="14" t="s">
        <v>68</v>
      </c>
      <c r="C24" s="17" t="s">
        <v>69</v>
      </c>
      <c r="D24" s="10" t="s">
        <v>70</v>
      </c>
      <c r="E24" s="85">
        <v>68000</v>
      </c>
    </row>
    <row r="25" ht="18.75" customHeight="1" spans="1:5">
      <c r="A25" s="10">
        <v>19</v>
      </c>
      <c r="B25" s="4" t="s">
        <v>73</v>
      </c>
      <c r="C25" s="4" t="s">
        <v>74</v>
      </c>
      <c r="D25" s="10" t="s">
        <v>75</v>
      </c>
      <c r="E25" s="85">
        <v>54000</v>
      </c>
    </row>
    <row r="26" ht="18.75" customHeight="1" spans="1:5">
      <c r="A26" s="10">
        <v>20</v>
      </c>
      <c r="B26" s="18" t="s">
        <v>76</v>
      </c>
      <c r="C26" s="12" t="s">
        <v>74</v>
      </c>
      <c r="D26" s="15" t="s">
        <v>75</v>
      </c>
      <c r="E26" s="85">
        <v>54000</v>
      </c>
    </row>
    <row r="27" customHeight="1" spans="1:5">
      <c r="A27" s="10">
        <v>21</v>
      </c>
      <c r="B27" s="11" t="s">
        <v>77</v>
      </c>
      <c r="C27" s="17" t="s">
        <v>64</v>
      </c>
      <c r="D27" s="10" t="s">
        <v>75</v>
      </c>
      <c r="E27" s="85">
        <v>54000</v>
      </c>
    </row>
    <row r="28" ht="18.75" customHeight="1" spans="1:5">
      <c r="A28" s="10">
        <v>22</v>
      </c>
      <c r="B28" s="18" t="s">
        <v>78</v>
      </c>
      <c r="C28" s="12" t="s">
        <v>79</v>
      </c>
      <c r="D28" s="15" t="s">
        <v>80</v>
      </c>
      <c r="E28" s="85">
        <v>54000</v>
      </c>
    </row>
    <row r="29" ht="18.75" customHeight="1" spans="1:5">
      <c r="A29" s="10">
        <v>23</v>
      </c>
      <c r="B29" s="18" t="s">
        <v>81</v>
      </c>
      <c r="C29" s="4" t="s">
        <v>82</v>
      </c>
      <c r="D29" s="10" t="s">
        <v>83</v>
      </c>
      <c r="E29" s="85">
        <v>54000</v>
      </c>
    </row>
    <row r="30" ht="18.75" customHeight="1" spans="1:5">
      <c r="A30" s="10">
        <v>24</v>
      </c>
      <c r="B30" s="18" t="s">
        <v>84</v>
      </c>
      <c r="C30" s="4" t="s">
        <v>82</v>
      </c>
      <c r="D30" s="10" t="s">
        <v>83</v>
      </c>
      <c r="E30" s="85">
        <v>54000</v>
      </c>
    </row>
    <row r="31" ht="18.75" customHeight="1" spans="1:5">
      <c r="A31" s="10">
        <v>25</v>
      </c>
      <c r="B31" s="18" t="s">
        <v>85</v>
      </c>
      <c r="C31" s="17" t="s">
        <v>86</v>
      </c>
      <c r="D31" s="15" t="s">
        <v>75</v>
      </c>
      <c r="E31" s="85">
        <v>54000</v>
      </c>
    </row>
    <row r="32" ht="18.75" customHeight="1" spans="1:5">
      <c r="A32" s="10">
        <v>26</v>
      </c>
      <c r="B32" s="18" t="s">
        <v>88</v>
      </c>
      <c r="C32" s="4" t="s">
        <v>89</v>
      </c>
      <c r="D32" s="10" t="s">
        <v>171</v>
      </c>
      <c r="E32" s="85">
        <v>54000</v>
      </c>
    </row>
    <row r="33" ht="18.75" customHeight="1" spans="1:5">
      <c r="A33" s="10">
        <v>27</v>
      </c>
      <c r="B33" s="18" t="s">
        <v>90</v>
      </c>
      <c r="C33" s="12" t="s">
        <v>91</v>
      </c>
      <c r="D33" s="15" t="s">
        <v>92</v>
      </c>
      <c r="E33" s="85">
        <v>54000</v>
      </c>
    </row>
    <row r="34" ht="26.25" customHeight="1" spans="1:5">
      <c r="A34" s="10"/>
      <c r="B34" s="20" t="s">
        <v>96</v>
      </c>
      <c r="C34" s="21">
        <v>27</v>
      </c>
      <c r="D34" s="15"/>
      <c r="E34" s="221">
        <f>SUM(E7:E33)</f>
        <v>2990000</v>
      </c>
    </row>
    <row r="35" ht="18.75" customHeight="1" spans="1:5">
      <c r="A35" s="10"/>
      <c r="B35" s="22"/>
      <c r="C35" s="4"/>
      <c r="D35" s="15"/>
      <c r="E35" s="221"/>
    </row>
    <row r="36" ht="18.75" customHeight="1" spans="1:5">
      <c r="A36" s="10"/>
      <c r="B36" s="20" t="s">
        <v>97</v>
      </c>
      <c r="C36" s="4"/>
      <c r="D36" s="15"/>
      <c r="E36" s="85"/>
    </row>
    <row r="37" ht="18.75" customHeight="1" spans="1:5">
      <c r="A37" s="10">
        <v>1</v>
      </c>
      <c r="B37" s="18" t="s">
        <v>98</v>
      </c>
      <c r="C37" s="4" t="s">
        <v>99</v>
      </c>
      <c r="D37" s="10" t="s">
        <v>100</v>
      </c>
      <c r="E37" s="85">
        <v>270000</v>
      </c>
    </row>
    <row r="38" ht="18.75" customHeight="1" spans="1:5">
      <c r="A38" s="10">
        <v>2</v>
      </c>
      <c r="B38" s="18" t="s">
        <v>101</v>
      </c>
      <c r="C38" s="4" t="s">
        <v>615</v>
      </c>
      <c r="D38" s="10" t="s">
        <v>70</v>
      </c>
      <c r="E38" s="85">
        <v>68000</v>
      </c>
    </row>
    <row r="39" ht="18.75" customHeight="1" spans="1:5">
      <c r="A39" s="10">
        <v>3</v>
      </c>
      <c r="B39" s="11" t="s">
        <v>103</v>
      </c>
      <c r="C39" s="12" t="s">
        <v>612</v>
      </c>
      <c r="D39" s="15" t="s">
        <v>104</v>
      </c>
      <c r="E39" s="85">
        <v>68000</v>
      </c>
    </row>
    <row r="40" ht="19.5" customHeight="1" spans="1:5">
      <c r="A40" s="10"/>
      <c r="B40" s="14"/>
      <c r="C40" s="21">
        <v>3</v>
      </c>
      <c r="D40" s="10"/>
      <c r="E40" s="221">
        <f>SUM(E37:E39)</f>
        <v>406000</v>
      </c>
    </row>
    <row r="41" customHeight="1" spans="1:5">
      <c r="A41" s="10"/>
      <c r="B41" s="14"/>
      <c r="C41" s="4"/>
      <c r="D41" s="10"/>
      <c r="E41" s="221"/>
    </row>
    <row r="42" customHeight="1" spans="1:5">
      <c r="A42" s="10"/>
      <c r="B42" s="23" t="s">
        <v>107</v>
      </c>
      <c r="C42" s="5"/>
      <c r="D42" s="24"/>
      <c r="E42" s="221"/>
    </row>
    <row r="43" customHeight="1" spans="1:5">
      <c r="A43" s="10">
        <v>1</v>
      </c>
      <c r="B43" s="11" t="s">
        <v>501</v>
      </c>
      <c r="C43" s="4" t="s">
        <v>502</v>
      </c>
      <c r="D43" s="10" t="s">
        <v>100</v>
      </c>
      <c r="E43" s="85">
        <v>270000</v>
      </c>
    </row>
    <row r="44" customHeight="1" spans="1:5">
      <c r="A44" s="10">
        <v>2</v>
      </c>
      <c r="B44" s="11" t="s">
        <v>491</v>
      </c>
      <c r="C44" s="4" t="s">
        <v>44</v>
      </c>
      <c r="D44" s="10" t="s">
        <v>36</v>
      </c>
      <c r="E44" s="85">
        <v>126000</v>
      </c>
    </row>
    <row r="45" customHeight="1" spans="1:5">
      <c r="A45" s="10">
        <v>3</v>
      </c>
      <c r="B45" s="11" t="s">
        <v>108</v>
      </c>
      <c r="C45" s="4" t="s">
        <v>109</v>
      </c>
      <c r="D45" s="10" t="s">
        <v>110</v>
      </c>
      <c r="E45" s="85">
        <v>180000</v>
      </c>
    </row>
    <row r="46" customHeight="1" spans="1:5">
      <c r="A46" s="10">
        <v>4</v>
      </c>
      <c r="B46" s="11" t="s">
        <v>111</v>
      </c>
      <c r="C46" s="4" t="s">
        <v>112</v>
      </c>
      <c r="D46" s="10" t="s">
        <v>36</v>
      </c>
      <c r="E46" s="85">
        <v>126000</v>
      </c>
    </row>
    <row r="47" customHeight="1" spans="1:5">
      <c r="A47" s="10">
        <v>5</v>
      </c>
      <c r="B47" s="11" t="s">
        <v>113</v>
      </c>
      <c r="C47" s="4" t="s">
        <v>112</v>
      </c>
      <c r="D47" s="10" t="s">
        <v>36</v>
      </c>
      <c r="E47" s="85">
        <v>126000</v>
      </c>
    </row>
    <row r="48" customHeight="1" spans="1:5">
      <c r="A48" s="10">
        <v>6</v>
      </c>
      <c r="B48" s="11" t="s">
        <v>114</v>
      </c>
      <c r="C48" s="4" t="s">
        <v>112</v>
      </c>
      <c r="D48" s="10" t="s">
        <v>39</v>
      </c>
      <c r="E48" s="85">
        <v>126000</v>
      </c>
    </row>
    <row r="49" customHeight="1" spans="1:5">
      <c r="A49" s="10">
        <v>7</v>
      </c>
      <c r="B49" s="14" t="s">
        <v>115</v>
      </c>
      <c r="C49" s="4" t="s">
        <v>133</v>
      </c>
      <c r="D49" s="16" t="s">
        <v>222</v>
      </c>
      <c r="E49" s="85">
        <v>90000</v>
      </c>
    </row>
    <row r="50" customHeight="1" spans="1:5">
      <c r="A50" s="10">
        <v>8</v>
      </c>
      <c r="B50" s="11" t="s">
        <v>116</v>
      </c>
      <c r="C50" s="4" t="s">
        <v>117</v>
      </c>
      <c r="D50" s="10" t="s">
        <v>104</v>
      </c>
      <c r="E50" s="85">
        <v>68000</v>
      </c>
    </row>
    <row r="51" customHeight="1" spans="1:5">
      <c r="A51" s="10">
        <v>9</v>
      </c>
      <c r="B51" s="11" t="s">
        <v>118</v>
      </c>
      <c r="C51" s="4" t="s">
        <v>117</v>
      </c>
      <c r="D51" s="10" t="s">
        <v>80</v>
      </c>
      <c r="E51" s="85">
        <v>54000</v>
      </c>
    </row>
    <row r="52" customHeight="1" spans="1:5">
      <c r="A52" s="10">
        <v>10</v>
      </c>
      <c r="B52" s="11" t="s">
        <v>580</v>
      </c>
      <c r="C52" s="4" t="s">
        <v>117</v>
      </c>
      <c r="D52" s="10" t="s">
        <v>80</v>
      </c>
      <c r="E52" s="85">
        <v>54000</v>
      </c>
    </row>
    <row r="53" customHeight="1" spans="1:5">
      <c r="A53" s="10">
        <v>11</v>
      </c>
      <c r="B53" s="11" t="s">
        <v>119</v>
      </c>
      <c r="C53" s="4" t="s">
        <v>117</v>
      </c>
      <c r="D53" s="10" t="s">
        <v>80</v>
      </c>
      <c r="E53" s="85">
        <v>54000</v>
      </c>
    </row>
    <row r="54" ht="25.5" customHeight="1" spans="1:5">
      <c r="A54" s="10"/>
      <c r="B54" s="20" t="s">
        <v>96</v>
      </c>
      <c r="C54" s="21">
        <v>11</v>
      </c>
      <c r="D54" s="21"/>
      <c r="E54" s="93">
        <f>SUM(E43:E53)</f>
        <v>1274000</v>
      </c>
    </row>
    <row r="55" customHeight="1" spans="1:5">
      <c r="A55" s="10"/>
      <c r="B55" s="22"/>
      <c r="C55" s="21"/>
      <c r="D55" s="21"/>
      <c r="E55" s="146"/>
    </row>
    <row r="56" customHeight="1" spans="1:5">
      <c r="A56" s="10"/>
      <c r="B56" s="20" t="s">
        <v>120</v>
      </c>
      <c r="C56" s="21"/>
      <c r="D56" s="21"/>
      <c r="E56" s="146"/>
    </row>
    <row r="57" customHeight="1" spans="1:5">
      <c r="A57" s="10">
        <v>1</v>
      </c>
      <c r="B57" s="11" t="s">
        <v>503</v>
      </c>
      <c r="C57" s="12" t="s">
        <v>122</v>
      </c>
      <c r="D57" s="15" t="s">
        <v>100</v>
      </c>
      <c r="E57" s="85">
        <v>270000</v>
      </c>
    </row>
    <row r="58" customHeight="1" spans="1:5">
      <c r="A58" s="10">
        <v>2</v>
      </c>
      <c r="B58" s="11" t="s">
        <v>123</v>
      </c>
      <c r="C58" s="12" t="s">
        <v>124</v>
      </c>
      <c r="D58" s="15" t="s">
        <v>125</v>
      </c>
      <c r="E58" s="85">
        <v>126000</v>
      </c>
    </row>
    <row r="59" customHeight="1" spans="1:5">
      <c r="A59" s="10"/>
      <c r="B59" s="20" t="s">
        <v>96</v>
      </c>
      <c r="C59" s="21">
        <v>2</v>
      </c>
      <c r="D59" s="21"/>
      <c r="E59" s="93">
        <f>SUM(E57:E58)</f>
        <v>396000</v>
      </c>
    </row>
    <row r="60" customHeight="1" spans="1:5">
      <c r="A60" s="10"/>
      <c r="B60" s="20"/>
      <c r="C60" s="21"/>
      <c r="D60" s="21"/>
      <c r="E60" s="146"/>
    </row>
    <row r="61" customHeight="1" spans="1:5">
      <c r="A61" s="10"/>
      <c r="B61" s="20" t="s">
        <v>126</v>
      </c>
      <c r="C61" s="21"/>
      <c r="D61" s="21"/>
      <c r="E61" s="146"/>
    </row>
    <row r="62" customHeight="1" spans="1:5">
      <c r="A62" s="10">
        <v>1</v>
      </c>
      <c r="B62" s="11" t="s">
        <v>127</v>
      </c>
      <c r="C62" s="17" t="s">
        <v>128</v>
      </c>
      <c r="D62" s="10" t="s">
        <v>100</v>
      </c>
      <c r="E62" s="85">
        <v>270000</v>
      </c>
    </row>
    <row r="63" customHeight="1" spans="1:5">
      <c r="A63" s="10">
        <v>2</v>
      </c>
      <c r="B63" s="351" t="s">
        <v>129</v>
      </c>
      <c r="C63" s="17" t="s">
        <v>130</v>
      </c>
      <c r="D63" s="15" t="s">
        <v>131</v>
      </c>
      <c r="E63" s="85">
        <v>126000</v>
      </c>
    </row>
    <row r="64" customHeight="1" spans="1:5">
      <c r="A64" s="10">
        <v>3</v>
      </c>
      <c r="B64" s="11" t="s">
        <v>132</v>
      </c>
      <c r="C64" s="4" t="s">
        <v>133</v>
      </c>
      <c r="D64" s="10" t="s">
        <v>47</v>
      </c>
      <c r="E64" s="85">
        <v>90000</v>
      </c>
    </row>
    <row r="65" customHeight="1" spans="1:5">
      <c r="A65" s="10">
        <v>4</v>
      </c>
      <c r="B65" s="18" t="s">
        <v>486</v>
      </c>
      <c r="C65" s="17" t="s">
        <v>165</v>
      </c>
      <c r="D65" s="15" t="s">
        <v>52</v>
      </c>
      <c r="E65" s="85">
        <v>90000</v>
      </c>
    </row>
    <row r="66" customHeight="1" spans="1:5">
      <c r="A66" s="10">
        <v>5</v>
      </c>
      <c r="B66" s="14" t="s">
        <v>519</v>
      </c>
      <c r="C66" s="17" t="s">
        <v>133</v>
      </c>
      <c r="D66" s="15" t="s">
        <v>42</v>
      </c>
      <c r="E66" s="85">
        <v>90000</v>
      </c>
    </row>
    <row r="67" customHeight="1" spans="1:5">
      <c r="A67" s="10">
        <v>7</v>
      </c>
      <c r="B67" s="11" t="s">
        <v>134</v>
      </c>
      <c r="C67" s="4" t="s">
        <v>117</v>
      </c>
      <c r="D67" s="10" t="s">
        <v>135</v>
      </c>
      <c r="E67" s="85">
        <v>68000</v>
      </c>
    </row>
    <row r="68" customHeight="1" spans="1:5">
      <c r="A68" s="10">
        <v>8</v>
      </c>
      <c r="B68" s="11" t="s">
        <v>136</v>
      </c>
      <c r="C68" s="17" t="s">
        <v>67</v>
      </c>
      <c r="D68" s="10" t="s">
        <v>135</v>
      </c>
      <c r="E68" s="85">
        <v>68000</v>
      </c>
    </row>
    <row r="69" customHeight="1" spans="1:5">
      <c r="A69" s="10">
        <v>9</v>
      </c>
      <c r="B69" s="11" t="s">
        <v>137</v>
      </c>
      <c r="C69" s="17" t="s">
        <v>67</v>
      </c>
      <c r="D69" s="10" t="s">
        <v>135</v>
      </c>
      <c r="E69" s="85">
        <v>68000</v>
      </c>
    </row>
    <row r="70" customHeight="1" spans="1:5">
      <c r="A70" s="10">
        <v>10</v>
      </c>
      <c r="B70" s="11" t="s">
        <v>138</v>
      </c>
      <c r="C70" s="4" t="s">
        <v>139</v>
      </c>
      <c r="D70" s="10" t="s">
        <v>62</v>
      </c>
      <c r="E70" s="85">
        <v>68000</v>
      </c>
    </row>
    <row r="71" ht="21.6" customHeight="1" spans="1:5">
      <c r="A71" s="10">
        <v>11</v>
      </c>
      <c r="B71" s="11" t="s">
        <v>140</v>
      </c>
      <c r="C71" s="4" t="s">
        <v>117</v>
      </c>
      <c r="D71" s="10" t="s">
        <v>104</v>
      </c>
      <c r="E71" s="85">
        <v>68000</v>
      </c>
    </row>
    <row r="72" ht="27" customHeight="1" spans="1:5">
      <c r="A72" s="10"/>
      <c r="B72" s="20" t="s">
        <v>96</v>
      </c>
      <c r="C72" s="21">
        <v>11</v>
      </c>
      <c r="D72" s="21"/>
      <c r="E72" s="93">
        <f>SUM(E62:E71)</f>
        <v>1006000</v>
      </c>
    </row>
    <row r="73" customHeight="1" spans="1:5">
      <c r="A73" s="10"/>
      <c r="B73" s="22"/>
      <c r="C73" s="21"/>
      <c r="D73" s="21"/>
      <c r="E73" s="146"/>
    </row>
    <row r="74" customHeight="1" spans="1:5">
      <c r="A74" s="10"/>
      <c r="B74" s="20" t="s">
        <v>141</v>
      </c>
      <c r="C74" s="21"/>
      <c r="D74" s="21"/>
      <c r="E74" s="146"/>
    </row>
    <row r="75" customHeight="1" spans="1:5">
      <c r="A75" s="10">
        <v>1</v>
      </c>
      <c r="B75" s="11" t="s">
        <v>142</v>
      </c>
      <c r="C75" s="4" t="s">
        <v>143</v>
      </c>
      <c r="D75" s="10" t="s">
        <v>100</v>
      </c>
      <c r="E75" s="85">
        <v>270000</v>
      </c>
    </row>
    <row r="76" customHeight="1" spans="1:5">
      <c r="A76" s="10">
        <v>2</v>
      </c>
      <c r="B76" s="14" t="s">
        <v>520</v>
      </c>
      <c r="C76" s="4" t="s">
        <v>572</v>
      </c>
      <c r="D76" s="15" t="s">
        <v>573</v>
      </c>
      <c r="E76" s="85">
        <v>126000</v>
      </c>
    </row>
    <row r="77" customHeight="1" spans="1:5">
      <c r="A77" s="10">
        <v>3</v>
      </c>
      <c r="B77" s="18" t="s">
        <v>521</v>
      </c>
      <c r="C77" s="12" t="s">
        <v>574</v>
      </c>
      <c r="D77" s="10" t="s">
        <v>125</v>
      </c>
      <c r="E77" s="85">
        <v>126000</v>
      </c>
    </row>
    <row r="78" customHeight="1" spans="1:5">
      <c r="A78" s="10">
        <v>4</v>
      </c>
      <c r="B78" s="11" t="s">
        <v>146</v>
      </c>
      <c r="C78" s="4" t="s">
        <v>147</v>
      </c>
      <c r="D78" s="15" t="s">
        <v>148</v>
      </c>
      <c r="E78" s="85">
        <v>90000</v>
      </c>
    </row>
    <row r="79" customHeight="1" spans="1:5">
      <c r="A79" s="10">
        <v>5</v>
      </c>
      <c r="B79" s="11" t="s">
        <v>149</v>
      </c>
      <c r="C79" s="4" t="s">
        <v>152</v>
      </c>
      <c r="D79" s="10" t="s">
        <v>265</v>
      </c>
      <c r="E79" s="85">
        <v>68000</v>
      </c>
    </row>
    <row r="80" customHeight="1" spans="1:5">
      <c r="A80" s="10">
        <v>6</v>
      </c>
      <c r="B80" s="11" t="s">
        <v>151</v>
      </c>
      <c r="C80" s="4" t="s">
        <v>152</v>
      </c>
      <c r="D80" s="10" t="s">
        <v>80</v>
      </c>
      <c r="E80" s="85">
        <v>54000</v>
      </c>
    </row>
    <row r="81" customHeight="1" spans="1:5">
      <c r="A81" s="10">
        <v>7</v>
      </c>
      <c r="B81" s="11" t="s">
        <v>153</v>
      </c>
      <c r="C81" s="4" t="s">
        <v>154</v>
      </c>
      <c r="D81" s="10" t="s">
        <v>92</v>
      </c>
      <c r="E81" s="85">
        <v>54000</v>
      </c>
    </row>
    <row r="82" customHeight="1" spans="1:5">
      <c r="A82" s="10"/>
      <c r="B82" s="20" t="s">
        <v>96</v>
      </c>
      <c r="C82" s="21">
        <v>7</v>
      </c>
      <c r="D82" s="21"/>
      <c r="E82" s="93">
        <f>SUM(E75:E81)</f>
        <v>788000</v>
      </c>
    </row>
    <row r="83" customHeight="1" spans="1:5">
      <c r="A83" s="10"/>
      <c r="B83" s="20"/>
      <c r="C83" s="21"/>
      <c r="D83" s="21"/>
      <c r="E83" s="146"/>
    </row>
    <row r="84" customHeight="1" spans="1:5">
      <c r="A84" s="10"/>
      <c r="B84" s="20" t="s">
        <v>155</v>
      </c>
      <c r="C84" s="25"/>
      <c r="D84" s="21"/>
      <c r="E84" s="146"/>
    </row>
    <row r="85" customHeight="1" spans="1:5">
      <c r="A85" s="10">
        <v>1</v>
      </c>
      <c r="B85" s="11" t="s">
        <v>156</v>
      </c>
      <c r="C85" s="4" t="s">
        <v>112</v>
      </c>
      <c r="D85" s="10" t="s">
        <v>36</v>
      </c>
      <c r="E85" s="85">
        <v>126000</v>
      </c>
    </row>
    <row r="86" customHeight="1" spans="1:5">
      <c r="A86" s="10">
        <v>2</v>
      </c>
      <c r="B86" s="11" t="s">
        <v>157</v>
      </c>
      <c r="C86" s="4" t="s">
        <v>112</v>
      </c>
      <c r="D86" s="10" t="s">
        <v>36</v>
      </c>
      <c r="E86" s="85">
        <v>126000</v>
      </c>
    </row>
    <row r="87" customHeight="1" spans="1:5">
      <c r="A87" s="10">
        <v>3</v>
      </c>
      <c r="B87" s="11" t="s">
        <v>158</v>
      </c>
      <c r="C87" s="4" t="s">
        <v>112</v>
      </c>
      <c r="D87" s="10" t="s">
        <v>39</v>
      </c>
      <c r="E87" s="85">
        <v>126000</v>
      </c>
    </row>
    <row r="88" ht="21.6" customHeight="1" spans="1:5">
      <c r="A88" s="10">
        <v>4</v>
      </c>
      <c r="B88" s="11" t="s">
        <v>159</v>
      </c>
      <c r="C88" s="4" t="s">
        <v>483</v>
      </c>
      <c r="D88" s="15" t="s">
        <v>192</v>
      </c>
      <c r="E88" s="85">
        <v>90000</v>
      </c>
    </row>
    <row r="89" ht="21.6" customHeight="1" spans="1:5">
      <c r="A89" s="10">
        <v>5</v>
      </c>
      <c r="B89" s="11" t="s">
        <v>160</v>
      </c>
      <c r="C89" s="12" t="s">
        <v>165</v>
      </c>
      <c r="D89" s="15" t="s">
        <v>52</v>
      </c>
      <c r="E89" s="85">
        <v>90000</v>
      </c>
    </row>
    <row r="90" ht="21.6" customHeight="1" spans="1:5">
      <c r="A90" s="10">
        <v>6</v>
      </c>
      <c r="B90" s="11" t="s">
        <v>161</v>
      </c>
      <c r="C90" s="12" t="s">
        <v>133</v>
      </c>
      <c r="D90" s="15" t="s">
        <v>162</v>
      </c>
      <c r="E90" s="85">
        <v>90000</v>
      </c>
    </row>
    <row r="91" ht="21.6" customHeight="1" spans="1:5">
      <c r="A91" s="10">
        <v>7</v>
      </c>
      <c r="B91" s="11" t="s">
        <v>163</v>
      </c>
      <c r="C91" s="17" t="s">
        <v>67</v>
      </c>
      <c r="D91" s="15" t="s">
        <v>135</v>
      </c>
      <c r="E91" s="85">
        <v>68000</v>
      </c>
    </row>
    <row r="92" ht="21.6" customHeight="1" spans="1:5">
      <c r="A92" s="10">
        <v>8</v>
      </c>
      <c r="B92" s="11" t="s">
        <v>164</v>
      </c>
      <c r="C92" s="17" t="s">
        <v>165</v>
      </c>
      <c r="D92" s="15" t="s">
        <v>166</v>
      </c>
      <c r="E92" s="85">
        <v>90000</v>
      </c>
    </row>
    <row r="93" ht="21.6" customHeight="1" spans="1:5">
      <c r="A93" s="10">
        <v>9</v>
      </c>
      <c r="B93" s="11" t="s">
        <v>167</v>
      </c>
      <c r="C93" s="4" t="s">
        <v>168</v>
      </c>
      <c r="D93" s="10" t="s">
        <v>104</v>
      </c>
      <c r="E93" s="220">
        <v>66000</v>
      </c>
    </row>
    <row r="94" ht="21.6" customHeight="1" spans="1:5">
      <c r="A94" s="10">
        <v>10</v>
      </c>
      <c r="B94" s="11" t="s">
        <v>169</v>
      </c>
      <c r="C94" s="17" t="s">
        <v>170</v>
      </c>
      <c r="D94" s="15" t="s">
        <v>171</v>
      </c>
      <c r="E94" s="220">
        <v>54000</v>
      </c>
    </row>
    <row r="95" customHeight="1" spans="1:5">
      <c r="A95" s="10"/>
      <c r="B95" s="20" t="s">
        <v>96</v>
      </c>
      <c r="C95" s="21">
        <v>10</v>
      </c>
      <c r="D95" s="21"/>
      <c r="E95" s="93">
        <f>SUM(E85:E94)</f>
        <v>926000</v>
      </c>
    </row>
    <row r="96" customHeight="1" spans="1:5">
      <c r="A96" s="10"/>
      <c r="B96" s="22"/>
      <c r="C96" s="21"/>
      <c r="D96" s="21"/>
      <c r="E96" s="146"/>
    </row>
    <row r="97" customHeight="1" spans="1:5">
      <c r="A97" s="10"/>
      <c r="B97" s="20" t="s">
        <v>172</v>
      </c>
      <c r="C97" s="21"/>
      <c r="D97" s="21"/>
      <c r="E97" s="146"/>
    </row>
    <row r="98" customHeight="1" spans="1:5">
      <c r="A98" s="10">
        <v>1</v>
      </c>
      <c r="B98" s="14" t="s">
        <v>173</v>
      </c>
      <c r="C98" s="4" t="s">
        <v>174</v>
      </c>
      <c r="D98" s="16" t="s">
        <v>175</v>
      </c>
      <c r="E98" s="85">
        <v>270000</v>
      </c>
    </row>
    <row r="99" customHeight="1" spans="1:5">
      <c r="A99" s="10">
        <v>2</v>
      </c>
      <c r="B99" s="11" t="s">
        <v>176</v>
      </c>
      <c r="C99" s="4" t="s">
        <v>177</v>
      </c>
      <c r="D99" s="15" t="s">
        <v>148</v>
      </c>
      <c r="E99" s="85">
        <v>90000</v>
      </c>
    </row>
    <row r="100" customHeight="1" spans="1:5">
      <c r="A100" s="10">
        <v>3</v>
      </c>
      <c r="B100" s="11" t="s">
        <v>180</v>
      </c>
      <c r="C100" s="4" t="s">
        <v>181</v>
      </c>
      <c r="D100" s="15" t="s">
        <v>62</v>
      </c>
      <c r="E100" s="85">
        <v>68000</v>
      </c>
    </row>
    <row r="101" customHeight="1" spans="1:5">
      <c r="A101" s="10">
        <v>4</v>
      </c>
      <c r="B101" s="11" t="s">
        <v>182</v>
      </c>
      <c r="C101" s="4" t="s">
        <v>183</v>
      </c>
      <c r="D101" s="15" t="s">
        <v>104</v>
      </c>
      <c r="E101" s="85">
        <v>68000</v>
      </c>
    </row>
    <row r="102" customHeight="1" spans="1:5">
      <c r="A102" s="4"/>
      <c r="B102" s="20" t="s">
        <v>96</v>
      </c>
      <c r="C102" s="21">
        <v>4</v>
      </c>
      <c r="D102" s="26"/>
      <c r="E102" s="93">
        <f>SUM(E98:E101)</f>
        <v>496000</v>
      </c>
    </row>
    <row r="103" customHeight="1" spans="1:5">
      <c r="A103" s="4"/>
      <c r="B103" s="22"/>
      <c r="C103" s="21"/>
      <c r="D103" s="26"/>
      <c r="E103" s="146"/>
    </row>
    <row r="104" customHeight="1" spans="1:5">
      <c r="A104" s="4"/>
      <c r="B104" s="20" t="s">
        <v>184</v>
      </c>
      <c r="C104" s="4"/>
      <c r="D104" s="4"/>
      <c r="E104" s="4"/>
    </row>
    <row r="105" customHeight="1" spans="1:5">
      <c r="A105" s="4">
        <v>1</v>
      </c>
      <c r="B105" s="11" t="s">
        <v>185</v>
      </c>
      <c r="C105" s="12" t="s">
        <v>186</v>
      </c>
      <c r="D105" s="15" t="s">
        <v>100</v>
      </c>
      <c r="E105" s="85">
        <v>270000</v>
      </c>
    </row>
    <row r="106" customHeight="1" spans="1:5">
      <c r="A106" s="4">
        <v>2</v>
      </c>
      <c r="B106" s="11" t="s">
        <v>187</v>
      </c>
      <c r="C106" s="4" t="s">
        <v>188</v>
      </c>
      <c r="D106" s="16" t="s">
        <v>189</v>
      </c>
      <c r="E106" s="85">
        <v>180000</v>
      </c>
    </row>
    <row r="107" customHeight="1" spans="1:5">
      <c r="A107" s="4">
        <v>3</v>
      </c>
      <c r="B107" s="11" t="s">
        <v>190</v>
      </c>
      <c r="C107" s="4" t="s">
        <v>191</v>
      </c>
      <c r="D107" s="10" t="s">
        <v>192</v>
      </c>
      <c r="E107" s="85">
        <v>90000</v>
      </c>
    </row>
    <row r="108" customHeight="1" spans="1:5">
      <c r="A108" s="4">
        <v>4</v>
      </c>
      <c r="B108" s="11" t="s">
        <v>193</v>
      </c>
      <c r="C108" s="4" t="s">
        <v>191</v>
      </c>
      <c r="D108" s="10" t="s">
        <v>192</v>
      </c>
      <c r="E108" s="85">
        <v>90000</v>
      </c>
    </row>
    <row r="109" customHeight="1" spans="1:5">
      <c r="A109" s="4">
        <v>5</v>
      </c>
      <c r="B109" s="11" t="s">
        <v>194</v>
      </c>
      <c r="C109" s="4" t="s">
        <v>195</v>
      </c>
      <c r="D109" s="15" t="s">
        <v>196</v>
      </c>
      <c r="E109" s="220">
        <v>54000</v>
      </c>
    </row>
    <row r="110" customHeight="1" spans="1:5">
      <c r="A110" s="4">
        <v>6</v>
      </c>
      <c r="B110" s="18" t="s">
        <v>197</v>
      </c>
      <c r="C110" s="4" t="s">
        <v>195</v>
      </c>
      <c r="D110" s="10" t="s">
        <v>198</v>
      </c>
      <c r="E110" s="220">
        <v>54000</v>
      </c>
    </row>
    <row r="111" customHeight="1" spans="1:5">
      <c r="A111" s="4">
        <v>7</v>
      </c>
      <c r="B111" s="18" t="s">
        <v>199</v>
      </c>
      <c r="C111" s="4" t="s">
        <v>195</v>
      </c>
      <c r="D111" s="15" t="s">
        <v>171</v>
      </c>
      <c r="E111" s="220">
        <v>54000</v>
      </c>
    </row>
    <row r="112" ht="25.5" customHeight="1" spans="1:5">
      <c r="A112" s="4"/>
      <c r="B112" s="20" t="s">
        <v>96</v>
      </c>
      <c r="C112" s="21">
        <v>7</v>
      </c>
      <c r="D112" s="4"/>
      <c r="E112" s="223">
        <f>SUM(E105:E111)</f>
        <v>792000</v>
      </c>
    </row>
    <row r="113" customHeight="1" spans="1:5">
      <c r="A113" s="4"/>
      <c r="B113" s="20"/>
      <c r="C113" s="21"/>
      <c r="D113" s="4"/>
      <c r="E113" s="223"/>
    </row>
    <row r="114" customHeight="1" spans="1:5">
      <c r="A114" s="10"/>
      <c r="B114" s="20" t="s">
        <v>200</v>
      </c>
      <c r="C114" s="21"/>
      <c r="D114" s="21"/>
      <c r="E114" s="146"/>
    </row>
    <row r="115" customHeight="1" spans="1:5">
      <c r="A115" s="10">
        <v>1</v>
      </c>
      <c r="B115" s="14" t="s">
        <v>201</v>
      </c>
      <c r="C115" s="4" t="s">
        <v>112</v>
      </c>
      <c r="D115" s="10" t="s">
        <v>131</v>
      </c>
      <c r="E115" s="85">
        <v>126000</v>
      </c>
    </row>
    <row r="116" ht="18.75" customHeight="1" spans="1:5">
      <c r="A116" s="10">
        <v>2</v>
      </c>
      <c r="B116" s="11" t="s">
        <v>202</v>
      </c>
      <c r="C116" s="4" t="s">
        <v>203</v>
      </c>
      <c r="D116" s="15" t="s">
        <v>62</v>
      </c>
      <c r="E116" s="85">
        <v>68000</v>
      </c>
    </row>
    <row r="117" customHeight="1" spans="1:5">
      <c r="A117" s="10">
        <v>3</v>
      </c>
      <c r="B117" s="11" t="s">
        <v>204</v>
      </c>
      <c r="C117" s="12" t="s">
        <v>581</v>
      </c>
      <c r="D117" s="15" t="s">
        <v>253</v>
      </c>
      <c r="E117" s="85">
        <v>68000</v>
      </c>
    </row>
    <row r="118" ht="24.75" customHeight="1" spans="1:5">
      <c r="A118" s="4"/>
      <c r="B118" s="20" t="s">
        <v>96</v>
      </c>
      <c r="C118" s="21">
        <v>3</v>
      </c>
      <c r="D118" s="26"/>
      <c r="E118" s="93">
        <f>SUM(E115:E117)</f>
        <v>262000</v>
      </c>
    </row>
    <row r="119" customHeight="1" spans="1:5">
      <c r="A119" s="4"/>
      <c r="B119" s="22"/>
      <c r="C119" s="10"/>
      <c r="D119" s="4"/>
      <c r="E119" s="224"/>
    </row>
    <row r="120" customHeight="1" spans="1:5">
      <c r="A120" s="4"/>
      <c r="B120" s="20" t="s">
        <v>213</v>
      </c>
      <c r="C120" s="21"/>
      <c r="D120" s="21"/>
      <c r="E120" s="146"/>
    </row>
    <row r="121" customHeight="1" spans="1:5">
      <c r="A121" s="4">
        <v>1</v>
      </c>
      <c r="B121" s="11" t="s">
        <v>214</v>
      </c>
      <c r="C121" s="12" t="s">
        <v>215</v>
      </c>
      <c r="D121" s="15" t="s">
        <v>100</v>
      </c>
      <c r="E121" s="85">
        <v>270000</v>
      </c>
    </row>
    <row r="122" customHeight="1" spans="1:5">
      <c r="A122" s="4">
        <v>2</v>
      </c>
      <c r="B122" s="11" t="s">
        <v>216</v>
      </c>
      <c r="C122" s="12" t="s">
        <v>217</v>
      </c>
      <c r="D122" s="15" t="s">
        <v>110</v>
      </c>
      <c r="E122" s="85">
        <v>180000</v>
      </c>
    </row>
    <row r="123" customHeight="1" spans="1:5">
      <c r="A123" s="4">
        <v>3</v>
      </c>
      <c r="B123" s="14" t="s">
        <v>218</v>
      </c>
      <c r="C123" s="12" t="s">
        <v>219</v>
      </c>
      <c r="D123" s="15" t="s">
        <v>36</v>
      </c>
      <c r="E123" s="85">
        <v>126000</v>
      </c>
    </row>
    <row r="124" customHeight="1" spans="1:5">
      <c r="A124" s="4">
        <v>4</v>
      </c>
      <c r="B124" s="14" t="s">
        <v>523</v>
      </c>
      <c r="C124" s="12" t="s">
        <v>219</v>
      </c>
      <c r="D124" s="15" t="s">
        <v>39</v>
      </c>
      <c r="E124" s="85">
        <v>126000</v>
      </c>
    </row>
    <row r="125" customHeight="1" spans="1:5">
      <c r="A125" s="4">
        <v>5</v>
      </c>
      <c r="B125" s="11" t="s">
        <v>220</v>
      </c>
      <c r="C125" s="12" t="s">
        <v>221</v>
      </c>
      <c r="D125" s="15" t="s">
        <v>222</v>
      </c>
      <c r="E125" s="85">
        <v>90000</v>
      </c>
    </row>
    <row r="126" customHeight="1" spans="1:5">
      <c r="A126" s="4">
        <v>6</v>
      </c>
      <c r="B126" s="11" t="s">
        <v>223</v>
      </c>
      <c r="C126" s="12" t="s">
        <v>224</v>
      </c>
      <c r="D126" s="15" t="s">
        <v>47</v>
      </c>
      <c r="E126" s="85">
        <v>90000</v>
      </c>
    </row>
    <row r="127" customHeight="1" spans="1:5">
      <c r="A127" s="4">
        <v>7</v>
      </c>
      <c r="B127" s="11" t="s">
        <v>225</v>
      </c>
      <c r="C127" s="12" t="s">
        <v>221</v>
      </c>
      <c r="D127" s="15" t="s">
        <v>148</v>
      </c>
      <c r="E127" s="85">
        <v>90000</v>
      </c>
    </row>
    <row r="128" customHeight="1" spans="1:5">
      <c r="A128" s="4">
        <v>8</v>
      </c>
      <c r="B128" s="11" t="s">
        <v>226</v>
      </c>
      <c r="C128" s="12" t="s">
        <v>227</v>
      </c>
      <c r="D128" s="10" t="s">
        <v>75</v>
      </c>
      <c r="E128" s="85">
        <v>54000</v>
      </c>
    </row>
    <row r="129" customHeight="1" spans="1:5">
      <c r="A129" s="4">
        <v>9</v>
      </c>
      <c r="B129" s="18" t="s">
        <v>228</v>
      </c>
      <c r="C129" s="12" t="s">
        <v>229</v>
      </c>
      <c r="D129" s="15" t="s">
        <v>92</v>
      </c>
      <c r="E129" s="85">
        <v>54000</v>
      </c>
    </row>
    <row r="130" customHeight="1" spans="1:5">
      <c r="A130" s="4">
        <v>10</v>
      </c>
      <c r="B130" s="18" t="s">
        <v>230</v>
      </c>
      <c r="C130" s="12" t="s">
        <v>231</v>
      </c>
      <c r="D130" s="15" t="s">
        <v>92</v>
      </c>
      <c r="E130" s="85">
        <v>54000</v>
      </c>
    </row>
    <row r="131" ht="28.5" customHeight="1" spans="1:5">
      <c r="A131" s="4"/>
      <c r="B131" s="20" t="s">
        <v>96</v>
      </c>
      <c r="C131" s="26" t="s">
        <v>233</v>
      </c>
      <c r="D131" s="15"/>
      <c r="E131" s="93">
        <f>SUM(E121:E130)</f>
        <v>1134000</v>
      </c>
    </row>
    <row r="132" customHeight="1" spans="1:5">
      <c r="A132" s="4"/>
      <c r="B132" s="22"/>
      <c r="C132" s="26"/>
      <c r="D132" s="15"/>
      <c r="E132" s="146"/>
    </row>
    <row r="133" customHeight="1" spans="1:5">
      <c r="A133" s="4"/>
      <c r="B133" s="20" t="s">
        <v>234</v>
      </c>
      <c r="C133" s="12"/>
      <c r="D133" s="15"/>
      <c r="E133" s="85"/>
    </row>
    <row r="134" customHeight="1" spans="1:5">
      <c r="A134" s="27">
        <v>1</v>
      </c>
      <c r="B134" s="11" t="s">
        <v>235</v>
      </c>
      <c r="C134" s="12" t="s">
        <v>236</v>
      </c>
      <c r="D134" s="15" t="s">
        <v>100</v>
      </c>
      <c r="E134" s="85">
        <v>270000</v>
      </c>
    </row>
    <row r="135" customHeight="1" spans="1:5">
      <c r="A135" s="27">
        <v>2</v>
      </c>
      <c r="B135" s="11" t="s">
        <v>524</v>
      </c>
      <c r="C135" s="12" t="s">
        <v>575</v>
      </c>
      <c r="D135" s="15" t="s">
        <v>189</v>
      </c>
      <c r="E135" s="85">
        <v>180000</v>
      </c>
    </row>
    <row r="136" customHeight="1" spans="1:5">
      <c r="A136" s="27">
        <v>3</v>
      </c>
      <c r="B136" s="14" t="s">
        <v>237</v>
      </c>
      <c r="C136" s="4" t="s">
        <v>238</v>
      </c>
      <c r="D136" s="16" t="s">
        <v>189</v>
      </c>
      <c r="E136" s="85">
        <v>180000</v>
      </c>
    </row>
    <row r="137" customHeight="1" spans="1:5">
      <c r="A137" s="27">
        <v>4</v>
      </c>
      <c r="B137" s="11" t="s">
        <v>239</v>
      </c>
      <c r="C137" s="12" t="s">
        <v>582</v>
      </c>
      <c r="D137" s="15" t="s">
        <v>42</v>
      </c>
      <c r="E137" s="85">
        <v>90000</v>
      </c>
    </row>
    <row r="138" customHeight="1" spans="1:5">
      <c r="A138" s="27">
        <v>5</v>
      </c>
      <c r="B138" s="11" t="s">
        <v>241</v>
      </c>
      <c r="C138" s="4" t="s">
        <v>583</v>
      </c>
      <c r="D138" s="15" t="s">
        <v>42</v>
      </c>
      <c r="E138" s="85">
        <v>90000</v>
      </c>
    </row>
    <row r="139" customHeight="1" spans="1:5">
      <c r="A139" s="27">
        <v>6</v>
      </c>
      <c r="B139" s="11" t="s">
        <v>243</v>
      </c>
      <c r="C139" s="4" t="s">
        <v>583</v>
      </c>
      <c r="D139" s="15" t="s">
        <v>42</v>
      </c>
      <c r="E139" s="85">
        <v>90000</v>
      </c>
    </row>
    <row r="140" customHeight="1" spans="1:5">
      <c r="A140" s="27">
        <v>7</v>
      </c>
      <c r="B140" s="11" t="s">
        <v>178</v>
      </c>
      <c r="C140" s="12" t="s">
        <v>584</v>
      </c>
      <c r="D140" s="15" t="s">
        <v>253</v>
      </c>
      <c r="E140" s="85">
        <v>68000</v>
      </c>
    </row>
    <row r="141" customHeight="1" spans="1:5">
      <c r="A141" s="27">
        <v>8</v>
      </c>
      <c r="B141" s="11" t="s">
        <v>244</v>
      </c>
      <c r="C141" s="12" t="s">
        <v>584</v>
      </c>
      <c r="D141" s="15" t="s">
        <v>253</v>
      </c>
      <c r="E141" s="85">
        <v>68000</v>
      </c>
    </row>
    <row r="142" customHeight="1" spans="1:5">
      <c r="A142" s="27">
        <v>9</v>
      </c>
      <c r="B142" s="11" t="s">
        <v>245</v>
      </c>
      <c r="C142" s="4" t="s">
        <v>585</v>
      </c>
      <c r="D142" s="15" t="s">
        <v>253</v>
      </c>
      <c r="E142" s="85">
        <v>68000</v>
      </c>
    </row>
    <row r="143" customHeight="1" spans="1:5">
      <c r="A143" s="27">
        <v>10</v>
      </c>
      <c r="B143" s="11" t="s">
        <v>247</v>
      </c>
      <c r="C143" s="12" t="s">
        <v>248</v>
      </c>
      <c r="D143" s="15" t="s">
        <v>62</v>
      </c>
      <c r="E143" s="85">
        <v>68000</v>
      </c>
    </row>
    <row r="144" customHeight="1" spans="1:5">
      <c r="A144" s="27">
        <v>11</v>
      </c>
      <c r="B144" s="11" t="s">
        <v>249</v>
      </c>
      <c r="C144" s="12" t="s">
        <v>250</v>
      </c>
      <c r="D144" s="15" t="s">
        <v>135</v>
      </c>
      <c r="E144" s="85">
        <v>68000</v>
      </c>
    </row>
    <row r="145" customHeight="1" spans="1:5">
      <c r="A145" s="27">
        <v>12</v>
      </c>
      <c r="B145" s="11" t="s">
        <v>251</v>
      </c>
      <c r="C145" s="12" t="s">
        <v>252</v>
      </c>
      <c r="D145" s="15" t="s">
        <v>253</v>
      </c>
      <c r="E145" s="85">
        <v>68000</v>
      </c>
    </row>
    <row r="146" customHeight="1" spans="1:5">
      <c r="A146" s="27">
        <v>13</v>
      </c>
      <c r="B146" s="18" t="s">
        <v>254</v>
      </c>
      <c r="C146" s="4" t="s">
        <v>255</v>
      </c>
      <c r="D146" s="15" t="s">
        <v>65</v>
      </c>
      <c r="E146" s="85">
        <v>68000</v>
      </c>
    </row>
    <row r="147" customHeight="1" spans="1:5">
      <c r="A147" s="27">
        <v>14</v>
      </c>
      <c r="B147" s="11" t="s">
        <v>256</v>
      </c>
      <c r="C147" s="4" t="s">
        <v>586</v>
      </c>
      <c r="D147" s="15" t="s">
        <v>265</v>
      </c>
      <c r="E147" s="85">
        <v>68000</v>
      </c>
    </row>
    <row r="148" customHeight="1" spans="1:5">
      <c r="A148" s="27">
        <v>15</v>
      </c>
      <c r="B148" s="11" t="s">
        <v>257</v>
      </c>
      <c r="C148" s="4" t="s">
        <v>586</v>
      </c>
      <c r="D148" s="15" t="s">
        <v>587</v>
      </c>
      <c r="E148" s="85">
        <v>68000</v>
      </c>
    </row>
    <row r="149" customHeight="1" spans="1:5">
      <c r="A149" s="27">
        <v>16</v>
      </c>
      <c r="B149" s="11" t="s">
        <v>258</v>
      </c>
      <c r="C149" s="4" t="s">
        <v>586</v>
      </c>
      <c r="D149" s="15" t="s">
        <v>587</v>
      </c>
      <c r="E149" s="85">
        <v>68000</v>
      </c>
    </row>
    <row r="150" customHeight="1" spans="1:5">
      <c r="A150" s="27">
        <v>17</v>
      </c>
      <c r="B150" s="11" t="s">
        <v>259</v>
      </c>
      <c r="C150" s="12" t="s">
        <v>260</v>
      </c>
      <c r="D150" s="15" t="s">
        <v>104</v>
      </c>
      <c r="E150" s="85">
        <v>68000</v>
      </c>
    </row>
    <row r="151" customHeight="1" spans="1:5">
      <c r="A151" s="27">
        <v>18</v>
      </c>
      <c r="B151" s="11" t="s">
        <v>261</v>
      </c>
      <c r="C151" s="12" t="s">
        <v>262</v>
      </c>
      <c r="D151" s="10" t="s">
        <v>80</v>
      </c>
      <c r="E151" s="85">
        <v>54000</v>
      </c>
    </row>
    <row r="152" customHeight="1" spans="1:5">
      <c r="A152" s="27">
        <v>19</v>
      </c>
      <c r="B152" s="11" t="s">
        <v>263</v>
      </c>
      <c r="C152" s="12" t="s">
        <v>264</v>
      </c>
      <c r="D152" s="15" t="s">
        <v>265</v>
      </c>
      <c r="E152" s="220">
        <v>68000</v>
      </c>
    </row>
    <row r="153" customHeight="1" spans="1:5">
      <c r="A153" s="27">
        <v>20</v>
      </c>
      <c r="B153" s="11" t="s">
        <v>266</v>
      </c>
      <c r="C153" s="12" t="s">
        <v>267</v>
      </c>
      <c r="D153" s="15" t="s">
        <v>75</v>
      </c>
      <c r="E153" s="220">
        <v>54000</v>
      </c>
    </row>
    <row r="154" customHeight="1" spans="1:5">
      <c r="A154" s="27">
        <v>21</v>
      </c>
      <c r="B154" s="11" t="s">
        <v>268</v>
      </c>
      <c r="C154" s="12" t="s">
        <v>269</v>
      </c>
      <c r="D154" s="15" t="s">
        <v>265</v>
      </c>
      <c r="E154" s="220">
        <v>68000</v>
      </c>
    </row>
    <row r="155" customHeight="1" spans="1:5">
      <c r="A155" s="27">
        <v>22</v>
      </c>
      <c r="B155" s="11" t="s">
        <v>270</v>
      </c>
      <c r="C155" s="12" t="s">
        <v>271</v>
      </c>
      <c r="D155" s="15" t="s">
        <v>75</v>
      </c>
      <c r="E155" s="220">
        <v>54000</v>
      </c>
    </row>
    <row r="156" customHeight="1" spans="1:5">
      <c r="A156" s="27">
        <v>23</v>
      </c>
      <c r="B156" s="18" t="s">
        <v>272</v>
      </c>
      <c r="C156" s="12" t="s">
        <v>273</v>
      </c>
      <c r="D156" s="15" t="s">
        <v>83</v>
      </c>
      <c r="E156" s="220">
        <v>54000</v>
      </c>
    </row>
    <row r="157" customHeight="1" spans="1:5">
      <c r="A157" s="27">
        <v>24</v>
      </c>
      <c r="B157" s="18" t="s">
        <v>275</v>
      </c>
      <c r="C157" s="12" t="s">
        <v>276</v>
      </c>
      <c r="D157" s="15" t="s">
        <v>92</v>
      </c>
      <c r="E157" s="220">
        <v>54000</v>
      </c>
    </row>
    <row r="158" customHeight="1" spans="1:5">
      <c r="A158" s="27">
        <v>25</v>
      </c>
      <c r="B158" s="18" t="s">
        <v>277</v>
      </c>
      <c r="C158" s="12" t="s">
        <v>278</v>
      </c>
      <c r="D158" s="15" t="s">
        <v>92</v>
      </c>
      <c r="E158" s="220">
        <v>54000</v>
      </c>
    </row>
    <row r="159" customHeight="1" spans="1:5">
      <c r="A159" s="27">
        <v>26</v>
      </c>
      <c r="B159" s="18" t="s">
        <v>279</v>
      </c>
      <c r="C159" s="12" t="s">
        <v>280</v>
      </c>
      <c r="D159" s="15" t="s">
        <v>92</v>
      </c>
      <c r="E159" s="220">
        <v>54000</v>
      </c>
    </row>
    <row r="160" customHeight="1" spans="1:5">
      <c r="A160" s="27">
        <v>27</v>
      </c>
      <c r="B160" s="18" t="s">
        <v>281</v>
      </c>
      <c r="C160" s="12" t="s">
        <v>282</v>
      </c>
      <c r="D160" s="15" t="s">
        <v>171</v>
      </c>
      <c r="E160" s="220">
        <v>54000</v>
      </c>
    </row>
    <row r="161" customHeight="1" spans="1:5">
      <c r="A161" s="27">
        <v>28</v>
      </c>
      <c r="B161" s="18" t="s">
        <v>283</v>
      </c>
      <c r="C161" s="12" t="s">
        <v>278</v>
      </c>
      <c r="D161" s="15" t="s">
        <v>92</v>
      </c>
      <c r="E161" s="220">
        <v>54000</v>
      </c>
    </row>
    <row r="162" customHeight="1" spans="1:5">
      <c r="A162" s="27">
        <v>29</v>
      </c>
      <c r="B162" s="11" t="s">
        <v>287</v>
      </c>
      <c r="C162" s="12" t="s">
        <v>288</v>
      </c>
      <c r="D162" s="15" t="s">
        <v>289</v>
      </c>
      <c r="E162" s="226">
        <v>36000</v>
      </c>
    </row>
    <row r="163" customHeight="1" spans="1:5">
      <c r="A163" s="27">
        <v>30</v>
      </c>
      <c r="B163" s="11" t="s">
        <v>290</v>
      </c>
      <c r="C163" s="12" t="s">
        <v>288</v>
      </c>
      <c r="D163" s="15" t="s">
        <v>289</v>
      </c>
      <c r="E163" s="226">
        <v>36000</v>
      </c>
    </row>
    <row r="164" customHeight="1" spans="1:5">
      <c r="A164" s="27">
        <v>31</v>
      </c>
      <c r="B164" s="11" t="s">
        <v>291</v>
      </c>
      <c r="C164" s="12" t="s">
        <v>288</v>
      </c>
      <c r="D164" s="15" t="s">
        <v>289</v>
      </c>
      <c r="E164" s="226">
        <v>36000</v>
      </c>
    </row>
    <row r="165" customHeight="1" spans="1:5">
      <c r="A165" s="27">
        <v>32</v>
      </c>
      <c r="B165" s="11" t="s">
        <v>292</v>
      </c>
      <c r="C165" s="12" t="s">
        <v>288</v>
      </c>
      <c r="D165" s="15" t="s">
        <v>289</v>
      </c>
      <c r="E165" s="226">
        <v>36000</v>
      </c>
    </row>
    <row r="166" customHeight="1" spans="1:5">
      <c r="A166" s="27">
        <v>33</v>
      </c>
      <c r="B166" s="11" t="s">
        <v>293</v>
      </c>
      <c r="C166" s="12" t="s">
        <v>288</v>
      </c>
      <c r="D166" s="15" t="s">
        <v>289</v>
      </c>
      <c r="E166" s="226">
        <v>36000</v>
      </c>
    </row>
    <row r="167" customHeight="1" spans="1:5">
      <c r="A167" s="27">
        <v>34</v>
      </c>
      <c r="B167" s="11" t="s">
        <v>294</v>
      </c>
      <c r="C167" s="12" t="s">
        <v>288</v>
      </c>
      <c r="D167" s="15" t="s">
        <v>295</v>
      </c>
      <c r="E167" s="226">
        <v>36000</v>
      </c>
    </row>
    <row r="168" customHeight="1" spans="1:5">
      <c r="A168" s="27">
        <v>35</v>
      </c>
      <c r="B168" s="11" t="s">
        <v>296</v>
      </c>
      <c r="C168" s="12" t="s">
        <v>288</v>
      </c>
      <c r="D168" s="15" t="s">
        <v>295</v>
      </c>
      <c r="E168" s="226">
        <v>36000</v>
      </c>
    </row>
    <row r="169" customHeight="1" spans="1:5">
      <c r="A169" s="27">
        <v>36</v>
      </c>
      <c r="B169" s="14" t="s">
        <v>297</v>
      </c>
      <c r="C169" s="12" t="s">
        <v>288</v>
      </c>
      <c r="D169" s="15" t="s">
        <v>295</v>
      </c>
      <c r="E169" s="226">
        <v>36000</v>
      </c>
    </row>
    <row r="170" customHeight="1" spans="1:5">
      <c r="A170" s="27">
        <v>37</v>
      </c>
      <c r="B170" s="11" t="s">
        <v>298</v>
      </c>
      <c r="C170" s="12" t="s">
        <v>288</v>
      </c>
      <c r="D170" s="15" t="s">
        <v>295</v>
      </c>
      <c r="E170" s="226">
        <v>36000</v>
      </c>
    </row>
    <row r="171" customHeight="1" spans="1:5">
      <c r="A171" s="27">
        <v>38</v>
      </c>
      <c r="B171" s="18" t="s">
        <v>299</v>
      </c>
      <c r="C171" s="12" t="s">
        <v>288</v>
      </c>
      <c r="D171" s="15" t="s">
        <v>295</v>
      </c>
      <c r="E171" s="226">
        <v>36000</v>
      </c>
    </row>
    <row r="172" customHeight="1" spans="1:5">
      <c r="A172" s="27">
        <v>39</v>
      </c>
      <c r="B172" s="18" t="s">
        <v>300</v>
      </c>
      <c r="C172" s="12" t="s">
        <v>288</v>
      </c>
      <c r="D172" s="15" t="s">
        <v>295</v>
      </c>
      <c r="E172" s="226">
        <v>36000</v>
      </c>
    </row>
    <row r="173" customHeight="1" spans="1:5">
      <c r="A173" s="27">
        <v>40</v>
      </c>
      <c r="B173" s="11" t="s">
        <v>301</v>
      </c>
      <c r="C173" s="12" t="s">
        <v>302</v>
      </c>
      <c r="D173" s="15" t="s">
        <v>303</v>
      </c>
      <c r="E173" s="226">
        <v>36000</v>
      </c>
    </row>
    <row r="174" customHeight="1" spans="1:5">
      <c r="A174" s="27">
        <v>41</v>
      </c>
      <c r="B174" s="11" t="s">
        <v>304</v>
      </c>
      <c r="C174" s="12" t="s">
        <v>302</v>
      </c>
      <c r="D174" s="15" t="s">
        <v>303</v>
      </c>
      <c r="E174" s="226">
        <v>36000</v>
      </c>
    </row>
    <row r="175" customHeight="1" spans="1:5">
      <c r="A175" s="27">
        <v>42</v>
      </c>
      <c r="B175" s="18" t="s">
        <v>305</v>
      </c>
      <c r="C175" s="12" t="s">
        <v>302</v>
      </c>
      <c r="D175" s="15" t="s">
        <v>306</v>
      </c>
      <c r="E175" s="226">
        <v>36000</v>
      </c>
    </row>
    <row r="176" customHeight="1" spans="1:5">
      <c r="A176" s="27">
        <v>43</v>
      </c>
      <c r="B176" s="11" t="s">
        <v>307</v>
      </c>
      <c r="C176" s="12" t="s">
        <v>308</v>
      </c>
      <c r="D176" s="15" t="s">
        <v>588</v>
      </c>
      <c r="E176" s="85">
        <v>36000</v>
      </c>
    </row>
    <row r="177" customHeight="1" spans="1:5">
      <c r="A177" s="27">
        <v>44</v>
      </c>
      <c r="B177" s="11" t="s">
        <v>309</v>
      </c>
      <c r="C177" s="12" t="s">
        <v>310</v>
      </c>
      <c r="D177" s="15" t="s">
        <v>311</v>
      </c>
      <c r="E177" s="85">
        <v>36000</v>
      </c>
    </row>
    <row r="178" customHeight="1" spans="1:5">
      <c r="A178" s="27">
        <v>45</v>
      </c>
      <c r="B178" s="11" t="s">
        <v>312</v>
      </c>
      <c r="C178" s="12" t="s">
        <v>310</v>
      </c>
      <c r="D178" s="15" t="s">
        <v>311</v>
      </c>
      <c r="E178" s="85">
        <v>36000</v>
      </c>
    </row>
    <row r="179" customHeight="1" spans="1:5">
      <c r="A179" s="27">
        <v>46</v>
      </c>
      <c r="B179" s="11" t="s">
        <v>313</v>
      </c>
      <c r="C179" s="12" t="s">
        <v>310</v>
      </c>
      <c r="D179" s="15" t="s">
        <v>311</v>
      </c>
      <c r="E179" s="85">
        <v>36000</v>
      </c>
    </row>
    <row r="180" customHeight="1" spans="1:5">
      <c r="A180" s="27">
        <v>47</v>
      </c>
      <c r="B180" s="11" t="s">
        <v>314</v>
      </c>
      <c r="C180" s="12" t="s">
        <v>310</v>
      </c>
      <c r="D180" s="15" t="s">
        <v>311</v>
      </c>
      <c r="E180" s="85">
        <v>36000</v>
      </c>
    </row>
    <row r="181" customHeight="1" spans="1:5">
      <c r="A181" s="27">
        <v>48</v>
      </c>
      <c r="B181" s="11" t="s">
        <v>315</v>
      </c>
      <c r="C181" s="12" t="s">
        <v>310</v>
      </c>
      <c r="D181" s="15" t="s">
        <v>311</v>
      </c>
      <c r="E181" s="85">
        <v>36000</v>
      </c>
    </row>
    <row r="182" customHeight="1" spans="1:5">
      <c r="A182" s="27">
        <v>49</v>
      </c>
      <c r="B182" s="18" t="s">
        <v>316</v>
      </c>
      <c r="C182" s="12" t="s">
        <v>310</v>
      </c>
      <c r="D182" s="15" t="s">
        <v>311</v>
      </c>
      <c r="E182" s="85">
        <v>36000</v>
      </c>
    </row>
    <row r="183" customHeight="1" spans="1:5">
      <c r="A183" s="27">
        <v>50</v>
      </c>
      <c r="B183" s="18" t="s">
        <v>317</v>
      </c>
      <c r="C183" s="12" t="s">
        <v>310</v>
      </c>
      <c r="D183" s="15" t="s">
        <v>311</v>
      </c>
      <c r="E183" s="85">
        <v>36000</v>
      </c>
    </row>
    <row r="184" customHeight="1" spans="1:5">
      <c r="A184" s="27">
        <v>51</v>
      </c>
      <c r="B184" s="11" t="s">
        <v>318</v>
      </c>
      <c r="C184" s="12" t="s">
        <v>308</v>
      </c>
      <c r="D184" s="15" t="s">
        <v>311</v>
      </c>
      <c r="E184" s="85">
        <v>36000</v>
      </c>
    </row>
    <row r="185" customHeight="1" spans="1:5">
      <c r="A185" s="27">
        <v>52</v>
      </c>
      <c r="B185" s="11" t="s">
        <v>319</v>
      </c>
      <c r="C185" s="12" t="s">
        <v>308</v>
      </c>
      <c r="D185" s="15" t="s">
        <v>311</v>
      </c>
      <c r="E185" s="85">
        <v>36000</v>
      </c>
    </row>
    <row r="186" customHeight="1" spans="1:5">
      <c r="A186" s="27">
        <v>53</v>
      </c>
      <c r="B186" s="18" t="s">
        <v>320</v>
      </c>
      <c r="C186" s="12" t="s">
        <v>321</v>
      </c>
      <c r="D186" s="15" t="s">
        <v>322</v>
      </c>
      <c r="E186" s="85">
        <v>36000</v>
      </c>
    </row>
    <row r="187" customHeight="1" spans="1:5">
      <c r="A187" s="27">
        <v>54</v>
      </c>
      <c r="B187" s="18" t="s">
        <v>325</v>
      </c>
      <c r="C187" s="12" t="s">
        <v>310</v>
      </c>
      <c r="D187" s="15" t="s">
        <v>589</v>
      </c>
      <c r="E187" s="85">
        <v>36000</v>
      </c>
    </row>
    <row r="188" customHeight="1" spans="1:5">
      <c r="A188" s="27">
        <v>55</v>
      </c>
      <c r="B188" s="18" t="s">
        <v>326</v>
      </c>
      <c r="C188" s="12" t="s">
        <v>327</v>
      </c>
      <c r="D188" s="15" t="s">
        <v>328</v>
      </c>
      <c r="E188" s="85">
        <v>36000</v>
      </c>
    </row>
    <row r="189" customHeight="1" spans="1:5">
      <c r="A189" s="27">
        <v>56</v>
      </c>
      <c r="B189" s="18" t="s">
        <v>329</v>
      </c>
      <c r="C189" s="12" t="s">
        <v>327</v>
      </c>
      <c r="D189" s="15" t="s">
        <v>328</v>
      </c>
      <c r="E189" s="85">
        <v>36000</v>
      </c>
    </row>
    <row r="190" customHeight="1" spans="1:5">
      <c r="A190" s="27">
        <v>57</v>
      </c>
      <c r="B190" s="18" t="s">
        <v>330</v>
      </c>
      <c r="C190" s="12" t="s">
        <v>327</v>
      </c>
      <c r="D190" s="15" t="s">
        <v>328</v>
      </c>
      <c r="E190" s="85">
        <v>36000</v>
      </c>
    </row>
    <row r="191" customHeight="1" spans="1:5">
      <c r="A191" s="27">
        <v>58</v>
      </c>
      <c r="B191" s="18" t="s">
        <v>331</v>
      </c>
      <c r="C191" s="12" t="s">
        <v>332</v>
      </c>
      <c r="D191" s="15" t="s">
        <v>333</v>
      </c>
      <c r="E191" s="85">
        <v>36000</v>
      </c>
    </row>
    <row r="192" customHeight="1" spans="1:5">
      <c r="A192" s="27">
        <v>59</v>
      </c>
      <c r="B192" s="18" t="s">
        <v>334</v>
      </c>
      <c r="C192" s="12" t="s">
        <v>332</v>
      </c>
      <c r="D192" s="15" t="s">
        <v>333</v>
      </c>
      <c r="E192" s="85">
        <v>36000</v>
      </c>
    </row>
    <row r="193" ht="30.75" customHeight="1" spans="1:5">
      <c r="A193" s="27"/>
      <c r="B193" s="8" t="s">
        <v>96</v>
      </c>
      <c r="C193" s="28" t="s">
        <v>590</v>
      </c>
      <c r="D193" s="29"/>
      <c r="E193" s="93">
        <f>SUM(E134:E192)</f>
        <v>3386000</v>
      </c>
    </row>
    <row r="194" ht="42.75" customHeight="1" spans="1:5">
      <c r="A194" s="4"/>
      <c r="B194" s="30" t="s">
        <v>336</v>
      </c>
      <c r="C194" s="31">
        <f>C34+C40+C54+C59+C72+C82+C95+C102+C112+C131+C193</f>
        <v>151</v>
      </c>
      <c r="D194" s="32"/>
      <c r="E194" s="227">
        <f>E193+E131+E118+E112+E102+E95+E82+E72+E59+E54+E40+E34</f>
        <v>13856000</v>
      </c>
    </row>
    <row r="195" ht="38.25" customHeight="1" spans="2:5">
      <c r="B195" s="33"/>
      <c r="D195" s="34"/>
      <c r="E195" s="34"/>
    </row>
    <row r="196" ht="36.75" customHeight="1" spans="2:5">
      <c r="B196" s="33"/>
      <c r="C196" s="34"/>
      <c r="D196" s="34"/>
      <c r="E196" s="3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8"/>
  <sheetViews>
    <sheetView workbookViewId="0">
      <selection activeCell="F12" sqref="F12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3.70909090909091" style="1" customWidth="1"/>
    <col min="17" max="17" width="21.7090909090909" style="1" customWidth="1"/>
    <col min="18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6">
      <c r="A2" s="502" t="s">
        <v>616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  <c r="P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7">
      <c r="A4" s="4"/>
      <c r="B4" s="5" t="s">
        <v>2</v>
      </c>
      <c r="C4" s="6" t="s">
        <v>3</v>
      </c>
      <c r="D4" s="7" t="s">
        <v>4</v>
      </c>
      <c r="E4" s="218" t="s">
        <v>546</v>
      </c>
      <c r="F4" s="218" t="s">
        <v>617</v>
      </c>
      <c r="G4" s="218" t="s">
        <v>618</v>
      </c>
      <c r="H4" s="218" t="s">
        <v>619</v>
      </c>
      <c r="I4" s="218" t="s">
        <v>8</v>
      </c>
      <c r="J4" s="505" t="s">
        <v>474</v>
      </c>
      <c r="K4" s="505" t="s">
        <v>620</v>
      </c>
      <c r="L4" s="505" t="s">
        <v>621</v>
      </c>
      <c r="M4" s="506" t="s">
        <v>622</v>
      </c>
      <c r="N4" s="568" t="s">
        <v>623</v>
      </c>
      <c r="O4" s="568" t="s">
        <v>624</v>
      </c>
      <c r="P4" s="569"/>
      <c r="Q4" s="587" t="s">
        <v>625</v>
      </c>
    </row>
    <row r="5" ht="17.25" customHeight="1" spans="3:17">
      <c r="C5" s="8"/>
      <c r="D5" s="8"/>
      <c r="L5" s="369" t="s">
        <v>626</v>
      </c>
      <c r="O5" s="570" t="s">
        <v>627</v>
      </c>
      <c r="P5" s="571"/>
      <c r="Q5" s="369" t="s">
        <v>628</v>
      </c>
    </row>
    <row r="6" ht="20.1" customHeight="1" spans="1:17">
      <c r="A6" s="9" t="s">
        <v>20</v>
      </c>
      <c r="B6" s="8" t="s">
        <v>21</v>
      </c>
      <c r="C6" s="8"/>
      <c r="D6" s="8"/>
      <c r="E6" s="82" t="s">
        <v>19</v>
      </c>
      <c r="F6" s="82" t="s">
        <v>19</v>
      </c>
      <c r="G6" s="82" t="s">
        <v>19</v>
      </c>
      <c r="H6" s="82" t="s">
        <v>19</v>
      </c>
      <c r="I6" s="82" t="s">
        <v>19</v>
      </c>
      <c r="J6" s="82" t="s">
        <v>19</v>
      </c>
      <c r="K6" s="82" t="s">
        <v>19</v>
      </c>
      <c r="L6" s="82" t="s">
        <v>19</v>
      </c>
      <c r="M6" s="82" t="s">
        <v>19</v>
      </c>
      <c r="N6" s="572" t="s">
        <v>19</v>
      </c>
      <c r="O6" s="572" t="s">
        <v>19</v>
      </c>
      <c r="P6" s="573"/>
      <c r="Q6" s="588" t="s">
        <v>19</v>
      </c>
    </row>
    <row r="7" ht="20.1" customHeight="1" spans="1:17">
      <c r="A7" s="10">
        <v>1</v>
      </c>
      <c r="B7" s="11" t="s">
        <v>22</v>
      </c>
      <c r="C7" s="12" t="s">
        <v>23</v>
      </c>
      <c r="D7" s="12" t="s">
        <v>24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74">
        <v>201165.835946667</v>
      </c>
      <c r="O7" s="575">
        <f>M7-N7</f>
        <v>149018.174784</v>
      </c>
      <c r="P7" s="576"/>
      <c r="Q7" s="589">
        <f>L7-O7</f>
        <v>627118.152216</v>
      </c>
    </row>
    <row r="8" ht="20.1" customHeight="1" spans="1:17">
      <c r="A8" s="10">
        <v>2</v>
      </c>
      <c r="B8" s="11" t="s">
        <v>25</v>
      </c>
      <c r="C8" s="12" t="s">
        <v>26</v>
      </c>
      <c r="D8" s="10" t="s">
        <v>27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74">
        <v>82627.9514186667</v>
      </c>
      <c r="O8" s="575">
        <f t="shared" ref="O8:O33" si="2">M8-N8</f>
        <v>47984.3114080003</v>
      </c>
      <c r="P8" s="576"/>
      <c r="Q8" s="589">
        <f t="shared" ref="Q8:Q33" si="3">L8-O8</f>
        <v>262923.830508667</v>
      </c>
    </row>
    <row r="9" ht="20.1" customHeight="1" spans="1:17">
      <c r="A9" s="10">
        <v>3</v>
      </c>
      <c r="B9" s="14" t="s">
        <v>28</v>
      </c>
      <c r="C9" s="4" t="s">
        <v>29</v>
      </c>
      <c r="D9" s="10" t="s">
        <v>27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74">
        <v>121027.951418667</v>
      </c>
      <c r="O9" s="575">
        <f t="shared" si="2"/>
        <v>59694.363248</v>
      </c>
      <c r="P9" s="576"/>
      <c r="Q9" s="589">
        <f t="shared" si="3"/>
        <v>251213.778668667</v>
      </c>
    </row>
    <row r="10" ht="20.1" customHeight="1" spans="1:17">
      <c r="A10" s="10">
        <v>4</v>
      </c>
      <c r="B10" s="11" t="s">
        <v>30</v>
      </c>
      <c r="C10" s="17" t="s">
        <v>31</v>
      </c>
      <c r="D10" s="10" t="s">
        <v>27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74">
        <v>99703.2162026667</v>
      </c>
      <c r="O10" s="575">
        <f t="shared" si="2"/>
        <v>47984.3114080003</v>
      </c>
      <c r="P10" s="576"/>
      <c r="Q10" s="589">
        <f t="shared" si="3"/>
        <v>262923.830508667</v>
      </c>
    </row>
    <row r="11" ht="20.1" customHeight="1" spans="1:17">
      <c r="A11" s="10">
        <v>5</v>
      </c>
      <c r="B11" s="14" t="s">
        <v>32</v>
      </c>
      <c r="C11" s="4" t="s">
        <v>608</v>
      </c>
      <c r="D11" s="10" t="s">
        <v>27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74">
        <v>111223.216202667</v>
      </c>
      <c r="O11" s="575">
        <f t="shared" si="2"/>
        <v>47984.311408</v>
      </c>
      <c r="P11" s="576"/>
      <c r="Q11" s="589">
        <f t="shared" si="3"/>
        <v>262923.830508667</v>
      </c>
    </row>
    <row r="12" ht="20.1" customHeight="1" spans="1:17">
      <c r="A12" s="10">
        <v>6</v>
      </c>
      <c r="B12" s="18" t="s">
        <v>576</v>
      </c>
      <c r="C12" s="10" t="s">
        <v>577</v>
      </c>
      <c r="D12" s="10" t="s">
        <v>27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74">
        <v>101827.951418667</v>
      </c>
      <c r="O12" s="575">
        <f t="shared" si="2"/>
        <v>59694.363248</v>
      </c>
      <c r="P12" s="576"/>
      <c r="Q12" s="589">
        <f t="shared" si="3"/>
        <v>251213.778668667</v>
      </c>
    </row>
    <row r="13" ht="20.1" customHeight="1" spans="1:17">
      <c r="A13" s="10">
        <v>7</v>
      </c>
      <c r="B13" s="11" t="s">
        <v>34</v>
      </c>
      <c r="C13" s="12" t="s">
        <v>35</v>
      </c>
      <c r="D13" s="15" t="s">
        <v>36</v>
      </c>
      <c r="E13" s="85">
        <v>620675.583333333</v>
      </c>
      <c r="F13" s="85"/>
      <c r="G13" s="220"/>
      <c r="H13" s="220">
        <f t="shared" ref="H13:H124" si="4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74">
        <v>74036.1031466667</v>
      </c>
      <c r="O13" s="575">
        <f t="shared" si="2"/>
        <v>39065.8625600003</v>
      </c>
      <c r="P13" s="576"/>
      <c r="Q13" s="589">
        <f t="shared" si="3"/>
        <v>214056.218273333</v>
      </c>
    </row>
    <row r="14" ht="20.1" customHeight="1" spans="1:17">
      <c r="A14" s="10">
        <v>8</v>
      </c>
      <c r="B14" s="11" t="s">
        <v>37</v>
      </c>
      <c r="C14" s="4" t="s">
        <v>38</v>
      </c>
      <c r="D14" s="10" t="s">
        <v>39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74">
        <v>94625.7820586667</v>
      </c>
      <c r="O14" s="575">
        <f t="shared" si="2"/>
        <v>36637.3276160003</v>
      </c>
      <c r="P14" s="576"/>
      <c r="Q14" s="589">
        <f t="shared" si="3"/>
        <v>200751.533717333</v>
      </c>
    </row>
    <row r="15" ht="20.1" customHeight="1" spans="1:17">
      <c r="A15" s="10">
        <v>9</v>
      </c>
      <c r="B15" s="11" t="s">
        <v>40</v>
      </c>
      <c r="C15" s="4" t="s">
        <v>41</v>
      </c>
      <c r="D15" s="15" t="s">
        <v>42</v>
      </c>
      <c r="E15" s="85">
        <v>484373.75</v>
      </c>
      <c r="F15" s="85"/>
      <c r="G15" s="220"/>
      <c r="H15" s="220">
        <f t="shared" ref="H15" si="5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74">
        <v>44846.6165886667</v>
      </c>
      <c r="O15" s="575">
        <f t="shared" si="2"/>
        <v>32819.829278</v>
      </c>
      <c r="P15" s="576"/>
      <c r="Q15" s="589">
        <f t="shared" si="3"/>
        <v>178220.885472</v>
      </c>
    </row>
    <row r="16" ht="20.1" customHeight="1" spans="1:17">
      <c r="A16" s="10">
        <v>10</v>
      </c>
      <c r="B16" s="14" t="s">
        <v>43</v>
      </c>
      <c r="C16" s="17" t="s">
        <v>133</v>
      </c>
      <c r="D16" s="15" t="s">
        <v>222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74">
        <v>67626.6094346667</v>
      </c>
      <c r="O16" s="575">
        <f t="shared" si="2"/>
        <v>30628.823952</v>
      </c>
      <c r="P16" s="576"/>
      <c r="Q16" s="589">
        <f t="shared" si="3"/>
        <v>166536.140798</v>
      </c>
    </row>
    <row r="17" ht="20.1" customHeight="1" spans="1:17">
      <c r="A17" s="10">
        <v>11</v>
      </c>
      <c r="B17" s="11" t="s">
        <v>45</v>
      </c>
      <c r="C17" s="4" t="s">
        <v>46</v>
      </c>
      <c r="D17" s="10" t="s">
        <v>47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74">
        <v>83731.2492266667</v>
      </c>
      <c r="O17" s="575">
        <f t="shared" si="2"/>
        <v>28822.1592000003</v>
      </c>
      <c r="P17" s="576"/>
      <c r="Q17" s="589">
        <f t="shared" si="3"/>
        <v>156712.9733</v>
      </c>
    </row>
    <row r="18" ht="20.1" customHeight="1" spans="1:17">
      <c r="A18" s="10">
        <v>12</v>
      </c>
      <c r="B18" s="11" t="s">
        <v>48</v>
      </c>
      <c r="C18" s="4" t="s">
        <v>579</v>
      </c>
      <c r="D18" s="10" t="s">
        <v>192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74">
        <v>42046.0636866667</v>
      </c>
      <c r="O18" s="575">
        <f t="shared" si="2"/>
        <v>28101.02346</v>
      </c>
      <c r="P18" s="576"/>
      <c r="Q18" s="589">
        <f t="shared" si="3"/>
        <v>157040.815706667</v>
      </c>
    </row>
    <row r="19" ht="20.1" customHeight="1" spans="1:17">
      <c r="A19" s="10">
        <v>13</v>
      </c>
      <c r="B19" s="11" t="s">
        <v>50</v>
      </c>
      <c r="C19" s="12" t="s">
        <v>51</v>
      </c>
      <c r="D19" s="15" t="s">
        <v>52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74">
        <v>49548.7761866667</v>
      </c>
      <c r="O19" s="575">
        <f t="shared" si="2"/>
        <v>27921.598</v>
      </c>
      <c r="P19" s="576"/>
      <c r="Q19" s="589">
        <f t="shared" si="3"/>
        <v>151816.664916667</v>
      </c>
    </row>
    <row r="20" ht="20.1" customHeight="1" spans="1:17">
      <c r="A20" s="10">
        <v>14</v>
      </c>
      <c r="B20" s="18" t="s">
        <v>53</v>
      </c>
      <c r="C20" s="4" t="s">
        <v>609</v>
      </c>
      <c r="D20" s="15" t="s">
        <v>55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74">
        <v>67370.8702826667</v>
      </c>
      <c r="O20" s="575">
        <f t="shared" si="2"/>
        <v>26904.033184</v>
      </c>
      <c r="P20" s="576"/>
      <c r="Q20" s="589">
        <f t="shared" si="3"/>
        <v>147121.822982667</v>
      </c>
    </row>
    <row r="21" ht="18.75" customHeight="1" spans="1:17">
      <c r="A21" s="10">
        <v>15</v>
      </c>
      <c r="B21" s="11" t="s">
        <v>60</v>
      </c>
      <c r="C21" s="12" t="s">
        <v>61</v>
      </c>
      <c r="D21" s="15" t="s">
        <v>62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74">
        <v>52497.7703786666</v>
      </c>
      <c r="O21" s="575">
        <f t="shared" si="2"/>
        <v>23640.2985280001</v>
      </c>
      <c r="P21" s="576"/>
      <c r="Q21" s="589">
        <f t="shared" si="3"/>
        <v>129717.869638667</v>
      </c>
    </row>
    <row r="22" ht="20.1" customHeight="1" spans="1:17">
      <c r="A22" s="10">
        <v>16</v>
      </c>
      <c r="B22" s="14" t="s">
        <v>63</v>
      </c>
      <c r="C22" s="17" t="s">
        <v>610</v>
      </c>
      <c r="D22" s="10" t="s">
        <v>65</v>
      </c>
      <c r="E22" s="85">
        <v>353512.5</v>
      </c>
      <c r="F22" s="85"/>
      <c r="G22" s="220">
        <f t="shared" ref="G22" si="6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74">
        <v>55538.1050666667</v>
      </c>
      <c r="O22" s="575">
        <f t="shared" si="2"/>
        <v>23973.0096</v>
      </c>
      <c r="P22" s="576"/>
      <c r="Q22" s="589">
        <f t="shared" si="3"/>
        <v>129167.4154</v>
      </c>
    </row>
    <row r="23" ht="21.6" customHeight="1" spans="1:17">
      <c r="A23" s="10">
        <v>17</v>
      </c>
      <c r="B23" s="11" t="s">
        <v>66</v>
      </c>
      <c r="C23" s="17" t="s">
        <v>67</v>
      </c>
      <c r="D23" s="15" t="s">
        <v>65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f>1015372.075-700000</f>
        <v>315372.075</v>
      </c>
      <c r="L23" s="509">
        <f t="shared" si="1"/>
        <v>148140.425</v>
      </c>
      <c r="M23" s="510">
        <v>62231.1146666667</v>
      </c>
      <c r="N23" s="574">
        <v>40149.1752666667</v>
      </c>
      <c r="O23" s="575">
        <f t="shared" si="2"/>
        <v>22081.9394</v>
      </c>
      <c r="P23" s="576"/>
      <c r="Q23" s="589">
        <f t="shared" si="3"/>
        <v>126058.4856</v>
      </c>
    </row>
    <row r="24" ht="20.1" customHeight="1" spans="1:17">
      <c r="A24" s="10">
        <v>18</v>
      </c>
      <c r="B24" s="14" t="s">
        <v>68</v>
      </c>
      <c r="C24" s="17" t="s">
        <v>69</v>
      </c>
      <c r="D24" s="10" t="s">
        <v>70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74">
        <v>42371.8157286667</v>
      </c>
      <c r="O24" s="575">
        <f t="shared" si="2"/>
        <v>18775.611258</v>
      </c>
      <c r="P24" s="576"/>
      <c r="Q24" s="589">
        <f t="shared" si="3"/>
        <v>105651.977658667</v>
      </c>
    </row>
    <row r="25" ht="18.75" customHeight="1" spans="1:17">
      <c r="A25" s="10">
        <v>19</v>
      </c>
      <c r="B25" s="4" t="s">
        <v>73</v>
      </c>
      <c r="C25" s="4" t="s">
        <v>74</v>
      </c>
      <c r="D25" s="10" t="s">
        <v>75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74">
        <v>23036.0123466667</v>
      </c>
      <c r="O25" s="575">
        <f t="shared" si="2"/>
        <v>16016.30072</v>
      </c>
      <c r="P25" s="576"/>
      <c r="Q25" s="589">
        <f t="shared" si="3"/>
        <v>100957.355946667</v>
      </c>
    </row>
    <row r="26" ht="18.75" customHeight="1" spans="1:17">
      <c r="A26" s="10">
        <v>20</v>
      </c>
      <c r="B26" s="18" t="s">
        <v>76</v>
      </c>
      <c r="C26" s="12" t="s">
        <v>74</v>
      </c>
      <c r="D26" s="15" t="s">
        <v>75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74">
        <v>23036.0123466667</v>
      </c>
      <c r="O26" s="575">
        <f t="shared" si="2"/>
        <v>16016.30072</v>
      </c>
      <c r="P26" s="576"/>
      <c r="Q26" s="589">
        <f t="shared" si="3"/>
        <v>100957.355946667</v>
      </c>
    </row>
    <row r="27" ht="20.1" customHeight="1" spans="1:17">
      <c r="A27" s="10">
        <v>21</v>
      </c>
      <c r="B27" s="11" t="s">
        <v>77</v>
      </c>
      <c r="C27" s="17" t="s">
        <v>64</v>
      </c>
      <c r="D27" s="10" t="s">
        <v>75</v>
      </c>
      <c r="E27" s="85">
        <v>270481.666666667</v>
      </c>
      <c r="F27" s="85"/>
      <c r="G27" s="220">
        <f t="shared" ref="G27" si="7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74">
        <v>29756.0123466667</v>
      </c>
      <c r="O27" s="575">
        <f t="shared" si="2"/>
        <v>16016.30072</v>
      </c>
      <c r="P27" s="576"/>
      <c r="Q27" s="589">
        <f t="shared" si="3"/>
        <v>100957.355946667</v>
      </c>
    </row>
    <row r="28" ht="18.75" customHeight="1" spans="1:17">
      <c r="A28" s="10">
        <v>22</v>
      </c>
      <c r="B28" s="18" t="s">
        <v>78</v>
      </c>
      <c r="C28" s="12" t="s">
        <v>79</v>
      </c>
      <c r="D28" s="15" t="s">
        <v>80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74">
        <v>22338.4826046667</v>
      </c>
      <c r="O28" s="575">
        <f t="shared" si="2"/>
        <v>15583.017982</v>
      </c>
      <c r="P28" s="576"/>
      <c r="Q28" s="589">
        <f t="shared" si="3"/>
        <v>98226.268101333</v>
      </c>
    </row>
    <row r="29" ht="18.75" customHeight="1" spans="1:17">
      <c r="A29" s="10">
        <v>23</v>
      </c>
      <c r="B29" s="18" t="s">
        <v>81</v>
      </c>
      <c r="C29" s="4" t="s">
        <v>82</v>
      </c>
      <c r="D29" s="10" t="s">
        <v>83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74">
        <v>21640.9528626667</v>
      </c>
      <c r="O29" s="575">
        <f t="shared" si="2"/>
        <v>15149.735244</v>
      </c>
      <c r="P29" s="576"/>
      <c r="Q29" s="589">
        <f t="shared" si="3"/>
        <v>95495.180256</v>
      </c>
    </row>
    <row r="30" ht="18.75" customHeight="1" spans="1:17">
      <c r="A30" s="10">
        <v>24</v>
      </c>
      <c r="B30" s="18" t="s">
        <v>84</v>
      </c>
      <c r="C30" s="4" t="s">
        <v>82</v>
      </c>
      <c r="D30" s="10" t="s">
        <v>83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74">
        <v>21640.9528626667</v>
      </c>
      <c r="O30" s="575">
        <f t="shared" si="2"/>
        <v>15149.735244</v>
      </c>
      <c r="P30" s="576"/>
      <c r="Q30" s="589">
        <f t="shared" si="3"/>
        <v>95495.180256</v>
      </c>
    </row>
    <row r="31" ht="18.75" customHeight="1" spans="1:17">
      <c r="A31" s="10">
        <v>25</v>
      </c>
      <c r="B31" s="18" t="s">
        <v>85</v>
      </c>
      <c r="C31" s="17" t="s">
        <v>86</v>
      </c>
      <c r="D31" s="15" t="s">
        <v>75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77">
        <v>22338.4826046667</v>
      </c>
      <c r="O31" s="575">
        <f t="shared" si="2"/>
        <v>16713.830462</v>
      </c>
      <c r="P31" s="576"/>
      <c r="Q31" s="589">
        <f t="shared" si="3"/>
        <v>104411.788954667</v>
      </c>
    </row>
    <row r="32" ht="18.75" customHeight="1" spans="1:17">
      <c r="A32" s="10">
        <v>26</v>
      </c>
      <c r="B32" s="18" t="s">
        <v>88</v>
      </c>
      <c r="C32" s="4" t="s">
        <v>89</v>
      </c>
      <c r="D32" s="10" t="s">
        <v>171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74">
        <v>17572.8850026667</v>
      </c>
      <c r="O32" s="575">
        <f t="shared" si="2"/>
        <v>13640.250704</v>
      </c>
      <c r="P32" s="576"/>
      <c r="Q32" s="589">
        <f t="shared" si="3"/>
        <v>86687.597962667</v>
      </c>
    </row>
    <row r="33" ht="18.75" customHeight="1" spans="1:17">
      <c r="A33" s="10">
        <v>27</v>
      </c>
      <c r="B33" s="18" t="s">
        <v>90</v>
      </c>
      <c r="C33" s="12" t="s">
        <v>91</v>
      </c>
      <c r="D33" s="15" t="s">
        <v>92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74">
        <v>16512.6821906667</v>
      </c>
      <c r="O33" s="575">
        <f t="shared" si="2"/>
        <v>13746.483436</v>
      </c>
      <c r="P33" s="576"/>
      <c r="Q33" s="589">
        <f t="shared" si="3"/>
        <v>87384.217064</v>
      </c>
    </row>
    <row r="34" ht="26.25" customHeight="1" spans="1:17">
      <c r="A34" s="10"/>
      <c r="B34" s="20" t="s">
        <v>96</v>
      </c>
      <c r="C34" s="21">
        <v>27</v>
      </c>
      <c r="D34" s="15"/>
      <c r="E34" s="221">
        <f>SUM(E7:E33)</f>
        <v>13048608.167</v>
      </c>
      <c r="F34" s="221">
        <f t="shared" ref="F34:J34" si="8">SUM(F7:F33)</f>
        <v>0</v>
      </c>
      <c r="G34" s="221">
        <f t="shared" si="8"/>
        <v>1420000</v>
      </c>
      <c r="H34" s="221">
        <f t="shared" si="8"/>
        <v>1160000</v>
      </c>
      <c r="I34" s="221">
        <f t="shared" si="8"/>
        <v>1225235</v>
      </c>
      <c r="J34" s="221">
        <f t="shared" si="8"/>
        <v>16853843.167</v>
      </c>
      <c r="K34" s="221">
        <f t="shared" ref="K34:O34" si="9">SUM(K7:K33)</f>
        <v>11312337.55525</v>
      </c>
      <c r="L34" s="221">
        <f t="shared" si="9"/>
        <v>5541505.61175</v>
      </c>
      <c r="M34" s="221">
        <f t="shared" si="9"/>
        <v>2519600.8416</v>
      </c>
      <c r="N34" s="221">
        <f t="shared" si="9"/>
        <v>1629837.534828</v>
      </c>
      <c r="O34" s="221">
        <f t="shared" si="9"/>
        <v>889763.306772002</v>
      </c>
      <c r="P34" s="578"/>
      <c r="Q34" s="590">
        <f>SUM(Q7:Q33)</f>
        <v>4651742.304978</v>
      </c>
    </row>
    <row r="35" ht="18.75" customHeight="1" spans="1:17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79"/>
      <c r="O35" s="579"/>
      <c r="P35" s="578"/>
      <c r="Q35" s="591"/>
    </row>
    <row r="36" ht="18.75" customHeight="1" spans="1:17">
      <c r="A36" s="10"/>
      <c r="B36" s="20" t="s">
        <v>97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74"/>
      <c r="O36" s="574"/>
      <c r="P36" s="580"/>
      <c r="Q36" s="592"/>
    </row>
    <row r="37" ht="18.75" customHeight="1" spans="1:17">
      <c r="A37" s="10">
        <v>1</v>
      </c>
      <c r="B37" s="18" t="s">
        <v>98</v>
      </c>
      <c r="C37" s="4" t="s">
        <v>99</v>
      </c>
      <c r="D37" s="10" t="s">
        <v>100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74">
        <v>161106.806858667</v>
      </c>
      <c r="O37" s="575">
        <f>M37-N37</f>
        <v>90365.440608</v>
      </c>
      <c r="P37" s="576"/>
      <c r="Q37" s="589">
        <f>L37-O37</f>
        <v>495145.495892</v>
      </c>
    </row>
    <row r="38" ht="18.75" customHeight="1" spans="1:17">
      <c r="A38" s="10">
        <v>2</v>
      </c>
      <c r="B38" s="18" t="s">
        <v>101</v>
      </c>
      <c r="C38" s="4" t="s">
        <v>611</v>
      </c>
      <c r="D38" s="10" t="s">
        <v>70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10">E38+F38+G38+H38+I38</f>
        <v>353029.666666667</v>
      </c>
      <c r="K38" s="509">
        <v>176816.1</v>
      </c>
      <c r="L38" s="509">
        <f t="shared" ref="L38:L39" si="11">J38-K38</f>
        <v>176213.566666667</v>
      </c>
      <c r="M38" s="511">
        <v>42537.3319466667</v>
      </c>
      <c r="N38" s="574">
        <v>17042.7138666667</v>
      </c>
      <c r="O38" s="575">
        <f>M38-N38</f>
        <v>25494.61808</v>
      </c>
      <c r="P38" s="576"/>
      <c r="Q38" s="589">
        <f t="shared" ref="Q38:Q39" si="12">L38-O38</f>
        <v>150718.948586667</v>
      </c>
    </row>
    <row r="39" ht="18.75" customHeight="1" spans="1:17">
      <c r="A39" s="10">
        <v>3</v>
      </c>
      <c r="B39" s="11" t="s">
        <v>103</v>
      </c>
      <c r="C39" s="12" t="s">
        <v>612</v>
      </c>
      <c r="D39" s="15" t="s">
        <v>104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10"/>
        <v>360965.583333333</v>
      </c>
      <c r="K39" s="509">
        <v>233169.1175</v>
      </c>
      <c r="L39" s="509">
        <f t="shared" si="11"/>
        <v>127796.465833333</v>
      </c>
      <c r="M39" s="511">
        <v>43763.9072266667</v>
      </c>
      <c r="N39" s="574">
        <v>26339.0784066667</v>
      </c>
      <c r="O39" s="575">
        <f>M39-N39</f>
        <v>17424.82882</v>
      </c>
      <c r="P39" s="576"/>
      <c r="Q39" s="589">
        <f t="shared" si="12"/>
        <v>110371.637013333</v>
      </c>
    </row>
    <row r="40" ht="19.5" customHeight="1" spans="1:17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3">SUM(F37:F39)</f>
        <v>0</v>
      </c>
      <c r="G40" s="221">
        <f t="shared" si="13"/>
        <v>0</v>
      </c>
      <c r="H40" s="221">
        <f t="shared" si="13"/>
        <v>220000</v>
      </c>
      <c r="I40" s="221">
        <f t="shared" si="13"/>
        <v>0</v>
      </c>
      <c r="J40" s="221">
        <f t="shared" si="13"/>
        <v>2249715.25</v>
      </c>
      <c r="K40" s="221">
        <v>1360194.281</v>
      </c>
      <c r="L40" s="221">
        <f t="shared" si="13"/>
        <v>889520.969</v>
      </c>
      <c r="M40" s="221">
        <f t="shared" si="13"/>
        <v>337773.48664</v>
      </c>
      <c r="N40" s="581">
        <v>204488.599132</v>
      </c>
      <c r="O40" s="581">
        <f t="shared" si="13"/>
        <v>133284.887508</v>
      </c>
      <c r="P40" s="578"/>
      <c r="Q40" s="590">
        <f>SUM(Q37:Q39)</f>
        <v>756236.081492</v>
      </c>
    </row>
    <row r="41" ht="20.1" customHeight="1" spans="1:17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79"/>
      <c r="O41" s="579"/>
      <c r="P41" s="578"/>
      <c r="Q41" s="591"/>
    </row>
    <row r="42" ht="20.1" customHeight="1" spans="1:17">
      <c r="A42" s="10"/>
      <c r="B42" s="23" t="s">
        <v>107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74"/>
      <c r="O42" s="574"/>
      <c r="P42" s="580"/>
      <c r="Q42" s="592"/>
    </row>
    <row r="43" ht="20.1" customHeight="1" spans="1:17">
      <c r="A43" s="10">
        <v>1</v>
      </c>
      <c r="B43" s="11" t="s">
        <v>501</v>
      </c>
      <c r="C43" s="4" t="s">
        <v>502</v>
      </c>
      <c r="D43" s="10" t="s">
        <v>100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74">
        <v>180306.806858667</v>
      </c>
      <c r="O43" s="575">
        <f t="shared" ref="O43:O53" si="14">M43-N43</f>
        <v>90365.440608</v>
      </c>
      <c r="P43" s="576"/>
      <c r="Q43" s="589">
        <f>L43-O43</f>
        <v>495145.495892</v>
      </c>
    </row>
    <row r="44" ht="20.1" customHeight="1" spans="1:17">
      <c r="A44" s="10">
        <v>2</v>
      </c>
      <c r="B44" s="11" t="s">
        <v>491</v>
      </c>
      <c r="C44" s="4" t="s">
        <v>44</v>
      </c>
      <c r="D44" s="10" t="s">
        <v>36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5">E44+F44+G44+H44+I44</f>
        <v>780675.583333333</v>
      </c>
      <c r="K44" s="509">
        <v>527553.5025</v>
      </c>
      <c r="L44" s="509">
        <f t="shared" ref="L44:L53" si="16">J44-K44</f>
        <v>253122.080833333</v>
      </c>
      <c r="M44" s="511">
        <v>119022.801706667</v>
      </c>
      <c r="N44" s="574">
        <v>79956.9391466667</v>
      </c>
      <c r="O44" s="575">
        <f t="shared" si="14"/>
        <v>39065.8625600003</v>
      </c>
      <c r="P44" s="576"/>
      <c r="Q44" s="589">
        <f t="shared" ref="Q44:Q53" si="17">L44-O44</f>
        <v>214056.218273333</v>
      </c>
    </row>
    <row r="45" ht="20.1" customHeight="1" spans="1:17">
      <c r="A45" s="10">
        <v>3</v>
      </c>
      <c r="B45" s="11" t="s">
        <v>108</v>
      </c>
      <c r="C45" s="4" t="s">
        <v>109</v>
      </c>
      <c r="D45" s="10" t="s">
        <v>110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5"/>
        <v>919203.583333333</v>
      </c>
      <c r="K45" s="509">
        <v>617743.99575</v>
      </c>
      <c r="L45" s="509">
        <f t="shared" si="16"/>
        <v>301459.587583333</v>
      </c>
      <c r="M45" s="511">
        <v>143799.587626667</v>
      </c>
      <c r="N45" s="574">
        <v>97273.5138506667</v>
      </c>
      <c r="O45" s="575">
        <f t="shared" si="14"/>
        <v>46526.0737760003</v>
      </c>
      <c r="P45" s="576"/>
      <c r="Q45" s="589">
        <f t="shared" si="17"/>
        <v>254933.513807333</v>
      </c>
    </row>
    <row r="46" ht="20.1" customHeight="1" spans="1:17">
      <c r="A46" s="10">
        <v>4</v>
      </c>
      <c r="B46" s="11" t="s">
        <v>111</v>
      </c>
      <c r="C46" s="4" t="s">
        <v>112</v>
      </c>
      <c r="D46" s="10" t="s">
        <v>36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5"/>
        <v>780675.583333333</v>
      </c>
      <c r="K46" s="509">
        <v>527553.5025</v>
      </c>
      <c r="L46" s="509">
        <f t="shared" si="16"/>
        <v>253122.080833333</v>
      </c>
      <c r="M46" s="511">
        <v>119022.801706667</v>
      </c>
      <c r="N46" s="574">
        <v>79956.9391466667</v>
      </c>
      <c r="O46" s="575">
        <f t="shared" si="14"/>
        <v>39065.8625600003</v>
      </c>
      <c r="P46" s="576"/>
      <c r="Q46" s="589">
        <f t="shared" si="17"/>
        <v>214056.218273333</v>
      </c>
    </row>
    <row r="47" ht="20.1" customHeight="1" spans="1:17">
      <c r="A47" s="10">
        <v>5</v>
      </c>
      <c r="B47" s="11" t="s">
        <v>113</v>
      </c>
      <c r="C47" s="4" t="s">
        <v>112</v>
      </c>
      <c r="D47" s="10" t="s">
        <v>36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5"/>
        <v>780675.583333333</v>
      </c>
      <c r="K47" s="509">
        <v>527553.5025</v>
      </c>
      <c r="L47" s="509">
        <f t="shared" si="16"/>
        <v>253122.080833333</v>
      </c>
      <c r="M47" s="511">
        <v>118861.965706667</v>
      </c>
      <c r="N47" s="574">
        <v>79796.1031466666</v>
      </c>
      <c r="O47" s="575">
        <f t="shared" si="14"/>
        <v>39065.8625600004</v>
      </c>
      <c r="P47" s="576"/>
      <c r="Q47" s="589">
        <f t="shared" si="17"/>
        <v>214056.218273333</v>
      </c>
    </row>
    <row r="48" ht="20.1" customHeight="1" spans="1:17">
      <c r="A48" s="10">
        <v>6</v>
      </c>
      <c r="B48" s="11" t="s">
        <v>114</v>
      </c>
      <c r="C48" s="4" t="s">
        <v>112</v>
      </c>
      <c r="D48" s="10" t="s">
        <v>39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5"/>
        <v>742118.083333333</v>
      </c>
      <c r="K48" s="509">
        <v>504720.047</v>
      </c>
      <c r="L48" s="509">
        <f t="shared" si="16"/>
        <v>237398.036333333</v>
      </c>
      <c r="M48" s="511">
        <v>112212.004906667</v>
      </c>
      <c r="N48" s="574">
        <v>75572.9156906667</v>
      </c>
      <c r="O48" s="575">
        <f t="shared" si="14"/>
        <v>36639.0892160003</v>
      </c>
      <c r="P48" s="576"/>
      <c r="Q48" s="589">
        <f t="shared" si="17"/>
        <v>200758.947117333</v>
      </c>
    </row>
    <row r="49" ht="20.1" customHeight="1" spans="1:17">
      <c r="A49" s="10">
        <v>7</v>
      </c>
      <c r="B49" s="14" t="s">
        <v>115</v>
      </c>
      <c r="C49" s="4" t="s">
        <v>133</v>
      </c>
      <c r="D49" s="16" t="s">
        <v>222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5"/>
        <v>610498</v>
      </c>
      <c r="K49" s="509">
        <v>413333.03525</v>
      </c>
      <c r="L49" s="509">
        <f t="shared" si="16"/>
        <v>197164.96475</v>
      </c>
      <c r="M49" s="511">
        <v>88655.4333866667</v>
      </c>
      <c r="N49" s="574">
        <v>58026.6094346667</v>
      </c>
      <c r="O49" s="575">
        <f t="shared" si="14"/>
        <v>30628.823952</v>
      </c>
      <c r="P49" s="576"/>
      <c r="Q49" s="589">
        <f t="shared" si="17"/>
        <v>166536.140798</v>
      </c>
    </row>
    <row r="50" ht="20.1" customHeight="1" spans="1:17">
      <c r="A50" s="10">
        <v>8</v>
      </c>
      <c r="B50" s="11" t="s">
        <v>116</v>
      </c>
      <c r="C50" s="4" t="s">
        <v>117</v>
      </c>
      <c r="D50" s="10" t="s">
        <v>104</v>
      </c>
      <c r="E50" s="85">
        <v>300965.583333333</v>
      </c>
      <c r="F50" s="85"/>
      <c r="G50" s="220">
        <v>100000</v>
      </c>
      <c r="H50" s="220"/>
      <c r="I50" s="85"/>
      <c r="J50" s="509">
        <f t="shared" si="15"/>
        <v>400965.583333333</v>
      </c>
      <c r="K50" s="509">
        <v>273169.1175</v>
      </c>
      <c r="L50" s="509">
        <f t="shared" si="16"/>
        <v>127796.465833333</v>
      </c>
      <c r="M50" s="511">
        <v>51029.2273066667</v>
      </c>
      <c r="N50" s="574">
        <v>33059.0784066667</v>
      </c>
      <c r="O50" s="575">
        <f t="shared" si="14"/>
        <v>17970.1489</v>
      </c>
      <c r="P50" s="576"/>
      <c r="Q50" s="589">
        <f t="shared" si="17"/>
        <v>109826.316933333</v>
      </c>
    </row>
    <row r="51" ht="20.1" customHeight="1" spans="1:17">
      <c r="A51" s="10">
        <v>9</v>
      </c>
      <c r="B51" s="11" t="s">
        <v>118</v>
      </c>
      <c r="C51" s="4" t="s">
        <v>117</v>
      </c>
      <c r="D51" s="10" t="s">
        <v>80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5"/>
        <v>363165.333333333</v>
      </c>
      <c r="K51" s="509">
        <v>249356.04725</v>
      </c>
      <c r="L51" s="509">
        <f t="shared" si="16"/>
        <v>113809.286083333</v>
      </c>
      <c r="M51" s="511">
        <v>44641.5005866667</v>
      </c>
      <c r="N51" s="574">
        <v>29058.4826046667</v>
      </c>
      <c r="O51" s="575">
        <f t="shared" si="14"/>
        <v>15583.017982</v>
      </c>
      <c r="P51" s="576"/>
      <c r="Q51" s="589">
        <f t="shared" si="17"/>
        <v>98226.268101333</v>
      </c>
    </row>
    <row r="52" ht="20.1" customHeight="1" spans="1:17">
      <c r="A52" s="10">
        <v>10</v>
      </c>
      <c r="B52" s="11" t="s">
        <v>580</v>
      </c>
      <c r="C52" s="4" t="s">
        <v>117</v>
      </c>
      <c r="D52" s="10" t="s">
        <v>80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5"/>
        <v>363165.333333333</v>
      </c>
      <c r="K52" s="509">
        <v>249356.04725</v>
      </c>
      <c r="L52" s="509">
        <f t="shared" si="16"/>
        <v>113809.286083333</v>
      </c>
      <c r="M52" s="511">
        <v>44641.5005866667</v>
      </c>
      <c r="N52" s="574">
        <v>28360.9528626667</v>
      </c>
      <c r="O52" s="575">
        <f t="shared" si="14"/>
        <v>16280.547724</v>
      </c>
      <c r="P52" s="576"/>
      <c r="Q52" s="589">
        <f t="shared" si="17"/>
        <v>97528.738359333</v>
      </c>
    </row>
    <row r="53" ht="20.1" customHeight="1" spans="1:17">
      <c r="A53" s="10">
        <v>11</v>
      </c>
      <c r="B53" s="11" t="s">
        <v>119</v>
      </c>
      <c r="C53" s="4" t="s">
        <v>117</v>
      </c>
      <c r="D53" s="10" t="s">
        <v>80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5"/>
        <v>363165.333333333</v>
      </c>
      <c r="K53" s="509">
        <v>249356.04725</v>
      </c>
      <c r="L53" s="509">
        <f t="shared" si="16"/>
        <v>113809.286083333</v>
      </c>
      <c r="M53" s="511">
        <v>44641.5005866667</v>
      </c>
      <c r="N53" s="574">
        <v>29058.4826046667</v>
      </c>
      <c r="O53" s="575">
        <f t="shared" si="14"/>
        <v>15583.017982</v>
      </c>
      <c r="P53" s="576"/>
      <c r="Q53" s="589">
        <f t="shared" si="17"/>
        <v>98226.268101333</v>
      </c>
    </row>
    <row r="54" ht="25.5" customHeight="1" spans="1:17">
      <c r="A54" s="10"/>
      <c r="B54" s="20" t="s">
        <v>96</v>
      </c>
      <c r="C54" s="21">
        <v>11</v>
      </c>
      <c r="D54" s="21"/>
      <c r="E54" s="93">
        <f>SUM(E43:E53)</f>
        <v>6180028</v>
      </c>
      <c r="F54" s="93">
        <f t="shared" ref="F54:O54" si="18">SUM(F43:F53)</f>
        <v>0</v>
      </c>
      <c r="G54" s="93">
        <f t="shared" si="18"/>
        <v>1560000</v>
      </c>
      <c r="H54" s="93">
        <f t="shared" si="18"/>
        <v>0</v>
      </c>
      <c r="I54" s="93">
        <f t="shared" si="18"/>
        <v>0</v>
      </c>
      <c r="J54" s="93">
        <f t="shared" si="18"/>
        <v>7740028</v>
      </c>
      <c r="K54" s="93">
        <v>5189903.90825</v>
      </c>
      <c r="L54" s="93">
        <f t="shared" si="18"/>
        <v>2550124.09175</v>
      </c>
      <c r="M54" s="93">
        <f t="shared" si="18"/>
        <v>1157200.57157334</v>
      </c>
      <c r="N54" s="582">
        <v>770426.823753333</v>
      </c>
      <c r="O54" s="582">
        <f t="shared" si="18"/>
        <v>386773.747820002</v>
      </c>
      <c r="P54" s="583"/>
      <c r="Q54" s="593">
        <f>SUM(Q43:Q53)</f>
        <v>2163350.34393</v>
      </c>
    </row>
    <row r="55" ht="20.1" customHeight="1" spans="1:17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84"/>
      <c r="O55" s="584"/>
      <c r="P55" s="585"/>
      <c r="Q55" s="594"/>
    </row>
    <row r="56" ht="20.1" customHeight="1" spans="1:17">
      <c r="A56" s="10"/>
      <c r="B56" s="20" t="s">
        <v>120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84"/>
      <c r="O56" s="584"/>
      <c r="P56" s="585"/>
      <c r="Q56" s="594"/>
    </row>
    <row r="57" ht="20.1" customHeight="1" spans="1:17">
      <c r="A57" s="10">
        <v>1</v>
      </c>
      <c r="B57" s="11" t="s">
        <v>503</v>
      </c>
      <c r="C57" s="12" t="s">
        <v>122</v>
      </c>
      <c r="D57" s="15" t="s">
        <v>100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86">
        <v>180306.806858667</v>
      </c>
      <c r="O57" s="575">
        <f>M57-N57</f>
        <v>90365.440608</v>
      </c>
      <c r="P57" s="576"/>
      <c r="Q57" s="589">
        <f>L57-O57</f>
        <v>495145.495892</v>
      </c>
    </row>
    <row r="58" ht="20.1" customHeight="1" spans="1:17">
      <c r="A58" s="10">
        <v>2</v>
      </c>
      <c r="B58" s="11" t="s">
        <v>123</v>
      </c>
      <c r="C58" s="12" t="s">
        <v>124</v>
      </c>
      <c r="D58" s="15" t="s">
        <v>125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86">
        <v>64596.9391466667</v>
      </c>
      <c r="O58" s="575">
        <f>M58-N58</f>
        <v>39065.8625600003</v>
      </c>
      <c r="P58" s="576"/>
      <c r="Q58" s="589">
        <f>L58-O58</f>
        <v>214056.218273333</v>
      </c>
    </row>
    <row r="59" ht="20.1" customHeight="1" spans="1:17">
      <c r="A59" s="10"/>
      <c r="B59" s="20" t="s">
        <v>96</v>
      </c>
      <c r="C59" s="21">
        <v>2</v>
      </c>
      <c r="D59" s="21"/>
      <c r="E59" s="93">
        <f>SUM(E57:E58)</f>
        <v>2056395.58333333</v>
      </c>
      <c r="F59" s="93">
        <f t="shared" ref="F59:O59" si="19">SUM(F57:F58)</f>
        <v>0</v>
      </c>
      <c r="G59" s="93">
        <f t="shared" si="19"/>
        <v>200000</v>
      </c>
      <c r="H59" s="93">
        <f t="shared" si="19"/>
        <v>80000</v>
      </c>
      <c r="I59" s="93">
        <f t="shared" si="19"/>
        <v>0</v>
      </c>
      <c r="J59" s="93">
        <f t="shared" si="19"/>
        <v>2336395.58333333</v>
      </c>
      <c r="K59" s="93">
        <v>1497762.566</v>
      </c>
      <c r="L59" s="93">
        <f t="shared" si="19"/>
        <v>838633.017333333</v>
      </c>
      <c r="M59" s="93">
        <f t="shared" si="19"/>
        <v>374335.049173334</v>
      </c>
      <c r="N59" s="582">
        <v>244903.746005333</v>
      </c>
      <c r="O59" s="582">
        <f t="shared" si="19"/>
        <v>129431.303168</v>
      </c>
      <c r="P59" s="583"/>
      <c r="Q59" s="593">
        <f>SUM(Q57:Q58)</f>
        <v>709201.714165333</v>
      </c>
    </row>
    <row r="60" ht="20.1" customHeight="1" spans="1:17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84"/>
      <c r="O60" s="584"/>
      <c r="P60" s="585"/>
      <c r="Q60" s="594"/>
    </row>
    <row r="61" ht="20.1" customHeight="1" spans="1:17">
      <c r="A61" s="10"/>
      <c r="B61" s="20" t="s">
        <v>126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84"/>
      <c r="O61" s="584"/>
      <c r="P61" s="585"/>
      <c r="Q61" s="594"/>
    </row>
    <row r="62" ht="20.1" customHeight="1" spans="1:17">
      <c r="A62" s="10">
        <v>1</v>
      </c>
      <c r="B62" s="11" t="s">
        <v>127</v>
      </c>
      <c r="C62" s="17" t="s">
        <v>128</v>
      </c>
      <c r="D62" s="10" t="s">
        <v>100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74">
        <v>180306.806858667</v>
      </c>
      <c r="O62" s="575">
        <f t="shared" ref="O62:O71" si="20">M62-N62</f>
        <v>112418.099808</v>
      </c>
      <c r="P62" s="576"/>
      <c r="Q62" s="589">
        <f>L62-O62</f>
        <v>473092.836692</v>
      </c>
    </row>
    <row r="63" ht="20.1" customHeight="1" spans="1:17">
      <c r="A63" s="10">
        <v>2</v>
      </c>
      <c r="B63" s="351" t="s">
        <v>129</v>
      </c>
      <c r="C63" s="17" t="s">
        <v>130</v>
      </c>
      <c r="D63" s="15" t="s">
        <v>131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21">E63+F63+G63+H63+I63</f>
        <v>761396.833333333</v>
      </c>
      <c r="K63" s="509">
        <v>516137.05</v>
      </c>
      <c r="L63" s="509">
        <f t="shared" ref="L63:L71" si="22">J63-K63</f>
        <v>245259.783333333</v>
      </c>
      <c r="M63" s="511">
        <v>115617.403306667</v>
      </c>
      <c r="N63" s="574">
        <v>77764.9802666667</v>
      </c>
      <c r="O63" s="575">
        <f t="shared" si="20"/>
        <v>37852.4230400003</v>
      </c>
      <c r="P63" s="576"/>
      <c r="Q63" s="589">
        <f t="shared" ref="Q63:Q71" si="23">L63-O63</f>
        <v>207407.360293333</v>
      </c>
    </row>
    <row r="64" ht="20.1" customHeight="1" spans="1:17">
      <c r="A64" s="10">
        <v>3</v>
      </c>
      <c r="B64" s="11" t="s">
        <v>132</v>
      </c>
      <c r="C64" s="4" t="s">
        <v>133</v>
      </c>
      <c r="D64" s="10" t="s">
        <v>47</v>
      </c>
      <c r="E64" s="85">
        <v>442746.5</v>
      </c>
      <c r="F64" s="85"/>
      <c r="G64" s="220">
        <v>140000</v>
      </c>
      <c r="H64" s="220"/>
      <c r="I64" s="85"/>
      <c r="J64" s="509">
        <f t="shared" si="21"/>
        <v>582746.5</v>
      </c>
      <c r="K64" s="509">
        <v>397211.3675</v>
      </c>
      <c r="L64" s="509">
        <f t="shared" si="22"/>
        <v>185535.1325</v>
      </c>
      <c r="M64" s="511">
        <v>83753.4084266666</v>
      </c>
      <c r="N64" s="574">
        <v>54931.2492266667</v>
      </c>
      <c r="O64" s="575">
        <f t="shared" si="20"/>
        <v>28822.1591999999</v>
      </c>
      <c r="P64" s="576"/>
      <c r="Q64" s="589">
        <f t="shared" si="23"/>
        <v>156712.9733</v>
      </c>
    </row>
    <row r="65" ht="20.1" customHeight="1" spans="1:17">
      <c r="A65" s="10">
        <v>4</v>
      </c>
      <c r="B65" s="18" t="s">
        <v>486</v>
      </c>
      <c r="C65" s="17" t="s">
        <v>165</v>
      </c>
      <c r="D65" s="15" t="s">
        <v>52</v>
      </c>
      <c r="E65" s="85">
        <v>428915.916666667</v>
      </c>
      <c r="F65" s="85"/>
      <c r="G65" s="220">
        <f t="shared" ref="G65" si="24">120000</f>
        <v>120000</v>
      </c>
      <c r="H65" s="220"/>
      <c r="I65" s="85">
        <v>0</v>
      </c>
      <c r="J65" s="509">
        <f t="shared" si="21"/>
        <v>548915.916666667</v>
      </c>
      <c r="K65" s="509">
        <v>369177.65375</v>
      </c>
      <c r="L65" s="509">
        <f t="shared" si="22"/>
        <v>179738.262916667</v>
      </c>
      <c r="M65" s="511">
        <v>77470.3741866667</v>
      </c>
      <c r="N65" s="574">
        <v>49548.7761866667</v>
      </c>
      <c r="O65" s="575">
        <f t="shared" si="20"/>
        <v>27921.598</v>
      </c>
      <c r="P65" s="576"/>
      <c r="Q65" s="589">
        <f t="shared" si="23"/>
        <v>151816.664916667</v>
      </c>
    </row>
    <row r="66" ht="20.1" customHeight="1" spans="1:17">
      <c r="A66" s="10">
        <v>5</v>
      </c>
      <c r="B66" s="14" t="s">
        <v>519</v>
      </c>
      <c r="C66" s="17" t="s">
        <v>133</v>
      </c>
      <c r="D66" s="15" t="s">
        <v>42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21"/>
        <v>624373.75</v>
      </c>
      <c r="K66" s="509">
        <v>421394.00675</v>
      </c>
      <c r="L66" s="509">
        <f t="shared" si="22"/>
        <v>202979.74325</v>
      </c>
      <c r="M66" s="511">
        <v>91106.4458666667</v>
      </c>
      <c r="N66" s="574">
        <v>59574.3159626667</v>
      </c>
      <c r="O66" s="575">
        <f t="shared" si="20"/>
        <v>31532.129904</v>
      </c>
      <c r="P66" s="576"/>
      <c r="Q66" s="589">
        <f t="shared" si="23"/>
        <v>171447.613346</v>
      </c>
    </row>
    <row r="67" ht="20.1" customHeight="1" spans="1:17">
      <c r="A67" s="10">
        <v>7</v>
      </c>
      <c r="B67" s="11" t="s">
        <v>134</v>
      </c>
      <c r="C67" s="4" t="s">
        <v>117</v>
      </c>
      <c r="D67" s="10" t="s">
        <v>135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21"/>
        <v>475703.833333333</v>
      </c>
      <c r="K67" s="509">
        <v>322454.074</v>
      </c>
      <c r="L67" s="509">
        <f t="shared" si="22"/>
        <v>153249.759333333</v>
      </c>
      <c r="M67" s="511">
        <v>64384.5917866667</v>
      </c>
      <c r="N67" s="574">
        <v>41338.9510986667</v>
      </c>
      <c r="O67" s="575">
        <f t="shared" si="20"/>
        <v>23045.640688</v>
      </c>
      <c r="P67" s="576"/>
      <c r="Q67" s="589">
        <f t="shared" si="23"/>
        <v>130204.118645333</v>
      </c>
    </row>
    <row r="68" ht="20.1" customHeight="1" spans="1:17">
      <c r="A68" s="10">
        <v>8</v>
      </c>
      <c r="B68" s="11" t="s">
        <v>136</v>
      </c>
      <c r="C68" s="17" t="s">
        <v>67</v>
      </c>
      <c r="D68" s="10" t="s">
        <v>135</v>
      </c>
      <c r="E68" s="85">
        <v>365703.833333333</v>
      </c>
      <c r="F68" s="85"/>
      <c r="G68" s="220">
        <f t="shared" ref="G68:G70" si="25">110000</f>
        <v>110000</v>
      </c>
      <c r="H68" s="220"/>
      <c r="I68" s="85">
        <v>0</v>
      </c>
      <c r="J68" s="509">
        <f t="shared" si="21"/>
        <v>475703.833333333</v>
      </c>
      <c r="K68" s="509">
        <v>322454.074</v>
      </c>
      <c r="L68" s="509">
        <f t="shared" si="22"/>
        <v>153249.759333333</v>
      </c>
      <c r="M68" s="511">
        <v>64384.5917866667</v>
      </c>
      <c r="N68" s="574">
        <v>41338.9510986667</v>
      </c>
      <c r="O68" s="575">
        <f t="shared" si="20"/>
        <v>23045.640688</v>
      </c>
      <c r="P68" s="576"/>
      <c r="Q68" s="589">
        <f t="shared" si="23"/>
        <v>130204.118645333</v>
      </c>
    </row>
    <row r="69" ht="20.1" customHeight="1" spans="1:17">
      <c r="A69" s="10">
        <v>9</v>
      </c>
      <c r="B69" s="11" t="s">
        <v>137</v>
      </c>
      <c r="C69" s="17" t="s">
        <v>67</v>
      </c>
      <c r="D69" s="10" t="s">
        <v>135</v>
      </c>
      <c r="E69" s="85">
        <v>365703.833333333</v>
      </c>
      <c r="F69" s="85"/>
      <c r="G69" s="220">
        <f t="shared" si="25"/>
        <v>110000</v>
      </c>
      <c r="H69" s="220"/>
      <c r="I69" s="85">
        <v>0</v>
      </c>
      <c r="J69" s="509">
        <f t="shared" si="21"/>
        <v>475703.833333333</v>
      </c>
      <c r="K69" s="509">
        <v>322454.074</v>
      </c>
      <c r="L69" s="509">
        <f t="shared" si="22"/>
        <v>153249.759333333</v>
      </c>
      <c r="M69" s="511">
        <v>64384.5917866667</v>
      </c>
      <c r="N69" s="574">
        <v>41338.9510986667</v>
      </c>
      <c r="O69" s="575">
        <f t="shared" si="20"/>
        <v>23045.640688</v>
      </c>
      <c r="P69" s="576"/>
      <c r="Q69" s="589">
        <f t="shared" si="23"/>
        <v>130204.118645333</v>
      </c>
    </row>
    <row r="70" ht="20.1" customHeight="1" spans="1:17">
      <c r="A70" s="10">
        <v>10</v>
      </c>
      <c r="B70" s="11" t="s">
        <v>138</v>
      </c>
      <c r="C70" s="4" t="s">
        <v>139</v>
      </c>
      <c r="D70" s="10" t="s">
        <v>62</v>
      </c>
      <c r="E70" s="457">
        <v>377895.166666667</v>
      </c>
      <c r="F70" s="85"/>
      <c r="G70" s="220">
        <f t="shared" si="25"/>
        <v>110000</v>
      </c>
      <c r="H70" s="220"/>
      <c r="I70" s="85"/>
      <c r="J70" s="509">
        <f t="shared" si="21"/>
        <v>487895.166666667</v>
      </c>
      <c r="K70" s="509">
        <v>334536.9985</v>
      </c>
      <c r="L70" s="509">
        <f t="shared" si="22"/>
        <v>153358.168166667</v>
      </c>
      <c r="M70" s="511">
        <v>66538.0689066667</v>
      </c>
      <c r="N70" s="574">
        <v>43368.8824146667</v>
      </c>
      <c r="O70" s="575">
        <f t="shared" si="20"/>
        <v>23169.186492</v>
      </c>
      <c r="P70" s="576"/>
      <c r="Q70" s="589">
        <f t="shared" si="23"/>
        <v>130188.981674667</v>
      </c>
    </row>
    <row r="71" ht="21.6" customHeight="1" spans="1:17">
      <c r="A71" s="10">
        <v>11</v>
      </c>
      <c r="B71" s="11" t="s">
        <v>140</v>
      </c>
      <c r="C71" s="4" t="s">
        <v>117</v>
      </c>
      <c r="D71" s="10" t="s">
        <v>104</v>
      </c>
      <c r="E71" s="220">
        <v>300965.583333333</v>
      </c>
      <c r="F71" s="85"/>
      <c r="G71" s="220">
        <v>100000</v>
      </c>
      <c r="H71" s="220"/>
      <c r="I71" s="85"/>
      <c r="J71" s="509">
        <f t="shared" si="21"/>
        <v>400965.583333333</v>
      </c>
      <c r="K71" s="509">
        <v>277734.047</v>
      </c>
      <c r="L71" s="509">
        <f t="shared" si="22"/>
        <v>123231.536333333</v>
      </c>
      <c r="M71" s="511">
        <v>51029.2273066667</v>
      </c>
      <c r="N71" s="574">
        <v>33825.9865626667</v>
      </c>
      <c r="O71" s="575">
        <f t="shared" si="20"/>
        <v>17203.240744</v>
      </c>
      <c r="P71" s="576"/>
      <c r="Q71" s="589">
        <f t="shared" si="23"/>
        <v>106028.295589333</v>
      </c>
    </row>
    <row r="72" ht="27" customHeight="1" spans="1:17">
      <c r="A72" s="10"/>
      <c r="B72" s="20" t="s">
        <v>96</v>
      </c>
      <c r="C72" s="21">
        <v>12</v>
      </c>
      <c r="D72" s="21"/>
      <c r="E72" s="93">
        <f>SUM(E62:E71)</f>
        <v>5169125.25</v>
      </c>
      <c r="F72" s="93">
        <f t="shared" ref="F72:O72" si="26">SUM(F62:F71)</f>
        <v>0</v>
      </c>
      <c r="G72" s="93">
        <f t="shared" si="26"/>
        <v>1300000</v>
      </c>
      <c r="H72" s="93">
        <f t="shared" si="26"/>
        <v>0</v>
      </c>
      <c r="I72" s="93">
        <f t="shared" si="26"/>
        <v>0</v>
      </c>
      <c r="J72" s="93">
        <f t="shared" si="26"/>
        <v>6469125.25</v>
      </c>
      <c r="K72" s="93">
        <v>4333762.409</v>
      </c>
      <c r="L72" s="93">
        <f t="shared" si="26"/>
        <v>2135362.841</v>
      </c>
      <c r="M72" s="93">
        <f t="shared" si="26"/>
        <v>971393.610026667</v>
      </c>
      <c r="N72" s="582">
        <v>623337.850774667</v>
      </c>
      <c r="O72" s="582">
        <f t="shared" si="26"/>
        <v>348055.759252</v>
      </c>
      <c r="P72" s="583"/>
      <c r="Q72" s="593">
        <f>SUM(Q62:Q71)</f>
        <v>1787307.081748</v>
      </c>
    </row>
    <row r="73" ht="20.1" customHeight="1" spans="1:17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84"/>
      <c r="O73" s="584"/>
      <c r="P73" s="585"/>
      <c r="Q73" s="594"/>
    </row>
    <row r="74" ht="20.1" customHeight="1" spans="1:17">
      <c r="A74" s="10"/>
      <c r="B74" s="20" t="s">
        <v>141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84"/>
      <c r="O74" s="584"/>
      <c r="P74" s="585"/>
      <c r="Q74" s="594"/>
    </row>
    <row r="75" ht="20.1" customHeight="1" spans="1:17">
      <c r="A75" s="10">
        <v>1</v>
      </c>
      <c r="B75" s="11" t="s">
        <v>142</v>
      </c>
      <c r="C75" s="4" t="s">
        <v>143</v>
      </c>
      <c r="D75" s="10" t="s">
        <v>100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74">
        <v>180306.806858667</v>
      </c>
      <c r="O75" s="575">
        <f t="shared" ref="O75:O81" si="27">M75-N75</f>
        <v>90365.440608</v>
      </c>
      <c r="P75" s="576"/>
      <c r="Q75" s="589">
        <f>L75-O75</f>
        <v>495145.495892</v>
      </c>
    </row>
    <row r="76" ht="20.1" customHeight="1" spans="1:17">
      <c r="A76" s="10">
        <v>2</v>
      </c>
      <c r="B76" s="14" t="s">
        <v>520</v>
      </c>
      <c r="C76" s="4" t="s">
        <v>572</v>
      </c>
      <c r="D76" s="15" t="s">
        <v>573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8">E76+F76+G76+H76+I76</f>
        <v>761396.833333333</v>
      </c>
      <c r="K76" s="509">
        <v>516137.05</v>
      </c>
      <c r="L76" s="509">
        <f t="shared" ref="L76:L81" si="29">J76-K76</f>
        <v>245259.783333333</v>
      </c>
      <c r="M76" s="511">
        <v>124854.858666667</v>
      </c>
      <c r="N76" s="574">
        <v>77764.9802666667</v>
      </c>
      <c r="O76" s="575">
        <f t="shared" si="27"/>
        <v>47089.8784000003</v>
      </c>
      <c r="P76" s="576"/>
      <c r="Q76" s="589">
        <f t="shared" ref="Q76:Q81" si="30">L76-O76</f>
        <v>198169.904933333</v>
      </c>
    </row>
    <row r="77" ht="20.1" customHeight="1" spans="1:17">
      <c r="A77" s="10">
        <v>3</v>
      </c>
      <c r="B77" s="18" t="s">
        <v>521</v>
      </c>
      <c r="C77" s="12" t="s">
        <v>574</v>
      </c>
      <c r="D77" s="10" t="s">
        <v>125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8"/>
        <v>700675.583333333</v>
      </c>
      <c r="K77" s="509">
        <v>447553.5025</v>
      </c>
      <c r="L77" s="509">
        <f t="shared" si="29"/>
        <v>253122.080833333</v>
      </c>
      <c r="M77" s="511">
        <v>113196.378666667</v>
      </c>
      <c r="N77" s="574">
        <v>64596.9391466667</v>
      </c>
      <c r="O77" s="575">
        <f t="shared" si="27"/>
        <v>48599.4395200003</v>
      </c>
      <c r="P77" s="576"/>
      <c r="Q77" s="589">
        <f t="shared" si="30"/>
        <v>204522.641313333</v>
      </c>
    </row>
    <row r="78" ht="20.1" customHeight="1" spans="1:17">
      <c r="A78" s="10">
        <v>4</v>
      </c>
      <c r="B78" s="11" t="s">
        <v>146</v>
      </c>
      <c r="C78" s="4" t="s">
        <v>147</v>
      </c>
      <c r="D78" s="15" t="s">
        <v>148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8"/>
        <v>596622.25</v>
      </c>
      <c r="K78" s="509">
        <v>405272.06375</v>
      </c>
      <c r="L78" s="509">
        <f t="shared" si="29"/>
        <v>191350.18625</v>
      </c>
      <c r="M78" s="511">
        <v>86076.1041866667</v>
      </c>
      <c r="N78" s="574">
        <v>56350.5861866667</v>
      </c>
      <c r="O78" s="575">
        <f t="shared" si="27"/>
        <v>29725.518</v>
      </c>
      <c r="P78" s="576"/>
      <c r="Q78" s="589">
        <f t="shared" si="30"/>
        <v>161624.66825</v>
      </c>
    </row>
    <row r="79" ht="20.1" customHeight="1" spans="1:17">
      <c r="A79" s="10">
        <v>5</v>
      </c>
      <c r="B79" s="11" t="s">
        <v>149</v>
      </c>
      <c r="C79" s="4" t="s">
        <v>152</v>
      </c>
      <c r="D79" s="10" t="s">
        <v>265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8"/>
        <v>408901.5</v>
      </c>
      <c r="K79" s="509">
        <v>273169.1175</v>
      </c>
      <c r="L79" s="509">
        <f t="shared" si="29"/>
        <v>135732.3825</v>
      </c>
      <c r="M79" s="511">
        <v>52431.0276266667</v>
      </c>
      <c r="N79" s="574">
        <v>33059.0784066667</v>
      </c>
      <c r="O79" s="575">
        <f t="shared" si="27"/>
        <v>19371.94922</v>
      </c>
      <c r="P79" s="576"/>
      <c r="Q79" s="589">
        <f t="shared" si="30"/>
        <v>116360.43328</v>
      </c>
    </row>
    <row r="80" ht="20.1" customHeight="1" spans="1:17">
      <c r="A80" s="10">
        <v>6</v>
      </c>
      <c r="B80" s="11" t="s">
        <v>151</v>
      </c>
      <c r="C80" s="4" t="s">
        <v>152</v>
      </c>
      <c r="D80" s="10" t="s">
        <v>80</v>
      </c>
      <c r="E80" s="85">
        <v>263165.333333333</v>
      </c>
      <c r="F80" s="85"/>
      <c r="G80" s="220">
        <v>100000</v>
      </c>
      <c r="H80" s="220"/>
      <c r="I80" s="85"/>
      <c r="J80" s="509">
        <f t="shared" si="28"/>
        <v>363165.333333333</v>
      </c>
      <c r="K80" s="509">
        <v>249356.04725</v>
      </c>
      <c r="L80" s="509">
        <f t="shared" si="29"/>
        <v>113809.286083333</v>
      </c>
      <c r="M80" s="511">
        <v>44641.5005866667</v>
      </c>
      <c r="N80" s="574">
        <v>29058.4826046667</v>
      </c>
      <c r="O80" s="575">
        <f t="shared" si="27"/>
        <v>15583.017982</v>
      </c>
      <c r="P80" s="576"/>
      <c r="Q80" s="589">
        <f t="shared" si="30"/>
        <v>98226.268101333</v>
      </c>
    </row>
    <row r="81" ht="20.1" customHeight="1" spans="1:17">
      <c r="A81" s="10">
        <v>7</v>
      </c>
      <c r="B81" s="11" t="s">
        <v>153</v>
      </c>
      <c r="C81" s="4" t="s">
        <v>154</v>
      </c>
      <c r="D81" s="10" t="s">
        <v>92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8"/>
        <v>324459.75</v>
      </c>
      <c r="K81" s="509">
        <v>223717.2845</v>
      </c>
      <c r="L81" s="509">
        <f t="shared" si="29"/>
        <v>100742.4655</v>
      </c>
      <c r="M81" s="511">
        <v>38659.1656266667</v>
      </c>
      <c r="N81" s="574">
        <v>24751.1704626667</v>
      </c>
      <c r="O81" s="575">
        <f t="shared" si="27"/>
        <v>13907.995164</v>
      </c>
      <c r="P81" s="576"/>
      <c r="Q81" s="589">
        <f t="shared" si="30"/>
        <v>86834.470336</v>
      </c>
    </row>
    <row r="82" ht="20.1" customHeight="1" spans="1:17">
      <c r="A82" s="10"/>
      <c r="B82" s="20" t="s">
        <v>96</v>
      </c>
      <c r="C82" s="21">
        <v>7</v>
      </c>
      <c r="D82" s="21"/>
      <c r="E82" s="93">
        <f>SUM(E75:E81)</f>
        <v>3910941.25</v>
      </c>
      <c r="F82" s="93">
        <f t="shared" ref="F82:O82" si="31">SUM(F75:F81)</f>
        <v>0</v>
      </c>
      <c r="G82" s="93">
        <f t="shared" si="31"/>
        <v>800000</v>
      </c>
      <c r="H82" s="93">
        <f t="shared" si="31"/>
        <v>80000</v>
      </c>
      <c r="I82" s="93">
        <f t="shared" si="31"/>
        <v>0</v>
      </c>
      <c r="J82" s="93">
        <f t="shared" si="31"/>
        <v>4790941.25</v>
      </c>
      <c r="K82" s="93">
        <v>3165414.129</v>
      </c>
      <c r="L82" s="93">
        <f t="shared" si="31"/>
        <v>1625527.121</v>
      </c>
      <c r="M82" s="93">
        <f t="shared" si="31"/>
        <v>730531.282826668</v>
      </c>
      <c r="N82" s="582">
        <v>465888.043932667</v>
      </c>
      <c r="O82" s="582">
        <f t="shared" si="31"/>
        <v>264643.238894001</v>
      </c>
      <c r="P82" s="583"/>
      <c r="Q82" s="593">
        <f>SUM(Q75:Q81)</f>
        <v>1360883.882106</v>
      </c>
    </row>
    <row r="83" ht="20.1" customHeight="1" spans="1:17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84"/>
      <c r="O83" s="584"/>
      <c r="P83" s="585"/>
      <c r="Q83" s="594"/>
    </row>
    <row r="84" ht="20.1" customHeight="1" spans="1:17">
      <c r="A84" s="10"/>
      <c r="B84" s="20" t="s">
        <v>155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84"/>
      <c r="O84" s="584"/>
      <c r="P84" s="585"/>
      <c r="Q84" s="594"/>
    </row>
    <row r="85" ht="20.1" customHeight="1" spans="1:17">
      <c r="A85" s="10">
        <v>1</v>
      </c>
      <c r="B85" s="11" t="s">
        <v>156</v>
      </c>
      <c r="C85" s="4" t="s">
        <v>112</v>
      </c>
      <c r="D85" s="10" t="s">
        <v>36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74">
        <v>99156.9391466667</v>
      </c>
      <c r="O85" s="575">
        <f t="shared" ref="O85:O94" si="32">M85-N85</f>
        <v>39065.8625600003</v>
      </c>
      <c r="P85" s="576"/>
      <c r="Q85" s="589">
        <f>L85-O85</f>
        <v>214056.218273333</v>
      </c>
    </row>
    <row r="86" ht="20.1" customHeight="1" spans="1:17">
      <c r="A86" s="10">
        <v>2</v>
      </c>
      <c r="B86" s="11" t="s">
        <v>157</v>
      </c>
      <c r="C86" s="4" t="s">
        <v>112</v>
      </c>
      <c r="D86" s="10" t="s">
        <v>36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33">E86+F86+G86+H86+I86</f>
        <v>780675.583333333</v>
      </c>
      <c r="K86" s="509">
        <v>527553.5025</v>
      </c>
      <c r="L86" s="509">
        <f t="shared" ref="L86:L94" si="34">J86-K86</f>
        <v>253122.080833333</v>
      </c>
      <c r="M86" s="511">
        <v>118861.965706667</v>
      </c>
      <c r="N86" s="574">
        <v>79796.1031466666</v>
      </c>
      <c r="O86" s="575">
        <f t="shared" si="32"/>
        <v>39065.8625600004</v>
      </c>
      <c r="P86" s="576"/>
      <c r="Q86" s="589">
        <f t="shared" ref="Q86:Q94" si="35">L86-O86</f>
        <v>214056.218273333</v>
      </c>
    </row>
    <row r="87" ht="20.1" customHeight="1" spans="1:17">
      <c r="A87" s="10">
        <v>3</v>
      </c>
      <c r="B87" s="11" t="s">
        <v>158</v>
      </c>
      <c r="C87" s="4" t="s">
        <v>112</v>
      </c>
      <c r="D87" s="10" t="s">
        <v>39</v>
      </c>
      <c r="E87" s="85">
        <v>582118.083333333</v>
      </c>
      <c r="F87" s="85"/>
      <c r="G87" s="220">
        <v>160000</v>
      </c>
      <c r="H87" s="220"/>
      <c r="I87" s="85"/>
      <c r="J87" s="509">
        <f t="shared" si="33"/>
        <v>742118.083333333</v>
      </c>
      <c r="K87" s="509">
        <v>504729.222</v>
      </c>
      <c r="L87" s="509">
        <f t="shared" si="34"/>
        <v>237388.861333333</v>
      </c>
      <c r="M87" s="511">
        <v>112212.004906667</v>
      </c>
      <c r="N87" s="574">
        <v>75574.6772906667</v>
      </c>
      <c r="O87" s="575">
        <f t="shared" si="32"/>
        <v>36637.3276160003</v>
      </c>
      <c r="P87" s="576"/>
      <c r="Q87" s="589">
        <f t="shared" si="35"/>
        <v>200751.533717333</v>
      </c>
    </row>
    <row r="88" ht="21.6" customHeight="1" spans="1:17">
      <c r="A88" s="10">
        <v>4</v>
      </c>
      <c r="B88" s="11" t="s">
        <v>159</v>
      </c>
      <c r="C88" s="4" t="s">
        <v>483</v>
      </c>
      <c r="D88" s="15" t="s">
        <v>192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33"/>
        <v>561804.916666667</v>
      </c>
      <c r="K88" s="509">
        <v>376663.0775</v>
      </c>
      <c r="L88" s="509">
        <f t="shared" si="34"/>
        <v>185141.839166667</v>
      </c>
      <c r="M88" s="511">
        <v>79747.0871466667</v>
      </c>
      <c r="N88" s="574">
        <v>50985.9775466667</v>
      </c>
      <c r="O88" s="575">
        <f t="shared" si="32"/>
        <v>28761.1096</v>
      </c>
      <c r="P88" s="576"/>
      <c r="Q88" s="589">
        <f t="shared" si="35"/>
        <v>156380.729566667</v>
      </c>
    </row>
    <row r="89" ht="21.6" customHeight="1" spans="1:17">
      <c r="A89" s="10">
        <v>5</v>
      </c>
      <c r="B89" s="11" t="s">
        <v>160</v>
      </c>
      <c r="C89" s="12" t="s">
        <v>165</v>
      </c>
      <c r="D89" s="15" t="s">
        <v>52</v>
      </c>
      <c r="E89" s="85">
        <v>428915.916666667</v>
      </c>
      <c r="F89" s="85"/>
      <c r="G89" s="220">
        <f t="shared" ref="G89" si="36">120000</f>
        <v>120000</v>
      </c>
      <c r="H89" s="220"/>
      <c r="I89" s="85">
        <v>0</v>
      </c>
      <c r="J89" s="509">
        <f t="shared" si="33"/>
        <v>548915.916666667</v>
      </c>
      <c r="K89" s="509">
        <v>369177.65375</v>
      </c>
      <c r="L89" s="509">
        <f t="shared" si="34"/>
        <v>179738.262916667</v>
      </c>
      <c r="M89" s="511">
        <v>77470.3741866667</v>
      </c>
      <c r="N89" s="574">
        <v>49548.7761866667</v>
      </c>
      <c r="O89" s="575">
        <f t="shared" si="32"/>
        <v>27921.598</v>
      </c>
      <c r="P89" s="576"/>
      <c r="Q89" s="589">
        <f t="shared" si="35"/>
        <v>151816.664916667</v>
      </c>
    </row>
    <row r="90" ht="21.6" customHeight="1" spans="1:17">
      <c r="A90" s="10">
        <v>6</v>
      </c>
      <c r="B90" s="11" t="s">
        <v>161</v>
      </c>
      <c r="C90" s="12" t="s">
        <v>133</v>
      </c>
      <c r="D90" s="15" t="s">
        <v>162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33"/>
        <v>568870.75</v>
      </c>
      <c r="K90" s="509">
        <v>389153.05675</v>
      </c>
      <c r="L90" s="509">
        <f t="shared" si="34"/>
        <v>179717.69325</v>
      </c>
      <c r="M90" s="511">
        <v>81302.3959466667</v>
      </c>
      <c r="N90" s="574">
        <v>53384.0535626667</v>
      </c>
      <c r="O90" s="575">
        <f t="shared" si="32"/>
        <v>27918.342384</v>
      </c>
      <c r="P90" s="576"/>
      <c r="Q90" s="589">
        <f t="shared" si="35"/>
        <v>151799.350866</v>
      </c>
    </row>
    <row r="91" ht="21.6" customHeight="1" spans="1:17">
      <c r="A91" s="10">
        <v>7</v>
      </c>
      <c r="B91" s="11" t="s">
        <v>163</v>
      </c>
      <c r="C91" s="17" t="s">
        <v>67</v>
      </c>
      <c r="D91" s="15" t="s">
        <v>135</v>
      </c>
      <c r="E91" s="85">
        <v>365703.833333333</v>
      </c>
      <c r="F91" s="85"/>
      <c r="G91" s="220">
        <f t="shared" ref="G91" si="37">110000</f>
        <v>110000</v>
      </c>
      <c r="H91" s="220"/>
      <c r="I91" s="85">
        <v>0</v>
      </c>
      <c r="J91" s="509">
        <f t="shared" si="33"/>
        <v>475703.833333333</v>
      </c>
      <c r="K91" s="509">
        <v>322454.074</v>
      </c>
      <c r="L91" s="509">
        <f t="shared" si="34"/>
        <v>153249.759333333</v>
      </c>
      <c r="M91" s="511">
        <v>64384.5917866667</v>
      </c>
      <c r="N91" s="574">
        <v>41338.9510986667</v>
      </c>
      <c r="O91" s="575">
        <f t="shared" si="32"/>
        <v>23045.640688</v>
      </c>
      <c r="P91" s="576"/>
      <c r="Q91" s="589">
        <f t="shared" si="35"/>
        <v>130204.118645333</v>
      </c>
    </row>
    <row r="92" ht="21.6" customHeight="1" spans="1:17">
      <c r="A92" s="10">
        <v>8</v>
      </c>
      <c r="B92" s="11" t="s">
        <v>164</v>
      </c>
      <c r="C92" s="17" t="s">
        <v>165</v>
      </c>
      <c r="D92" s="15" t="s">
        <v>166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33"/>
        <v>510248.916666667</v>
      </c>
      <c r="K92" s="509">
        <v>346713.03325</v>
      </c>
      <c r="L92" s="509">
        <f t="shared" si="34"/>
        <v>163535.883416667</v>
      </c>
      <c r="M92" s="511">
        <v>70529.4753546667</v>
      </c>
      <c r="N92" s="574">
        <v>45317.5412946667</v>
      </c>
      <c r="O92" s="575">
        <f t="shared" si="32"/>
        <v>25211.93406</v>
      </c>
      <c r="P92" s="576"/>
      <c r="Q92" s="589">
        <f t="shared" si="35"/>
        <v>138323.949356667</v>
      </c>
    </row>
    <row r="93" ht="21.6" customHeight="1" spans="1:17">
      <c r="A93" s="10">
        <v>9</v>
      </c>
      <c r="B93" s="11" t="s">
        <v>167</v>
      </c>
      <c r="C93" s="4" t="s">
        <v>168</v>
      </c>
      <c r="D93" s="10" t="s">
        <v>104</v>
      </c>
      <c r="E93" s="220">
        <v>300965.583333333</v>
      </c>
      <c r="F93" s="85"/>
      <c r="G93" s="220">
        <v>100000</v>
      </c>
      <c r="H93" s="220"/>
      <c r="I93" s="85"/>
      <c r="J93" s="509">
        <f t="shared" si="33"/>
        <v>400965.583333333</v>
      </c>
      <c r="K93" s="509">
        <v>277734.047</v>
      </c>
      <c r="L93" s="509">
        <f t="shared" si="34"/>
        <v>123231.536333333</v>
      </c>
      <c r="M93" s="511">
        <v>51029.2273066667</v>
      </c>
      <c r="N93" s="574">
        <v>33825.9865626667</v>
      </c>
      <c r="O93" s="575">
        <f t="shared" si="32"/>
        <v>17203.240744</v>
      </c>
      <c r="P93" s="576"/>
      <c r="Q93" s="589">
        <f t="shared" si="35"/>
        <v>106028.295589333</v>
      </c>
    </row>
    <row r="94" ht="21.6" customHeight="1" spans="1:17">
      <c r="A94" s="10">
        <v>10</v>
      </c>
      <c r="B94" s="11" t="s">
        <v>169</v>
      </c>
      <c r="C94" s="17" t="s">
        <v>170</v>
      </c>
      <c r="D94" s="15" t="s">
        <v>171</v>
      </c>
      <c r="E94" s="220">
        <v>230631.916666667</v>
      </c>
      <c r="F94" s="85"/>
      <c r="G94" s="220">
        <f t="shared" ref="G94" si="38">100000</f>
        <v>100000</v>
      </c>
      <c r="H94" s="220"/>
      <c r="I94" s="85"/>
      <c r="J94" s="509">
        <f t="shared" si="33"/>
        <v>330631.916666667</v>
      </c>
      <c r="K94" s="509">
        <v>254870.263445</v>
      </c>
      <c r="L94" s="509">
        <f t="shared" si="34"/>
        <v>75761.653221667</v>
      </c>
      <c r="M94" s="511">
        <v>39613.1357066667</v>
      </c>
      <c r="N94" s="574">
        <v>29984.8709254267</v>
      </c>
      <c r="O94" s="575">
        <f t="shared" si="32"/>
        <v>9628.26478124</v>
      </c>
      <c r="P94" s="576"/>
      <c r="Q94" s="602">
        <f t="shared" si="35"/>
        <v>66133.388440427</v>
      </c>
    </row>
    <row r="95" ht="20.1" customHeight="1" spans="1:17">
      <c r="A95" s="10"/>
      <c r="B95" s="20" t="s">
        <v>96</v>
      </c>
      <c r="C95" s="21">
        <v>11</v>
      </c>
      <c r="D95" s="21"/>
      <c r="E95" s="93">
        <f>SUM(E85:E94)</f>
        <v>4410611.08333333</v>
      </c>
      <c r="F95" s="93">
        <f t="shared" ref="F95:O95" si="39">SUM(F85:F94)</f>
        <v>0</v>
      </c>
      <c r="G95" s="93">
        <f t="shared" si="39"/>
        <v>1290000</v>
      </c>
      <c r="H95" s="93">
        <f t="shared" si="39"/>
        <v>0</v>
      </c>
      <c r="I95" s="93">
        <f t="shared" si="39"/>
        <v>100000</v>
      </c>
      <c r="J95" s="93">
        <f t="shared" si="39"/>
        <v>5800611.08333333</v>
      </c>
      <c r="K95" s="93">
        <v>3996601.432695</v>
      </c>
      <c r="L95" s="93">
        <f t="shared" si="39"/>
        <v>1804009.65063833</v>
      </c>
      <c r="M95" s="93">
        <f t="shared" si="39"/>
        <v>833373.059754668</v>
      </c>
      <c r="N95" s="582">
        <v>558913.876761427</v>
      </c>
      <c r="O95" s="582">
        <f t="shared" si="39"/>
        <v>274459.182993241</v>
      </c>
      <c r="P95" s="583"/>
      <c r="Q95" s="593">
        <f>SUM(Q85:Q94)</f>
        <v>1529550.46764509</v>
      </c>
    </row>
    <row r="96" ht="20.1" customHeight="1" spans="1:17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84"/>
      <c r="O96" s="584"/>
      <c r="P96" s="585"/>
      <c r="Q96" s="594"/>
    </row>
    <row r="97" ht="20.1" customHeight="1" spans="1:17">
      <c r="A97" s="10"/>
      <c r="B97" s="20" t="s">
        <v>172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84"/>
      <c r="O97" s="584"/>
      <c r="P97" s="585"/>
      <c r="Q97" s="594"/>
    </row>
    <row r="98" ht="20.1" customHeight="1" spans="1:17">
      <c r="A98" s="10">
        <v>1</v>
      </c>
      <c r="B98" s="14" t="s">
        <v>173</v>
      </c>
      <c r="C98" s="4" t="s">
        <v>174</v>
      </c>
      <c r="D98" s="16" t="s">
        <v>189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1">
        <v>130407.527610667</v>
      </c>
      <c r="N98" s="574">
        <v>82423.2162026667</v>
      </c>
      <c r="O98" s="575">
        <f>M98-N98</f>
        <v>47984.3114080003</v>
      </c>
      <c r="P98" s="576"/>
      <c r="Q98" s="589">
        <f>L98-O98</f>
        <v>262923.830508667</v>
      </c>
    </row>
    <row r="99" ht="20.1" customHeight="1" spans="1:17">
      <c r="A99" s="10">
        <v>2</v>
      </c>
      <c r="B99" s="11" t="s">
        <v>176</v>
      </c>
      <c r="C99" s="4" t="s">
        <v>177</v>
      </c>
      <c r="D99" s="15" t="s">
        <v>148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40">E99+F99+G99+H99+I99</f>
        <v>526622.25</v>
      </c>
      <c r="K99" s="509">
        <v>335272.06375</v>
      </c>
      <c r="L99" s="509">
        <f t="shared" ref="L99:L101" si="41">J99-K99</f>
        <v>191350.18625</v>
      </c>
      <c r="M99" s="511">
        <v>72764.4209066667</v>
      </c>
      <c r="N99" s="574">
        <v>43492.3733766667</v>
      </c>
      <c r="O99" s="575">
        <f>M99-N99</f>
        <v>29272.04753</v>
      </c>
      <c r="P99" s="576"/>
      <c r="Q99" s="589">
        <f t="shared" ref="Q99:Q101" si="42">L99-O99</f>
        <v>162078.13872</v>
      </c>
    </row>
    <row r="100" ht="20.1" customHeight="1" spans="1:17">
      <c r="A100" s="10">
        <v>3</v>
      </c>
      <c r="B100" s="11" t="s">
        <v>180</v>
      </c>
      <c r="C100" s="4" t="s">
        <v>181</v>
      </c>
      <c r="D100" s="15" t="s">
        <v>62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40"/>
        <v>437895.166666667</v>
      </c>
      <c r="K100" s="509">
        <v>284536.9985</v>
      </c>
      <c r="L100" s="509">
        <f t="shared" si="41"/>
        <v>153358.168166667</v>
      </c>
      <c r="M100" s="511">
        <v>56938.0689066667</v>
      </c>
      <c r="N100" s="574">
        <v>34968.8824146667</v>
      </c>
      <c r="O100" s="575">
        <f>M100-N100</f>
        <v>21969.186492</v>
      </c>
      <c r="P100" s="576"/>
      <c r="Q100" s="589">
        <f t="shared" si="42"/>
        <v>131388.981674667</v>
      </c>
    </row>
    <row r="101" ht="20.1" customHeight="1" spans="1:17">
      <c r="A101" s="10">
        <v>4</v>
      </c>
      <c r="B101" s="11" t="s">
        <v>182</v>
      </c>
      <c r="C101" s="4" t="s">
        <v>183</v>
      </c>
      <c r="D101" s="15" t="s">
        <v>104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40"/>
        <v>360965.583333333</v>
      </c>
      <c r="K101" s="509">
        <v>237734.047</v>
      </c>
      <c r="L101" s="509">
        <f t="shared" si="41"/>
        <v>123231.536333333</v>
      </c>
      <c r="M101" s="511">
        <v>43763.9072266667</v>
      </c>
      <c r="N101" s="574">
        <v>27105.9865626667</v>
      </c>
      <c r="O101" s="575">
        <f>M101-N101</f>
        <v>16657.920664</v>
      </c>
      <c r="P101" s="576"/>
      <c r="Q101" s="589">
        <f t="shared" si="42"/>
        <v>106573.615669333</v>
      </c>
    </row>
    <row r="102" ht="20.1" customHeight="1" spans="1:17">
      <c r="A102" s="4"/>
      <c r="B102" s="20" t="s">
        <v>96</v>
      </c>
      <c r="C102" s="21">
        <v>4</v>
      </c>
      <c r="D102" s="26"/>
      <c r="E102" s="93">
        <f>SUM(E98:E101)</f>
        <v>1897856.16666667</v>
      </c>
      <c r="F102" s="93">
        <f t="shared" ref="F102:O102" si="43">SUM(F98:F101)</f>
        <v>0</v>
      </c>
      <c r="G102" s="93">
        <f t="shared" si="43"/>
        <v>0</v>
      </c>
      <c r="H102" s="93">
        <f t="shared" si="43"/>
        <v>280000</v>
      </c>
      <c r="I102" s="93">
        <f t="shared" si="43"/>
        <v>0</v>
      </c>
      <c r="J102" s="93">
        <f t="shared" si="43"/>
        <v>2177856.16666667</v>
      </c>
      <c r="K102" s="93">
        <v>1399008.134</v>
      </c>
      <c r="L102" s="93">
        <f t="shared" si="43"/>
        <v>778848.032666667</v>
      </c>
      <c r="M102" s="93">
        <f t="shared" si="43"/>
        <v>303873.924650667</v>
      </c>
      <c r="N102" s="582">
        <v>187990.458556667</v>
      </c>
      <c r="O102" s="582">
        <f t="shared" si="43"/>
        <v>115883.466094</v>
      </c>
      <c r="P102" s="583"/>
      <c r="Q102" s="593">
        <f>SUM(Q98:Q101)</f>
        <v>662964.566572667</v>
      </c>
    </row>
    <row r="103" ht="20.1" customHeight="1" spans="1:17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84"/>
      <c r="O103" s="584"/>
      <c r="P103" s="585"/>
      <c r="Q103" s="594"/>
    </row>
    <row r="104" ht="20.1" customHeight="1" spans="1:17">
      <c r="A104" s="4"/>
      <c r="B104" s="20" t="s">
        <v>184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95"/>
      <c r="O104" s="595"/>
      <c r="P104" s="596"/>
      <c r="Q104" s="603"/>
    </row>
    <row r="105" ht="20.1" customHeight="1" spans="1:17">
      <c r="A105" s="4">
        <v>1</v>
      </c>
      <c r="B105" s="11" t="s">
        <v>185</v>
      </c>
      <c r="C105" s="12" t="s">
        <v>186</v>
      </c>
      <c r="D105" s="15" t="s">
        <v>100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74">
        <v>180306.806858667</v>
      </c>
      <c r="O105" s="575">
        <f t="shared" ref="O105:O111" si="44">M105-N105</f>
        <v>90365.440608</v>
      </c>
      <c r="P105" s="576"/>
      <c r="Q105" s="589">
        <f>L105-O105</f>
        <v>495145.495892</v>
      </c>
    </row>
    <row r="106" ht="20.1" customHeight="1" spans="1:17">
      <c r="A106" s="4">
        <v>2</v>
      </c>
      <c r="B106" s="11" t="s">
        <v>187</v>
      </c>
      <c r="C106" s="4" t="s">
        <v>188</v>
      </c>
      <c r="D106" s="16" t="s">
        <v>189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45">E106+F106+G106+H106+I106</f>
        <v>942373.166666667</v>
      </c>
      <c r="K106" s="509">
        <v>631465.02475</v>
      </c>
      <c r="L106" s="509">
        <f t="shared" ref="L106:L111" si="46">J106-K106</f>
        <v>310908.141916667</v>
      </c>
      <c r="M106" s="511">
        <v>147687.527610667</v>
      </c>
      <c r="N106" s="574">
        <v>99703.2162026667</v>
      </c>
      <c r="O106" s="575">
        <f t="shared" si="44"/>
        <v>47984.3114080003</v>
      </c>
      <c r="P106" s="576"/>
      <c r="Q106" s="589">
        <f t="shared" ref="Q106:Q111" si="47">L106-O106</f>
        <v>262923.830508667</v>
      </c>
    </row>
    <row r="107" ht="20.1" customHeight="1" spans="1:17">
      <c r="A107" s="4">
        <v>3</v>
      </c>
      <c r="B107" s="11" t="s">
        <v>190</v>
      </c>
      <c r="C107" s="4" t="s">
        <v>191</v>
      </c>
      <c r="D107" s="10" t="s">
        <v>192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45"/>
        <v>603237.855191667</v>
      </c>
      <c r="K107" s="509">
        <v>418096.016025</v>
      </c>
      <c r="L107" s="509">
        <f t="shared" si="46"/>
        <v>185141.839166667</v>
      </c>
      <c r="M107" s="511">
        <v>87575.7827034667</v>
      </c>
      <c r="N107" s="574">
        <v>58814.6731034667</v>
      </c>
      <c r="O107" s="575">
        <f t="shared" si="44"/>
        <v>28761.1096</v>
      </c>
      <c r="P107" s="576"/>
      <c r="Q107" s="589">
        <f t="shared" si="47"/>
        <v>156380.729566667</v>
      </c>
    </row>
    <row r="108" ht="20.1" customHeight="1" spans="1:17">
      <c r="A108" s="4">
        <v>4</v>
      </c>
      <c r="B108" s="11" t="s">
        <v>193</v>
      </c>
      <c r="C108" s="4" t="s">
        <v>191</v>
      </c>
      <c r="D108" s="10" t="s">
        <v>192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45"/>
        <v>601625.033321667</v>
      </c>
      <c r="K108" s="509">
        <v>416483.194155</v>
      </c>
      <c r="L108" s="509">
        <f t="shared" si="46"/>
        <v>185141.839166667</v>
      </c>
      <c r="M108" s="511">
        <v>87392.5495444267</v>
      </c>
      <c r="N108" s="574">
        <v>58631.4399444267</v>
      </c>
      <c r="O108" s="575">
        <f t="shared" si="44"/>
        <v>28761.1096</v>
      </c>
      <c r="P108" s="576"/>
      <c r="Q108" s="589">
        <f t="shared" si="47"/>
        <v>156380.729566667</v>
      </c>
    </row>
    <row r="109" ht="20.1" customHeight="1" spans="1:17">
      <c r="A109" s="4">
        <v>5</v>
      </c>
      <c r="B109" s="11" t="s">
        <v>194</v>
      </c>
      <c r="C109" s="4" t="s">
        <v>195</v>
      </c>
      <c r="D109" s="15" t="s">
        <v>196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45"/>
        <v>374481.864146667</v>
      </c>
      <c r="K109" s="509">
        <v>266099.21748</v>
      </c>
      <c r="L109" s="509">
        <f t="shared" si="46"/>
        <v>108382.646666667</v>
      </c>
      <c r="M109" s="511">
        <v>46740.2649028267</v>
      </c>
      <c r="N109" s="574">
        <v>31871.3352033067</v>
      </c>
      <c r="O109" s="575">
        <f t="shared" si="44"/>
        <v>14868.92969952</v>
      </c>
      <c r="P109" s="576"/>
      <c r="Q109" s="589">
        <f t="shared" si="47"/>
        <v>93513.716967147</v>
      </c>
    </row>
    <row r="110" ht="20.1" customHeight="1" spans="1:17">
      <c r="A110" s="4">
        <v>6</v>
      </c>
      <c r="B110" s="18" t="s">
        <v>197</v>
      </c>
      <c r="C110" s="4" t="s">
        <v>195</v>
      </c>
      <c r="D110" s="10" t="s">
        <v>198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45"/>
        <v>367926.021</v>
      </c>
      <c r="K110" s="509">
        <v>262229.041</v>
      </c>
      <c r="L110" s="509">
        <f t="shared" si="46"/>
        <v>105696.98</v>
      </c>
      <c r="M110" s="511">
        <v>45712.6373946667</v>
      </c>
      <c r="N110" s="574">
        <v>31221.1455546667</v>
      </c>
      <c r="O110" s="575">
        <f t="shared" si="44"/>
        <v>14491.49184</v>
      </c>
      <c r="P110" s="576"/>
      <c r="Q110" s="589">
        <f t="shared" si="47"/>
        <v>91205.48816</v>
      </c>
    </row>
    <row r="111" ht="20.1" customHeight="1" spans="1:17">
      <c r="A111" s="4">
        <v>7</v>
      </c>
      <c r="B111" s="18" t="s">
        <v>199</v>
      </c>
      <c r="C111" s="4" t="s">
        <v>195</v>
      </c>
      <c r="D111" s="15" t="s">
        <v>171</v>
      </c>
      <c r="E111" s="220">
        <v>230631.916666667</v>
      </c>
      <c r="F111" s="85"/>
      <c r="G111" s="220">
        <f t="shared" ref="G111" si="48">100000</f>
        <v>100000</v>
      </c>
      <c r="H111" s="220"/>
      <c r="I111" s="85">
        <v>24566.195445</v>
      </c>
      <c r="J111" s="509">
        <f t="shared" si="45"/>
        <v>355198.112111667</v>
      </c>
      <c r="K111" s="509">
        <v>254870.263445</v>
      </c>
      <c r="L111" s="509">
        <f t="shared" si="46"/>
        <v>100327.848666667</v>
      </c>
      <c r="M111" s="511">
        <v>43740.2565414267</v>
      </c>
      <c r="N111" s="574">
        <v>29984.8709254267</v>
      </c>
      <c r="O111" s="575">
        <f t="shared" si="44"/>
        <v>13755.385616</v>
      </c>
      <c r="P111" s="576"/>
      <c r="Q111" s="589">
        <f t="shared" si="47"/>
        <v>86572.463050667</v>
      </c>
    </row>
    <row r="112" ht="25.5" customHeight="1" spans="1:17">
      <c r="A112" s="4"/>
      <c r="B112" s="20" t="s">
        <v>96</v>
      </c>
      <c r="C112" s="21">
        <v>7</v>
      </c>
      <c r="D112" s="4"/>
      <c r="E112" s="223">
        <f>SUM(E105:E111)</f>
        <v>3804459.58333333</v>
      </c>
      <c r="F112" s="223">
        <f t="shared" ref="F112:O112" si="49">SUM(F105:F111)</f>
        <v>0</v>
      </c>
      <c r="G112" s="223">
        <f t="shared" si="49"/>
        <v>920000</v>
      </c>
      <c r="H112" s="223">
        <f t="shared" si="49"/>
        <v>0</v>
      </c>
      <c r="I112" s="223">
        <f t="shared" si="49"/>
        <v>156102.469105</v>
      </c>
      <c r="J112" s="223">
        <f t="shared" si="49"/>
        <v>4880562.05243834</v>
      </c>
      <c r="K112" s="223">
        <v>3299451.820355</v>
      </c>
      <c r="L112" s="223">
        <f t="shared" si="49"/>
        <v>1581110.23208334</v>
      </c>
      <c r="M112" s="223">
        <f t="shared" si="49"/>
        <v>729521.266164148</v>
      </c>
      <c r="N112" s="597">
        <v>490533.487792627</v>
      </c>
      <c r="O112" s="597">
        <f t="shared" si="49"/>
        <v>238987.77837152</v>
      </c>
      <c r="P112" s="598"/>
      <c r="Q112" s="604">
        <f>SUM(Q105:Q111)</f>
        <v>1342122.45371181</v>
      </c>
    </row>
    <row r="113" ht="20.1" customHeight="1" spans="1:17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99"/>
      <c r="O113" s="599"/>
      <c r="P113" s="598"/>
      <c r="Q113" s="605"/>
    </row>
    <row r="114" ht="20.1" customHeight="1" spans="1:17">
      <c r="A114" s="10"/>
      <c r="B114" s="20" t="s">
        <v>200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84"/>
      <c r="O114" s="584"/>
      <c r="P114" s="585"/>
      <c r="Q114" s="594"/>
    </row>
    <row r="115" ht="20.1" customHeight="1" spans="1:17">
      <c r="A115" s="10">
        <v>1</v>
      </c>
      <c r="B115" s="14" t="s">
        <v>201</v>
      </c>
      <c r="C115" s="4" t="s">
        <v>112</v>
      </c>
      <c r="D115" s="10" t="s">
        <v>131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74">
        <v>77610.1169066667</v>
      </c>
      <c r="O115" s="575">
        <f>M115-N115</f>
        <v>37852.4230400003</v>
      </c>
      <c r="P115" s="576"/>
      <c r="Q115" s="589">
        <f>L115-O115</f>
        <v>207407.360293333</v>
      </c>
    </row>
    <row r="116" ht="18.75" customHeight="1" spans="1:17">
      <c r="A116" s="10">
        <v>2</v>
      </c>
      <c r="B116" s="11" t="s">
        <v>202</v>
      </c>
      <c r="C116" s="4" t="s">
        <v>203</v>
      </c>
      <c r="D116" s="15" t="s">
        <v>62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50">E116+F116+G116+H116+I116</f>
        <v>487895.166666667</v>
      </c>
      <c r="K116" s="509">
        <v>334536.9985</v>
      </c>
      <c r="L116" s="509">
        <f t="shared" ref="L116:L117" si="51">J116-K116</f>
        <v>153358.168166667</v>
      </c>
      <c r="M116" s="511">
        <v>66538.0689066667</v>
      </c>
      <c r="N116" s="574">
        <v>43368.8824146667</v>
      </c>
      <c r="O116" s="575">
        <f>M116-N116</f>
        <v>23169.186492</v>
      </c>
      <c r="P116" s="576"/>
      <c r="Q116" s="589">
        <f t="shared" ref="Q116:Q117" si="52">L116-O116</f>
        <v>130188.981674667</v>
      </c>
    </row>
    <row r="117" ht="20.1" customHeight="1" spans="1:17">
      <c r="A117" s="10">
        <v>3</v>
      </c>
      <c r="B117" s="11" t="s">
        <v>204</v>
      </c>
      <c r="C117" s="12" t="s">
        <v>581</v>
      </c>
      <c r="D117" s="15" t="s">
        <v>253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50"/>
        <v>450086.5</v>
      </c>
      <c r="K117" s="509">
        <v>286619.99875</v>
      </c>
      <c r="L117" s="509">
        <f t="shared" si="51"/>
        <v>163466.50125</v>
      </c>
      <c r="M117" s="511">
        <v>58980.8347466667</v>
      </c>
      <c r="N117" s="574">
        <v>35221.9540866667</v>
      </c>
      <c r="O117" s="575">
        <f>M117-N117</f>
        <v>23758.88066</v>
      </c>
      <c r="P117" s="576"/>
      <c r="Q117" s="589">
        <f t="shared" si="52"/>
        <v>139707.62059</v>
      </c>
    </row>
    <row r="118" ht="24.75" customHeight="1" spans="1:17">
      <c r="A118" s="4"/>
      <c r="B118" s="20" t="s">
        <v>96</v>
      </c>
      <c r="C118" s="21">
        <v>2</v>
      </c>
      <c r="D118" s="26"/>
      <c r="E118" s="93">
        <f>SUM(E115:E117)</f>
        <v>1369378.5</v>
      </c>
      <c r="F118" s="93">
        <f t="shared" ref="F118:O118" si="53">SUM(F115:F117)</f>
        <v>0</v>
      </c>
      <c r="G118" s="93">
        <f t="shared" si="53"/>
        <v>270000</v>
      </c>
      <c r="H118" s="93">
        <f t="shared" si="53"/>
        <v>60000</v>
      </c>
      <c r="I118" s="93">
        <f t="shared" si="53"/>
        <v>0</v>
      </c>
      <c r="J118" s="93">
        <f t="shared" si="53"/>
        <v>1699378.5</v>
      </c>
      <c r="K118" s="93">
        <v>1137294.04725</v>
      </c>
      <c r="L118" s="93">
        <f t="shared" si="53"/>
        <v>562084.45275</v>
      </c>
      <c r="M118" s="93">
        <f t="shared" si="53"/>
        <v>240981.4436</v>
      </c>
      <c r="N118" s="582">
        <v>156200.953408</v>
      </c>
      <c r="O118" s="582">
        <f t="shared" si="53"/>
        <v>84780.4901920003</v>
      </c>
      <c r="P118" s="583"/>
      <c r="Q118" s="593">
        <f>SUM(Q115:Q117)</f>
        <v>477303.962558</v>
      </c>
    </row>
    <row r="119" ht="20.1" customHeight="1" spans="1:17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600"/>
      <c r="O119" s="600"/>
      <c r="P119" s="601"/>
      <c r="Q119" s="606"/>
    </row>
    <row r="120" ht="20.1" customHeight="1" spans="1:17">
      <c r="A120" s="4"/>
      <c r="B120" s="20" t="s">
        <v>213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84"/>
      <c r="O120" s="584"/>
      <c r="P120" s="585"/>
      <c r="Q120" s="594"/>
    </row>
    <row r="121" ht="20.1" customHeight="1" spans="1:17">
      <c r="A121" s="4">
        <v>1</v>
      </c>
      <c r="B121" s="11" t="s">
        <v>214</v>
      </c>
      <c r="C121" s="12" t="s">
        <v>215</v>
      </c>
      <c r="D121" s="15" t="s">
        <v>100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74">
        <v>179914.454762667</v>
      </c>
      <c r="O121" s="575">
        <f t="shared" ref="O121:O130" si="54">M121-N121</f>
        <v>90365.440608</v>
      </c>
      <c r="P121" s="576"/>
      <c r="Q121" s="589">
        <f>L121-O121</f>
        <v>495145.495892</v>
      </c>
    </row>
    <row r="122" ht="20.1" customHeight="1" spans="1:17">
      <c r="A122" s="4">
        <v>2</v>
      </c>
      <c r="B122" s="11" t="s">
        <v>216</v>
      </c>
      <c r="C122" s="12" t="s">
        <v>217</v>
      </c>
      <c r="D122" s="15" t="s">
        <v>110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55">E122+F122+G122+H122+I122</f>
        <v>929203.583333333</v>
      </c>
      <c r="K122" s="509">
        <v>627743.99575</v>
      </c>
      <c r="L122" s="509">
        <f t="shared" ref="L122:L130" si="56">J122-K122</f>
        <v>301459.587583333</v>
      </c>
      <c r="M122" s="511">
        <v>145522.030714667</v>
      </c>
      <c r="N122" s="574">
        <v>98995.9569386667</v>
      </c>
      <c r="O122" s="575">
        <f t="shared" si="54"/>
        <v>46526.0737760003</v>
      </c>
      <c r="P122" s="576"/>
      <c r="Q122" s="589">
        <f t="shared" ref="Q122:Q130" si="57">L122-O122</f>
        <v>254933.513807333</v>
      </c>
    </row>
    <row r="123" ht="20.1" customHeight="1" spans="1:17">
      <c r="A123" s="4">
        <v>3</v>
      </c>
      <c r="B123" s="14" t="s">
        <v>218</v>
      </c>
      <c r="C123" s="12" t="s">
        <v>219</v>
      </c>
      <c r="D123" s="15" t="s">
        <v>36</v>
      </c>
      <c r="E123" s="85">
        <v>620675.583333333</v>
      </c>
      <c r="F123" s="85"/>
      <c r="G123" s="220"/>
      <c r="H123" s="220">
        <f t="shared" si="4"/>
        <v>80000</v>
      </c>
      <c r="I123" s="85">
        <f>100000+30000</f>
        <v>130000</v>
      </c>
      <c r="J123" s="509">
        <f t="shared" si="55"/>
        <v>830675.583333333</v>
      </c>
      <c r="K123" s="509">
        <v>577553.5025</v>
      </c>
      <c r="L123" s="509">
        <f t="shared" si="56"/>
        <v>253122.080833333</v>
      </c>
      <c r="M123" s="511">
        <v>128461.965706667</v>
      </c>
      <c r="N123" s="574">
        <v>89396.1031466666</v>
      </c>
      <c r="O123" s="575">
        <f t="shared" si="54"/>
        <v>39065.8625600004</v>
      </c>
      <c r="P123" s="576"/>
      <c r="Q123" s="589">
        <f t="shared" si="57"/>
        <v>214056.218273333</v>
      </c>
    </row>
    <row r="124" ht="20.1" customHeight="1" spans="1:17">
      <c r="A124" s="4">
        <v>4</v>
      </c>
      <c r="B124" s="14" t="s">
        <v>523</v>
      </c>
      <c r="C124" s="12" t="s">
        <v>219</v>
      </c>
      <c r="D124" s="15" t="s">
        <v>39</v>
      </c>
      <c r="E124" s="85">
        <v>582118.083333333</v>
      </c>
      <c r="F124" s="85"/>
      <c r="G124" s="220"/>
      <c r="H124" s="220">
        <f t="shared" si="4"/>
        <v>80000</v>
      </c>
      <c r="I124" s="85">
        <v>0</v>
      </c>
      <c r="J124" s="509">
        <f t="shared" si="55"/>
        <v>662118.083333333</v>
      </c>
      <c r="K124" s="509">
        <v>424729.222</v>
      </c>
      <c r="L124" s="509">
        <f t="shared" si="56"/>
        <v>237388.861333333</v>
      </c>
      <c r="M124" s="511">
        <v>105793.338666667</v>
      </c>
      <c r="N124" s="574">
        <v>60214.6772906667</v>
      </c>
      <c r="O124" s="575">
        <f t="shared" si="54"/>
        <v>45578.6613760003</v>
      </c>
      <c r="P124" s="576"/>
      <c r="Q124" s="589">
        <f t="shared" si="57"/>
        <v>191810.199957333</v>
      </c>
    </row>
    <row r="125" ht="20.1" customHeight="1" spans="1:17">
      <c r="A125" s="4">
        <v>5</v>
      </c>
      <c r="B125" s="11" t="s">
        <v>220</v>
      </c>
      <c r="C125" s="12" t="s">
        <v>221</v>
      </c>
      <c r="D125" s="15" t="s">
        <v>222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55"/>
        <v>540498</v>
      </c>
      <c r="K125" s="509">
        <v>343333.03525</v>
      </c>
      <c r="L125" s="509">
        <f t="shared" si="56"/>
        <v>197164.96475</v>
      </c>
      <c r="M125" s="511">
        <v>75215.4333866667</v>
      </c>
      <c r="N125" s="574">
        <v>44846.6165886667</v>
      </c>
      <c r="O125" s="575">
        <f t="shared" si="54"/>
        <v>30368.816798</v>
      </c>
      <c r="P125" s="576"/>
      <c r="Q125" s="589">
        <f t="shared" si="57"/>
        <v>166796.147952</v>
      </c>
    </row>
    <row r="126" ht="20.1" customHeight="1" spans="1:17">
      <c r="A126" s="4">
        <v>6</v>
      </c>
      <c r="B126" s="11" t="s">
        <v>223</v>
      </c>
      <c r="C126" s="12" t="s">
        <v>224</v>
      </c>
      <c r="D126" s="15" t="s">
        <v>47</v>
      </c>
      <c r="E126" s="85">
        <v>442746.5</v>
      </c>
      <c r="F126" s="85"/>
      <c r="G126" s="220"/>
      <c r="H126" s="220">
        <f t="shared" ref="H126:H127" si="58">70000</f>
        <v>70000</v>
      </c>
      <c r="I126" s="85">
        <v>0</v>
      </c>
      <c r="J126" s="509">
        <f t="shared" si="55"/>
        <v>512746.5</v>
      </c>
      <c r="K126" s="509">
        <v>327211.3675</v>
      </c>
      <c r="L126" s="509">
        <f t="shared" si="56"/>
        <v>185535.1325</v>
      </c>
      <c r="M126" s="511">
        <v>70189.3087466667</v>
      </c>
      <c r="N126" s="574">
        <v>42029.5891866667</v>
      </c>
      <c r="O126" s="575">
        <f t="shared" si="54"/>
        <v>28159.71956</v>
      </c>
      <c r="P126" s="576"/>
      <c r="Q126" s="589">
        <f t="shared" si="57"/>
        <v>157375.41294</v>
      </c>
    </row>
    <row r="127" ht="20.1" customHeight="1" spans="1:17">
      <c r="A127" s="4">
        <v>7</v>
      </c>
      <c r="B127" s="11" t="s">
        <v>225</v>
      </c>
      <c r="C127" s="12" t="s">
        <v>221</v>
      </c>
      <c r="D127" s="15" t="s">
        <v>148</v>
      </c>
      <c r="E127" s="85">
        <v>456622.25</v>
      </c>
      <c r="F127" s="85"/>
      <c r="G127" s="220"/>
      <c r="H127" s="220">
        <f t="shared" si="58"/>
        <v>70000</v>
      </c>
      <c r="I127" s="85"/>
      <c r="J127" s="509">
        <f t="shared" si="55"/>
        <v>526622.25</v>
      </c>
      <c r="K127" s="509">
        <v>335272.06375</v>
      </c>
      <c r="L127" s="509">
        <f t="shared" si="56"/>
        <v>191350.18625</v>
      </c>
      <c r="M127" s="511">
        <v>72636.1041866667</v>
      </c>
      <c r="N127" s="574">
        <v>43380.0962466667</v>
      </c>
      <c r="O127" s="575">
        <f t="shared" si="54"/>
        <v>29256.00794</v>
      </c>
      <c r="P127" s="576"/>
      <c r="Q127" s="589">
        <f t="shared" si="57"/>
        <v>162094.17831</v>
      </c>
    </row>
    <row r="128" ht="20.1" customHeight="1" spans="1:17">
      <c r="A128" s="4">
        <v>8</v>
      </c>
      <c r="B128" s="11" t="s">
        <v>226</v>
      </c>
      <c r="C128" s="12" t="s">
        <v>227</v>
      </c>
      <c r="D128" s="10" t="s">
        <v>75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55"/>
        <v>330481.666666667</v>
      </c>
      <c r="K128" s="509">
        <v>213508.01</v>
      </c>
      <c r="L128" s="509">
        <f t="shared" si="56"/>
        <v>116973.656666667</v>
      </c>
      <c r="M128" s="511">
        <v>39052.3130666667</v>
      </c>
      <c r="N128" s="574">
        <v>23036.0123466667</v>
      </c>
      <c r="O128" s="575">
        <f t="shared" si="54"/>
        <v>16016.30072</v>
      </c>
      <c r="P128" s="576"/>
      <c r="Q128" s="589">
        <f t="shared" si="57"/>
        <v>100957.355946667</v>
      </c>
    </row>
    <row r="129" ht="20.1" customHeight="1" spans="1:17">
      <c r="A129" s="4">
        <v>9</v>
      </c>
      <c r="B129" s="18" t="s">
        <v>228</v>
      </c>
      <c r="C129" s="12" t="s">
        <v>229</v>
      </c>
      <c r="D129" s="15" t="s">
        <v>92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55"/>
        <v>274459.75</v>
      </c>
      <c r="K129" s="509">
        <v>176816.1</v>
      </c>
      <c r="L129" s="509">
        <f t="shared" si="56"/>
        <v>97643.65</v>
      </c>
      <c r="M129" s="511">
        <v>30259.1656266667</v>
      </c>
      <c r="N129" s="574">
        <v>17042.7138666667</v>
      </c>
      <c r="O129" s="575">
        <f t="shared" si="54"/>
        <v>13216.45176</v>
      </c>
      <c r="P129" s="576"/>
      <c r="Q129" s="589">
        <f t="shared" si="57"/>
        <v>84427.19824</v>
      </c>
    </row>
    <row r="130" ht="20.1" customHeight="1" spans="1:17">
      <c r="A130" s="4">
        <v>10</v>
      </c>
      <c r="B130" s="18" t="s">
        <v>230</v>
      </c>
      <c r="C130" s="12" t="s">
        <v>231</v>
      </c>
      <c r="D130" s="15" t="s">
        <v>92</v>
      </c>
      <c r="E130" s="85">
        <v>224459.75</v>
      </c>
      <c r="F130" s="85"/>
      <c r="G130" s="220"/>
      <c r="H130" s="220">
        <v>50000</v>
      </c>
      <c r="I130" s="85"/>
      <c r="J130" s="509">
        <f t="shared" si="55"/>
        <v>274459.75</v>
      </c>
      <c r="K130" s="509">
        <v>176816.1</v>
      </c>
      <c r="L130" s="509">
        <f t="shared" si="56"/>
        <v>97643.65</v>
      </c>
      <c r="M130" s="511">
        <v>30259.1656266667</v>
      </c>
      <c r="N130" s="574">
        <v>17042.7138666667</v>
      </c>
      <c r="O130" s="575">
        <f t="shared" si="54"/>
        <v>13216.45176</v>
      </c>
      <c r="P130" s="576"/>
      <c r="Q130" s="589">
        <f t="shared" si="57"/>
        <v>84427.19824</v>
      </c>
    </row>
    <row r="131" ht="28.5" customHeight="1" spans="1:17">
      <c r="A131" s="4"/>
      <c r="B131" s="20" t="s">
        <v>96</v>
      </c>
      <c r="C131" s="26" t="s">
        <v>233</v>
      </c>
      <c r="D131" s="15"/>
      <c r="E131" s="146">
        <f>SUM(E121:E130)</f>
        <v>5466985.16666667</v>
      </c>
      <c r="F131" s="146">
        <f t="shared" ref="F131:O131" si="59">SUM(F121:F130)</f>
        <v>0</v>
      </c>
      <c r="G131" s="146">
        <f t="shared" si="59"/>
        <v>0</v>
      </c>
      <c r="H131" s="146">
        <f t="shared" si="59"/>
        <v>720000</v>
      </c>
      <c r="I131" s="146">
        <f t="shared" si="59"/>
        <v>330000</v>
      </c>
      <c r="J131" s="146">
        <f t="shared" si="59"/>
        <v>6516985.16666667</v>
      </c>
      <c r="K131" s="146">
        <v>4253192.46025</v>
      </c>
      <c r="L131" s="146">
        <f t="shared" si="59"/>
        <v>2263792.70641667</v>
      </c>
      <c r="M131" s="146">
        <f t="shared" si="59"/>
        <v>967668.721098668</v>
      </c>
      <c r="N131" s="607">
        <v>615898.934240667</v>
      </c>
      <c r="O131" s="607">
        <f t="shared" si="59"/>
        <v>351769.786858001</v>
      </c>
      <c r="P131" s="585"/>
      <c r="Q131" s="608">
        <f>SUM(Q121:Q130)</f>
        <v>1912022.91955867</v>
      </c>
    </row>
    <row r="132" ht="20.1" customHeight="1" spans="1:17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84"/>
      <c r="O132" s="584"/>
      <c r="P132" s="585"/>
      <c r="Q132" s="594"/>
    </row>
    <row r="133" ht="20.1" customHeight="1" spans="1:17">
      <c r="A133" s="4"/>
      <c r="B133" s="20" t="s">
        <v>234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74"/>
      <c r="O133" s="574"/>
      <c r="P133" s="580"/>
      <c r="Q133" s="592"/>
    </row>
    <row r="134" ht="20.1" customHeight="1" spans="1:17">
      <c r="A134" s="27">
        <v>1</v>
      </c>
      <c r="B134" s="11" t="s">
        <v>235</v>
      </c>
      <c r="C134" s="12" t="s">
        <v>236</v>
      </c>
      <c r="D134" s="15" t="s">
        <v>100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74">
        <v>161106.806858667</v>
      </c>
      <c r="O134" s="575">
        <f t="shared" ref="O134:O192" si="60">M134-N134</f>
        <v>90365.440608</v>
      </c>
      <c r="P134" s="576"/>
      <c r="Q134" s="589">
        <f>L134-O134</f>
        <v>495145.495892</v>
      </c>
    </row>
    <row r="135" ht="20.1" customHeight="1" spans="1:17">
      <c r="A135" s="27">
        <v>2</v>
      </c>
      <c r="B135" s="11" t="s">
        <v>524</v>
      </c>
      <c r="C135" s="12" t="s">
        <v>575</v>
      </c>
      <c r="D135" s="15" t="s">
        <v>189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61">E135+F135+G135+H135+I135</f>
        <v>852373.166666667</v>
      </c>
      <c r="K135" s="509">
        <v>541465.02475</v>
      </c>
      <c r="L135" s="509">
        <f t="shared" ref="L135:L192" si="62">J135-K135</f>
        <v>310908.141916667</v>
      </c>
      <c r="M135" s="511">
        <v>142322.314666667</v>
      </c>
      <c r="N135" s="574">
        <v>82627.9514186667</v>
      </c>
      <c r="O135" s="575">
        <f t="shared" si="60"/>
        <v>59694.3632480003</v>
      </c>
      <c r="P135" s="576"/>
      <c r="Q135" s="589">
        <f t="shared" ref="Q135:Q192" si="63">L135-O135</f>
        <v>251213.778668667</v>
      </c>
    </row>
    <row r="136" ht="20.1" customHeight="1" spans="1:17">
      <c r="A136" s="27">
        <v>3</v>
      </c>
      <c r="B136" s="14" t="s">
        <v>237</v>
      </c>
      <c r="C136" s="4" t="s">
        <v>238</v>
      </c>
      <c r="D136" s="16" t="s">
        <v>189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61"/>
        <v>902373.166666667</v>
      </c>
      <c r="K136" s="509">
        <v>591465.02475</v>
      </c>
      <c r="L136" s="509">
        <f t="shared" si="62"/>
        <v>310908.141916667</v>
      </c>
      <c r="M136" s="511">
        <v>140007.527610667</v>
      </c>
      <c r="N136" s="574">
        <v>92023.2162026667</v>
      </c>
      <c r="O136" s="575">
        <f t="shared" si="60"/>
        <v>47984.3114080003</v>
      </c>
      <c r="P136" s="576"/>
      <c r="Q136" s="589">
        <f t="shared" si="63"/>
        <v>262923.830508667</v>
      </c>
    </row>
    <row r="137" ht="20.1" customHeight="1" spans="1:17">
      <c r="A137" s="27">
        <v>4</v>
      </c>
      <c r="B137" s="11" t="s">
        <v>239</v>
      </c>
      <c r="C137" s="12" t="s">
        <v>582</v>
      </c>
      <c r="D137" s="15" t="s">
        <v>42</v>
      </c>
      <c r="E137" s="85">
        <v>484373.75</v>
      </c>
      <c r="F137" s="85"/>
      <c r="G137" s="220"/>
      <c r="H137" s="220">
        <v>70000</v>
      </c>
      <c r="I137" s="85"/>
      <c r="J137" s="509">
        <f t="shared" si="61"/>
        <v>554373.75</v>
      </c>
      <c r="K137" s="509">
        <v>351394.00675</v>
      </c>
      <c r="L137" s="509">
        <f t="shared" si="62"/>
        <v>202979.74325</v>
      </c>
      <c r="M137" s="511">
        <v>77529.6947786667</v>
      </c>
      <c r="N137" s="574">
        <v>46081.2025986667</v>
      </c>
      <c r="O137" s="575">
        <f t="shared" si="60"/>
        <v>31448.49218</v>
      </c>
      <c r="P137" s="576"/>
      <c r="Q137" s="589">
        <f t="shared" si="63"/>
        <v>171531.25107</v>
      </c>
    </row>
    <row r="138" ht="20.1" customHeight="1" spans="1:17">
      <c r="A138" s="27">
        <v>5</v>
      </c>
      <c r="B138" s="11" t="s">
        <v>241</v>
      </c>
      <c r="C138" s="4" t="s">
        <v>583</v>
      </c>
      <c r="D138" s="15" t="s">
        <v>42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61"/>
        <v>554373.75</v>
      </c>
      <c r="K138" s="509">
        <v>351394.00675</v>
      </c>
      <c r="L138" s="509">
        <f t="shared" si="62"/>
        <v>202979.74325</v>
      </c>
      <c r="M138" s="511">
        <v>77529.6947786667</v>
      </c>
      <c r="N138" s="574">
        <v>46081.2025986667</v>
      </c>
      <c r="O138" s="575">
        <f t="shared" si="60"/>
        <v>31448.49218</v>
      </c>
      <c r="P138" s="576"/>
      <c r="Q138" s="589">
        <f t="shared" si="63"/>
        <v>171531.25107</v>
      </c>
    </row>
    <row r="139" ht="20.1" customHeight="1" spans="1:17">
      <c r="A139" s="27">
        <v>6</v>
      </c>
      <c r="B139" s="11" t="s">
        <v>243</v>
      </c>
      <c r="C139" s="4" t="s">
        <v>583</v>
      </c>
      <c r="D139" s="15" t="s">
        <v>42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61"/>
        <v>554373.75</v>
      </c>
      <c r="K139" s="509">
        <v>351394.00675</v>
      </c>
      <c r="L139" s="509">
        <f t="shared" si="62"/>
        <v>202979.74325</v>
      </c>
      <c r="M139" s="511">
        <v>77529.6947786667</v>
      </c>
      <c r="N139" s="574">
        <v>46081.2025986667</v>
      </c>
      <c r="O139" s="575">
        <f t="shared" si="60"/>
        <v>31448.49218</v>
      </c>
      <c r="P139" s="576"/>
      <c r="Q139" s="589">
        <f t="shared" si="63"/>
        <v>171531.25107</v>
      </c>
    </row>
    <row r="140" ht="20.1" customHeight="1" spans="1:17">
      <c r="A140" s="27">
        <v>7</v>
      </c>
      <c r="B140" s="11" t="s">
        <v>178</v>
      </c>
      <c r="C140" s="12" t="s">
        <v>584</v>
      </c>
      <c r="D140" s="15" t="s">
        <v>253</v>
      </c>
      <c r="E140" s="85">
        <v>390086.5</v>
      </c>
      <c r="F140" s="85"/>
      <c r="G140" s="220"/>
      <c r="H140" s="220">
        <f t="shared" ref="H140:H145" si="64">60000</f>
        <v>60000</v>
      </c>
      <c r="I140" s="85">
        <v>0</v>
      </c>
      <c r="J140" s="509">
        <f t="shared" si="61"/>
        <v>450086.5</v>
      </c>
      <c r="K140" s="509">
        <v>286619.99875</v>
      </c>
      <c r="L140" s="509">
        <f t="shared" si="62"/>
        <v>163466.50125</v>
      </c>
      <c r="M140" s="511">
        <v>58980.8347466667</v>
      </c>
      <c r="N140" s="574">
        <v>35221.9540866667</v>
      </c>
      <c r="O140" s="575">
        <f t="shared" si="60"/>
        <v>23758.88066</v>
      </c>
      <c r="P140" s="576"/>
      <c r="Q140" s="589">
        <f t="shared" si="63"/>
        <v>139707.62059</v>
      </c>
    </row>
    <row r="141" ht="20.1" customHeight="1" spans="1:17">
      <c r="A141" s="27">
        <v>8</v>
      </c>
      <c r="B141" s="11" t="s">
        <v>244</v>
      </c>
      <c r="C141" s="12" t="s">
        <v>584</v>
      </c>
      <c r="D141" s="15" t="s">
        <v>253</v>
      </c>
      <c r="E141" s="85">
        <v>390086.5</v>
      </c>
      <c r="F141" s="85"/>
      <c r="G141" s="220"/>
      <c r="H141" s="220">
        <f t="shared" si="64"/>
        <v>60000</v>
      </c>
      <c r="I141" s="85">
        <v>0</v>
      </c>
      <c r="J141" s="509">
        <f t="shared" si="61"/>
        <v>450086.5</v>
      </c>
      <c r="K141" s="509">
        <v>286619.99875</v>
      </c>
      <c r="L141" s="509">
        <f t="shared" si="62"/>
        <v>163466.50125</v>
      </c>
      <c r="M141" s="511">
        <v>59091.5460266667</v>
      </c>
      <c r="N141" s="574">
        <v>35318.8264566667</v>
      </c>
      <c r="O141" s="575">
        <f t="shared" si="60"/>
        <v>23772.71957</v>
      </c>
      <c r="P141" s="576"/>
      <c r="Q141" s="589">
        <f t="shared" si="63"/>
        <v>139693.78168</v>
      </c>
    </row>
    <row r="142" ht="20.1" customHeight="1" spans="1:17">
      <c r="A142" s="27">
        <v>9</v>
      </c>
      <c r="B142" s="11" t="s">
        <v>245</v>
      </c>
      <c r="C142" s="4" t="s">
        <v>585</v>
      </c>
      <c r="D142" s="15" t="s">
        <v>253</v>
      </c>
      <c r="E142" s="85">
        <v>390086.5</v>
      </c>
      <c r="F142" s="85"/>
      <c r="G142" s="220"/>
      <c r="H142" s="220">
        <f t="shared" si="64"/>
        <v>60000</v>
      </c>
      <c r="I142" s="85"/>
      <c r="J142" s="509">
        <f t="shared" si="61"/>
        <v>450086.5</v>
      </c>
      <c r="K142" s="509">
        <v>286619.99875</v>
      </c>
      <c r="L142" s="509">
        <f t="shared" si="62"/>
        <v>163466.50125</v>
      </c>
      <c r="M142" s="511">
        <v>59091.5460266667</v>
      </c>
      <c r="N142" s="574">
        <v>35318.8264566667</v>
      </c>
      <c r="O142" s="575">
        <f t="shared" si="60"/>
        <v>23772.71957</v>
      </c>
      <c r="P142" s="576"/>
      <c r="Q142" s="589">
        <f t="shared" si="63"/>
        <v>139693.78168</v>
      </c>
    </row>
    <row r="143" ht="20.1" customHeight="1" spans="1:17">
      <c r="A143" s="27">
        <v>10</v>
      </c>
      <c r="B143" s="11" t="s">
        <v>247</v>
      </c>
      <c r="C143" s="12" t="s">
        <v>248</v>
      </c>
      <c r="D143" s="15" t="s">
        <v>62</v>
      </c>
      <c r="E143" s="85">
        <v>377895.166666667</v>
      </c>
      <c r="F143" s="85"/>
      <c r="G143" s="220"/>
      <c r="H143" s="220">
        <f t="shared" si="64"/>
        <v>60000</v>
      </c>
      <c r="I143" s="85"/>
      <c r="J143" s="509">
        <f t="shared" si="61"/>
        <v>437895.166666667</v>
      </c>
      <c r="K143" s="509">
        <v>284536.9985</v>
      </c>
      <c r="L143" s="509">
        <f t="shared" si="62"/>
        <v>153358.168166667</v>
      </c>
      <c r="M143" s="511">
        <v>56938.0689066667</v>
      </c>
      <c r="N143" s="574">
        <v>34968.8824146667</v>
      </c>
      <c r="O143" s="575">
        <f t="shared" si="60"/>
        <v>21969.186492</v>
      </c>
      <c r="P143" s="576"/>
      <c r="Q143" s="589">
        <f t="shared" si="63"/>
        <v>131388.981674667</v>
      </c>
    </row>
    <row r="144" ht="20.1" customHeight="1" spans="1:17">
      <c r="A144" s="27">
        <v>11</v>
      </c>
      <c r="B144" s="11" t="s">
        <v>249</v>
      </c>
      <c r="C144" s="12" t="s">
        <v>250</v>
      </c>
      <c r="D144" s="15" t="s">
        <v>135</v>
      </c>
      <c r="E144" s="85">
        <v>365703.833333333</v>
      </c>
      <c r="F144" s="85"/>
      <c r="G144" s="220"/>
      <c r="H144" s="220">
        <f t="shared" si="64"/>
        <v>60000</v>
      </c>
      <c r="I144" s="85"/>
      <c r="J144" s="509">
        <f t="shared" si="61"/>
        <v>425703.833333333</v>
      </c>
      <c r="K144" s="509">
        <v>272454.074</v>
      </c>
      <c r="L144" s="509">
        <f t="shared" si="62"/>
        <v>153249.759333333</v>
      </c>
      <c r="M144" s="511">
        <v>54681.2915626667</v>
      </c>
      <c r="N144" s="574">
        <v>32848.5634026667</v>
      </c>
      <c r="O144" s="575">
        <f t="shared" si="60"/>
        <v>21832.72816</v>
      </c>
      <c r="P144" s="576"/>
      <c r="Q144" s="589">
        <f t="shared" si="63"/>
        <v>131417.031173333</v>
      </c>
    </row>
    <row r="145" ht="20.1" customHeight="1" spans="1:17">
      <c r="A145" s="27">
        <v>12</v>
      </c>
      <c r="B145" s="11" t="s">
        <v>251</v>
      </c>
      <c r="C145" s="12" t="s">
        <v>252</v>
      </c>
      <c r="D145" s="15" t="s">
        <v>253</v>
      </c>
      <c r="E145" s="85">
        <v>390086.5</v>
      </c>
      <c r="F145" s="85"/>
      <c r="G145" s="220"/>
      <c r="H145" s="220">
        <f t="shared" si="64"/>
        <v>60000</v>
      </c>
      <c r="I145" s="85"/>
      <c r="J145" s="509">
        <f t="shared" si="61"/>
        <v>450086.5</v>
      </c>
      <c r="K145" s="509">
        <v>286619.99875</v>
      </c>
      <c r="L145" s="509">
        <f t="shared" si="62"/>
        <v>163466.50125</v>
      </c>
      <c r="M145" s="511">
        <v>58980.8347466667</v>
      </c>
      <c r="N145" s="574">
        <v>35221.9540866667</v>
      </c>
      <c r="O145" s="575">
        <f t="shared" si="60"/>
        <v>23758.88066</v>
      </c>
      <c r="P145" s="576"/>
      <c r="Q145" s="589">
        <f t="shared" si="63"/>
        <v>139707.62059</v>
      </c>
    </row>
    <row r="146" ht="20.1" customHeight="1" spans="1:17">
      <c r="A146" s="27">
        <v>13</v>
      </c>
      <c r="B146" s="18" t="s">
        <v>254</v>
      </c>
      <c r="C146" s="4" t="s">
        <v>255</v>
      </c>
      <c r="D146" s="15" t="s">
        <v>65</v>
      </c>
      <c r="E146" s="220">
        <v>353512.5</v>
      </c>
      <c r="F146" s="85"/>
      <c r="G146" s="220"/>
      <c r="H146" s="220">
        <v>60000</v>
      </c>
      <c r="I146" s="85"/>
      <c r="J146" s="509">
        <f t="shared" si="61"/>
        <v>413512.5</v>
      </c>
      <c r="K146" s="509">
        <v>265372.075</v>
      </c>
      <c r="L146" s="509">
        <f t="shared" si="62"/>
        <v>148140.425</v>
      </c>
      <c r="M146" s="511">
        <v>52631.1146666667</v>
      </c>
      <c r="N146" s="574">
        <v>31749.1752666667</v>
      </c>
      <c r="O146" s="575">
        <f t="shared" si="60"/>
        <v>20881.9394</v>
      </c>
      <c r="P146" s="576"/>
      <c r="Q146" s="589">
        <f t="shared" si="63"/>
        <v>127258.4856</v>
      </c>
    </row>
    <row r="147" ht="20.1" customHeight="1" spans="1:17">
      <c r="A147" s="27">
        <v>14</v>
      </c>
      <c r="B147" s="11" t="s">
        <v>256</v>
      </c>
      <c r="C147" s="4" t="s">
        <v>586</v>
      </c>
      <c r="D147" s="15" t="s">
        <v>265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61"/>
        <v>368901.5</v>
      </c>
      <c r="K147" s="509">
        <v>237734.047</v>
      </c>
      <c r="L147" s="509">
        <f t="shared" si="62"/>
        <v>131167.453</v>
      </c>
      <c r="M147" s="511">
        <v>44990.4825066667</v>
      </c>
      <c r="N147" s="574">
        <v>27105.9865626667</v>
      </c>
      <c r="O147" s="575">
        <f t="shared" si="60"/>
        <v>17884.495944</v>
      </c>
      <c r="P147" s="576"/>
      <c r="Q147" s="589">
        <f t="shared" si="63"/>
        <v>113282.957056</v>
      </c>
    </row>
    <row r="148" ht="20.1" customHeight="1" spans="1:17">
      <c r="A148" s="27">
        <v>15</v>
      </c>
      <c r="B148" s="11" t="s">
        <v>257</v>
      </c>
      <c r="C148" s="4" t="s">
        <v>586</v>
      </c>
      <c r="D148" s="15" t="s">
        <v>587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61"/>
        <v>376837.416666667</v>
      </c>
      <c r="K148" s="509">
        <v>242300.0775</v>
      </c>
      <c r="L148" s="509">
        <f t="shared" si="62"/>
        <v>134537.339166667</v>
      </c>
      <c r="M148" s="511">
        <v>46138.1847266667</v>
      </c>
      <c r="N148" s="574">
        <v>27794.2066266667</v>
      </c>
      <c r="O148" s="575">
        <f t="shared" si="60"/>
        <v>18343.9781</v>
      </c>
      <c r="P148" s="576"/>
      <c r="Q148" s="589">
        <f t="shared" si="63"/>
        <v>116193.361066667</v>
      </c>
    </row>
    <row r="149" ht="20.1" customHeight="1" spans="1:17">
      <c r="A149" s="27">
        <v>16</v>
      </c>
      <c r="B149" s="11" t="s">
        <v>258</v>
      </c>
      <c r="C149" s="4" t="s">
        <v>586</v>
      </c>
      <c r="D149" s="15" t="s">
        <v>587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61"/>
        <v>376837.416666667</v>
      </c>
      <c r="K149" s="509">
        <v>242300.0775</v>
      </c>
      <c r="L149" s="509">
        <f t="shared" si="62"/>
        <v>134537.339166667</v>
      </c>
      <c r="M149" s="511">
        <v>46217.0577866667</v>
      </c>
      <c r="N149" s="574">
        <v>27873.0796866667</v>
      </c>
      <c r="O149" s="575">
        <f t="shared" si="60"/>
        <v>18343.9781</v>
      </c>
      <c r="P149" s="576"/>
      <c r="Q149" s="589">
        <f t="shared" si="63"/>
        <v>116193.361066667</v>
      </c>
    </row>
    <row r="150" ht="20.1" customHeight="1" spans="1:17">
      <c r="A150" s="27">
        <v>17</v>
      </c>
      <c r="B150" s="11" t="s">
        <v>259</v>
      </c>
      <c r="C150" s="12" t="s">
        <v>260</v>
      </c>
      <c r="D150" s="15" t="s">
        <v>104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61"/>
        <v>360965.583333333</v>
      </c>
      <c r="K150" s="509">
        <v>237734.047</v>
      </c>
      <c r="L150" s="509">
        <f t="shared" si="62"/>
        <v>123231.536333333</v>
      </c>
      <c r="M150" s="511">
        <v>43763.9072266667</v>
      </c>
      <c r="N150" s="574">
        <v>27105.9865626667</v>
      </c>
      <c r="O150" s="575">
        <f t="shared" si="60"/>
        <v>16657.920664</v>
      </c>
      <c r="P150" s="576"/>
      <c r="Q150" s="589">
        <f t="shared" si="63"/>
        <v>106573.615669333</v>
      </c>
    </row>
    <row r="151" ht="20.1" customHeight="1" spans="1:17">
      <c r="A151" s="27">
        <v>18</v>
      </c>
      <c r="B151" s="11" t="s">
        <v>261</v>
      </c>
      <c r="C151" s="12" t="s">
        <v>262</v>
      </c>
      <c r="D151" s="10" t="s">
        <v>80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61"/>
        <v>323165.333333333</v>
      </c>
      <c r="K151" s="509">
        <v>209356.04725</v>
      </c>
      <c r="L151" s="509">
        <f t="shared" si="62"/>
        <v>113809.286083333</v>
      </c>
      <c r="M151" s="511">
        <v>37921.5005866667</v>
      </c>
      <c r="N151" s="574">
        <v>22338.4826046667</v>
      </c>
      <c r="O151" s="575">
        <f t="shared" si="60"/>
        <v>15583.017982</v>
      </c>
      <c r="P151" s="576"/>
      <c r="Q151" s="589">
        <f t="shared" si="63"/>
        <v>98226.268101333</v>
      </c>
    </row>
    <row r="152" ht="20.1" customHeight="1" spans="1:17">
      <c r="A152" s="27">
        <v>19</v>
      </c>
      <c r="B152" s="11" t="s">
        <v>263</v>
      </c>
      <c r="C152" s="12" t="s">
        <v>264</v>
      </c>
      <c r="D152" s="15" t="s">
        <v>265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61"/>
        <v>368901.5</v>
      </c>
      <c r="K152" s="509">
        <v>237734.047</v>
      </c>
      <c r="L152" s="509">
        <f t="shared" si="62"/>
        <v>131167.453</v>
      </c>
      <c r="M152" s="511">
        <v>44990.4825066667</v>
      </c>
      <c r="N152" s="574">
        <v>27105.9865626667</v>
      </c>
      <c r="O152" s="575">
        <f t="shared" si="60"/>
        <v>17884.495944</v>
      </c>
      <c r="P152" s="576"/>
      <c r="Q152" s="589">
        <f t="shared" si="63"/>
        <v>113282.957056</v>
      </c>
    </row>
    <row r="153" ht="20.1" customHeight="1" spans="1:17">
      <c r="A153" s="27">
        <v>20</v>
      </c>
      <c r="B153" s="11" t="s">
        <v>266</v>
      </c>
      <c r="C153" s="12" t="s">
        <v>267</v>
      </c>
      <c r="D153" s="15" t="s">
        <v>75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61"/>
        <v>330481.666666667</v>
      </c>
      <c r="K153" s="509">
        <v>213508.01</v>
      </c>
      <c r="L153" s="509">
        <f t="shared" si="62"/>
        <v>116973.656666667</v>
      </c>
      <c r="M153" s="511">
        <v>39052.3130666667</v>
      </c>
      <c r="N153" s="574">
        <v>23036.0123466667</v>
      </c>
      <c r="O153" s="575">
        <f t="shared" si="60"/>
        <v>16016.30072</v>
      </c>
      <c r="P153" s="576"/>
      <c r="Q153" s="589">
        <f t="shared" si="63"/>
        <v>100957.355946667</v>
      </c>
    </row>
    <row r="154" ht="20.1" customHeight="1" spans="1:17">
      <c r="A154" s="27">
        <v>21</v>
      </c>
      <c r="B154" s="11" t="s">
        <v>268</v>
      </c>
      <c r="C154" s="12" t="s">
        <v>269</v>
      </c>
      <c r="D154" s="15" t="s">
        <v>265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61"/>
        <v>368901.5</v>
      </c>
      <c r="K154" s="509">
        <v>237734.047</v>
      </c>
      <c r="L154" s="509">
        <f t="shared" si="62"/>
        <v>131167.453</v>
      </c>
      <c r="M154" s="511">
        <v>44913.6996186667</v>
      </c>
      <c r="N154" s="574">
        <v>27029.2036746667</v>
      </c>
      <c r="O154" s="575">
        <f t="shared" si="60"/>
        <v>17884.495944</v>
      </c>
      <c r="P154" s="576"/>
      <c r="Q154" s="589">
        <f t="shared" si="63"/>
        <v>113282.957056</v>
      </c>
    </row>
    <row r="155" ht="20.1" customHeight="1" spans="1:17">
      <c r="A155" s="27">
        <v>22</v>
      </c>
      <c r="B155" s="11" t="s">
        <v>270</v>
      </c>
      <c r="C155" s="12" t="s">
        <v>271</v>
      </c>
      <c r="D155" s="15" t="s">
        <v>75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61"/>
        <v>330481.666666667</v>
      </c>
      <c r="K155" s="509">
        <v>209356.04725</v>
      </c>
      <c r="L155" s="509">
        <f t="shared" si="62"/>
        <v>121125.619416667</v>
      </c>
      <c r="M155" s="511">
        <v>39052.3130666667</v>
      </c>
      <c r="N155" s="574">
        <v>22338.4826046667</v>
      </c>
      <c r="O155" s="575">
        <f t="shared" si="60"/>
        <v>16713.830462</v>
      </c>
      <c r="P155" s="576"/>
      <c r="Q155" s="589">
        <f t="shared" si="63"/>
        <v>104411.788954667</v>
      </c>
    </row>
    <row r="156" ht="20.1" customHeight="1" spans="1:17">
      <c r="A156" s="27">
        <v>23</v>
      </c>
      <c r="B156" s="18" t="s">
        <v>272</v>
      </c>
      <c r="C156" s="12" t="s">
        <v>273</v>
      </c>
      <c r="D156" s="15" t="s">
        <v>83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61"/>
        <v>315849</v>
      </c>
      <c r="K156" s="509">
        <v>205204.0845</v>
      </c>
      <c r="L156" s="509">
        <f t="shared" si="62"/>
        <v>110644.9155</v>
      </c>
      <c r="M156" s="511">
        <v>36790.6881066667</v>
      </c>
      <c r="N156" s="574">
        <v>21640.9528626667</v>
      </c>
      <c r="O156" s="575">
        <f t="shared" si="60"/>
        <v>15149.735244</v>
      </c>
      <c r="P156" s="576"/>
      <c r="Q156" s="589">
        <f t="shared" si="63"/>
        <v>95495.180256</v>
      </c>
    </row>
    <row r="157" ht="20.1" customHeight="1" spans="1:17">
      <c r="A157" s="27">
        <v>24</v>
      </c>
      <c r="B157" s="18" t="s">
        <v>275</v>
      </c>
      <c r="C157" s="12" t="s">
        <v>276</v>
      </c>
      <c r="D157" s="15" t="s">
        <v>92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61"/>
        <v>274459.75</v>
      </c>
      <c r="K157" s="509">
        <v>176816.1</v>
      </c>
      <c r="L157" s="509">
        <f t="shared" si="62"/>
        <v>97643.65</v>
      </c>
      <c r="M157" s="511">
        <v>30259.1656266667</v>
      </c>
      <c r="N157" s="574">
        <v>17042.7138666667</v>
      </c>
      <c r="O157" s="575">
        <f t="shared" si="60"/>
        <v>13216.45176</v>
      </c>
      <c r="P157" s="576"/>
      <c r="Q157" s="589">
        <f t="shared" si="63"/>
        <v>84427.19824</v>
      </c>
    </row>
    <row r="158" ht="20.1" customHeight="1" spans="1:17">
      <c r="A158" s="27">
        <v>25</v>
      </c>
      <c r="B158" s="18" t="s">
        <v>277</v>
      </c>
      <c r="C158" s="12" t="s">
        <v>278</v>
      </c>
      <c r="D158" s="15" t="s">
        <v>92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61"/>
        <v>274459.75</v>
      </c>
      <c r="K158" s="509">
        <v>176816.1</v>
      </c>
      <c r="L158" s="509">
        <f t="shared" si="62"/>
        <v>97643.65</v>
      </c>
      <c r="M158" s="511">
        <v>30259.1656266667</v>
      </c>
      <c r="N158" s="574">
        <v>17042.7138666667</v>
      </c>
      <c r="O158" s="575">
        <f t="shared" si="60"/>
        <v>13216.45176</v>
      </c>
      <c r="P158" s="576"/>
      <c r="Q158" s="589">
        <f t="shared" si="63"/>
        <v>84427.19824</v>
      </c>
    </row>
    <row r="159" ht="20.1" customHeight="1" spans="1:17">
      <c r="A159" s="27">
        <v>26</v>
      </c>
      <c r="B159" s="18" t="s">
        <v>279</v>
      </c>
      <c r="C159" s="12" t="s">
        <v>280</v>
      </c>
      <c r="D159" s="15" t="s">
        <v>92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61"/>
        <v>274459.75</v>
      </c>
      <c r="K159" s="509">
        <v>176816.1</v>
      </c>
      <c r="L159" s="509">
        <f t="shared" si="62"/>
        <v>97643.65</v>
      </c>
      <c r="M159" s="511">
        <v>30259.1656266667</v>
      </c>
      <c r="N159" s="574">
        <v>17042.7138666667</v>
      </c>
      <c r="O159" s="575">
        <f t="shared" si="60"/>
        <v>13216.45176</v>
      </c>
      <c r="P159" s="576"/>
      <c r="Q159" s="589">
        <f t="shared" si="63"/>
        <v>84427.19824</v>
      </c>
    </row>
    <row r="160" ht="20.1" customHeight="1" spans="1:17">
      <c r="A160" s="27">
        <v>27</v>
      </c>
      <c r="B160" s="18" t="s">
        <v>281</v>
      </c>
      <c r="C160" s="12" t="s">
        <v>282</v>
      </c>
      <c r="D160" s="15" t="s">
        <v>171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61"/>
        <v>280631.916666667</v>
      </c>
      <c r="K160" s="509">
        <v>180304.068</v>
      </c>
      <c r="L160" s="509">
        <f t="shared" si="62"/>
        <v>100327.848666667</v>
      </c>
      <c r="M160" s="511">
        <v>31213.1357066667</v>
      </c>
      <c r="N160" s="574">
        <v>17572.8850026667</v>
      </c>
      <c r="O160" s="575">
        <f t="shared" si="60"/>
        <v>13640.250704</v>
      </c>
      <c r="P160" s="576"/>
      <c r="Q160" s="589">
        <f t="shared" si="63"/>
        <v>86687.597962667</v>
      </c>
    </row>
    <row r="161" ht="20.1" customHeight="1" spans="1:17">
      <c r="A161" s="27">
        <v>28</v>
      </c>
      <c r="B161" s="18" t="s">
        <v>283</v>
      </c>
      <c r="C161" s="12" t="s">
        <v>278</v>
      </c>
      <c r="D161" s="15" t="s">
        <v>92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61"/>
        <v>274459.75</v>
      </c>
      <c r="K161" s="509">
        <v>176816.1</v>
      </c>
      <c r="L161" s="509">
        <f t="shared" si="62"/>
        <v>97643.65</v>
      </c>
      <c r="M161" s="511">
        <v>30259.1656266667</v>
      </c>
      <c r="N161" s="574">
        <v>17042.7138666667</v>
      </c>
      <c r="O161" s="575">
        <f t="shared" si="60"/>
        <v>13216.45176</v>
      </c>
      <c r="P161" s="576"/>
      <c r="Q161" s="589">
        <f t="shared" si="63"/>
        <v>84427.19824</v>
      </c>
    </row>
    <row r="162" ht="20.1" customHeight="1" spans="1:17">
      <c r="A162" s="27">
        <v>29</v>
      </c>
      <c r="B162" s="11" t="s">
        <v>287</v>
      </c>
      <c r="C162" s="12" t="s">
        <v>288</v>
      </c>
      <c r="D162" s="15" t="s">
        <v>289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61"/>
        <v>202598.166666667</v>
      </c>
      <c r="K162" s="509">
        <v>135590.73</v>
      </c>
      <c r="L162" s="509">
        <f t="shared" si="62"/>
        <v>67007.436666667</v>
      </c>
      <c r="M162" s="511">
        <v>18892.9833866667</v>
      </c>
      <c r="N162" s="574">
        <v>10739.3048</v>
      </c>
      <c r="O162" s="575">
        <f t="shared" si="60"/>
        <v>8153.6785866667</v>
      </c>
      <c r="P162" s="576"/>
      <c r="Q162" s="589">
        <f t="shared" si="63"/>
        <v>58853.7580800003</v>
      </c>
    </row>
    <row r="163" ht="20.1" customHeight="1" spans="1:17">
      <c r="A163" s="27">
        <v>30</v>
      </c>
      <c r="B163" s="11" t="s">
        <v>290</v>
      </c>
      <c r="C163" s="12" t="s">
        <v>288</v>
      </c>
      <c r="D163" s="15" t="s">
        <v>289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61"/>
        <v>205598.166666667</v>
      </c>
      <c r="K163" s="509">
        <v>138590.73</v>
      </c>
      <c r="L163" s="509">
        <f t="shared" si="62"/>
        <v>67007.436666667</v>
      </c>
      <c r="M163" s="511">
        <v>19441.1993066667</v>
      </c>
      <c r="N163" s="574">
        <v>11232.4576266667</v>
      </c>
      <c r="O163" s="575">
        <f t="shared" si="60"/>
        <v>8208.74168</v>
      </c>
      <c r="P163" s="576"/>
      <c r="Q163" s="589">
        <f t="shared" si="63"/>
        <v>58798.694986667</v>
      </c>
    </row>
    <row r="164" ht="20.1" customHeight="1" spans="1:17">
      <c r="A164" s="27">
        <v>31</v>
      </c>
      <c r="B164" s="11" t="s">
        <v>291</v>
      </c>
      <c r="C164" s="12" t="s">
        <v>288</v>
      </c>
      <c r="D164" s="15" t="s">
        <v>289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61"/>
        <v>202598.166666667</v>
      </c>
      <c r="K164" s="509">
        <v>135590.73</v>
      </c>
      <c r="L164" s="509">
        <f t="shared" si="62"/>
        <v>67007.436666667</v>
      </c>
      <c r="M164" s="511">
        <v>18937.1993066667</v>
      </c>
      <c r="N164" s="574">
        <v>10776.4576266667</v>
      </c>
      <c r="O164" s="575">
        <f t="shared" si="60"/>
        <v>8160.74168</v>
      </c>
      <c r="P164" s="576"/>
      <c r="Q164" s="589">
        <f t="shared" si="63"/>
        <v>58846.694986667</v>
      </c>
    </row>
    <row r="165" ht="20.1" customHeight="1" spans="1:17">
      <c r="A165" s="27">
        <v>32</v>
      </c>
      <c r="B165" s="11" t="s">
        <v>292</v>
      </c>
      <c r="C165" s="12" t="s">
        <v>288</v>
      </c>
      <c r="D165" s="15" t="s">
        <v>289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61"/>
        <v>202598.166666667</v>
      </c>
      <c r="K165" s="509">
        <v>135590.73</v>
      </c>
      <c r="L165" s="509">
        <f t="shared" si="62"/>
        <v>67007.436666667</v>
      </c>
      <c r="M165" s="511">
        <v>18892.9833866667</v>
      </c>
      <c r="N165" s="574">
        <v>10739.3048</v>
      </c>
      <c r="O165" s="575">
        <f t="shared" si="60"/>
        <v>8153.6785866667</v>
      </c>
      <c r="P165" s="576"/>
      <c r="Q165" s="589">
        <f t="shared" si="63"/>
        <v>58853.7580800003</v>
      </c>
    </row>
    <row r="166" ht="20.1" customHeight="1" spans="1:17">
      <c r="A166" s="27">
        <v>33</v>
      </c>
      <c r="B166" s="11" t="s">
        <v>293</v>
      </c>
      <c r="C166" s="12" t="s">
        <v>288</v>
      </c>
      <c r="D166" s="15" t="s">
        <v>289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61"/>
        <v>202598.166666667</v>
      </c>
      <c r="K166" s="509">
        <v>135590.73</v>
      </c>
      <c r="L166" s="509">
        <f t="shared" si="62"/>
        <v>67007.436666667</v>
      </c>
      <c r="M166" s="511">
        <v>18937.1993066667</v>
      </c>
      <c r="N166" s="574">
        <v>10776.4576266667</v>
      </c>
      <c r="O166" s="575">
        <f t="shared" si="60"/>
        <v>8160.74168</v>
      </c>
      <c r="P166" s="576"/>
      <c r="Q166" s="589">
        <f t="shared" si="63"/>
        <v>58846.694986667</v>
      </c>
    </row>
    <row r="167" ht="20.1" customHeight="1" spans="1:17">
      <c r="A167" s="27">
        <v>34</v>
      </c>
      <c r="B167" s="11" t="s">
        <v>294</v>
      </c>
      <c r="C167" s="12" t="s">
        <v>288</v>
      </c>
      <c r="D167" s="15" t="s">
        <v>295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61"/>
        <v>200336.833333333</v>
      </c>
      <c r="K167" s="509">
        <v>138590.73</v>
      </c>
      <c r="L167" s="509">
        <f t="shared" si="62"/>
        <v>61746.103333333</v>
      </c>
      <c r="M167" s="511">
        <v>18631.68944</v>
      </c>
      <c r="N167" s="574">
        <v>11232.4576266667</v>
      </c>
      <c r="O167" s="575">
        <f t="shared" si="60"/>
        <v>7399.2318133333</v>
      </c>
      <c r="P167" s="576"/>
      <c r="Q167" s="589">
        <f t="shared" si="63"/>
        <v>54346.8715199997</v>
      </c>
    </row>
    <row r="168" ht="20.1" customHeight="1" spans="1:17">
      <c r="A168" s="27">
        <v>35</v>
      </c>
      <c r="B168" s="11" t="s">
        <v>296</v>
      </c>
      <c r="C168" s="12" t="s">
        <v>288</v>
      </c>
      <c r="D168" s="15" t="s">
        <v>295</v>
      </c>
      <c r="E168" s="226">
        <v>163336.833333333</v>
      </c>
      <c r="F168" s="220"/>
      <c r="G168" s="220"/>
      <c r="H168" s="220">
        <f t="shared" ref="H168:H172" si="65">20000+10000</f>
        <v>30000</v>
      </c>
      <c r="I168" s="85">
        <f>4000</f>
        <v>4000</v>
      </c>
      <c r="J168" s="509">
        <f t="shared" si="61"/>
        <v>197336.833333333</v>
      </c>
      <c r="K168" s="509">
        <v>135590.73</v>
      </c>
      <c r="L168" s="509">
        <f t="shared" si="62"/>
        <v>61746.103333333</v>
      </c>
      <c r="M168" s="511">
        <v>18175.68944</v>
      </c>
      <c r="N168" s="574">
        <v>10776.4576266667</v>
      </c>
      <c r="O168" s="575">
        <f t="shared" si="60"/>
        <v>7399.2318133333</v>
      </c>
      <c r="P168" s="576"/>
      <c r="Q168" s="589">
        <f t="shared" si="63"/>
        <v>54346.8715199997</v>
      </c>
    </row>
    <row r="169" ht="20.1" customHeight="1" spans="1:17">
      <c r="A169" s="27">
        <v>36</v>
      </c>
      <c r="B169" s="14" t="s">
        <v>297</v>
      </c>
      <c r="C169" s="12" t="s">
        <v>288</v>
      </c>
      <c r="D169" s="15" t="s">
        <v>295</v>
      </c>
      <c r="E169" s="226">
        <v>163336.833333333</v>
      </c>
      <c r="F169" s="220"/>
      <c r="G169" s="220"/>
      <c r="H169" s="220">
        <f t="shared" si="65"/>
        <v>30000</v>
      </c>
      <c r="I169" s="85">
        <f>7000</f>
        <v>7000</v>
      </c>
      <c r="J169" s="509">
        <f t="shared" si="61"/>
        <v>200336.833333333</v>
      </c>
      <c r="K169" s="509">
        <v>138590.73</v>
      </c>
      <c r="L169" s="509">
        <f t="shared" si="62"/>
        <v>61746.103333333</v>
      </c>
      <c r="M169" s="511">
        <v>18631.68944</v>
      </c>
      <c r="N169" s="574">
        <v>11232.4576266667</v>
      </c>
      <c r="O169" s="575">
        <f t="shared" si="60"/>
        <v>7399.2318133333</v>
      </c>
      <c r="P169" s="576"/>
      <c r="Q169" s="589">
        <f t="shared" si="63"/>
        <v>54346.8715199997</v>
      </c>
    </row>
    <row r="170" ht="20.1" customHeight="1" spans="1:17">
      <c r="A170" s="27">
        <v>37</v>
      </c>
      <c r="B170" s="11" t="s">
        <v>298</v>
      </c>
      <c r="C170" s="12" t="s">
        <v>288</v>
      </c>
      <c r="D170" s="15" t="s">
        <v>295</v>
      </c>
      <c r="E170" s="226">
        <v>163336.833333333</v>
      </c>
      <c r="F170" s="220"/>
      <c r="G170" s="220"/>
      <c r="H170" s="220">
        <f t="shared" si="65"/>
        <v>30000</v>
      </c>
      <c r="I170" s="85">
        <f>4000</f>
        <v>4000</v>
      </c>
      <c r="J170" s="509">
        <f t="shared" si="61"/>
        <v>197336.833333333</v>
      </c>
      <c r="K170" s="509">
        <v>135590.73</v>
      </c>
      <c r="L170" s="509">
        <f t="shared" si="62"/>
        <v>61746.103333333</v>
      </c>
      <c r="M170" s="511">
        <v>18175.68944</v>
      </c>
      <c r="N170" s="574">
        <v>10776.4576266667</v>
      </c>
      <c r="O170" s="575">
        <f t="shared" si="60"/>
        <v>7399.2318133333</v>
      </c>
      <c r="P170" s="576"/>
      <c r="Q170" s="589">
        <f t="shared" si="63"/>
        <v>54346.8715199997</v>
      </c>
    </row>
    <row r="171" ht="20.1" customHeight="1" spans="1:17">
      <c r="A171" s="27">
        <v>38</v>
      </c>
      <c r="B171" s="18" t="s">
        <v>299</v>
      </c>
      <c r="C171" s="12" t="s">
        <v>288</v>
      </c>
      <c r="D171" s="15" t="s">
        <v>295</v>
      </c>
      <c r="E171" s="226">
        <v>163336.833333333</v>
      </c>
      <c r="F171" s="220"/>
      <c r="G171" s="220"/>
      <c r="H171" s="220">
        <f t="shared" si="65"/>
        <v>30000</v>
      </c>
      <c r="I171" s="85">
        <f>4000</f>
        <v>4000</v>
      </c>
      <c r="J171" s="509">
        <f t="shared" si="61"/>
        <v>197336.833333333</v>
      </c>
      <c r="K171" s="509">
        <v>135590.73</v>
      </c>
      <c r="L171" s="509">
        <f t="shared" si="62"/>
        <v>61746.103333333</v>
      </c>
      <c r="M171" s="511">
        <v>18175.68944</v>
      </c>
      <c r="N171" s="574">
        <v>10776.4576266667</v>
      </c>
      <c r="O171" s="575">
        <f t="shared" si="60"/>
        <v>7399.2318133333</v>
      </c>
      <c r="P171" s="576"/>
      <c r="Q171" s="589">
        <f t="shared" si="63"/>
        <v>54346.8715199997</v>
      </c>
    </row>
    <row r="172" ht="20.1" customHeight="1" spans="1:17">
      <c r="A172" s="27">
        <v>39</v>
      </c>
      <c r="B172" s="18" t="s">
        <v>300</v>
      </c>
      <c r="C172" s="12" t="s">
        <v>288</v>
      </c>
      <c r="D172" s="15" t="s">
        <v>295</v>
      </c>
      <c r="E172" s="226">
        <v>163336.833333333</v>
      </c>
      <c r="F172" s="220"/>
      <c r="G172" s="220"/>
      <c r="H172" s="220">
        <f t="shared" si="65"/>
        <v>30000</v>
      </c>
      <c r="I172" s="85">
        <f t="shared" ref="I172:I177" si="66">7000</f>
        <v>7000</v>
      </c>
      <c r="J172" s="509">
        <f t="shared" si="61"/>
        <v>200336.833333333</v>
      </c>
      <c r="K172" s="509">
        <v>138590.73</v>
      </c>
      <c r="L172" s="509">
        <f t="shared" si="62"/>
        <v>61746.103333333</v>
      </c>
      <c r="M172" s="511">
        <v>18631.68944</v>
      </c>
      <c r="N172" s="574">
        <v>11232.4576266667</v>
      </c>
      <c r="O172" s="575">
        <f t="shared" si="60"/>
        <v>7399.2318133333</v>
      </c>
      <c r="P172" s="576"/>
      <c r="Q172" s="589">
        <f t="shared" si="63"/>
        <v>54346.8715199997</v>
      </c>
    </row>
    <row r="173" ht="20.1" customHeight="1" spans="1:17">
      <c r="A173" s="27">
        <v>40</v>
      </c>
      <c r="B173" s="11" t="s">
        <v>301</v>
      </c>
      <c r="C173" s="12" t="s">
        <v>302</v>
      </c>
      <c r="D173" s="15" t="s">
        <v>303</v>
      </c>
      <c r="E173" s="85">
        <v>152814.166666667</v>
      </c>
      <c r="F173" s="220"/>
      <c r="G173" s="220"/>
      <c r="H173" s="220">
        <f>30000</f>
        <v>30000</v>
      </c>
      <c r="I173" s="85">
        <f t="shared" si="66"/>
        <v>7000</v>
      </c>
      <c r="J173" s="509">
        <f t="shared" si="61"/>
        <v>189814.166666667</v>
      </c>
      <c r="K173" s="509">
        <v>122104.99825</v>
      </c>
      <c r="L173" s="509">
        <f t="shared" si="62"/>
        <v>67709.168416667</v>
      </c>
      <c r="M173" s="511">
        <v>17160.1997333333</v>
      </c>
      <c r="N173" s="574">
        <v>9152.59979</v>
      </c>
      <c r="O173" s="575">
        <f t="shared" si="60"/>
        <v>8007.5999433333</v>
      </c>
      <c r="P173" s="576"/>
      <c r="Q173" s="589">
        <f t="shared" si="63"/>
        <v>59701.5684733337</v>
      </c>
    </row>
    <row r="174" ht="20.1" customHeight="1" spans="1:17">
      <c r="A174" s="27">
        <v>41</v>
      </c>
      <c r="B174" s="11" t="s">
        <v>304</v>
      </c>
      <c r="C174" s="12" t="s">
        <v>302</v>
      </c>
      <c r="D174" s="15" t="s">
        <v>303</v>
      </c>
      <c r="E174" s="85">
        <v>152814.166666667</v>
      </c>
      <c r="F174" s="220"/>
      <c r="G174" s="220"/>
      <c r="H174" s="220">
        <f>30000</f>
        <v>30000</v>
      </c>
      <c r="I174" s="85">
        <f t="shared" si="66"/>
        <v>7000</v>
      </c>
      <c r="J174" s="509">
        <f t="shared" si="61"/>
        <v>189814.166666667</v>
      </c>
      <c r="K174" s="509">
        <v>122104.99825</v>
      </c>
      <c r="L174" s="509">
        <f t="shared" si="62"/>
        <v>67709.168416667</v>
      </c>
      <c r="M174" s="511">
        <v>17160.1997333333</v>
      </c>
      <c r="N174" s="574">
        <v>9152.59979</v>
      </c>
      <c r="O174" s="575">
        <f t="shared" si="60"/>
        <v>8007.5999433333</v>
      </c>
      <c r="P174" s="576"/>
      <c r="Q174" s="589">
        <f t="shared" si="63"/>
        <v>59701.5684733337</v>
      </c>
    </row>
    <row r="175" ht="20.1" customHeight="1" spans="1:17">
      <c r="A175" s="27">
        <v>42</v>
      </c>
      <c r="B175" s="18" t="s">
        <v>305</v>
      </c>
      <c r="C175" s="12" t="s">
        <v>302</v>
      </c>
      <c r="D175" s="15" t="s">
        <v>306</v>
      </c>
      <c r="E175" s="85">
        <v>158075.5</v>
      </c>
      <c r="F175" s="220"/>
      <c r="G175" s="220"/>
      <c r="H175" s="220">
        <f>30000</f>
        <v>30000</v>
      </c>
      <c r="I175" s="85">
        <f t="shared" si="66"/>
        <v>7000</v>
      </c>
      <c r="J175" s="509">
        <f t="shared" si="61"/>
        <v>195075.5</v>
      </c>
      <c r="K175" s="509">
        <v>125035.0345</v>
      </c>
      <c r="L175" s="509">
        <f t="shared" si="62"/>
        <v>70040.4655</v>
      </c>
      <c r="M175" s="511">
        <v>17895.9445866667</v>
      </c>
      <c r="N175" s="574">
        <v>9504.20414</v>
      </c>
      <c r="O175" s="575">
        <f t="shared" si="60"/>
        <v>8391.7404466667</v>
      </c>
      <c r="P175" s="576"/>
      <c r="Q175" s="589">
        <f t="shared" si="63"/>
        <v>61648.7250533333</v>
      </c>
    </row>
    <row r="176" ht="20.1" customHeight="1" spans="1:17">
      <c r="A176" s="27">
        <v>43</v>
      </c>
      <c r="B176" s="11" t="s">
        <v>307</v>
      </c>
      <c r="C176" s="12" t="s">
        <v>308</v>
      </c>
      <c r="D176" s="15" t="s">
        <v>588</v>
      </c>
      <c r="E176" s="85">
        <v>94145.75</v>
      </c>
      <c r="F176" s="220"/>
      <c r="G176" s="220"/>
      <c r="H176" s="220">
        <f t="shared" ref="H176:H183" si="67">20000</f>
        <v>20000</v>
      </c>
      <c r="I176" s="85">
        <f t="shared" si="66"/>
        <v>7000</v>
      </c>
      <c r="J176" s="509">
        <f t="shared" si="61"/>
        <v>121145.75</v>
      </c>
      <c r="K176" s="509">
        <v>81803.001</v>
      </c>
      <c r="L176" s="509">
        <f t="shared" si="62"/>
        <v>39342.749</v>
      </c>
      <c r="M176" s="511">
        <v>8133.6908</v>
      </c>
      <c r="N176" s="574">
        <v>4365.33075466667</v>
      </c>
      <c r="O176" s="575">
        <f t="shared" si="60"/>
        <v>3768.36004533333</v>
      </c>
      <c r="P176" s="576"/>
      <c r="Q176" s="589">
        <f t="shared" si="63"/>
        <v>35574.3889546667</v>
      </c>
    </row>
    <row r="177" ht="20.1" customHeight="1" spans="1:17">
      <c r="A177" s="27">
        <v>44</v>
      </c>
      <c r="B177" s="11" t="s">
        <v>309</v>
      </c>
      <c r="C177" s="12" t="s">
        <v>310</v>
      </c>
      <c r="D177" s="15" t="s">
        <v>311</v>
      </c>
      <c r="E177" s="85">
        <v>91598</v>
      </c>
      <c r="F177" s="220"/>
      <c r="G177" s="220"/>
      <c r="H177" s="220">
        <f t="shared" si="67"/>
        <v>20000</v>
      </c>
      <c r="I177" s="85">
        <f t="shared" si="66"/>
        <v>7000</v>
      </c>
      <c r="J177" s="509">
        <f t="shared" si="61"/>
        <v>118598</v>
      </c>
      <c r="K177" s="509">
        <v>80237.012</v>
      </c>
      <c r="L177" s="509">
        <f t="shared" si="62"/>
        <v>38360.988</v>
      </c>
      <c r="M177" s="511">
        <v>7852.4192</v>
      </c>
      <c r="N177" s="574">
        <v>4227.52372266667</v>
      </c>
      <c r="O177" s="575">
        <f t="shared" si="60"/>
        <v>3624.89547733333</v>
      </c>
      <c r="P177" s="576"/>
      <c r="Q177" s="589">
        <f t="shared" si="63"/>
        <v>34736.0925226667</v>
      </c>
    </row>
    <row r="178" ht="20.1" customHeight="1" spans="1:17">
      <c r="A178" s="27">
        <v>45</v>
      </c>
      <c r="B178" s="11" t="s">
        <v>312</v>
      </c>
      <c r="C178" s="12" t="s">
        <v>310</v>
      </c>
      <c r="D178" s="15" t="s">
        <v>311</v>
      </c>
      <c r="E178" s="85">
        <v>91598</v>
      </c>
      <c r="F178" s="220"/>
      <c r="G178" s="220"/>
      <c r="H178" s="220">
        <f t="shared" si="67"/>
        <v>20000</v>
      </c>
      <c r="I178" s="85">
        <f>4000</f>
        <v>4000</v>
      </c>
      <c r="J178" s="509">
        <f t="shared" si="61"/>
        <v>115598</v>
      </c>
      <c r="K178" s="509">
        <v>77237.012</v>
      </c>
      <c r="L178" s="509">
        <f t="shared" si="62"/>
        <v>38360.988</v>
      </c>
      <c r="M178" s="511">
        <v>7492.4192</v>
      </c>
      <c r="N178" s="574">
        <v>3963.52372266667</v>
      </c>
      <c r="O178" s="575">
        <f t="shared" si="60"/>
        <v>3528.89547733333</v>
      </c>
      <c r="P178" s="576"/>
      <c r="Q178" s="589">
        <f t="shared" si="63"/>
        <v>34832.0925226667</v>
      </c>
    </row>
    <row r="179" ht="20.1" customHeight="1" spans="1:17">
      <c r="A179" s="27">
        <v>46</v>
      </c>
      <c r="B179" s="11" t="s">
        <v>313</v>
      </c>
      <c r="C179" s="12" t="s">
        <v>310</v>
      </c>
      <c r="D179" s="15" t="s">
        <v>311</v>
      </c>
      <c r="E179" s="85">
        <v>91598</v>
      </c>
      <c r="F179" s="220"/>
      <c r="G179" s="220"/>
      <c r="H179" s="220">
        <f t="shared" si="67"/>
        <v>20000</v>
      </c>
      <c r="I179" s="85">
        <f>7000</f>
        <v>7000</v>
      </c>
      <c r="J179" s="509">
        <f t="shared" si="61"/>
        <v>118598</v>
      </c>
      <c r="K179" s="509">
        <v>80237.012</v>
      </c>
      <c r="L179" s="509">
        <f t="shared" si="62"/>
        <v>38360.988</v>
      </c>
      <c r="M179" s="511">
        <v>7852.4192</v>
      </c>
      <c r="N179" s="574">
        <v>4227.52372266667</v>
      </c>
      <c r="O179" s="575">
        <f t="shared" si="60"/>
        <v>3624.89547733333</v>
      </c>
      <c r="P179" s="576"/>
      <c r="Q179" s="589">
        <f t="shared" si="63"/>
        <v>34736.0925226667</v>
      </c>
    </row>
    <row r="180" ht="20.1" customHeight="1" spans="1:17">
      <c r="A180" s="27">
        <v>47</v>
      </c>
      <c r="B180" s="11" t="s">
        <v>314</v>
      </c>
      <c r="C180" s="12" t="s">
        <v>310</v>
      </c>
      <c r="D180" s="15" t="s">
        <v>311</v>
      </c>
      <c r="E180" s="85">
        <v>91598</v>
      </c>
      <c r="F180" s="220"/>
      <c r="G180" s="220"/>
      <c r="H180" s="220">
        <f t="shared" si="67"/>
        <v>20000</v>
      </c>
      <c r="I180" s="85">
        <f>4000</f>
        <v>4000</v>
      </c>
      <c r="J180" s="509">
        <f t="shared" si="61"/>
        <v>115598</v>
      </c>
      <c r="K180" s="509">
        <v>77237.012</v>
      </c>
      <c r="L180" s="509">
        <f t="shared" si="62"/>
        <v>38360.988</v>
      </c>
      <c r="M180" s="511">
        <v>7492.4192</v>
      </c>
      <c r="N180" s="574">
        <v>3963.52372266667</v>
      </c>
      <c r="O180" s="575">
        <f t="shared" si="60"/>
        <v>3528.89547733333</v>
      </c>
      <c r="P180" s="576"/>
      <c r="Q180" s="589">
        <f t="shared" si="63"/>
        <v>34832.0925226667</v>
      </c>
    </row>
    <row r="181" ht="20.1" customHeight="1" spans="1:17">
      <c r="A181" s="27">
        <v>48</v>
      </c>
      <c r="B181" s="11" t="s">
        <v>315</v>
      </c>
      <c r="C181" s="12" t="s">
        <v>310</v>
      </c>
      <c r="D181" s="15" t="s">
        <v>311</v>
      </c>
      <c r="E181" s="85">
        <v>91598</v>
      </c>
      <c r="F181" s="220"/>
      <c r="G181" s="220"/>
      <c r="H181" s="220">
        <f t="shared" si="67"/>
        <v>20000</v>
      </c>
      <c r="I181" s="85">
        <f>7000</f>
        <v>7000</v>
      </c>
      <c r="J181" s="509">
        <f t="shared" si="61"/>
        <v>118598</v>
      </c>
      <c r="K181" s="509">
        <v>80237.012</v>
      </c>
      <c r="L181" s="509">
        <f t="shared" si="62"/>
        <v>38360.988</v>
      </c>
      <c r="M181" s="511">
        <v>7852.4192</v>
      </c>
      <c r="N181" s="574">
        <v>4227.52372266667</v>
      </c>
      <c r="O181" s="575">
        <f t="shared" si="60"/>
        <v>3624.89547733333</v>
      </c>
      <c r="P181" s="576"/>
      <c r="Q181" s="589">
        <f t="shared" si="63"/>
        <v>34736.0925226667</v>
      </c>
    </row>
    <row r="182" ht="20.1" customHeight="1" spans="1:17">
      <c r="A182" s="27">
        <v>49</v>
      </c>
      <c r="B182" s="18" t="s">
        <v>316</v>
      </c>
      <c r="C182" s="12" t="s">
        <v>310</v>
      </c>
      <c r="D182" s="15" t="s">
        <v>311</v>
      </c>
      <c r="E182" s="85">
        <v>91598</v>
      </c>
      <c r="F182" s="220"/>
      <c r="G182" s="220"/>
      <c r="H182" s="220">
        <f t="shared" si="67"/>
        <v>20000</v>
      </c>
      <c r="I182" s="85">
        <f>4000</f>
        <v>4000</v>
      </c>
      <c r="J182" s="509">
        <f t="shared" si="61"/>
        <v>115598</v>
      </c>
      <c r="K182" s="509">
        <v>77237.012</v>
      </c>
      <c r="L182" s="509">
        <f t="shared" si="62"/>
        <v>38360.988</v>
      </c>
      <c r="M182" s="511">
        <v>7492.4192</v>
      </c>
      <c r="N182" s="574">
        <v>3963.52372266667</v>
      </c>
      <c r="O182" s="575">
        <f t="shared" si="60"/>
        <v>3528.89547733333</v>
      </c>
      <c r="P182" s="576"/>
      <c r="Q182" s="589">
        <f t="shared" si="63"/>
        <v>34832.0925226667</v>
      </c>
    </row>
    <row r="183" ht="20.1" customHeight="1" spans="1:17">
      <c r="A183" s="27">
        <v>50</v>
      </c>
      <c r="B183" s="18" t="s">
        <v>317</v>
      </c>
      <c r="C183" s="12" t="s">
        <v>310</v>
      </c>
      <c r="D183" s="15" t="s">
        <v>311</v>
      </c>
      <c r="E183" s="85">
        <v>91598</v>
      </c>
      <c r="F183" s="220"/>
      <c r="G183" s="220"/>
      <c r="H183" s="220">
        <f t="shared" si="67"/>
        <v>20000</v>
      </c>
      <c r="I183" s="85">
        <f>7000</f>
        <v>7000</v>
      </c>
      <c r="J183" s="509">
        <f t="shared" si="61"/>
        <v>118598</v>
      </c>
      <c r="K183" s="509">
        <v>80237.012</v>
      </c>
      <c r="L183" s="509">
        <f t="shared" si="62"/>
        <v>38360.988</v>
      </c>
      <c r="M183" s="511">
        <v>7852.4192</v>
      </c>
      <c r="N183" s="574">
        <v>4227.52372266667</v>
      </c>
      <c r="O183" s="575">
        <f t="shared" si="60"/>
        <v>3624.89547733333</v>
      </c>
      <c r="P183" s="576"/>
      <c r="Q183" s="589">
        <f t="shared" si="63"/>
        <v>34736.0925226667</v>
      </c>
    </row>
    <row r="184" ht="20.1" customHeight="1" spans="1:17">
      <c r="A184" s="27">
        <v>51</v>
      </c>
      <c r="B184" s="11" t="s">
        <v>318</v>
      </c>
      <c r="C184" s="12" t="s">
        <v>308</v>
      </c>
      <c r="D184" s="15" t="s">
        <v>311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61"/>
        <v>118598</v>
      </c>
      <c r="K184" s="509">
        <v>78671.023</v>
      </c>
      <c r="L184" s="509">
        <f t="shared" si="62"/>
        <v>39926.977</v>
      </c>
      <c r="M184" s="511">
        <v>7852.4192</v>
      </c>
      <c r="N184" s="574">
        <v>4089.71669066667</v>
      </c>
      <c r="O184" s="575">
        <f t="shared" si="60"/>
        <v>3762.70250933333</v>
      </c>
      <c r="P184" s="576"/>
      <c r="Q184" s="589">
        <f t="shared" si="63"/>
        <v>36164.2744906667</v>
      </c>
    </row>
    <row r="185" ht="20.1" customHeight="1" spans="1:17">
      <c r="A185" s="27">
        <v>52</v>
      </c>
      <c r="B185" s="11" t="s">
        <v>319</v>
      </c>
      <c r="C185" s="12" t="s">
        <v>308</v>
      </c>
      <c r="D185" s="15" t="s">
        <v>311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61"/>
        <v>118598</v>
      </c>
      <c r="K185" s="509">
        <v>80237.012</v>
      </c>
      <c r="L185" s="509">
        <f t="shared" si="62"/>
        <v>38360.988</v>
      </c>
      <c r="M185" s="511">
        <v>7852.4192</v>
      </c>
      <c r="N185" s="574">
        <v>4227.52372266667</v>
      </c>
      <c r="O185" s="575">
        <f t="shared" si="60"/>
        <v>3624.89547733333</v>
      </c>
      <c r="P185" s="576"/>
      <c r="Q185" s="589">
        <f t="shared" si="63"/>
        <v>34736.0925226667</v>
      </c>
    </row>
    <row r="186" ht="20.1" customHeight="1" spans="1:17">
      <c r="A186" s="27">
        <v>53</v>
      </c>
      <c r="B186" s="18" t="s">
        <v>320</v>
      </c>
      <c r="C186" s="12" t="s">
        <v>321</v>
      </c>
      <c r="D186" s="15" t="s">
        <v>322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61"/>
        <v>116050.25</v>
      </c>
      <c r="K186" s="509">
        <v>78671.023</v>
      </c>
      <c r="L186" s="509">
        <f t="shared" si="62"/>
        <v>37379.227</v>
      </c>
      <c r="M186" s="511">
        <v>7571.1476</v>
      </c>
      <c r="N186" s="574">
        <v>4089.71669066667</v>
      </c>
      <c r="O186" s="575">
        <f t="shared" si="60"/>
        <v>3481.43090933333</v>
      </c>
      <c r="P186" s="576"/>
      <c r="Q186" s="589">
        <f t="shared" si="63"/>
        <v>33897.7960906667</v>
      </c>
    </row>
    <row r="187" ht="20.1" customHeight="1" spans="1:17">
      <c r="A187" s="27">
        <v>54</v>
      </c>
      <c r="B187" s="18" t="s">
        <v>325</v>
      </c>
      <c r="C187" s="12" t="s">
        <v>310</v>
      </c>
      <c r="D187" s="15" t="s">
        <v>589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61"/>
        <v>102926.916666667</v>
      </c>
      <c r="K187" s="509">
        <v>68675.997025</v>
      </c>
      <c r="L187" s="509">
        <f t="shared" si="62"/>
        <v>34250.9196416667</v>
      </c>
      <c r="M187" s="511">
        <v>6074.3316</v>
      </c>
      <c r="N187" s="574">
        <v>3210.15440486667</v>
      </c>
      <c r="O187" s="575">
        <f t="shared" si="60"/>
        <v>2864.17719513333</v>
      </c>
      <c r="P187" s="576"/>
      <c r="Q187" s="589">
        <f t="shared" si="63"/>
        <v>31386.7424465334</v>
      </c>
    </row>
    <row r="188" ht="20.1" customHeight="1" spans="1:17">
      <c r="A188" s="27">
        <v>55</v>
      </c>
      <c r="B188" s="18" t="s">
        <v>326</v>
      </c>
      <c r="C188" s="12" t="s">
        <v>327</v>
      </c>
      <c r="D188" s="15" t="s">
        <v>328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61"/>
        <v>95540.75</v>
      </c>
      <c r="K188" s="509">
        <v>62980.07925</v>
      </c>
      <c r="L188" s="509">
        <f t="shared" si="62"/>
        <v>32560.67075</v>
      </c>
      <c r="M188" s="511">
        <v>5230.0988</v>
      </c>
      <c r="N188" s="574">
        <v>2708.91364066667</v>
      </c>
      <c r="O188" s="575">
        <f t="shared" si="60"/>
        <v>2521.18515933333</v>
      </c>
      <c r="P188" s="576"/>
      <c r="Q188" s="589">
        <f t="shared" si="63"/>
        <v>30039.4855906667</v>
      </c>
    </row>
    <row r="189" ht="20.1" customHeight="1" spans="1:17">
      <c r="A189" s="27">
        <v>56</v>
      </c>
      <c r="B189" s="18" t="s">
        <v>329</v>
      </c>
      <c r="C189" s="12" t="s">
        <v>327</v>
      </c>
      <c r="D189" s="15" t="s">
        <v>328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61"/>
        <v>95540.75</v>
      </c>
      <c r="K189" s="509">
        <v>62980.07925</v>
      </c>
      <c r="L189" s="509">
        <f t="shared" si="62"/>
        <v>32560.67075</v>
      </c>
      <c r="M189" s="511">
        <v>5230.0988</v>
      </c>
      <c r="N189" s="574">
        <v>2708.91364066667</v>
      </c>
      <c r="O189" s="575">
        <f t="shared" si="60"/>
        <v>2521.18515933333</v>
      </c>
      <c r="P189" s="576"/>
      <c r="Q189" s="589">
        <f t="shared" si="63"/>
        <v>30039.4855906667</v>
      </c>
    </row>
    <row r="190" ht="20.1" customHeight="1" spans="1:17">
      <c r="A190" s="27">
        <v>57</v>
      </c>
      <c r="B190" s="18" t="s">
        <v>330</v>
      </c>
      <c r="C190" s="12" t="s">
        <v>327</v>
      </c>
      <c r="D190" s="15" t="s">
        <v>328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61"/>
        <v>95540.75</v>
      </c>
      <c r="K190" s="509">
        <v>62980.07925</v>
      </c>
      <c r="L190" s="509">
        <f t="shared" si="62"/>
        <v>32560.67075</v>
      </c>
      <c r="M190" s="511">
        <v>5230.0988</v>
      </c>
      <c r="N190" s="574">
        <v>2708.91364066667</v>
      </c>
      <c r="O190" s="575">
        <f t="shared" si="60"/>
        <v>2521.18515933333</v>
      </c>
      <c r="P190" s="576"/>
      <c r="Q190" s="589">
        <f t="shared" si="63"/>
        <v>30039.4855906667</v>
      </c>
    </row>
    <row r="191" ht="20.1" customHeight="1" spans="1:17">
      <c r="A191" s="27">
        <v>58</v>
      </c>
      <c r="B191" s="18" t="s">
        <v>331</v>
      </c>
      <c r="C191" s="12" t="s">
        <v>332</v>
      </c>
      <c r="D191" s="15" t="s">
        <v>333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61"/>
        <v>108502.5</v>
      </c>
      <c r="K191" s="509">
        <v>72103.7495</v>
      </c>
      <c r="L191" s="509">
        <f t="shared" si="62"/>
        <v>36398.7505</v>
      </c>
      <c r="M191" s="511">
        <v>6689.876</v>
      </c>
      <c r="N191" s="574">
        <v>3511.79662266667</v>
      </c>
      <c r="O191" s="575">
        <f t="shared" si="60"/>
        <v>3178.07937733333</v>
      </c>
      <c r="P191" s="576"/>
      <c r="Q191" s="589">
        <f t="shared" si="63"/>
        <v>33220.6711226667</v>
      </c>
    </row>
    <row r="192" ht="20.1" customHeight="1" spans="1:17">
      <c r="A192" s="27">
        <v>59</v>
      </c>
      <c r="B192" s="18" t="s">
        <v>334</v>
      </c>
      <c r="C192" s="12" t="s">
        <v>332</v>
      </c>
      <c r="D192" s="15" t="s">
        <v>333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61"/>
        <v>108502.5</v>
      </c>
      <c r="K192" s="509">
        <v>72103.7495</v>
      </c>
      <c r="L192" s="509">
        <f t="shared" si="62"/>
        <v>36398.7505</v>
      </c>
      <c r="M192" s="511">
        <v>6689.876</v>
      </c>
      <c r="N192" s="574">
        <v>3511.79662266667</v>
      </c>
      <c r="O192" s="575">
        <f t="shared" si="60"/>
        <v>3178.07937733333</v>
      </c>
      <c r="P192" s="576"/>
      <c r="Q192" s="589">
        <f t="shared" si="63"/>
        <v>33220.6711226667</v>
      </c>
    </row>
    <row r="193" ht="20.1" customHeight="1" spans="1:17">
      <c r="A193" s="27"/>
      <c r="B193" s="8" t="s">
        <v>96</v>
      </c>
      <c r="C193" s="28" t="s">
        <v>590</v>
      </c>
      <c r="D193" s="29"/>
      <c r="E193" s="93">
        <f>SUM(E134:E192)</f>
        <v>14898686.4166667</v>
      </c>
      <c r="F193" s="93">
        <f t="shared" ref="F193:O193" si="68">SUM(F134:F192)</f>
        <v>0</v>
      </c>
      <c r="G193" s="93">
        <f t="shared" si="68"/>
        <v>0</v>
      </c>
      <c r="H193" s="93">
        <f t="shared" si="68"/>
        <v>2490000</v>
      </c>
      <c r="I193" s="93">
        <f t="shared" si="68"/>
        <v>228000</v>
      </c>
      <c r="J193" s="93">
        <f t="shared" si="68"/>
        <v>17616686.4166667</v>
      </c>
      <c r="K193" s="93">
        <v>11413301.213525</v>
      </c>
      <c r="L193" s="93">
        <f t="shared" si="68"/>
        <v>6203385.20314167</v>
      </c>
      <c r="M193" s="93">
        <f t="shared" si="68"/>
        <v>2121047.87476133</v>
      </c>
      <c r="N193" s="582">
        <v>1265795.4594602</v>
      </c>
      <c r="O193" s="582">
        <f t="shared" si="68"/>
        <v>855252.415301134</v>
      </c>
      <c r="P193" s="583"/>
      <c r="Q193" s="593">
        <f>SUM(Q134:Q192)</f>
        <v>5348132.78784053</v>
      </c>
    </row>
    <row r="194" ht="30.75" customHeight="1" spans="1:17">
      <c r="A194" s="4"/>
      <c r="B194" s="30" t="s">
        <v>336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Q194" si="69">F193+F131+F118+F112+F102+F95+F82+F72+F59+F54+F40+F34</f>
        <v>0</v>
      </c>
      <c r="G194" s="227">
        <f t="shared" si="69"/>
        <v>7760000</v>
      </c>
      <c r="H194" s="227">
        <f t="shared" si="69"/>
        <v>5090000</v>
      </c>
      <c r="I194" s="227">
        <f t="shared" si="69"/>
        <v>2039337.469105</v>
      </c>
      <c r="J194" s="227">
        <f t="shared" si="69"/>
        <v>79132127.886105</v>
      </c>
      <c r="K194" s="227">
        <f t="shared" si="69"/>
        <v>52358223.956575</v>
      </c>
      <c r="L194" s="227">
        <f t="shared" si="69"/>
        <v>26773903.92953</v>
      </c>
      <c r="M194" s="227">
        <f t="shared" si="69"/>
        <v>11287301.1318695</v>
      </c>
      <c r="N194" s="227">
        <f t="shared" si="69"/>
        <v>7214215.76864559</v>
      </c>
      <c r="O194" s="227">
        <f t="shared" si="69"/>
        <v>4073085.3632239</v>
      </c>
      <c r="P194" s="227">
        <f t="shared" si="69"/>
        <v>0</v>
      </c>
      <c r="Q194" s="526">
        <f t="shared" si="69"/>
        <v>22700818.5663061</v>
      </c>
    </row>
    <row r="195" ht="20.1" customHeight="1" spans="2:17">
      <c r="B195" s="33"/>
      <c r="D195" s="34"/>
      <c r="E195" s="34"/>
      <c r="F195" s="34"/>
      <c r="G195" s="228"/>
      <c r="H195" s="228"/>
      <c r="I195" s="228"/>
      <c r="J195" s="228"/>
      <c r="K195" s="228" t="s">
        <v>629</v>
      </c>
      <c r="L195" s="228"/>
      <c r="M195" s="228"/>
      <c r="N195" s="228"/>
      <c r="O195" s="228"/>
      <c r="P195" s="228"/>
      <c r="Q195" s="35"/>
    </row>
    <row r="196" ht="36.75" customHeight="1" spans="2:16">
      <c r="B196" s="33"/>
      <c r="C196" s="34"/>
      <c r="D196" s="34"/>
      <c r="E196" s="34"/>
      <c r="F196" s="34"/>
      <c r="G196" s="228"/>
      <c r="H196" s="228"/>
      <c r="J196" s="35"/>
      <c r="L196" s="35"/>
      <c r="M196" s="228"/>
      <c r="N196" s="228"/>
      <c r="O196" s="228"/>
      <c r="P196" s="228"/>
    </row>
    <row r="197" spans="10:13">
      <c r="J197" s="35"/>
      <c r="K197" s="35"/>
      <c r="M197" s="35"/>
    </row>
    <row r="198" ht="20.1" customHeight="1" spans="10:10">
      <c r="J198" s="35"/>
    </row>
  </sheetData>
  <mergeCells count="1">
    <mergeCell ref="A1:F1"/>
  </mergeCells>
  <pageMargins left="0.708661417322835" right="0.708661417322835" top="0.748031496062992" bottom="0.748031496062992" header="0.31496062992126" footer="0.31496062992126"/>
  <pageSetup paperSize="9" scale="35" orientation="landscape"/>
  <headerFooter/>
  <rowBreaks count="2" manualBreakCount="2">
    <brk id="124" max="16" man="1"/>
    <brk id="194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6"/>
  <sheetViews>
    <sheetView topLeftCell="Q13" workbookViewId="0">
      <selection activeCell="V24" sqref="V24"/>
    </sheetView>
  </sheetViews>
  <sheetFormatPr defaultColWidth="9" defaultRowHeight="12.5"/>
  <cols>
    <col min="1" max="1" width="6.85454545454545" customWidth="1"/>
    <col min="2" max="2" width="39.1363636363636" customWidth="1"/>
    <col min="3" max="3" width="16.8545454545455" customWidth="1"/>
    <col min="4" max="4" width="6.70909090909091" customWidth="1"/>
    <col min="5" max="5" width="13.1363636363636" customWidth="1"/>
    <col min="6" max="6" width="10.2818181818182" customWidth="1"/>
    <col min="7" max="7" width="9.28181818181818" customWidth="1"/>
    <col min="8" max="8" width="5.85454545454545" customWidth="1"/>
    <col min="9" max="9" width="12.8545454545455" customWidth="1"/>
    <col min="10" max="10" width="11.5727272727273" customWidth="1"/>
    <col min="11" max="11" width="6.85454545454545" customWidth="1"/>
    <col min="12" max="12" width="10.8545454545455" customWidth="1"/>
    <col min="13" max="13" width="12.5727272727273" customWidth="1"/>
    <col min="14" max="14" width="11" customWidth="1"/>
    <col min="15" max="15" width="12.1363636363636" customWidth="1"/>
    <col min="16" max="16" width="15.4272727272727" customWidth="1"/>
    <col min="17" max="17" width="16.5727272727273" customWidth="1"/>
    <col min="18" max="18" width="9.85454545454546" customWidth="1"/>
    <col min="19" max="19" width="10.5727272727273" customWidth="1"/>
    <col min="20" max="20" width="11.5727272727273" customWidth="1"/>
    <col min="21" max="21" width="12.4272727272727" customWidth="1"/>
    <col min="22" max="22" width="11.5727272727273" customWidth="1"/>
    <col min="23" max="23" width="9.57272727272727" customWidth="1"/>
    <col min="24" max="24" width="10.8545454545455" customWidth="1"/>
    <col min="25" max="25" width="9" customWidth="1"/>
    <col min="26" max="26" width="14.1363636363636" customWidth="1"/>
    <col min="27" max="27" width="16.2818181818182" customWidth="1"/>
    <col min="28" max="28" width="14.7090909090909" customWidth="1"/>
    <col min="29" max="29" width="27.4272727272727" customWidth="1"/>
  </cols>
  <sheetData>
    <row r="1" ht="13" hidden="1" spans="1:26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50"/>
    </row>
    <row r="2" ht="13" hidden="1" spans="1:26">
      <c r="A2" s="539" t="s">
        <v>443</v>
      </c>
      <c r="B2" s="539"/>
      <c r="C2" s="539"/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539"/>
      <c r="R2" s="539"/>
      <c r="S2" s="539"/>
      <c r="T2" s="539"/>
      <c r="U2" s="539"/>
      <c r="V2" s="539"/>
      <c r="W2" s="539"/>
      <c r="X2" s="539"/>
      <c r="Y2" s="539"/>
      <c r="Z2" s="550"/>
    </row>
    <row r="3" ht="13.75" hidden="1" spans="1:26">
      <c r="A3" s="540" t="s">
        <v>444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  <c r="N3" s="538"/>
      <c r="O3" s="538"/>
      <c r="P3" s="538"/>
      <c r="Q3" s="538"/>
      <c r="R3" s="538"/>
      <c r="S3" s="538"/>
      <c r="T3" s="538"/>
      <c r="U3" s="538"/>
      <c r="V3" s="538"/>
      <c r="W3" s="538"/>
      <c r="X3" s="538"/>
      <c r="Y3" s="538"/>
      <c r="Z3" s="550"/>
    </row>
    <row r="4" ht="83.25" customHeight="1" spans="1:28">
      <c r="A4" s="541" t="s">
        <v>445</v>
      </c>
      <c r="B4" s="542" t="s">
        <v>446</v>
      </c>
      <c r="C4" s="543" t="s">
        <v>447</v>
      </c>
      <c r="D4" s="542" t="s">
        <v>448</v>
      </c>
      <c r="E4" s="543" t="s">
        <v>449</v>
      </c>
      <c r="F4" s="543" t="s">
        <v>450</v>
      </c>
      <c r="G4" s="543" t="s">
        <v>451</v>
      </c>
      <c r="H4" s="543" t="s">
        <v>452</v>
      </c>
      <c r="I4" s="543" t="s">
        <v>453</v>
      </c>
      <c r="J4" s="543"/>
      <c r="K4" s="543"/>
      <c r="L4" s="543"/>
      <c r="M4" s="543" t="s">
        <v>454</v>
      </c>
      <c r="N4" s="543" t="s">
        <v>455</v>
      </c>
      <c r="O4" s="543" t="s">
        <v>456</v>
      </c>
      <c r="P4" s="543" t="s">
        <v>457</v>
      </c>
      <c r="Q4" s="543" t="s">
        <v>458</v>
      </c>
      <c r="R4" s="543" t="s">
        <v>459</v>
      </c>
      <c r="S4" s="543" t="s">
        <v>460</v>
      </c>
      <c r="T4" s="543" t="s">
        <v>461</v>
      </c>
      <c r="U4" s="543" t="s">
        <v>462</v>
      </c>
      <c r="V4" s="543" t="s">
        <v>463</v>
      </c>
      <c r="W4" s="543"/>
      <c r="X4" s="543" t="s">
        <v>464</v>
      </c>
      <c r="Y4" s="543" t="s">
        <v>465</v>
      </c>
      <c r="Z4" s="543" t="s">
        <v>466</v>
      </c>
      <c r="AA4" s="551"/>
      <c r="AB4" s="551" t="s">
        <v>518</v>
      </c>
    </row>
    <row r="5" ht="17.5" spans="1:31">
      <c r="A5" s="544">
        <v>1</v>
      </c>
      <c r="B5" s="8" t="s">
        <v>21</v>
      </c>
      <c r="C5" s="545"/>
      <c r="D5" s="546"/>
      <c r="E5" s="547"/>
      <c r="F5" s="547"/>
      <c r="G5" s="547"/>
      <c r="H5" s="547"/>
      <c r="I5" s="547"/>
      <c r="J5" s="547"/>
      <c r="K5" s="547"/>
      <c r="L5" s="547"/>
      <c r="M5" s="547"/>
      <c r="N5" s="547"/>
      <c r="O5" s="547"/>
      <c r="P5" s="547"/>
      <c r="Q5" s="547"/>
      <c r="R5" s="547"/>
      <c r="S5" s="547"/>
      <c r="T5" s="547"/>
      <c r="U5" s="547"/>
      <c r="V5" s="547"/>
      <c r="W5" s="549"/>
      <c r="X5" s="547"/>
      <c r="Y5" s="547"/>
      <c r="Z5" s="547"/>
      <c r="AA5" s="213"/>
      <c r="AB5" s="213"/>
      <c r="AC5" s="213"/>
      <c r="AD5" s="213"/>
      <c r="AE5" s="213"/>
    </row>
    <row r="6" ht="18" spans="1:31">
      <c r="A6" s="544">
        <v>3</v>
      </c>
      <c r="B6" s="11" t="s">
        <v>22</v>
      </c>
      <c r="C6" s="465">
        <v>1158849.84</v>
      </c>
      <c r="D6" s="466">
        <v>12</v>
      </c>
      <c r="E6" s="467">
        <f>C6*D6</f>
        <v>13906198.08</v>
      </c>
      <c r="F6" s="467"/>
      <c r="G6" s="467"/>
      <c r="H6" s="467"/>
      <c r="I6" s="467">
        <f t="shared" ref="I6:I75" si="0">E6-F6-G6-H6</f>
        <v>13906198.08</v>
      </c>
      <c r="J6" s="467">
        <v>200000</v>
      </c>
      <c r="K6" s="467">
        <v>0.2</v>
      </c>
      <c r="L6" s="467">
        <f t="shared" ref="L6:L75" si="1">I6*K6</f>
        <v>2781239.616</v>
      </c>
      <c r="M6" s="467">
        <f t="shared" ref="M6:M75" si="2">J6+L6</f>
        <v>2981239.616</v>
      </c>
      <c r="N6" s="467">
        <f t="shared" ref="N6:N75" si="3">F6+G6+H6+M6</f>
        <v>2981239.616</v>
      </c>
      <c r="O6" s="467">
        <f t="shared" ref="O6:O75" si="4">E6-N6</f>
        <v>10924958.464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1853990.03136</v>
      </c>
      <c r="V6" s="467">
        <f t="shared" ref="V6:V75" si="11">P6+Q6+R6+S6+T6+U6</f>
        <v>2413990.03136</v>
      </c>
      <c r="W6" s="474">
        <v>12</v>
      </c>
      <c r="X6" s="467">
        <f t="shared" ref="X6:X75" si="12">V6/W6</f>
        <v>201165.835946667</v>
      </c>
      <c r="Y6" s="467"/>
      <c r="Z6" s="467">
        <f t="shared" ref="Z6:Z75" si="13">X6</f>
        <v>201165.835946667</v>
      </c>
      <c r="AA6" s="213">
        <v>201165.835946667</v>
      </c>
      <c r="AB6" s="213">
        <f>Z6-AA6</f>
        <v>-3.20142135024071e-10</v>
      </c>
      <c r="AC6" s="213"/>
      <c r="AD6" s="213"/>
      <c r="AE6" s="213"/>
    </row>
    <row r="7" ht="18" spans="1:31">
      <c r="A7" s="544">
        <v>4</v>
      </c>
      <c r="B7" s="11" t="s">
        <v>25</v>
      </c>
      <c r="C7" s="465">
        <v>541465.02475</v>
      </c>
      <c r="D7" s="466">
        <v>12</v>
      </c>
      <c r="E7" s="467">
        <f t="shared" ref="E7:E32" si="14">C7*D7</f>
        <v>6497580.297</v>
      </c>
      <c r="F7" s="467"/>
      <c r="G7" s="467"/>
      <c r="H7" s="467"/>
      <c r="I7" s="467">
        <f t="shared" si="0"/>
        <v>6497580.297</v>
      </c>
      <c r="J7" s="467">
        <v>200000</v>
      </c>
      <c r="K7" s="467">
        <v>0.2</v>
      </c>
      <c r="L7" s="467">
        <f t="shared" si="1"/>
        <v>1299516.0594</v>
      </c>
      <c r="M7" s="467">
        <f t="shared" si="2"/>
        <v>1499516.0594</v>
      </c>
      <c r="N7" s="467">
        <f t="shared" si="3"/>
        <v>1499516.0594</v>
      </c>
      <c r="O7" s="467">
        <f t="shared" si="4"/>
        <v>4998064.2376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431535.417024</v>
      </c>
      <c r="V7" s="467">
        <f t="shared" si="11"/>
        <v>991535.417024</v>
      </c>
      <c r="W7" s="474">
        <v>12</v>
      </c>
      <c r="X7" s="467">
        <f t="shared" si="12"/>
        <v>82627.9514186667</v>
      </c>
      <c r="Y7" s="467"/>
      <c r="Z7" s="467">
        <f t="shared" si="13"/>
        <v>82627.9514186667</v>
      </c>
      <c r="AA7" s="213">
        <v>82627.9514186667</v>
      </c>
      <c r="AB7" s="213">
        <f t="shared" ref="AB7:AB32" si="15">Z7-AA7</f>
        <v>0</v>
      </c>
      <c r="AC7" s="213"/>
      <c r="AD7" s="213"/>
      <c r="AE7" s="213"/>
    </row>
    <row r="8" ht="18" spans="1:31">
      <c r="A8" s="544">
        <v>5</v>
      </c>
      <c r="B8" s="14" t="s">
        <v>28</v>
      </c>
      <c r="C8" s="465">
        <v>741465.02475</v>
      </c>
      <c r="D8" s="466">
        <v>12</v>
      </c>
      <c r="E8" s="467">
        <f t="shared" si="14"/>
        <v>8897580.297</v>
      </c>
      <c r="F8" s="467"/>
      <c r="G8" s="467"/>
      <c r="H8" s="467"/>
      <c r="I8" s="467">
        <f t="shared" si="0"/>
        <v>8897580.297</v>
      </c>
      <c r="J8" s="467">
        <v>200000</v>
      </c>
      <c r="K8" s="467">
        <v>0.2</v>
      </c>
      <c r="L8" s="467">
        <f t="shared" si="1"/>
        <v>1779516.0594</v>
      </c>
      <c r="M8" s="467">
        <f t="shared" si="2"/>
        <v>1979516.0594</v>
      </c>
      <c r="N8" s="467">
        <f t="shared" si="3"/>
        <v>1979516.0594</v>
      </c>
      <c r="O8" s="467">
        <f t="shared" si="4"/>
        <v>6918064.2376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892335.417024</v>
      </c>
      <c r="V8" s="467">
        <f t="shared" si="11"/>
        <v>1452335.417024</v>
      </c>
      <c r="W8" s="474">
        <v>12</v>
      </c>
      <c r="X8" s="467">
        <f t="shared" si="12"/>
        <v>121027.951418667</v>
      </c>
      <c r="Y8" s="467"/>
      <c r="Z8" s="467">
        <f t="shared" si="13"/>
        <v>121027.951418667</v>
      </c>
      <c r="AA8" s="213">
        <v>121027.951418667</v>
      </c>
      <c r="AB8" s="213">
        <f t="shared" si="15"/>
        <v>-3.20142135024071e-10</v>
      </c>
      <c r="AC8" s="213"/>
      <c r="AD8" s="213"/>
      <c r="AE8" s="213"/>
    </row>
    <row r="9" ht="18" spans="1:31">
      <c r="A9" s="544">
        <v>6</v>
      </c>
      <c r="B9" s="11" t="s">
        <v>30</v>
      </c>
      <c r="C9" s="465">
        <v>631465.02475</v>
      </c>
      <c r="D9" s="466">
        <v>12</v>
      </c>
      <c r="E9" s="467">
        <f t="shared" si="14"/>
        <v>7577580.297</v>
      </c>
      <c r="F9" s="467">
        <f>'[6]JANUARY 2024'!$V$10*12</f>
        <v>12795.951</v>
      </c>
      <c r="G9" s="467"/>
      <c r="H9" s="467"/>
      <c r="I9" s="467">
        <f t="shared" si="0"/>
        <v>7564784.346</v>
      </c>
      <c r="J9" s="467">
        <v>200000</v>
      </c>
      <c r="K9" s="467">
        <v>0.2</v>
      </c>
      <c r="L9" s="467">
        <f t="shared" si="1"/>
        <v>1512956.8692</v>
      </c>
      <c r="M9" s="467">
        <f t="shared" si="2"/>
        <v>1712956.8692</v>
      </c>
      <c r="N9" s="467">
        <f t="shared" si="3"/>
        <v>1725752.8202</v>
      </c>
      <c r="O9" s="467">
        <f t="shared" si="4"/>
        <v>5851827.4768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636438.594432</v>
      </c>
      <c r="V9" s="467">
        <f t="shared" si="11"/>
        <v>1196438.594432</v>
      </c>
      <c r="W9" s="474">
        <v>12</v>
      </c>
      <c r="X9" s="467">
        <f t="shared" si="12"/>
        <v>99703.2162026667</v>
      </c>
      <c r="Y9" s="467"/>
      <c r="Z9" s="467">
        <f t="shared" si="13"/>
        <v>99703.2162026667</v>
      </c>
      <c r="AA9" s="213">
        <v>99703.2162026667</v>
      </c>
      <c r="AB9" s="213">
        <f t="shared" si="15"/>
        <v>0</v>
      </c>
      <c r="AC9" s="213"/>
      <c r="AD9" s="213"/>
      <c r="AE9" s="213"/>
    </row>
    <row r="10" ht="18" spans="1:31">
      <c r="A10" s="544">
        <v>7</v>
      </c>
      <c r="B10" s="14" t="s">
        <v>32</v>
      </c>
      <c r="C10" s="465">
        <v>691465.02475</v>
      </c>
      <c r="D10" s="466">
        <v>12</v>
      </c>
      <c r="E10" s="467">
        <f t="shared" si="14"/>
        <v>8297580.297</v>
      </c>
      <c r="F10" s="467">
        <f>'[6]JANUARY 2024'!$V$10*12</f>
        <v>12795.951</v>
      </c>
      <c r="G10" s="467"/>
      <c r="H10" s="467"/>
      <c r="I10" s="467">
        <f t="shared" si="0"/>
        <v>8284784.346</v>
      </c>
      <c r="J10" s="467">
        <v>200000</v>
      </c>
      <c r="K10" s="467">
        <v>0.2</v>
      </c>
      <c r="L10" s="467">
        <f t="shared" si="1"/>
        <v>1656956.8692</v>
      </c>
      <c r="M10" s="467">
        <f t="shared" si="2"/>
        <v>1856956.8692</v>
      </c>
      <c r="N10" s="467">
        <f t="shared" si="3"/>
        <v>1869752.8202</v>
      </c>
      <c r="O10" s="467">
        <f t="shared" si="4"/>
        <v>6427827.4768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774678.594432</v>
      </c>
      <c r="V10" s="467">
        <f t="shared" si="11"/>
        <v>1334678.594432</v>
      </c>
      <c r="W10" s="474">
        <v>12</v>
      </c>
      <c r="X10" s="467">
        <f t="shared" si="12"/>
        <v>111223.216202667</v>
      </c>
      <c r="Y10" s="467"/>
      <c r="Z10" s="467">
        <f t="shared" si="13"/>
        <v>111223.216202667</v>
      </c>
      <c r="AA10" s="213">
        <v>111223.216202667</v>
      </c>
      <c r="AB10" s="213">
        <f t="shared" si="15"/>
        <v>-3.20142135024071e-10</v>
      </c>
      <c r="AC10" s="213"/>
      <c r="AD10" s="213"/>
      <c r="AE10" s="213"/>
    </row>
    <row r="11" ht="18" spans="1:31">
      <c r="A11" s="544">
        <v>8</v>
      </c>
      <c r="B11" s="18" t="s">
        <v>576</v>
      </c>
      <c r="C11" s="465">
        <v>641465.02475</v>
      </c>
      <c r="D11" s="466">
        <v>12</v>
      </c>
      <c r="E11" s="467">
        <f t="shared" si="14"/>
        <v>7697580.297</v>
      </c>
      <c r="F11" s="467"/>
      <c r="G11" s="467"/>
      <c r="H11" s="467"/>
      <c r="I11" s="467">
        <f t="shared" si="0"/>
        <v>7697580.297</v>
      </c>
      <c r="J11" s="467">
        <v>200000</v>
      </c>
      <c r="K11" s="467">
        <v>0.2</v>
      </c>
      <c r="L11" s="467">
        <f t="shared" si="1"/>
        <v>1539516.0594</v>
      </c>
      <c r="M11" s="467">
        <f t="shared" si="2"/>
        <v>1739516.0594</v>
      </c>
      <c r="N11" s="467">
        <f t="shared" si="3"/>
        <v>1739516.0594</v>
      </c>
      <c r="O11" s="467">
        <f t="shared" si="4"/>
        <v>5958064.2376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661935.417024</v>
      </c>
      <c r="V11" s="467">
        <f t="shared" si="11"/>
        <v>1221935.417024</v>
      </c>
      <c r="W11" s="474">
        <v>12</v>
      </c>
      <c r="X11" s="467">
        <f t="shared" si="12"/>
        <v>101827.951418667</v>
      </c>
      <c r="Y11" s="467"/>
      <c r="Z11" s="467">
        <f t="shared" si="13"/>
        <v>101827.951418667</v>
      </c>
      <c r="AA11" s="213">
        <v>101827.951418667</v>
      </c>
      <c r="AB11" s="213">
        <f t="shared" si="15"/>
        <v>-3.20142135024071e-10</v>
      </c>
      <c r="AC11" s="213"/>
      <c r="AD11" s="213"/>
      <c r="AE11" s="213"/>
    </row>
    <row r="12" ht="18" spans="1:31">
      <c r="A12" s="544">
        <v>9</v>
      </c>
      <c r="B12" s="11" t="s">
        <v>34</v>
      </c>
      <c r="C12" s="465">
        <v>497553.5025</v>
      </c>
      <c r="D12" s="466">
        <v>12</v>
      </c>
      <c r="E12" s="467">
        <f t="shared" si="14"/>
        <v>5970642.03</v>
      </c>
      <c r="F12" s="467">
        <f>'[6]JANUARY 2024'!$V$13*12</f>
        <v>10052.25</v>
      </c>
      <c r="G12" s="467"/>
      <c r="H12" s="467"/>
      <c r="I12" s="467">
        <f t="shared" si="0"/>
        <v>5960589.78</v>
      </c>
      <c r="J12" s="467">
        <v>200000</v>
      </c>
      <c r="K12" s="467">
        <v>0.2</v>
      </c>
      <c r="L12" s="467">
        <f t="shared" si="1"/>
        <v>1192117.956</v>
      </c>
      <c r="M12" s="467">
        <f t="shared" si="2"/>
        <v>1392117.956</v>
      </c>
      <c r="N12" s="467">
        <f t="shared" si="3"/>
        <v>1402170.206</v>
      </c>
      <c r="O12" s="467">
        <f t="shared" si="4"/>
        <v>4568471.824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328433.23776</v>
      </c>
      <c r="V12" s="467">
        <f t="shared" si="11"/>
        <v>888433.23776</v>
      </c>
      <c r="W12" s="474">
        <v>12</v>
      </c>
      <c r="X12" s="467">
        <f t="shared" si="12"/>
        <v>74036.1031466667</v>
      </c>
      <c r="Y12" s="467"/>
      <c r="Z12" s="467">
        <f t="shared" si="13"/>
        <v>74036.1031466667</v>
      </c>
      <c r="AA12" s="213">
        <v>74036.1031466667</v>
      </c>
      <c r="AB12" s="213">
        <f t="shared" si="15"/>
        <v>0</v>
      </c>
      <c r="AC12" s="213"/>
      <c r="AD12" s="213"/>
      <c r="AE12" s="213"/>
    </row>
    <row r="13" ht="18" spans="1:31">
      <c r="A13" s="544">
        <v>10</v>
      </c>
      <c r="B13" s="11" t="s">
        <v>37</v>
      </c>
      <c r="C13" s="465">
        <v>604729.222</v>
      </c>
      <c r="D13" s="466">
        <v>12</v>
      </c>
      <c r="E13" s="467">
        <f t="shared" si="14"/>
        <v>7256750.664</v>
      </c>
      <c r="F13" s="467">
        <f>'[6]JANUARY 2024'!$V$14*12</f>
        <v>9305.952</v>
      </c>
      <c r="G13" s="467"/>
      <c r="H13" s="467"/>
      <c r="I13" s="467">
        <f t="shared" si="0"/>
        <v>7247444.712</v>
      </c>
      <c r="J13" s="467">
        <v>200000</v>
      </c>
      <c r="K13" s="467">
        <v>0.2</v>
      </c>
      <c r="L13" s="467">
        <f t="shared" si="1"/>
        <v>1449488.9424</v>
      </c>
      <c r="M13" s="467">
        <f t="shared" si="2"/>
        <v>1649488.9424</v>
      </c>
      <c r="N13" s="467">
        <f t="shared" si="3"/>
        <v>1658794.8944</v>
      </c>
      <c r="O13" s="467">
        <f t="shared" si="4"/>
        <v>5597955.7696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575509.384704</v>
      </c>
      <c r="V13" s="467">
        <f t="shared" si="11"/>
        <v>1135509.384704</v>
      </c>
      <c r="W13" s="474">
        <v>12</v>
      </c>
      <c r="X13" s="467">
        <f t="shared" si="12"/>
        <v>94625.7820586666</v>
      </c>
      <c r="Y13" s="467"/>
      <c r="Z13" s="467">
        <f t="shared" si="13"/>
        <v>94625.7820586666</v>
      </c>
      <c r="AA13" s="213">
        <v>94625.7820586667</v>
      </c>
      <c r="AB13" s="213">
        <f t="shared" si="15"/>
        <v>0</v>
      </c>
      <c r="AC13" s="213"/>
      <c r="AD13" s="213"/>
      <c r="AE13" s="213"/>
    </row>
    <row r="14" ht="18" spans="1:31">
      <c r="A14" s="544">
        <v>11</v>
      </c>
      <c r="B14" s="11" t="s">
        <v>40</v>
      </c>
      <c r="C14" s="465">
        <v>343333.03525</v>
      </c>
      <c r="D14" s="466">
        <v>12</v>
      </c>
      <c r="E14" s="467">
        <f t="shared" si="14"/>
        <v>4119996.423</v>
      </c>
      <c r="F14" s="467"/>
      <c r="G14" s="467"/>
      <c r="H14" s="467"/>
      <c r="I14" s="467">
        <f t="shared" si="0"/>
        <v>4119996.423</v>
      </c>
      <c r="J14" s="467">
        <v>200000</v>
      </c>
      <c r="K14" s="467">
        <v>0.2</v>
      </c>
      <c r="L14" s="467">
        <f t="shared" si="1"/>
        <v>823999.2846</v>
      </c>
      <c r="M14" s="467">
        <f t="shared" si="2"/>
        <v>1023999.2846</v>
      </c>
      <c r="N14" s="467">
        <f t="shared" si="3"/>
        <v>1023999.2846</v>
      </c>
      <c r="O14" s="467">
        <f t="shared" si="4"/>
        <v>3095997.1384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314159.399064</v>
      </c>
      <c r="U14" s="467"/>
      <c r="V14" s="467">
        <f t="shared" si="11"/>
        <v>538159.399064</v>
      </c>
      <c r="W14" s="474">
        <v>12</v>
      </c>
      <c r="X14" s="467">
        <f t="shared" si="12"/>
        <v>44846.6165886667</v>
      </c>
      <c r="Y14" s="467"/>
      <c r="Z14" s="467">
        <f t="shared" si="13"/>
        <v>44846.6165886667</v>
      </c>
      <c r="AA14" s="213">
        <v>44846.6165886667</v>
      </c>
      <c r="AB14" s="213">
        <f t="shared" si="15"/>
        <v>0</v>
      </c>
      <c r="AC14" s="213"/>
      <c r="AD14" s="213"/>
      <c r="AE14" s="213"/>
    </row>
    <row r="15" ht="18" spans="1:31">
      <c r="A15" s="544">
        <v>12</v>
      </c>
      <c r="B15" s="14" t="s">
        <v>43</v>
      </c>
      <c r="C15" s="465">
        <v>463333.03525</v>
      </c>
      <c r="D15" s="466">
        <v>12</v>
      </c>
      <c r="E15" s="467">
        <f t="shared" si="14"/>
        <v>5559996.423</v>
      </c>
      <c r="F15" s="467"/>
      <c r="G15" s="467"/>
      <c r="H15" s="467"/>
      <c r="I15" s="467">
        <f t="shared" si="0"/>
        <v>5559996.423</v>
      </c>
      <c r="J15" s="467">
        <v>200000</v>
      </c>
      <c r="K15" s="467">
        <v>0.2</v>
      </c>
      <c r="L15" s="467">
        <f t="shared" si="1"/>
        <v>1111999.2846</v>
      </c>
      <c r="M15" s="467">
        <f t="shared" si="2"/>
        <v>1311999.2846</v>
      </c>
      <c r="N15" s="467">
        <f t="shared" si="3"/>
        <v>1311999.2846</v>
      </c>
      <c r="O15" s="467">
        <f t="shared" si="4"/>
        <v>4247997.1384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251519.313216</v>
      </c>
      <c r="V15" s="467">
        <f t="shared" si="11"/>
        <v>811519.313216</v>
      </c>
      <c r="W15" s="474">
        <v>12</v>
      </c>
      <c r="X15" s="467">
        <f t="shared" si="12"/>
        <v>67626.6094346667</v>
      </c>
      <c r="Y15" s="467"/>
      <c r="Z15" s="552">
        <f t="shared" si="13"/>
        <v>67626.6094346667</v>
      </c>
      <c r="AA15" s="553">
        <v>46666.6666666667</v>
      </c>
      <c r="AB15" s="553">
        <f t="shared" si="15"/>
        <v>20959.942768</v>
      </c>
      <c r="AC15" s="213"/>
      <c r="AD15" s="213"/>
      <c r="AE15" s="213"/>
    </row>
    <row r="16" ht="18" spans="1:31">
      <c r="A16" s="544">
        <v>13</v>
      </c>
      <c r="B16" s="11" t="s">
        <v>45</v>
      </c>
      <c r="C16" s="465">
        <v>547211.3675</v>
      </c>
      <c r="D16" s="466">
        <v>12</v>
      </c>
      <c r="E16" s="467">
        <f t="shared" si="14"/>
        <v>6566536.41</v>
      </c>
      <c r="F16" s="467"/>
      <c r="G16" s="467"/>
      <c r="H16" s="467"/>
      <c r="I16" s="467">
        <f t="shared" si="0"/>
        <v>6566536.41</v>
      </c>
      <c r="J16" s="467">
        <v>200000</v>
      </c>
      <c r="K16" s="467">
        <v>0.2</v>
      </c>
      <c r="L16" s="467">
        <f t="shared" si="1"/>
        <v>1313307.282</v>
      </c>
      <c r="M16" s="467">
        <f t="shared" si="2"/>
        <v>1513307.282</v>
      </c>
      <c r="N16" s="467">
        <f t="shared" si="3"/>
        <v>1513307.282</v>
      </c>
      <c r="O16" s="467">
        <f t="shared" si="4"/>
        <v>5053229.128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444774.99072</v>
      </c>
      <c r="V16" s="467">
        <f t="shared" si="11"/>
        <v>1004774.99072</v>
      </c>
      <c r="W16" s="474">
        <v>12</v>
      </c>
      <c r="X16" s="467">
        <f t="shared" si="12"/>
        <v>83731.2492266667</v>
      </c>
      <c r="Y16" s="467"/>
      <c r="Z16" s="552">
        <f t="shared" si="13"/>
        <v>83731.2492266667</v>
      </c>
      <c r="AA16" s="553">
        <v>46666.6666666667</v>
      </c>
      <c r="AB16" s="553">
        <f t="shared" si="15"/>
        <v>37064.58256</v>
      </c>
      <c r="AC16" s="213"/>
      <c r="AD16" s="213"/>
      <c r="AE16" s="213"/>
    </row>
    <row r="17" ht="18" spans="1:31">
      <c r="A17" s="544">
        <v>14</v>
      </c>
      <c r="B17" s="11" t="s">
        <v>48</v>
      </c>
      <c r="C17" s="465">
        <v>326663.0775</v>
      </c>
      <c r="D17" s="466">
        <v>12</v>
      </c>
      <c r="E17" s="467">
        <f t="shared" si="14"/>
        <v>3919956.93</v>
      </c>
      <c r="F17" s="467"/>
      <c r="G17" s="467"/>
      <c r="H17" s="467"/>
      <c r="I17" s="467">
        <f t="shared" si="0"/>
        <v>3919956.93</v>
      </c>
      <c r="J17" s="467">
        <v>200000</v>
      </c>
      <c r="K17" s="467">
        <v>0.2</v>
      </c>
      <c r="L17" s="467">
        <f t="shared" si="1"/>
        <v>783991.386</v>
      </c>
      <c r="M17" s="467">
        <f t="shared" si="2"/>
        <v>983991.386</v>
      </c>
      <c r="N17" s="467">
        <f t="shared" si="3"/>
        <v>983991.386</v>
      </c>
      <c r="O17" s="467">
        <f t="shared" si="4"/>
        <v>2935965.544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280552.76424</v>
      </c>
      <c r="U17" s="467"/>
      <c r="V17" s="467">
        <f t="shared" si="11"/>
        <v>504552.76424</v>
      </c>
      <c r="W17" s="474">
        <v>12</v>
      </c>
      <c r="X17" s="467">
        <f t="shared" si="12"/>
        <v>42046.0636866667</v>
      </c>
      <c r="Y17" s="467"/>
      <c r="Z17" s="467">
        <f t="shared" si="13"/>
        <v>42046.0636866667</v>
      </c>
      <c r="AA17" s="213">
        <v>42046.0636866667</v>
      </c>
      <c r="AB17" s="213">
        <f t="shared" si="15"/>
        <v>0</v>
      </c>
      <c r="AC17" s="213"/>
      <c r="AD17" s="213"/>
      <c r="AE17" s="213"/>
    </row>
    <row r="18" ht="18" spans="1:31">
      <c r="A18" s="544">
        <v>15</v>
      </c>
      <c r="B18" s="11" t="s">
        <v>50</v>
      </c>
      <c r="C18" s="465">
        <v>369177.65375</v>
      </c>
      <c r="D18" s="466">
        <v>12</v>
      </c>
      <c r="E18" s="467">
        <f t="shared" si="14"/>
        <v>4430131.845</v>
      </c>
      <c r="F18" s="467"/>
      <c r="G18" s="467"/>
      <c r="H18" s="467"/>
      <c r="I18" s="467">
        <f t="shared" si="0"/>
        <v>4430131.845</v>
      </c>
      <c r="J18" s="467">
        <v>200000</v>
      </c>
      <c r="K18" s="467">
        <v>0.2</v>
      </c>
      <c r="L18" s="467">
        <f t="shared" si="1"/>
        <v>886026.369</v>
      </c>
      <c r="M18" s="467">
        <f t="shared" si="2"/>
        <v>1086026.369</v>
      </c>
      <c r="N18" s="467">
        <f t="shared" si="3"/>
        <v>1086026.369</v>
      </c>
      <c r="O18" s="467">
        <f t="shared" si="4"/>
        <v>3344105.476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34585.3142399999</v>
      </c>
      <c r="V18" s="467">
        <f t="shared" si="11"/>
        <v>594585.31424</v>
      </c>
      <c r="W18" s="474">
        <v>12</v>
      </c>
      <c r="X18" s="467">
        <f t="shared" si="12"/>
        <v>49548.7761866667</v>
      </c>
      <c r="Y18" s="467"/>
      <c r="Z18" s="552">
        <f t="shared" si="13"/>
        <v>49548.7761866667</v>
      </c>
      <c r="AA18" s="553">
        <v>46666.6666666667</v>
      </c>
      <c r="AB18" s="553">
        <f t="shared" si="15"/>
        <v>2882.10951999996</v>
      </c>
      <c r="AC18" s="213"/>
      <c r="AD18" s="213"/>
      <c r="AE18" s="213"/>
    </row>
    <row r="19" ht="18" spans="1:31">
      <c r="A19" s="544">
        <v>16</v>
      </c>
      <c r="B19" s="18" t="s">
        <v>53</v>
      </c>
      <c r="C19" s="465">
        <v>462001.0605</v>
      </c>
      <c r="D19" s="466">
        <v>12</v>
      </c>
      <c r="E19" s="467">
        <f t="shared" si="14"/>
        <v>5544012.726</v>
      </c>
      <c r="F19" s="467"/>
      <c r="G19" s="467"/>
      <c r="H19" s="467"/>
      <c r="I19" s="467">
        <f t="shared" si="0"/>
        <v>5544012.726</v>
      </c>
      <c r="J19" s="467">
        <v>200000</v>
      </c>
      <c r="K19" s="467">
        <v>0.2</v>
      </c>
      <c r="L19" s="467">
        <f t="shared" si="1"/>
        <v>1108802.5452</v>
      </c>
      <c r="M19" s="467">
        <f t="shared" si="2"/>
        <v>1308802.5452</v>
      </c>
      <c r="N19" s="467">
        <f t="shared" si="3"/>
        <v>1308802.5452</v>
      </c>
      <c r="O19" s="467">
        <f t="shared" si="4"/>
        <v>4235210.1808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248450.443392</v>
      </c>
      <c r="V19" s="467">
        <f t="shared" si="11"/>
        <v>808450.443392</v>
      </c>
      <c r="W19" s="474">
        <v>12</v>
      </c>
      <c r="X19" s="467">
        <f t="shared" si="12"/>
        <v>67370.8702826667</v>
      </c>
      <c r="Y19" s="467"/>
      <c r="Z19" s="552">
        <f t="shared" si="13"/>
        <v>67370.8702826667</v>
      </c>
      <c r="AA19" s="553">
        <v>46666.6666666667</v>
      </c>
      <c r="AB19" s="553">
        <f t="shared" si="15"/>
        <v>20704.203616</v>
      </c>
      <c r="AC19" s="213"/>
      <c r="AD19" s="213"/>
      <c r="AE19" s="213"/>
    </row>
    <row r="20" ht="18" spans="1:31">
      <c r="A20" s="544">
        <v>17</v>
      </c>
      <c r="B20" s="11" t="s">
        <v>60</v>
      </c>
      <c r="C20" s="465">
        <v>384536.9985</v>
      </c>
      <c r="D20" s="466">
        <v>12</v>
      </c>
      <c r="E20" s="467">
        <f t="shared" si="14"/>
        <v>4614443.982</v>
      </c>
      <c r="F20" s="467"/>
      <c r="G20" s="467"/>
      <c r="H20" s="467"/>
      <c r="I20" s="467">
        <f t="shared" si="0"/>
        <v>4614443.982</v>
      </c>
      <c r="J20" s="467">
        <v>200000</v>
      </c>
      <c r="K20" s="467">
        <v>0.2</v>
      </c>
      <c r="L20" s="467">
        <f t="shared" si="1"/>
        <v>922888.7964</v>
      </c>
      <c r="M20" s="467">
        <f t="shared" si="2"/>
        <v>1122888.7964</v>
      </c>
      <c r="N20" s="467">
        <f t="shared" si="3"/>
        <v>1122888.7964</v>
      </c>
      <c r="O20" s="467">
        <f t="shared" si="4"/>
        <v>3491555.1856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69973.244544</v>
      </c>
      <c r="V20" s="467">
        <f t="shared" si="11"/>
        <v>629973.244544</v>
      </c>
      <c r="W20" s="474">
        <v>12</v>
      </c>
      <c r="X20" s="467">
        <f t="shared" si="12"/>
        <v>52497.7703786667</v>
      </c>
      <c r="Y20" s="467"/>
      <c r="Z20" s="467">
        <f t="shared" si="13"/>
        <v>52497.7703786667</v>
      </c>
      <c r="AA20" s="213">
        <v>52497.7703786666</v>
      </c>
      <c r="AB20" s="213">
        <f t="shared" si="15"/>
        <v>6.54836185276508e-11</v>
      </c>
      <c r="AC20" s="213"/>
      <c r="AD20" s="213"/>
      <c r="AE20" s="213"/>
    </row>
    <row r="21" ht="18" spans="1:31">
      <c r="A21" s="544">
        <v>18</v>
      </c>
      <c r="B21" s="14" t="s">
        <v>63</v>
      </c>
      <c r="C21" s="465">
        <v>400372.075</v>
      </c>
      <c r="D21" s="466">
        <v>12</v>
      </c>
      <c r="E21" s="467">
        <f t="shared" si="14"/>
        <v>4804464.9</v>
      </c>
      <c r="F21" s="467"/>
      <c r="G21" s="467"/>
      <c r="H21" s="467"/>
      <c r="I21" s="467">
        <f t="shared" si="0"/>
        <v>4804464.9</v>
      </c>
      <c r="J21" s="467">
        <v>200000</v>
      </c>
      <c r="K21" s="467">
        <v>0.2</v>
      </c>
      <c r="L21" s="467">
        <f t="shared" si="1"/>
        <v>960892.98</v>
      </c>
      <c r="M21" s="467">
        <f t="shared" si="2"/>
        <v>1160892.98</v>
      </c>
      <c r="N21" s="467">
        <f t="shared" si="3"/>
        <v>1160892.98</v>
      </c>
      <c r="O21" s="467">
        <f t="shared" si="4"/>
        <v>3643571.92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106457.2608</v>
      </c>
      <c r="V21" s="467">
        <f t="shared" si="11"/>
        <v>666457.2608</v>
      </c>
      <c r="W21" s="474">
        <v>12</v>
      </c>
      <c r="X21" s="467">
        <f t="shared" si="12"/>
        <v>55538.1050666667</v>
      </c>
      <c r="Y21" s="467"/>
      <c r="Z21" s="552">
        <f t="shared" si="13"/>
        <v>55538.1050666667</v>
      </c>
      <c r="AA21" s="553">
        <v>46666.6666666667</v>
      </c>
      <c r="AB21" s="553">
        <f t="shared" si="15"/>
        <v>8871.43839999997</v>
      </c>
      <c r="AC21" s="213"/>
      <c r="AD21" s="213"/>
      <c r="AE21" s="213"/>
    </row>
    <row r="22" ht="18" spans="1:31">
      <c r="A22" s="544">
        <v>19</v>
      </c>
      <c r="B22" s="11" t="s">
        <v>66</v>
      </c>
      <c r="C22" s="465">
        <f>1015372.075-700000</f>
        <v>315372.075</v>
      </c>
      <c r="D22" s="466">
        <v>12</v>
      </c>
      <c r="E22" s="467">
        <f t="shared" si="14"/>
        <v>3784464.9</v>
      </c>
      <c r="F22" s="467"/>
      <c r="G22" s="467"/>
      <c r="H22" s="467"/>
      <c r="I22" s="467">
        <f t="shared" si="0"/>
        <v>3784464.9</v>
      </c>
      <c r="J22" s="467">
        <v>200000</v>
      </c>
      <c r="K22" s="467">
        <v>0.2</v>
      </c>
      <c r="L22" s="467">
        <f t="shared" si="1"/>
        <v>756892.98</v>
      </c>
      <c r="M22" s="467">
        <f t="shared" si="2"/>
        <v>956892.98</v>
      </c>
      <c r="N22" s="467">
        <f t="shared" si="3"/>
        <v>956892.98</v>
      </c>
      <c r="O22" s="467">
        <f t="shared" si="4"/>
        <v>2827571.92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257790.1032</v>
      </c>
      <c r="U22" s="467"/>
      <c r="V22" s="467">
        <f t="shared" si="11"/>
        <v>481790.1032</v>
      </c>
      <c r="W22" s="474">
        <v>12</v>
      </c>
      <c r="X22" s="467">
        <f t="shared" si="12"/>
        <v>40149.1752666667</v>
      </c>
      <c r="Y22" s="467"/>
      <c r="Z22" s="554">
        <f t="shared" si="13"/>
        <v>40149.1752666667</v>
      </c>
      <c r="AA22" s="555">
        <v>46666.6666666667</v>
      </c>
      <c r="AB22" s="555">
        <f t="shared" si="15"/>
        <v>-6517.49140000004</v>
      </c>
      <c r="AC22" s="213" t="s">
        <v>630</v>
      </c>
      <c r="AD22" s="213"/>
      <c r="AE22" s="213"/>
    </row>
    <row r="23" ht="18" spans="1:31">
      <c r="A23" s="544">
        <v>20</v>
      </c>
      <c r="B23" s="14" t="s">
        <v>68</v>
      </c>
      <c r="C23" s="465">
        <v>328602.07775</v>
      </c>
      <c r="D23" s="466">
        <v>12</v>
      </c>
      <c r="E23" s="467">
        <f t="shared" si="14"/>
        <v>3943224.933</v>
      </c>
      <c r="F23" s="467"/>
      <c r="G23" s="467"/>
      <c r="H23" s="467"/>
      <c r="I23" s="467">
        <f t="shared" si="0"/>
        <v>3943224.933</v>
      </c>
      <c r="J23" s="467">
        <v>200000</v>
      </c>
      <c r="K23" s="467">
        <v>0.2</v>
      </c>
      <c r="L23" s="467">
        <f t="shared" si="1"/>
        <v>788644.9866</v>
      </c>
      <c r="M23" s="467">
        <f t="shared" si="2"/>
        <v>988644.9866</v>
      </c>
      <c r="N23" s="467">
        <f t="shared" si="3"/>
        <v>988644.9866</v>
      </c>
      <c r="O23" s="467">
        <f t="shared" si="4"/>
        <v>2954579.9464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284461.788744</v>
      </c>
      <c r="U23" s="467"/>
      <c r="V23" s="467">
        <f t="shared" si="11"/>
        <v>508461.788744</v>
      </c>
      <c r="W23" s="474">
        <v>12</v>
      </c>
      <c r="X23" s="467">
        <f t="shared" si="12"/>
        <v>42371.8157286667</v>
      </c>
      <c r="Y23" s="467"/>
      <c r="Z23" s="467">
        <f t="shared" si="13"/>
        <v>42371.8157286667</v>
      </c>
      <c r="AA23" s="213">
        <v>42371.8157286667</v>
      </c>
      <c r="AB23" s="213">
        <f t="shared" si="15"/>
        <v>0</v>
      </c>
      <c r="AC23" s="213"/>
      <c r="AD23" s="213"/>
      <c r="AE23" s="213"/>
    </row>
    <row r="24" s="537" customFormat="1" ht="18" spans="1:31">
      <c r="A24" s="548">
        <v>21</v>
      </c>
      <c r="B24" s="4" t="s">
        <v>73</v>
      </c>
      <c r="C24" s="465">
        <v>213508.01</v>
      </c>
      <c r="D24" s="466">
        <v>12</v>
      </c>
      <c r="E24" s="467">
        <f t="shared" si="14"/>
        <v>2562096.12</v>
      </c>
      <c r="F24" s="467"/>
      <c r="G24" s="467"/>
      <c r="H24" s="467"/>
      <c r="I24" s="467">
        <f t="shared" si="0"/>
        <v>2562096.12</v>
      </c>
      <c r="J24" s="467">
        <v>200000</v>
      </c>
      <c r="K24" s="467">
        <v>0.2</v>
      </c>
      <c r="L24" s="467">
        <f t="shared" si="1"/>
        <v>512419.224</v>
      </c>
      <c r="M24" s="467">
        <f t="shared" si="2"/>
        <v>712419.224</v>
      </c>
      <c r="N24" s="467">
        <f t="shared" si="3"/>
        <v>712419.224</v>
      </c>
      <c r="O24" s="467">
        <f t="shared" si="4"/>
        <v>1849676.896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52432.14816</v>
      </c>
      <c r="U24" s="467"/>
      <c r="V24" s="467">
        <f t="shared" si="11"/>
        <v>276432.14816</v>
      </c>
      <c r="W24" s="474">
        <v>12</v>
      </c>
      <c r="X24" s="467">
        <f t="shared" si="12"/>
        <v>23036.0123466667</v>
      </c>
      <c r="Y24" s="467"/>
      <c r="Z24" s="467">
        <f t="shared" si="13"/>
        <v>23036.0123466667</v>
      </c>
      <c r="AA24" s="556">
        <v>23036.0123466667</v>
      </c>
      <c r="AB24" s="213">
        <f t="shared" si="15"/>
        <v>-2.91038304567337e-11</v>
      </c>
      <c r="AC24" s="556"/>
      <c r="AD24" s="556"/>
      <c r="AE24" s="556"/>
    </row>
    <row r="25" ht="18" spans="1:31">
      <c r="A25" s="544">
        <v>22</v>
      </c>
      <c r="B25" s="18" t="s">
        <v>76</v>
      </c>
      <c r="C25" s="465">
        <v>213508.01</v>
      </c>
      <c r="D25" s="466">
        <v>12</v>
      </c>
      <c r="E25" s="467">
        <f t="shared" si="14"/>
        <v>2562096.12</v>
      </c>
      <c r="F25" s="467"/>
      <c r="G25" s="467"/>
      <c r="H25" s="467"/>
      <c r="I25" s="467">
        <f t="shared" si="0"/>
        <v>2562096.12</v>
      </c>
      <c r="J25" s="467">
        <v>200000</v>
      </c>
      <c r="K25" s="467">
        <v>0.2</v>
      </c>
      <c r="L25" s="467">
        <f t="shared" si="1"/>
        <v>512419.224</v>
      </c>
      <c r="M25" s="467">
        <f t="shared" si="2"/>
        <v>712419.224</v>
      </c>
      <c r="N25" s="467">
        <f t="shared" si="3"/>
        <v>712419.224</v>
      </c>
      <c r="O25" s="467">
        <f t="shared" si="4"/>
        <v>1849676.896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52432.14816</v>
      </c>
      <c r="U25" s="467"/>
      <c r="V25" s="467">
        <f t="shared" si="11"/>
        <v>276432.14816</v>
      </c>
      <c r="W25" s="474">
        <v>12</v>
      </c>
      <c r="X25" s="467">
        <f t="shared" si="12"/>
        <v>23036.0123466667</v>
      </c>
      <c r="Y25" s="467"/>
      <c r="Z25" s="467">
        <f t="shared" si="13"/>
        <v>23036.0123466667</v>
      </c>
      <c r="AA25" s="213">
        <v>23036.0123466667</v>
      </c>
      <c r="AB25" s="213">
        <f t="shared" si="15"/>
        <v>-2.91038304567337e-11</v>
      </c>
      <c r="AC25" s="213"/>
      <c r="AD25" s="213"/>
      <c r="AE25" s="213"/>
    </row>
    <row r="26" ht="18" spans="1:31">
      <c r="A26" s="544">
        <v>23</v>
      </c>
      <c r="B26" s="11" t="s">
        <v>77</v>
      </c>
      <c r="C26" s="465">
        <v>253508.01</v>
      </c>
      <c r="D26" s="466">
        <v>12</v>
      </c>
      <c r="E26" s="467">
        <f t="shared" si="14"/>
        <v>3042096.12</v>
      </c>
      <c r="F26" s="467"/>
      <c r="G26" s="467"/>
      <c r="H26" s="467"/>
      <c r="I26" s="467">
        <f t="shared" si="0"/>
        <v>3042096.12</v>
      </c>
      <c r="J26" s="467">
        <v>200000</v>
      </c>
      <c r="K26" s="467">
        <v>0.2</v>
      </c>
      <c r="L26" s="467">
        <f t="shared" si="1"/>
        <v>608419.224</v>
      </c>
      <c r="M26" s="467">
        <f t="shared" si="2"/>
        <v>808419.224</v>
      </c>
      <c r="N26" s="467">
        <f t="shared" si="3"/>
        <v>808419.224</v>
      </c>
      <c r="O26" s="467">
        <f t="shared" si="4"/>
        <v>2233676.896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133072.14816</v>
      </c>
      <c r="U26" s="467"/>
      <c r="V26" s="467">
        <f t="shared" si="11"/>
        <v>357072.14816</v>
      </c>
      <c r="W26" s="474">
        <v>12</v>
      </c>
      <c r="X26" s="467">
        <f t="shared" si="12"/>
        <v>29756.0123466667</v>
      </c>
      <c r="Y26" s="467"/>
      <c r="Z26" s="467">
        <f t="shared" si="13"/>
        <v>29756.0123466667</v>
      </c>
      <c r="AA26" s="213">
        <v>29756.0123466667</v>
      </c>
      <c r="AB26" s="213">
        <f t="shared" si="15"/>
        <v>-2.91038304567337e-11</v>
      </c>
      <c r="AC26" s="213"/>
      <c r="AD26" s="213"/>
      <c r="AE26" s="213"/>
    </row>
    <row r="27" ht="18" spans="1:31">
      <c r="A27" s="544">
        <v>24</v>
      </c>
      <c r="B27" s="18" t="s">
        <v>78</v>
      </c>
      <c r="C27" s="465">
        <v>209356.04725</v>
      </c>
      <c r="D27" s="466">
        <v>12</v>
      </c>
      <c r="E27" s="467">
        <f t="shared" si="14"/>
        <v>2512272.567</v>
      </c>
      <c r="F27" s="467"/>
      <c r="G27" s="467"/>
      <c r="H27" s="467"/>
      <c r="I27" s="467">
        <f t="shared" ref="I27" si="16">E27-F27-G27-H27</f>
        <v>2512272.567</v>
      </c>
      <c r="J27" s="467">
        <v>200000</v>
      </c>
      <c r="K27" s="467">
        <v>0.2</v>
      </c>
      <c r="L27" s="467">
        <f t="shared" ref="L27" si="17">I27*K27</f>
        <v>502454.5134</v>
      </c>
      <c r="M27" s="467">
        <f t="shared" ref="M27" si="18">J27+L27</f>
        <v>702454.5134</v>
      </c>
      <c r="N27" s="467">
        <f t="shared" ref="N27" si="19">F27+G27+H27+M27</f>
        <v>702454.5134</v>
      </c>
      <c r="O27" s="467">
        <f t="shared" ref="O27" si="20">E27-N27</f>
        <v>1809818.0536</v>
      </c>
      <c r="P27" s="467">
        <f t="shared" ref="P27" si="21">IF(O27&lt;300000,0.07*O27,21000)</f>
        <v>21000</v>
      </c>
      <c r="Q27" s="467">
        <f t="shared" ref="Q27" si="22">IF((O27-300000)&lt;0,0,IF((O27-300000)&lt;300000,0.11*(O27-300000),33000))</f>
        <v>33000</v>
      </c>
      <c r="R27" s="467">
        <f t="shared" ref="R27" si="23">IF((O27-600000)&lt;0,0,IF((O27-600000)&lt;500000,0.15*(O27-600000),75000))</f>
        <v>75000</v>
      </c>
      <c r="S27" s="467">
        <f t="shared" ref="S27" si="24">IF((O27-1100000)&lt;0,0,IF((O27-1100000)&lt;500000,0.19*(O27-1100000),95000))</f>
        <v>95000</v>
      </c>
      <c r="T27" s="467">
        <f t="shared" ref="T27" si="25">IF((O27-1600000)&lt;0,0,IF((O27-1600000)&lt;1600000,0.21*(O27-1600000),336000))</f>
        <v>44061.7912559999</v>
      </c>
      <c r="U27" s="467"/>
      <c r="V27" s="467">
        <f t="shared" ref="V27" si="26">P27+Q27+R27+S27+T27+U27</f>
        <v>268061.791256</v>
      </c>
      <c r="W27" s="474">
        <v>12</v>
      </c>
      <c r="X27" s="467">
        <f t="shared" ref="X27" si="27">V27/W27</f>
        <v>22338.4826046667</v>
      </c>
      <c r="Y27" s="467"/>
      <c r="Z27" s="467">
        <f t="shared" ref="Z27" si="28">X27</f>
        <v>22338.4826046667</v>
      </c>
      <c r="AA27" s="213">
        <v>22338.4826046667</v>
      </c>
      <c r="AB27" s="213">
        <f t="shared" si="15"/>
        <v>-4.00177668780088e-11</v>
      </c>
      <c r="AC27" s="213"/>
      <c r="AD27" s="213"/>
      <c r="AE27" s="213"/>
    </row>
    <row r="28" ht="18" spans="1:31">
      <c r="A28" s="544">
        <v>25</v>
      </c>
      <c r="B28" s="18" t="s">
        <v>81</v>
      </c>
      <c r="C28" s="465">
        <v>205204.0845</v>
      </c>
      <c r="D28" s="466">
        <v>12</v>
      </c>
      <c r="E28" s="467">
        <f t="shared" si="14"/>
        <v>2462449.014</v>
      </c>
      <c r="F28" s="467"/>
      <c r="G28" s="467"/>
      <c r="H28" s="467"/>
      <c r="I28" s="467">
        <f t="shared" si="0"/>
        <v>2462449.014</v>
      </c>
      <c r="J28" s="467">
        <v>200000</v>
      </c>
      <c r="K28" s="467">
        <v>0.2</v>
      </c>
      <c r="L28" s="467">
        <f t="shared" si="1"/>
        <v>492489.8028</v>
      </c>
      <c r="M28" s="467">
        <f t="shared" si="2"/>
        <v>692489.8028</v>
      </c>
      <c r="N28" s="467">
        <f t="shared" si="3"/>
        <v>692489.8028</v>
      </c>
      <c r="O28" s="467">
        <f t="shared" si="4"/>
        <v>1769959.2112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35691.434352</v>
      </c>
      <c r="U28" s="467"/>
      <c r="V28" s="467">
        <f t="shared" si="11"/>
        <v>259691.434352</v>
      </c>
      <c r="W28" s="474">
        <v>12</v>
      </c>
      <c r="X28" s="467">
        <f t="shared" si="12"/>
        <v>21640.9528626667</v>
      </c>
      <c r="Y28" s="467"/>
      <c r="Z28" s="467">
        <f t="shared" si="13"/>
        <v>21640.9528626667</v>
      </c>
      <c r="AA28" s="213">
        <v>21640.9528626667</v>
      </c>
      <c r="AB28" s="213">
        <f t="shared" si="15"/>
        <v>-3.27418092638254e-11</v>
      </c>
      <c r="AC28" s="213"/>
      <c r="AD28" s="213"/>
      <c r="AE28" s="213"/>
    </row>
    <row r="29" s="537" customFormat="1" ht="18" spans="1:31">
      <c r="A29" s="548">
        <v>26</v>
      </c>
      <c r="B29" s="18" t="s">
        <v>84</v>
      </c>
      <c r="C29" s="465">
        <v>205204.0845</v>
      </c>
      <c r="D29" s="466">
        <v>12</v>
      </c>
      <c r="E29" s="467">
        <f t="shared" si="14"/>
        <v>2462449.014</v>
      </c>
      <c r="F29" s="467"/>
      <c r="G29" s="467"/>
      <c r="H29" s="467"/>
      <c r="I29" s="467">
        <f t="shared" si="0"/>
        <v>2462449.014</v>
      </c>
      <c r="J29" s="467">
        <v>200000</v>
      </c>
      <c r="K29" s="467">
        <v>0.2</v>
      </c>
      <c r="L29" s="467">
        <f t="shared" si="1"/>
        <v>492489.8028</v>
      </c>
      <c r="M29" s="467">
        <f t="shared" si="2"/>
        <v>692489.8028</v>
      </c>
      <c r="N29" s="467">
        <f t="shared" si="3"/>
        <v>692489.8028</v>
      </c>
      <c r="O29" s="467">
        <f t="shared" si="4"/>
        <v>1769959.2112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35691.434352</v>
      </c>
      <c r="U29" s="467"/>
      <c r="V29" s="467">
        <f t="shared" si="11"/>
        <v>259691.434352</v>
      </c>
      <c r="W29" s="474">
        <v>12</v>
      </c>
      <c r="X29" s="467">
        <f t="shared" si="12"/>
        <v>21640.9528626667</v>
      </c>
      <c r="Y29" s="467"/>
      <c r="Z29" s="467">
        <f t="shared" si="13"/>
        <v>21640.9528626667</v>
      </c>
      <c r="AA29" s="556">
        <v>21640.9528626667</v>
      </c>
      <c r="AB29" s="213">
        <f t="shared" si="15"/>
        <v>-3.27418092638254e-11</v>
      </c>
      <c r="AC29" s="556"/>
      <c r="AD29" s="556"/>
      <c r="AE29" s="556"/>
    </row>
    <row r="30" s="537" customFormat="1" ht="18" spans="1:31">
      <c r="A30" s="548">
        <v>27</v>
      </c>
      <c r="B30" s="18" t="s">
        <v>85</v>
      </c>
      <c r="C30" s="465">
        <v>209356.04725</v>
      </c>
      <c r="D30" s="466">
        <v>12</v>
      </c>
      <c r="E30" s="467">
        <f t="shared" si="14"/>
        <v>2512272.567</v>
      </c>
      <c r="F30" s="467"/>
      <c r="G30" s="467"/>
      <c r="H30" s="467"/>
      <c r="I30" s="467">
        <f t="shared" si="0"/>
        <v>2512272.567</v>
      </c>
      <c r="J30" s="467">
        <v>200000</v>
      </c>
      <c r="K30" s="467">
        <v>0.2</v>
      </c>
      <c r="L30" s="467">
        <f t="shared" si="1"/>
        <v>502454.5134</v>
      </c>
      <c r="M30" s="467">
        <f t="shared" si="2"/>
        <v>702454.5134</v>
      </c>
      <c r="N30" s="467">
        <f t="shared" si="3"/>
        <v>702454.5134</v>
      </c>
      <c r="O30" s="467">
        <f t="shared" si="4"/>
        <v>1809818.0536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44061.7912559999</v>
      </c>
      <c r="U30" s="467"/>
      <c r="V30" s="467">
        <f t="shared" si="11"/>
        <v>268061.791256</v>
      </c>
      <c r="W30" s="474">
        <v>12</v>
      </c>
      <c r="X30" s="467">
        <f t="shared" si="12"/>
        <v>22338.4826046667</v>
      </c>
      <c r="Y30" s="467"/>
      <c r="Z30" s="467">
        <f t="shared" si="13"/>
        <v>22338.4826046667</v>
      </c>
      <c r="AA30" s="556">
        <v>22338.4826046667</v>
      </c>
      <c r="AB30" s="213">
        <f t="shared" si="15"/>
        <v>-4.00177668780088e-11</v>
      </c>
      <c r="AC30" s="556"/>
      <c r="AD30" s="556"/>
      <c r="AE30" s="556"/>
    </row>
    <row r="31" ht="18" spans="1:31">
      <c r="A31" s="544">
        <v>28</v>
      </c>
      <c r="B31" s="18" t="s">
        <v>88</v>
      </c>
      <c r="C31" s="465">
        <v>180304.068</v>
      </c>
      <c r="D31" s="466">
        <v>12</v>
      </c>
      <c r="E31" s="467">
        <f t="shared" si="14"/>
        <v>2163648.816</v>
      </c>
      <c r="F31" s="467"/>
      <c r="G31" s="467"/>
      <c r="H31" s="467"/>
      <c r="I31" s="467">
        <f t="shared" si="0"/>
        <v>2163648.816</v>
      </c>
      <c r="J31" s="467">
        <v>200000</v>
      </c>
      <c r="K31" s="467">
        <v>0.2</v>
      </c>
      <c r="L31" s="467">
        <f t="shared" si="1"/>
        <v>432729.7632</v>
      </c>
      <c r="M31" s="467">
        <f t="shared" si="2"/>
        <v>632729.7632</v>
      </c>
      <c r="N31" s="467">
        <f t="shared" si="3"/>
        <v>632729.7632</v>
      </c>
      <c r="O31" s="467">
        <f t="shared" si="4"/>
        <v>1530919.0528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81874.620032</v>
      </c>
      <c r="T31" s="467">
        <f t="shared" si="9"/>
        <v>0</v>
      </c>
      <c r="U31" s="467"/>
      <c r="V31" s="467">
        <f t="shared" si="11"/>
        <v>210874.620032</v>
      </c>
      <c r="W31" s="474">
        <v>12</v>
      </c>
      <c r="X31" s="467">
        <f t="shared" si="12"/>
        <v>17572.8850026667</v>
      </c>
      <c r="Y31" s="467"/>
      <c r="Z31" s="467">
        <f t="shared" si="13"/>
        <v>17572.8850026667</v>
      </c>
      <c r="AA31" s="213">
        <v>17572.8850026667</v>
      </c>
      <c r="AB31" s="213">
        <f t="shared" si="15"/>
        <v>-2.91038304567337e-11</v>
      </c>
      <c r="AC31" s="213"/>
      <c r="AD31" s="213"/>
      <c r="AE31" s="213"/>
    </row>
    <row r="32" ht="18" spans="1:31">
      <c r="A32" s="544">
        <v>29</v>
      </c>
      <c r="B32" s="18" t="s">
        <v>90</v>
      </c>
      <c r="C32" s="465">
        <v>173329.0495</v>
      </c>
      <c r="D32" s="466">
        <v>12</v>
      </c>
      <c r="E32" s="467">
        <f t="shared" si="14"/>
        <v>2079948.594</v>
      </c>
      <c r="F32" s="467"/>
      <c r="G32" s="467"/>
      <c r="H32" s="467"/>
      <c r="I32" s="467">
        <f t="shared" si="0"/>
        <v>2079948.594</v>
      </c>
      <c r="J32" s="467">
        <v>200000</v>
      </c>
      <c r="K32" s="467">
        <v>0.2</v>
      </c>
      <c r="L32" s="467">
        <f t="shared" si="1"/>
        <v>415989.7188</v>
      </c>
      <c r="M32" s="467">
        <f t="shared" si="2"/>
        <v>615989.7188</v>
      </c>
      <c r="N32" s="467">
        <f t="shared" si="3"/>
        <v>615989.7188</v>
      </c>
      <c r="O32" s="467">
        <f t="shared" si="4"/>
        <v>1463958.8752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69152.186288</v>
      </c>
      <c r="T32" s="467">
        <f t="shared" si="9"/>
        <v>0</v>
      </c>
      <c r="U32" s="467"/>
      <c r="V32" s="467">
        <f t="shared" si="11"/>
        <v>198152.186288</v>
      </c>
      <c r="W32" s="474">
        <v>12</v>
      </c>
      <c r="X32" s="467">
        <f t="shared" si="12"/>
        <v>16512.6821906667</v>
      </c>
      <c r="Y32" s="467"/>
      <c r="Z32" s="467">
        <f t="shared" si="13"/>
        <v>16512.6821906667</v>
      </c>
      <c r="AA32" s="213">
        <v>16512.6821906667</v>
      </c>
      <c r="AB32" s="213">
        <f t="shared" si="15"/>
        <v>-2.91038304567337e-11</v>
      </c>
      <c r="AC32" s="213"/>
      <c r="AD32" s="213"/>
      <c r="AE32" s="213"/>
    </row>
    <row r="33" ht="17.5" spans="1:31">
      <c r="A33" s="544">
        <v>31</v>
      </c>
      <c r="B33" s="22"/>
      <c r="C33" s="467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67"/>
      <c r="AA33" s="213"/>
      <c r="AB33" s="213">
        <f>SUM(AB6:AB32)</f>
        <v>83964.7854639983</v>
      </c>
      <c r="AC33" s="213"/>
      <c r="AD33" s="213"/>
      <c r="AE33" s="213"/>
    </row>
    <row r="34" ht="17.5" spans="1:31">
      <c r="A34" s="544">
        <v>32</v>
      </c>
      <c r="B34" s="20" t="s">
        <v>97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67"/>
      <c r="AA34" s="213"/>
      <c r="AB34" s="213"/>
      <c r="AC34" s="213"/>
      <c r="AD34" s="213"/>
      <c r="AE34" s="213"/>
    </row>
    <row r="35" ht="18" spans="1:31">
      <c r="A35" s="544"/>
      <c r="B35" s="18" t="s">
        <v>98</v>
      </c>
      <c r="C35" s="471">
        <v>950209.0635</v>
      </c>
      <c r="D35" s="467">
        <v>12</v>
      </c>
      <c r="E35" s="467">
        <f>C35*D35</f>
        <v>11402508.762</v>
      </c>
      <c r="F35" s="467"/>
      <c r="G35" s="467">
        <f>SUM(G5:G34)</f>
        <v>0</v>
      </c>
      <c r="H35" s="467"/>
      <c r="I35" s="467">
        <f>E35-F35-G35-H35</f>
        <v>11402508.762</v>
      </c>
      <c r="J35" s="467">
        <v>200000</v>
      </c>
      <c r="K35" s="467">
        <v>0.2</v>
      </c>
      <c r="L35" s="467">
        <f>I35*K35</f>
        <v>2280501.7524</v>
      </c>
      <c r="M35" s="467">
        <f>J35+L35</f>
        <v>2480501.7524</v>
      </c>
      <c r="N35" s="467">
        <f>F35+G35+H35+M35</f>
        <v>2480501.7524</v>
      </c>
      <c r="O35" s="467">
        <f>E35-N35</f>
        <v>8922007.0096</v>
      </c>
      <c r="P35" s="467">
        <f t="shared" si="5"/>
        <v>21000</v>
      </c>
      <c r="Q35" s="467">
        <f t="shared" ref="Q35:Q37" si="29">IF((O35-300000)&lt;0,0,IF((O35-300000)&lt;300000,0.11*(O35-300000),33000))</f>
        <v>33000</v>
      </c>
      <c r="R35" s="467">
        <f t="shared" ref="R35:R37" si="30">IF((O35-600000)&lt;0,0,IF((O35-600000)&lt;500000,0.15*(O35-600000),75000))</f>
        <v>75000</v>
      </c>
      <c r="S35" s="467">
        <f t="shared" ref="S35:S37" si="31">IF((O35-1100000)&lt;0,0,IF((O35-1100000)&lt;500000,0.19*(O35-1100000),95000))</f>
        <v>95000</v>
      </c>
      <c r="T35" s="467">
        <f t="shared" ref="T35:T37" si="32">IF((O35-1600000)&lt;0,0,IF((O35-1600000)&lt;1600000,0.21*(O35-1600000),336000))</f>
        <v>336000</v>
      </c>
      <c r="U35" s="467">
        <f t="shared" si="10"/>
        <v>1373281.682304</v>
      </c>
      <c r="V35" s="467">
        <f>P35+Q35+R35+S35+T35+U35</f>
        <v>1933281.682304</v>
      </c>
      <c r="W35" s="467">
        <v>12</v>
      </c>
      <c r="X35" s="467">
        <f>V35/W35</f>
        <v>161106.806858667</v>
      </c>
      <c r="Y35" s="467"/>
      <c r="Z35" s="467">
        <f>X35</f>
        <v>161106.806858667</v>
      </c>
      <c r="AA35" s="547">
        <v>161106.806858667</v>
      </c>
      <c r="AB35" s="547">
        <f>Z35-AA35</f>
        <v>-3.20142135024071e-10</v>
      </c>
      <c r="AC35" s="213"/>
      <c r="AD35" s="213"/>
      <c r="AE35" s="213"/>
    </row>
    <row r="36" ht="18" spans="1:31">
      <c r="A36" s="544"/>
      <c r="B36" s="18" t="s">
        <v>101</v>
      </c>
      <c r="C36" s="467">
        <v>176816.1</v>
      </c>
      <c r="D36" s="466">
        <v>12</v>
      </c>
      <c r="E36" s="467">
        <f t="shared" ref="E36:E37" si="33">C36*D36</f>
        <v>2121793.2</v>
      </c>
      <c r="F36" s="467"/>
      <c r="G36" s="467">
        <f>SUM(G6:G35)</f>
        <v>0</v>
      </c>
      <c r="H36" s="467"/>
      <c r="I36" s="467">
        <f>E36-F36-G36-H36</f>
        <v>2121793.2</v>
      </c>
      <c r="J36" s="467">
        <v>200000</v>
      </c>
      <c r="K36" s="467">
        <v>0.2</v>
      </c>
      <c r="L36" s="467">
        <f>I36*K36</f>
        <v>424358.64</v>
      </c>
      <c r="M36" s="467">
        <f>J36+L36</f>
        <v>624358.64</v>
      </c>
      <c r="N36" s="467">
        <f>F36+G36+H36+M36</f>
        <v>624358.64</v>
      </c>
      <c r="O36" s="467">
        <f>E36-N36</f>
        <v>1497434.56</v>
      </c>
      <c r="P36" s="467">
        <f t="shared" si="5"/>
        <v>21000</v>
      </c>
      <c r="Q36" s="467">
        <f t="shared" si="29"/>
        <v>33000</v>
      </c>
      <c r="R36" s="467">
        <f t="shared" si="30"/>
        <v>75000</v>
      </c>
      <c r="S36" s="467">
        <f t="shared" si="31"/>
        <v>75512.5664</v>
      </c>
      <c r="T36" s="467">
        <f t="shared" si="32"/>
        <v>0</v>
      </c>
      <c r="U36" s="467"/>
      <c r="V36" s="467">
        <f>P36+Q36+R36+S36+T36+U36</f>
        <v>204512.5664</v>
      </c>
      <c r="W36" s="467">
        <v>12</v>
      </c>
      <c r="X36" s="467">
        <f>V36/W36</f>
        <v>17042.7138666667</v>
      </c>
      <c r="Y36" s="467"/>
      <c r="Z36" s="467">
        <f>X36</f>
        <v>17042.7138666667</v>
      </c>
      <c r="AA36" s="213">
        <v>17042.7138666667</v>
      </c>
      <c r="AB36" s="547">
        <f t="shared" ref="AB36:AB37" si="34">Z36-AA36</f>
        <v>-3.27418092638254e-11</v>
      </c>
      <c r="AC36" s="213"/>
      <c r="AD36" s="213"/>
      <c r="AE36" s="213"/>
    </row>
    <row r="37" ht="18" spans="1:31">
      <c r="A37" s="544">
        <v>33</v>
      </c>
      <c r="B37" s="11" t="s">
        <v>103</v>
      </c>
      <c r="C37" s="465">
        <v>233169.1175</v>
      </c>
      <c r="D37" s="466">
        <v>12</v>
      </c>
      <c r="E37" s="467">
        <f t="shared" si="33"/>
        <v>2798029.41</v>
      </c>
      <c r="F37" s="467"/>
      <c r="G37" s="467">
        <f>SUM(G7:G36)</f>
        <v>0</v>
      </c>
      <c r="H37" s="467"/>
      <c r="I37" s="467">
        <f>E37-F37-G37-H37</f>
        <v>2798029.41</v>
      </c>
      <c r="J37" s="467">
        <v>200000</v>
      </c>
      <c r="K37" s="467">
        <v>0.2</v>
      </c>
      <c r="L37" s="467">
        <f>I37*K37</f>
        <v>559605.882</v>
      </c>
      <c r="M37" s="467">
        <f>J37+L37</f>
        <v>759605.882</v>
      </c>
      <c r="N37" s="467">
        <f>F37+G37+H37+M37</f>
        <v>759605.882</v>
      </c>
      <c r="O37" s="467">
        <f>E37-N37</f>
        <v>2038423.528</v>
      </c>
      <c r="P37" s="467">
        <f t="shared" si="5"/>
        <v>21000</v>
      </c>
      <c r="Q37" s="467">
        <f t="shared" si="29"/>
        <v>33000</v>
      </c>
      <c r="R37" s="467">
        <f t="shared" si="30"/>
        <v>75000</v>
      </c>
      <c r="S37" s="467">
        <f t="shared" si="31"/>
        <v>95000</v>
      </c>
      <c r="T37" s="467">
        <f t="shared" si="32"/>
        <v>92068.94088</v>
      </c>
      <c r="U37" s="467"/>
      <c r="V37" s="467">
        <f>P37+Q37+R37+S37+T37+U37</f>
        <v>316068.94088</v>
      </c>
      <c r="W37" s="467">
        <v>12</v>
      </c>
      <c r="X37" s="467">
        <f>V37/W37</f>
        <v>26339.0784066667</v>
      </c>
      <c r="Y37" s="467"/>
      <c r="Z37" s="467">
        <f>X37</f>
        <v>26339.0784066667</v>
      </c>
      <c r="AA37" s="213">
        <v>26339.0784066667</v>
      </c>
      <c r="AB37" s="547">
        <f t="shared" si="34"/>
        <v>-3.27418092638254e-11</v>
      </c>
      <c r="AC37" s="213"/>
      <c r="AD37" s="213"/>
      <c r="AE37" s="213"/>
    </row>
    <row r="38" ht="18" spans="1:31">
      <c r="A38" s="544"/>
      <c r="B38" s="14"/>
      <c r="C38" s="467"/>
      <c r="D38" s="466"/>
      <c r="E38" s="467"/>
      <c r="F38" s="470"/>
      <c r="G38" s="470"/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67"/>
      <c r="AA38" s="213"/>
      <c r="AB38" s="213"/>
      <c r="AC38" s="213"/>
      <c r="AD38" s="213"/>
      <c r="AE38" s="213"/>
    </row>
    <row r="39" ht="17.5" spans="1:31">
      <c r="A39" s="544"/>
      <c r="B39" s="23" t="s">
        <v>107</v>
      </c>
      <c r="C39" s="467"/>
      <c r="D39" s="466"/>
      <c r="E39" s="467"/>
      <c r="F39" s="470"/>
      <c r="G39" s="470"/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67"/>
      <c r="AA39" s="213"/>
      <c r="AB39" s="213"/>
      <c r="AC39" s="213"/>
      <c r="AD39" s="213"/>
      <c r="AE39" s="213"/>
    </row>
    <row r="40" ht="36" spans="1:31">
      <c r="A40" s="544">
        <v>35</v>
      </c>
      <c r="B40" s="11" t="s">
        <v>501</v>
      </c>
      <c r="C40" s="465">
        <v>1050209.0635</v>
      </c>
      <c r="D40" s="466">
        <v>12</v>
      </c>
      <c r="E40" s="467">
        <f>C40*D40</f>
        <v>12602508.762</v>
      </c>
      <c r="F40" s="467"/>
      <c r="G40" s="467"/>
      <c r="H40" s="467"/>
      <c r="I40" s="467">
        <f>E40-F40-G40-H40</f>
        <v>12602508.762</v>
      </c>
      <c r="J40" s="467">
        <v>200000</v>
      </c>
      <c r="K40" s="467">
        <v>0.2</v>
      </c>
      <c r="L40" s="467">
        <f>I40*K40</f>
        <v>2520501.7524</v>
      </c>
      <c r="M40" s="467">
        <f>J40+L40</f>
        <v>2720501.7524</v>
      </c>
      <c r="N40" s="467">
        <f>F40+G40+H40+M40</f>
        <v>2720501.7524</v>
      </c>
      <c r="O40" s="467">
        <f>E40-N40</f>
        <v>9882007.0096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1603681.682304</v>
      </c>
      <c r="V40" s="467">
        <f>P40+Q40+R40+S40+T40+U40</f>
        <v>2163681.682304</v>
      </c>
      <c r="W40" s="474">
        <v>12</v>
      </c>
      <c r="X40" s="467">
        <f>V40/W40</f>
        <v>180306.806858667</v>
      </c>
      <c r="Y40" s="467"/>
      <c r="Z40" s="467">
        <f>X40</f>
        <v>180306.806858667</v>
      </c>
      <c r="AA40" s="213">
        <v>180306.806858667</v>
      </c>
      <c r="AB40" s="213">
        <f>Z40-AA40</f>
        <v>-3.78349795937538e-10</v>
      </c>
      <c r="AC40" s="213"/>
      <c r="AD40" s="213"/>
      <c r="AE40" s="213"/>
    </row>
    <row r="41" ht="18" spans="1:31">
      <c r="A41" s="544">
        <v>36</v>
      </c>
      <c r="B41" s="11" t="s">
        <v>491</v>
      </c>
      <c r="C41" s="467">
        <v>527553.5025</v>
      </c>
      <c r="D41" s="466">
        <v>12</v>
      </c>
      <c r="E41" s="467">
        <f t="shared" ref="E41:E50" si="35">C41*D41</f>
        <v>6330642.03</v>
      </c>
      <c r="F41" s="470"/>
      <c r="G41" s="470"/>
      <c r="H41" s="470"/>
      <c r="I41" s="467">
        <f t="shared" si="0"/>
        <v>6330642.03</v>
      </c>
      <c r="J41" s="467">
        <v>200000</v>
      </c>
      <c r="K41" s="467">
        <v>0.2</v>
      </c>
      <c r="L41" s="467">
        <f t="shared" si="1"/>
        <v>1266128.406</v>
      </c>
      <c r="M41" s="467">
        <f t="shared" si="2"/>
        <v>1466128.406</v>
      </c>
      <c r="N41" s="467">
        <f t="shared" si="3"/>
        <v>1466128.406</v>
      </c>
      <c r="O41" s="467">
        <f t="shared" si="4"/>
        <v>4864513.624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399483.26976</v>
      </c>
      <c r="V41" s="467">
        <f t="shared" si="11"/>
        <v>959483.26976</v>
      </c>
      <c r="W41" s="474">
        <v>12</v>
      </c>
      <c r="X41" s="467">
        <f t="shared" si="12"/>
        <v>79956.9391466667</v>
      </c>
      <c r="Y41" s="470"/>
      <c r="Z41" s="467">
        <f t="shared" si="13"/>
        <v>79956.9391466667</v>
      </c>
      <c r="AA41" s="213">
        <v>79956.9391466667</v>
      </c>
      <c r="AB41" s="213">
        <f t="shared" ref="AB41:AB50" si="36">Z41-AA41</f>
        <v>0</v>
      </c>
      <c r="AC41" s="213"/>
      <c r="AD41" s="213"/>
      <c r="AE41" s="213"/>
    </row>
    <row r="42" ht="18" spans="1:31">
      <c r="A42" s="544">
        <v>37</v>
      </c>
      <c r="B42" s="11" t="s">
        <v>108</v>
      </c>
      <c r="C42" s="467">
        <v>617743.99575</v>
      </c>
      <c r="D42" s="466">
        <v>12</v>
      </c>
      <c r="E42" s="467">
        <f t="shared" si="35"/>
        <v>7412927.949</v>
      </c>
      <c r="F42" s="470"/>
      <c r="G42" s="470"/>
      <c r="H42" s="470"/>
      <c r="I42" s="467">
        <f t="shared" si="0"/>
        <v>7412927.949</v>
      </c>
      <c r="J42" s="467">
        <v>200000</v>
      </c>
      <c r="K42" s="467">
        <v>0.2</v>
      </c>
      <c r="L42" s="467">
        <f t="shared" si="1"/>
        <v>1482585.5898</v>
      </c>
      <c r="M42" s="467">
        <f t="shared" si="2"/>
        <v>1682585.5898</v>
      </c>
      <c r="N42" s="467">
        <f t="shared" si="3"/>
        <v>1682585.5898</v>
      </c>
      <c r="O42" s="467">
        <f t="shared" si="4"/>
        <v>5730342.3592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607282.166208</v>
      </c>
      <c r="V42" s="467">
        <f t="shared" si="11"/>
        <v>1167282.166208</v>
      </c>
      <c r="W42" s="474">
        <v>12</v>
      </c>
      <c r="X42" s="467">
        <f t="shared" si="12"/>
        <v>97273.5138506667</v>
      </c>
      <c r="Y42" s="470"/>
      <c r="Z42" s="467">
        <f t="shared" si="13"/>
        <v>97273.5138506667</v>
      </c>
      <c r="AA42" s="213">
        <v>97273.5138506667</v>
      </c>
      <c r="AB42" s="213">
        <f t="shared" si="36"/>
        <v>0</v>
      </c>
      <c r="AC42" s="213"/>
      <c r="AD42" s="213"/>
      <c r="AE42" s="213"/>
    </row>
    <row r="43" ht="18" spans="1:31">
      <c r="A43" s="544">
        <v>38</v>
      </c>
      <c r="B43" s="11" t="s">
        <v>111</v>
      </c>
      <c r="C43" s="467">
        <v>527553.5025</v>
      </c>
      <c r="D43" s="466">
        <v>12</v>
      </c>
      <c r="E43" s="467">
        <f t="shared" si="35"/>
        <v>6330642.03</v>
      </c>
      <c r="F43" s="470"/>
      <c r="G43" s="470"/>
      <c r="H43" s="470"/>
      <c r="I43" s="467">
        <f t="shared" si="0"/>
        <v>6330642.03</v>
      </c>
      <c r="J43" s="467">
        <v>200000</v>
      </c>
      <c r="K43" s="467">
        <v>0.2</v>
      </c>
      <c r="L43" s="467">
        <f t="shared" si="1"/>
        <v>1266128.406</v>
      </c>
      <c r="M43" s="467">
        <f t="shared" si="2"/>
        <v>1466128.406</v>
      </c>
      <c r="N43" s="467">
        <f t="shared" si="3"/>
        <v>1466128.406</v>
      </c>
      <c r="O43" s="467">
        <f t="shared" si="4"/>
        <v>4864513.624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399483.26976</v>
      </c>
      <c r="V43" s="467">
        <f t="shared" si="11"/>
        <v>959483.26976</v>
      </c>
      <c r="W43" s="474">
        <v>12</v>
      </c>
      <c r="X43" s="467">
        <f t="shared" si="12"/>
        <v>79956.9391466667</v>
      </c>
      <c r="Y43" s="470"/>
      <c r="Z43" s="467">
        <f t="shared" si="13"/>
        <v>79956.9391466667</v>
      </c>
      <c r="AA43" s="213">
        <v>79956.9391466667</v>
      </c>
      <c r="AB43" s="213">
        <f t="shared" si="36"/>
        <v>0</v>
      </c>
      <c r="AC43" s="213"/>
      <c r="AD43" s="213"/>
      <c r="AE43" s="213"/>
    </row>
    <row r="44" ht="18" spans="1:31">
      <c r="A44" s="544">
        <v>39</v>
      </c>
      <c r="B44" s="11" t="s">
        <v>113</v>
      </c>
      <c r="C44" s="467">
        <v>527553.5025</v>
      </c>
      <c r="D44" s="466">
        <v>12</v>
      </c>
      <c r="E44" s="467">
        <f t="shared" si="35"/>
        <v>6330642.03</v>
      </c>
      <c r="F44" s="470">
        <f>'[6]JANUARY 2024'!$V$47*12</f>
        <v>10052.25</v>
      </c>
      <c r="G44" s="470"/>
      <c r="H44" s="470"/>
      <c r="I44" s="467">
        <f t="shared" si="0"/>
        <v>6320589.78</v>
      </c>
      <c r="J44" s="467">
        <v>200000</v>
      </c>
      <c r="K44" s="467">
        <v>0.2</v>
      </c>
      <c r="L44" s="467">
        <f t="shared" si="1"/>
        <v>1264117.956</v>
      </c>
      <c r="M44" s="467">
        <f t="shared" si="2"/>
        <v>1464117.956</v>
      </c>
      <c r="N44" s="467">
        <f t="shared" si="3"/>
        <v>1474170.206</v>
      </c>
      <c r="O44" s="467">
        <f t="shared" si="4"/>
        <v>4856471.824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397553.23776</v>
      </c>
      <c r="V44" s="467">
        <f t="shared" si="11"/>
        <v>957553.23776</v>
      </c>
      <c r="W44" s="474">
        <v>12</v>
      </c>
      <c r="X44" s="467">
        <f t="shared" si="12"/>
        <v>79796.1031466666</v>
      </c>
      <c r="Y44" s="470"/>
      <c r="Z44" s="467">
        <f t="shared" si="13"/>
        <v>79796.1031466666</v>
      </c>
      <c r="AA44" s="213">
        <v>79796.1031466666</v>
      </c>
      <c r="AB44" s="213">
        <f t="shared" si="36"/>
        <v>0</v>
      </c>
      <c r="AC44" s="213"/>
      <c r="AD44" s="213"/>
      <c r="AE44" s="213"/>
    </row>
    <row r="45" ht="18" spans="1:31">
      <c r="A45" s="544">
        <v>40</v>
      </c>
      <c r="B45" s="11" t="s">
        <v>114</v>
      </c>
      <c r="C45" s="467">
        <v>504720.047</v>
      </c>
      <c r="D45" s="466">
        <v>12</v>
      </c>
      <c r="E45" s="467">
        <f t="shared" si="35"/>
        <v>6056640.564</v>
      </c>
      <c r="F45" s="467"/>
      <c r="G45" s="470"/>
      <c r="H45" s="470"/>
      <c r="I45" s="467">
        <f t="shared" si="0"/>
        <v>6056640.564</v>
      </c>
      <c r="J45" s="467">
        <v>200000</v>
      </c>
      <c r="K45" s="467">
        <v>0.2</v>
      </c>
      <c r="L45" s="467">
        <f t="shared" si="1"/>
        <v>1211328.1128</v>
      </c>
      <c r="M45" s="467">
        <f t="shared" si="2"/>
        <v>1411328.1128</v>
      </c>
      <c r="N45" s="467">
        <f t="shared" si="3"/>
        <v>1411328.1128</v>
      </c>
      <c r="O45" s="467">
        <f t="shared" si="4"/>
        <v>4645312.4512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346874.988288</v>
      </c>
      <c r="V45" s="467">
        <f t="shared" si="11"/>
        <v>906874.988288</v>
      </c>
      <c r="W45" s="474">
        <v>12</v>
      </c>
      <c r="X45" s="467">
        <f t="shared" si="12"/>
        <v>75572.9156906667</v>
      </c>
      <c r="Y45" s="470"/>
      <c r="Z45" s="467">
        <f t="shared" si="13"/>
        <v>75572.9156906667</v>
      </c>
      <c r="AA45" s="213">
        <v>75572.9156906667</v>
      </c>
      <c r="AB45" s="213">
        <f t="shared" si="36"/>
        <v>0</v>
      </c>
      <c r="AC45" s="213"/>
      <c r="AD45" s="213"/>
      <c r="AE45" s="213"/>
    </row>
    <row r="46" ht="18" spans="1:31">
      <c r="A46" s="544">
        <v>41</v>
      </c>
      <c r="B46" s="14" t="s">
        <v>115</v>
      </c>
      <c r="C46" s="467">
        <v>413333.03525</v>
      </c>
      <c r="D46" s="466">
        <v>12</v>
      </c>
      <c r="E46" s="467">
        <f t="shared" si="35"/>
        <v>4959996.423</v>
      </c>
      <c r="F46" s="467"/>
      <c r="G46" s="470"/>
      <c r="H46" s="470"/>
      <c r="I46" s="467">
        <f t="shared" si="0"/>
        <v>4959996.423</v>
      </c>
      <c r="J46" s="467">
        <v>200000</v>
      </c>
      <c r="K46" s="467">
        <v>0.2</v>
      </c>
      <c r="L46" s="467">
        <f t="shared" si="1"/>
        <v>991999.2846</v>
      </c>
      <c r="M46" s="467">
        <f t="shared" si="2"/>
        <v>1191999.2846</v>
      </c>
      <c r="N46" s="467">
        <f t="shared" si="3"/>
        <v>1191999.2846</v>
      </c>
      <c r="O46" s="467">
        <f t="shared" si="4"/>
        <v>3767997.1384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136319.313216</v>
      </c>
      <c r="V46" s="467">
        <f t="shared" si="11"/>
        <v>696319.313216</v>
      </c>
      <c r="W46" s="474">
        <v>12</v>
      </c>
      <c r="X46" s="467">
        <f t="shared" si="12"/>
        <v>58026.6094346667</v>
      </c>
      <c r="Y46" s="470"/>
      <c r="Z46" s="467">
        <f t="shared" si="13"/>
        <v>58026.6094346667</v>
      </c>
      <c r="AA46" s="213">
        <v>58026.6094346667</v>
      </c>
      <c r="AB46" s="213">
        <f t="shared" si="36"/>
        <v>0</v>
      </c>
      <c r="AC46" s="213"/>
      <c r="AD46" s="213"/>
      <c r="AE46" s="213"/>
    </row>
    <row r="47" ht="18" spans="1:31">
      <c r="A47" s="544">
        <v>42</v>
      </c>
      <c r="B47" s="11" t="s">
        <v>116</v>
      </c>
      <c r="C47" s="467">
        <v>273169.1175</v>
      </c>
      <c r="D47" s="466">
        <v>12</v>
      </c>
      <c r="E47" s="467">
        <f t="shared" si="35"/>
        <v>3278029.41</v>
      </c>
      <c r="F47" s="467"/>
      <c r="G47" s="470"/>
      <c r="H47" s="470"/>
      <c r="I47" s="467">
        <f t="shared" si="0"/>
        <v>3278029.41</v>
      </c>
      <c r="J47" s="467">
        <v>200000</v>
      </c>
      <c r="K47" s="467">
        <v>0.2</v>
      </c>
      <c r="L47" s="467">
        <f t="shared" si="1"/>
        <v>655605.882</v>
      </c>
      <c r="M47" s="467">
        <f t="shared" si="2"/>
        <v>855605.882</v>
      </c>
      <c r="N47" s="467">
        <f t="shared" si="3"/>
        <v>855605.882</v>
      </c>
      <c r="O47" s="467">
        <f t="shared" si="4"/>
        <v>2422423.528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172708.94088</v>
      </c>
      <c r="U47" s="467"/>
      <c r="V47" s="467">
        <f t="shared" si="11"/>
        <v>396708.94088</v>
      </c>
      <c r="W47" s="474">
        <v>12</v>
      </c>
      <c r="X47" s="467">
        <f t="shared" si="12"/>
        <v>33059.0784066667</v>
      </c>
      <c r="Y47" s="470"/>
      <c r="Z47" s="467">
        <f t="shared" si="13"/>
        <v>33059.0784066667</v>
      </c>
      <c r="AA47" s="213">
        <v>33059.0784066667</v>
      </c>
      <c r="AB47" s="213">
        <f t="shared" si="36"/>
        <v>0</v>
      </c>
      <c r="AC47" s="213"/>
      <c r="AD47" s="213"/>
      <c r="AE47" s="213"/>
    </row>
    <row r="48" s="537" customFormat="1" ht="18" spans="1:31">
      <c r="A48" s="548">
        <v>43</v>
      </c>
      <c r="B48" s="11" t="s">
        <v>118</v>
      </c>
      <c r="C48" s="467">
        <v>249356.04725</v>
      </c>
      <c r="D48" s="466">
        <v>12</v>
      </c>
      <c r="E48" s="467">
        <f t="shared" si="35"/>
        <v>2992272.567</v>
      </c>
      <c r="F48" s="467"/>
      <c r="G48" s="470"/>
      <c r="H48" s="470"/>
      <c r="I48" s="467">
        <f t="shared" si="0"/>
        <v>2992272.567</v>
      </c>
      <c r="J48" s="467">
        <v>200000</v>
      </c>
      <c r="K48" s="467">
        <v>0.2</v>
      </c>
      <c r="L48" s="467">
        <f t="shared" si="1"/>
        <v>598454.5134</v>
      </c>
      <c r="M48" s="467">
        <f t="shared" si="2"/>
        <v>798454.5134</v>
      </c>
      <c r="N48" s="467">
        <f t="shared" si="3"/>
        <v>798454.5134</v>
      </c>
      <c r="O48" s="467">
        <f t="shared" si="4"/>
        <v>2193818.0536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124701.791256</v>
      </c>
      <c r="U48" s="467"/>
      <c r="V48" s="467">
        <f t="shared" si="11"/>
        <v>348701.791256</v>
      </c>
      <c r="W48" s="474">
        <v>12</v>
      </c>
      <c r="X48" s="467">
        <f t="shared" si="12"/>
        <v>29058.4826046667</v>
      </c>
      <c r="Y48" s="470"/>
      <c r="Z48" s="467">
        <f t="shared" si="13"/>
        <v>29058.4826046667</v>
      </c>
      <c r="AA48" s="556">
        <v>29058.4826046667</v>
      </c>
      <c r="AB48" s="213">
        <f t="shared" si="36"/>
        <v>-4.00177668780088e-11</v>
      </c>
      <c r="AC48" s="556"/>
      <c r="AD48" s="556"/>
      <c r="AE48" s="556"/>
    </row>
    <row r="49" ht="18" spans="1:31">
      <c r="A49" s="544">
        <v>44</v>
      </c>
      <c r="B49" s="11" t="s">
        <v>580</v>
      </c>
      <c r="C49" s="467">
        <v>249356.04725</v>
      </c>
      <c r="D49" s="466">
        <v>12</v>
      </c>
      <c r="E49" s="467">
        <f t="shared" si="35"/>
        <v>2992272.567</v>
      </c>
      <c r="F49" s="467"/>
      <c r="G49" s="470"/>
      <c r="H49" s="470"/>
      <c r="I49" s="467">
        <f t="shared" si="0"/>
        <v>2992272.567</v>
      </c>
      <c r="J49" s="467">
        <v>200000</v>
      </c>
      <c r="K49" s="467">
        <v>0.2</v>
      </c>
      <c r="L49" s="467">
        <f t="shared" si="1"/>
        <v>598454.5134</v>
      </c>
      <c r="M49" s="467">
        <f t="shared" si="2"/>
        <v>798454.5134</v>
      </c>
      <c r="N49" s="467">
        <f t="shared" si="3"/>
        <v>798454.5134</v>
      </c>
      <c r="O49" s="467">
        <f t="shared" si="4"/>
        <v>2193818.0536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124701.791256</v>
      </c>
      <c r="U49" s="467"/>
      <c r="V49" s="467">
        <f t="shared" si="11"/>
        <v>348701.791256</v>
      </c>
      <c r="W49" s="474">
        <v>12</v>
      </c>
      <c r="X49" s="467">
        <v>28360.9528626667</v>
      </c>
      <c r="Y49" s="470"/>
      <c r="Z49" s="467">
        <f t="shared" si="13"/>
        <v>28360.9528626667</v>
      </c>
      <c r="AA49" s="213">
        <v>28360.9528626667</v>
      </c>
      <c r="AB49" s="213">
        <f t="shared" si="36"/>
        <v>0</v>
      </c>
      <c r="AC49" s="213"/>
      <c r="AD49" s="213"/>
      <c r="AE49" s="213"/>
    </row>
    <row r="50" ht="18" spans="1:31">
      <c r="A50" s="544">
        <v>45</v>
      </c>
      <c r="B50" s="11" t="s">
        <v>119</v>
      </c>
      <c r="C50" s="467">
        <v>249356.04725</v>
      </c>
      <c r="D50" s="466">
        <v>12</v>
      </c>
      <c r="E50" s="467">
        <f t="shared" si="35"/>
        <v>2992272.567</v>
      </c>
      <c r="F50" s="467"/>
      <c r="G50" s="470"/>
      <c r="H50" s="470"/>
      <c r="I50" s="467">
        <f t="shared" si="0"/>
        <v>2992272.567</v>
      </c>
      <c r="J50" s="467">
        <v>200000</v>
      </c>
      <c r="K50" s="467">
        <v>0.2</v>
      </c>
      <c r="L50" s="467">
        <f t="shared" si="1"/>
        <v>598454.5134</v>
      </c>
      <c r="M50" s="467">
        <f t="shared" si="2"/>
        <v>798454.5134</v>
      </c>
      <c r="N50" s="467">
        <f t="shared" si="3"/>
        <v>798454.5134</v>
      </c>
      <c r="O50" s="467">
        <f t="shared" si="4"/>
        <v>2193818.0536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124701.791256</v>
      </c>
      <c r="U50" s="467"/>
      <c r="V50" s="467">
        <f t="shared" si="11"/>
        <v>348701.791256</v>
      </c>
      <c r="W50" s="474">
        <v>12</v>
      </c>
      <c r="X50" s="467">
        <f t="shared" si="12"/>
        <v>29058.4826046667</v>
      </c>
      <c r="Y50" s="470"/>
      <c r="Z50" s="467">
        <f t="shared" si="13"/>
        <v>29058.4826046667</v>
      </c>
      <c r="AA50" s="213">
        <v>29058.4826046667</v>
      </c>
      <c r="AB50" s="213">
        <f t="shared" si="36"/>
        <v>-4.00177668780088e-11</v>
      </c>
      <c r="AC50" s="213"/>
      <c r="AD50" s="213"/>
      <c r="AE50" s="213"/>
    </row>
    <row r="51" ht="17.5" spans="1:31">
      <c r="A51" s="544"/>
      <c r="B51" s="22"/>
      <c r="C51" s="467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67"/>
      <c r="AA51" s="213"/>
      <c r="AB51" s="213"/>
      <c r="AC51" s="213"/>
      <c r="AD51" s="213"/>
      <c r="AE51" s="213"/>
    </row>
    <row r="52" ht="17.5" spans="1:31">
      <c r="A52" s="544"/>
      <c r="B52" s="20" t="s">
        <v>120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67"/>
      <c r="AA52" s="213"/>
      <c r="AB52" s="213"/>
      <c r="AC52" s="213"/>
      <c r="AD52" s="213"/>
      <c r="AE52" s="213"/>
    </row>
    <row r="53" ht="18" spans="1:31">
      <c r="A53" s="544">
        <v>47</v>
      </c>
      <c r="B53" s="11" t="s">
        <v>503</v>
      </c>
      <c r="C53" s="467">
        <v>1050209.0635</v>
      </c>
      <c r="D53" s="466">
        <v>12</v>
      </c>
      <c r="E53" s="467">
        <f>C53*D53</f>
        <v>12602508.762</v>
      </c>
      <c r="F53" s="467"/>
      <c r="G53" s="470"/>
      <c r="H53" s="470"/>
      <c r="I53" s="467">
        <f t="shared" si="0"/>
        <v>12602508.762</v>
      </c>
      <c r="J53" s="467">
        <v>200000</v>
      </c>
      <c r="K53" s="467">
        <v>0.2</v>
      </c>
      <c r="L53" s="467">
        <f t="shared" si="1"/>
        <v>2520501.7524</v>
      </c>
      <c r="M53" s="467">
        <f t="shared" si="2"/>
        <v>2720501.7524</v>
      </c>
      <c r="N53" s="467">
        <f t="shared" si="3"/>
        <v>2720501.7524</v>
      </c>
      <c r="O53" s="467">
        <f t="shared" si="4"/>
        <v>9882007.0096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1603681.682304</v>
      </c>
      <c r="V53" s="467">
        <f t="shared" si="11"/>
        <v>2163681.682304</v>
      </c>
      <c r="W53" s="474">
        <v>12</v>
      </c>
      <c r="X53" s="467">
        <f t="shared" si="12"/>
        <v>180306.806858667</v>
      </c>
      <c r="Y53" s="470"/>
      <c r="Z53" s="467">
        <f t="shared" si="13"/>
        <v>180306.806858667</v>
      </c>
      <c r="AA53" s="213">
        <v>180306.806858667</v>
      </c>
      <c r="AB53" s="213">
        <f>Z53-AA53</f>
        <v>-3.78349795937538e-10</v>
      </c>
      <c r="AC53" s="213"/>
      <c r="AD53" s="213"/>
      <c r="AE53" s="213"/>
    </row>
    <row r="54" ht="18" spans="1:31">
      <c r="A54" s="544">
        <v>48</v>
      </c>
      <c r="B54" s="11" t="s">
        <v>123</v>
      </c>
      <c r="C54" s="467">
        <v>447553.5025</v>
      </c>
      <c r="D54" s="466">
        <v>12</v>
      </c>
      <c r="E54" s="467">
        <f>C54*D54</f>
        <v>5370642.03</v>
      </c>
      <c r="F54" s="467"/>
      <c r="G54" s="470"/>
      <c r="H54" s="470"/>
      <c r="I54" s="467">
        <f t="shared" si="0"/>
        <v>5370642.03</v>
      </c>
      <c r="J54" s="467">
        <v>200000</v>
      </c>
      <c r="K54" s="467">
        <v>0.2</v>
      </c>
      <c r="L54" s="467">
        <f t="shared" si="1"/>
        <v>1074128.406</v>
      </c>
      <c r="M54" s="467">
        <f t="shared" si="2"/>
        <v>1274128.406</v>
      </c>
      <c r="N54" s="467">
        <f t="shared" si="3"/>
        <v>1274128.406</v>
      </c>
      <c r="O54" s="467">
        <f t="shared" si="4"/>
        <v>4096513.624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215163.26976</v>
      </c>
      <c r="V54" s="467">
        <f t="shared" si="11"/>
        <v>775163.26976</v>
      </c>
      <c r="W54" s="474">
        <v>12</v>
      </c>
      <c r="X54" s="467">
        <f t="shared" si="12"/>
        <v>64596.9391466667</v>
      </c>
      <c r="Y54" s="470"/>
      <c r="Z54" s="467">
        <f t="shared" si="13"/>
        <v>64596.9391466667</v>
      </c>
      <c r="AA54" s="213">
        <v>64596.9391466667</v>
      </c>
      <c r="AB54" s="213">
        <f>Z54-AA54</f>
        <v>0</v>
      </c>
      <c r="AC54" s="213"/>
      <c r="AD54" s="213"/>
      <c r="AE54" s="213"/>
    </row>
    <row r="55" ht="17.5" spans="1:31">
      <c r="A55" s="544"/>
      <c r="B55" s="20"/>
      <c r="C55" s="467"/>
      <c r="D55" s="466"/>
      <c r="E55" s="467"/>
      <c r="F55" s="467"/>
      <c r="G55" s="470"/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67"/>
      <c r="AA55" s="213"/>
      <c r="AB55" s="213"/>
      <c r="AC55" s="213"/>
      <c r="AD55" s="213"/>
      <c r="AE55" s="213"/>
    </row>
    <row r="56" ht="35" spans="1:31">
      <c r="A56" s="544">
        <v>49</v>
      </c>
      <c r="B56" s="20" t="s">
        <v>126</v>
      </c>
      <c r="C56" s="467"/>
      <c r="D56" s="466"/>
      <c r="E56" s="467"/>
      <c r="F56" s="467"/>
      <c r="G56" s="470"/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67"/>
      <c r="AA56" s="213"/>
      <c r="AB56" s="213"/>
      <c r="AC56" s="213"/>
      <c r="AD56" s="213"/>
      <c r="AE56" s="213"/>
    </row>
    <row r="57" ht="18" spans="1:31">
      <c r="A57" s="544">
        <v>50</v>
      </c>
      <c r="B57" s="11" t="s">
        <v>127</v>
      </c>
      <c r="C57" s="467">
        <v>1050209.0635</v>
      </c>
      <c r="D57" s="466">
        <v>12</v>
      </c>
      <c r="E57" s="467">
        <f>C57*D57</f>
        <v>12602508.762</v>
      </c>
      <c r="F57" s="467"/>
      <c r="G57" s="470"/>
      <c r="H57" s="470"/>
      <c r="I57" s="467">
        <f t="shared" si="0"/>
        <v>12602508.762</v>
      </c>
      <c r="J57" s="467">
        <v>200000</v>
      </c>
      <c r="K57" s="467">
        <v>0.2</v>
      </c>
      <c r="L57" s="467">
        <f t="shared" si="1"/>
        <v>2520501.7524</v>
      </c>
      <c r="M57" s="467">
        <f t="shared" si="2"/>
        <v>2720501.7524</v>
      </c>
      <c r="N57" s="467">
        <f t="shared" si="3"/>
        <v>2720501.7524</v>
      </c>
      <c r="O57" s="467">
        <f t="shared" si="4"/>
        <v>9882007.0096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1603681.682304</v>
      </c>
      <c r="V57" s="467">
        <f t="shared" si="11"/>
        <v>2163681.682304</v>
      </c>
      <c r="W57" s="474">
        <v>12</v>
      </c>
      <c r="X57" s="467">
        <f t="shared" si="12"/>
        <v>180306.806858667</v>
      </c>
      <c r="Y57" s="470"/>
      <c r="Z57" s="467">
        <f t="shared" si="13"/>
        <v>180306.806858667</v>
      </c>
      <c r="AA57" s="213">
        <v>180306.806858667</v>
      </c>
      <c r="AB57" s="213">
        <f>Z57-AA57</f>
        <v>-3.78349795937538e-10</v>
      </c>
      <c r="AC57" s="213"/>
      <c r="AD57" s="213"/>
      <c r="AE57" s="213"/>
    </row>
    <row r="58" s="537" customFormat="1" ht="15.5" spans="1:31">
      <c r="A58" s="548">
        <v>51</v>
      </c>
      <c r="B58" s="351" t="s">
        <v>129</v>
      </c>
      <c r="C58" s="467">
        <v>516137.05</v>
      </c>
      <c r="D58" s="466">
        <v>12</v>
      </c>
      <c r="E58" s="467">
        <f t="shared" ref="E58:E66" si="37">C58*D58</f>
        <v>6193644.6</v>
      </c>
      <c r="F58" s="467"/>
      <c r="G58" s="470"/>
      <c r="H58" s="470"/>
      <c r="I58" s="467">
        <f t="shared" si="0"/>
        <v>6193644.6</v>
      </c>
      <c r="J58" s="467">
        <v>200000</v>
      </c>
      <c r="K58" s="467">
        <v>0.2</v>
      </c>
      <c r="L58" s="467">
        <f t="shared" si="1"/>
        <v>1238728.92</v>
      </c>
      <c r="M58" s="467">
        <f t="shared" si="2"/>
        <v>1438728.92</v>
      </c>
      <c r="N58" s="467">
        <f t="shared" si="3"/>
        <v>1438728.92</v>
      </c>
      <c r="O58" s="467">
        <f t="shared" si="4"/>
        <v>4754915.68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373179.7632</v>
      </c>
      <c r="V58" s="467">
        <f t="shared" si="11"/>
        <v>933179.7632</v>
      </c>
      <c r="W58" s="474">
        <v>12</v>
      </c>
      <c r="X58" s="467">
        <f t="shared" si="12"/>
        <v>77764.9802666667</v>
      </c>
      <c r="Y58" s="470"/>
      <c r="Z58" s="467">
        <f t="shared" si="13"/>
        <v>77764.9802666667</v>
      </c>
      <c r="AA58" s="556">
        <v>77764.9802666667</v>
      </c>
      <c r="AB58" s="213">
        <f t="shared" ref="AB58:AB66" si="38">Z58-AA58</f>
        <v>0</v>
      </c>
      <c r="AC58" s="556"/>
      <c r="AD58" s="556"/>
      <c r="AE58" s="556"/>
    </row>
    <row r="59" ht="18" spans="1:31">
      <c r="A59" s="544">
        <v>52</v>
      </c>
      <c r="B59" s="11" t="s">
        <v>132</v>
      </c>
      <c r="C59" s="467">
        <v>397211.3675</v>
      </c>
      <c r="D59" s="466">
        <v>12</v>
      </c>
      <c r="E59" s="467">
        <f t="shared" si="37"/>
        <v>4766536.41</v>
      </c>
      <c r="F59" s="467"/>
      <c r="G59" s="470"/>
      <c r="H59" s="470"/>
      <c r="I59" s="467">
        <f t="shared" si="0"/>
        <v>4766536.41</v>
      </c>
      <c r="J59" s="467">
        <v>200000</v>
      </c>
      <c r="K59" s="467">
        <v>0.2</v>
      </c>
      <c r="L59" s="467">
        <f t="shared" si="1"/>
        <v>953307.282</v>
      </c>
      <c r="M59" s="467">
        <f t="shared" si="2"/>
        <v>1153307.282</v>
      </c>
      <c r="N59" s="467">
        <f t="shared" si="3"/>
        <v>1153307.282</v>
      </c>
      <c r="O59" s="467">
        <f t="shared" si="4"/>
        <v>3613229.128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99174.99072</v>
      </c>
      <c r="V59" s="467">
        <f t="shared" si="11"/>
        <v>659174.99072</v>
      </c>
      <c r="W59" s="474">
        <v>12</v>
      </c>
      <c r="X59" s="467">
        <f t="shared" si="12"/>
        <v>54931.2492266667</v>
      </c>
      <c r="Y59" s="470"/>
      <c r="Z59" s="467">
        <f t="shared" si="13"/>
        <v>54931.2492266667</v>
      </c>
      <c r="AA59" s="213">
        <v>54931.2492266667</v>
      </c>
      <c r="AB59" s="213">
        <f t="shared" si="38"/>
        <v>0</v>
      </c>
      <c r="AC59" s="213"/>
      <c r="AD59" s="213"/>
      <c r="AE59" s="213"/>
    </row>
    <row r="60" ht="18" spans="1:31">
      <c r="A60" s="544">
        <v>53</v>
      </c>
      <c r="B60" s="18" t="s">
        <v>486</v>
      </c>
      <c r="C60" s="467">
        <v>369177.65375</v>
      </c>
      <c r="D60" s="466">
        <v>12</v>
      </c>
      <c r="E60" s="467">
        <f t="shared" si="37"/>
        <v>4430131.845</v>
      </c>
      <c r="F60" s="467"/>
      <c r="G60" s="470"/>
      <c r="H60" s="470"/>
      <c r="I60" s="467">
        <f t="shared" si="0"/>
        <v>4430131.845</v>
      </c>
      <c r="J60" s="467">
        <v>200000</v>
      </c>
      <c r="K60" s="467">
        <v>0.2</v>
      </c>
      <c r="L60" s="467">
        <f t="shared" si="1"/>
        <v>886026.369</v>
      </c>
      <c r="M60" s="467">
        <f t="shared" si="2"/>
        <v>1086026.369</v>
      </c>
      <c r="N60" s="467">
        <f t="shared" si="3"/>
        <v>1086026.369</v>
      </c>
      <c r="O60" s="467">
        <f t="shared" si="4"/>
        <v>3344105.476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34585.3142399999</v>
      </c>
      <c r="V60" s="467">
        <f t="shared" si="11"/>
        <v>594585.31424</v>
      </c>
      <c r="W60" s="474">
        <v>12</v>
      </c>
      <c r="X60" s="467">
        <f t="shared" si="12"/>
        <v>49548.7761866667</v>
      </c>
      <c r="Y60" s="470"/>
      <c r="Z60" s="467">
        <f t="shared" si="13"/>
        <v>49548.7761866667</v>
      </c>
      <c r="AA60" s="213">
        <v>49548.7761866667</v>
      </c>
      <c r="AB60" s="213">
        <f t="shared" si="38"/>
        <v>0</v>
      </c>
      <c r="AC60" s="213"/>
      <c r="AD60" s="213"/>
      <c r="AE60" s="213"/>
    </row>
    <row r="61" ht="18" spans="1:31">
      <c r="A61" s="544">
        <v>54</v>
      </c>
      <c r="B61" s="14" t="s">
        <v>519</v>
      </c>
      <c r="C61" s="467">
        <v>421394.00675</v>
      </c>
      <c r="D61" s="466">
        <v>12</v>
      </c>
      <c r="E61" s="467">
        <f t="shared" si="37"/>
        <v>5056728.081</v>
      </c>
      <c r="F61" s="467"/>
      <c r="G61" s="470"/>
      <c r="H61" s="470"/>
      <c r="I61" s="467">
        <f t="shared" si="0"/>
        <v>5056728.081</v>
      </c>
      <c r="J61" s="467">
        <v>200000</v>
      </c>
      <c r="K61" s="467">
        <v>0.2</v>
      </c>
      <c r="L61" s="467">
        <f t="shared" si="1"/>
        <v>1011345.6162</v>
      </c>
      <c r="M61" s="467">
        <f t="shared" si="2"/>
        <v>1211345.6162</v>
      </c>
      <c r="N61" s="467">
        <f t="shared" si="3"/>
        <v>1211345.6162</v>
      </c>
      <c r="O61" s="467">
        <f t="shared" si="4"/>
        <v>3845382.4648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154891.791552</v>
      </c>
      <c r="V61" s="467">
        <f t="shared" si="11"/>
        <v>714891.791552</v>
      </c>
      <c r="W61" s="474">
        <v>12</v>
      </c>
      <c r="X61" s="467">
        <f t="shared" si="12"/>
        <v>59574.3159626667</v>
      </c>
      <c r="Y61" s="470"/>
      <c r="Z61" s="557">
        <f t="shared" si="13"/>
        <v>59574.3159626667</v>
      </c>
      <c r="AA61" s="553">
        <v>46666.6666666667</v>
      </c>
      <c r="AB61" s="553">
        <f t="shared" si="38"/>
        <v>12907.649296</v>
      </c>
      <c r="AC61" s="213"/>
      <c r="AD61" s="213"/>
      <c r="AE61" s="213"/>
    </row>
    <row r="62" ht="18" spans="1:31">
      <c r="A62" s="544">
        <v>55</v>
      </c>
      <c r="B62" s="11" t="s">
        <v>134</v>
      </c>
      <c r="C62" s="467">
        <v>322454.074</v>
      </c>
      <c r="D62" s="466">
        <v>12</v>
      </c>
      <c r="E62" s="467">
        <f t="shared" si="37"/>
        <v>3869448.888</v>
      </c>
      <c r="F62" s="467"/>
      <c r="G62" s="470"/>
      <c r="H62" s="470"/>
      <c r="I62" s="467">
        <f t="shared" si="0"/>
        <v>3869448.888</v>
      </c>
      <c r="J62" s="467">
        <v>200000</v>
      </c>
      <c r="K62" s="467">
        <v>0.2</v>
      </c>
      <c r="L62" s="467">
        <f t="shared" si="1"/>
        <v>773889.7776</v>
      </c>
      <c r="M62" s="467">
        <f t="shared" si="2"/>
        <v>973889.7776</v>
      </c>
      <c r="N62" s="467">
        <f t="shared" si="3"/>
        <v>973889.7776</v>
      </c>
      <c r="O62" s="467">
        <f t="shared" si="4"/>
        <v>2895559.1104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272067.413184</v>
      </c>
      <c r="U62" s="467"/>
      <c r="V62" s="467">
        <f t="shared" si="11"/>
        <v>496067.413184</v>
      </c>
      <c r="W62" s="474">
        <v>12</v>
      </c>
      <c r="X62" s="467">
        <f t="shared" si="12"/>
        <v>41338.9510986667</v>
      </c>
      <c r="Y62" s="470"/>
      <c r="Z62" s="467">
        <f t="shared" si="13"/>
        <v>41338.9510986667</v>
      </c>
      <c r="AA62" s="213">
        <v>41338.9510986667</v>
      </c>
      <c r="AB62" s="213">
        <f t="shared" si="38"/>
        <v>0</v>
      </c>
      <c r="AC62" s="213"/>
      <c r="AD62" s="213"/>
      <c r="AE62" s="213"/>
    </row>
    <row r="63" ht="18" spans="1:31">
      <c r="A63" s="544">
        <v>56</v>
      </c>
      <c r="B63" s="11" t="s">
        <v>136</v>
      </c>
      <c r="C63" s="467">
        <v>322454.074</v>
      </c>
      <c r="D63" s="466">
        <v>12</v>
      </c>
      <c r="E63" s="467">
        <f t="shared" si="37"/>
        <v>3869448.888</v>
      </c>
      <c r="F63" s="467"/>
      <c r="G63" s="470"/>
      <c r="H63" s="470"/>
      <c r="I63" s="467">
        <f t="shared" si="0"/>
        <v>3869448.888</v>
      </c>
      <c r="J63" s="467">
        <v>200000</v>
      </c>
      <c r="K63" s="467">
        <v>0.2</v>
      </c>
      <c r="L63" s="467">
        <f t="shared" si="1"/>
        <v>773889.7776</v>
      </c>
      <c r="M63" s="467">
        <f t="shared" si="2"/>
        <v>973889.7776</v>
      </c>
      <c r="N63" s="467">
        <f t="shared" si="3"/>
        <v>973889.7776</v>
      </c>
      <c r="O63" s="467">
        <f t="shared" si="4"/>
        <v>2895559.1104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272067.413184</v>
      </c>
      <c r="U63" s="467"/>
      <c r="V63" s="467">
        <f t="shared" si="11"/>
        <v>496067.413184</v>
      </c>
      <c r="W63" s="474">
        <v>12</v>
      </c>
      <c r="X63" s="467">
        <f t="shared" si="12"/>
        <v>41338.9510986667</v>
      </c>
      <c r="Y63" s="470"/>
      <c r="Z63" s="467">
        <f t="shared" si="13"/>
        <v>41338.9510986667</v>
      </c>
      <c r="AA63" s="213">
        <v>41338.9510986667</v>
      </c>
      <c r="AB63" s="213">
        <f t="shared" si="38"/>
        <v>0</v>
      </c>
      <c r="AC63" s="213"/>
      <c r="AD63" s="213"/>
      <c r="AE63" s="213"/>
    </row>
    <row r="64" ht="18" spans="1:31">
      <c r="A64" s="544">
        <v>57</v>
      </c>
      <c r="B64" s="11" t="s">
        <v>137</v>
      </c>
      <c r="C64" s="467">
        <v>322454.074</v>
      </c>
      <c r="D64" s="466">
        <v>12</v>
      </c>
      <c r="E64" s="467">
        <f t="shared" si="37"/>
        <v>3869448.888</v>
      </c>
      <c r="F64" s="467"/>
      <c r="G64" s="470"/>
      <c r="H64" s="470"/>
      <c r="I64" s="467">
        <f t="shared" si="0"/>
        <v>3869448.888</v>
      </c>
      <c r="J64" s="467">
        <v>200000</v>
      </c>
      <c r="K64" s="467">
        <v>0.2</v>
      </c>
      <c r="L64" s="467">
        <f t="shared" si="1"/>
        <v>773889.7776</v>
      </c>
      <c r="M64" s="467">
        <f t="shared" si="2"/>
        <v>973889.7776</v>
      </c>
      <c r="N64" s="467">
        <f t="shared" si="3"/>
        <v>973889.7776</v>
      </c>
      <c r="O64" s="467">
        <f t="shared" si="4"/>
        <v>2895559.1104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272067.413184</v>
      </c>
      <c r="U64" s="467"/>
      <c r="V64" s="467">
        <f t="shared" si="11"/>
        <v>496067.413184</v>
      </c>
      <c r="W64" s="474">
        <v>12</v>
      </c>
      <c r="X64" s="467">
        <f t="shared" si="12"/>
        <v>41338.9510986667</v>
      </c>
      <c r="Y64" s="470"/>
      <c r="Z64" s="467">
        <f t="shared" si="13"/>
        <v>41338.9510986667</v>
      </c>
      <c r="AA64" s="213">
        <v>41338.9510986667</v>
      </c>
      <c r="AB64" s="213">
        <f t="shared" si="38"/>
        <v>0</v>
      </c>
      <c r="AC64" s="213"/>
      <c r="AD64" s="213"/>
      <c r="AE64" s="213"/>
    </row>
    <row r="65" ht="18" spans="1:31">
      <c r="A65" s="544">
        <v>58</v>
      </c>
      <c r="B65" s="11" t="s">
        <v>138</v>
      </c>
      <c r="C65" s="467">
        <v>334536.9985</v>
      </c>
      <c r="D65" s="466">
        <v>12</v>
      </c>
      <c r="E65" s="467">
        <f t="shared" si="37"/>
        <v>4014443.982</v>
      </c>
      <c r="F65" s="467"/>
      <c r="G65" s="470"/>
      <c r="H65" s="470"/>
      <c r="I65" s="467">
        <f t="shared" si="0"/>
        <v>4014443.982</v>
      </c>
      <c r="J65" s="467">
        <v>200000</v>
      </c>
      <c r="K65" s="467">
        <v>0.2</v>
      </c>
      <c r="L65" s="467">
        <f t="shared" si="1"/>
        <v>802888.7964</v>
      </c>
      <c r="M65" s="467">
        <f t="shared" si="2"/>
        <v>1002888.7964</v>
      </c>
      <c r="N65" s="467">
        <f t="shared" si="3"/>
        <v>1002888.7964</v>
      </c>
      <c r="O65" s="467">
        <f t="shared" si="4"/>
        <v>3011555.1856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296426.588976</v>
      </c>
      <c r="U65" s="467"/>
      <c r="V65" s="467">
        <f t="shared" si="11"/>
        <v>520426.588976</v>
      </c>
      <c r="W65" s="474">
        <v>12</v>
      </c>
      <c r="X65" s="467">
        <f t="shared" si="12"/>
        <v>43368.8824146667</v>
      </c>
      <c r="Y65" s="470"/>
      <c r="Z65" s="467">
        <f t="shared" si="13"/>
        <v>43368.8824146667</v>
      </c>
      <c r="AA65" s="213">
        <v>43368.8824146667</v>
      </c>
      <c r="AB65" s="213">
        <f t="shared" si="38"/>
        <v>0</v>
      </c>
      <c r="AC65" s="213"/>
      <c r="AD65" s="213"/>
      <c r="AE65" s="213"/>
    </row>
    <row r="66" ht="18" spans="1:31">
      <c r="A66" s="544">
        <v>59</v>
      </c>
      <c r="B66" s="11" t="s">
        <v>140</v>
      </c>
      <c r="C66" s="467">
        <v>277734.047</v>
      </c>
      <c r="D66" s="466">
        <v>12</v>
      </c>
      <c r="E66" s="467">
        <f t="shared" si="37"/>
        <v>3332808.564</v>
      </c>
      <c r="F66" s="467"/>
      <c r="G66" s="470"/>
      <c r="H66" s="470"/>
      <c r="I66" s="467">
        <f t="shared" si="0"/>
        <v>3332808.564</v>
      </c>
      <c r="J66" s="467">
        <v>200000</v>
      </c>
      <c r="K66" s="467">
        <v>0.2</v>
      </c>
      <c r="L66" s="467">
        <f t="shared" si="1"/>
        <v>666561.7128</v>
      </c>
      <c r="M66" s="467">
        <f t="shared" si="2"/>
        <v>866561.7128</v>
      </c>
      <c r="N66" s="467">
        <f t="shared" si="3"/>
        <v>866561.7128</v>
      </c>
      <c r="O66" s="467">
        <f t="shared" si="4"/>
        <v>2466246.8512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181911.838752</v>
      </c>
      <c r="U66" s="467"/>
      <c r="V66" s="467">
        <f t="shared" si="11"/>
        <v>405911.838752</v>
      </c>
      <c r="W66" s="474">
        <v>12</v>
      </c>
      <c r="X66" s="467">
        <f t="shared" si="12"/>
        <v>33825.9865626667</v>
      </c>
      <c r="Y66" s="470"/>
      <c r="Z66" s="467">
        <f t="shared" si="13"/>
        <v>33825.9865626667</v>
      </c>
      <c r="AA66" s="213">
        <v>33825.9865626667</v>
      </c>
      <c r="AB66" s="213">
        <f t="shared" si="38"/>
        <v>0</v>
      </c>
      <c r="AC66" s="213"/>
      <c r="AD66" s="213"/>
      <c r="AE66" s="213"/>
    </row>
    <row r="67" ht="17.5" spans="1:31">
      <c r="A67" s="54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67"/>
      <c r="AA67" s="213"/>
      <c r="AB67" s="213"/>
      <c r="AC67" s="213"/>
      <c r="AD67" s="213"/>
      <c r="AE67" s="213"/>
    </row>
    <row r="68" ht="17.5" spans="1:31">
      <c r="A68" s="54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67"/>
      <c r="AA68" s="213"/>
      <c r="AB68" s="213"/>
      <c r="AC68" s="213"/>
      <c r="AD68" s="213"/>
      <c r="AE68" s="213"/>
    </row>
    <row r="69" ht="17.5" spans="1:31">
      <c r="A69" s="544"/>
      <c r="B69" s="20" t="s">
        <v>141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67"/>
      <c r="AA69" s="213"/>
      <c r="AB69" s="213"/>
      <c r="AC69" s="213"/>
      <c r="AD69" s="213"/>
      <c r="AE69" s="213"/>
    </row>
    <row r="70" ht="18" spans="1:31">
      <c r="A70" s="544"/>
      <c r="B70" s="11" t="s">
        <v>142</v>
      </c>
      <c r="C70" s="467">
        <v>1050209.0635</v>
      </c>
      <c r="D70" s="466">
        <v>12</v>
      </c>
      <c r="E70" s="467">
        <f>C70*D70</f>
        <v>12602508.762</v>
      </c>
      <c r="F70" s="467"/>
      <c r="G70" s="470"/>
      <c r="H70" s="470"/>
      <c r="I70" s="467">
        <f t="shared" ref="I70" si="39">E70-F70-G70-H70</f>
        <v>12602508.762</v>
      </c>
      <c r="J70" s="467">
        <v>200000</v>
      </c>
      <c r="K70" s="467">
        <v>0.2</v>
      </c>
      <c r="L70" s="467">
        <f t="shared" ref="L70" si="40">I70*K70</f>
        <v>2520501.7524</v>
      </c>
      <c r="M70" s="467">
        <f t="shared" ref="M70" si="41">J70+L70</f>
        <v>2720501.7524</v>
      </c>
      <c r="N70" s="467">
        <f t="shared" ref="N70" si="42">F70+G70+H70+M70</f>
        <v>2720501.7524</v>
      </c>
      <c r="O70" s="467">
        <f t="shared" ref="O70" si="43">E70-N70</f>
        <v>9882007.0096</v>
      </c>
      <c r="P70" s="467">
        <f t="shared" ref="P70" si="44">IF(O70&lt;300000,0.07*O70,21000)</f>
        <v>21000</v>
      </c>
      <c r="Q70" s="467">
        <f t="shared" ref="Q70" si="45">IF((O70-300000)&lt;0,0,IF((O70-300000)&lt;300000,0.11*(O70-300000),33000))</f>
        <v>33000</v>
      </c>
      <c r="R70" s="467">
        <f t="shared" ref="R70" si="46">IF((O70-600000)&lt;0,0,IF((O70-600000)&lt;500000,0.15*(O70-600000),75000))</f>
        <v>75000</v>
      </c>
      <c r="S70" s="467">
        <f t="shared" ref="S70" si="47">IF((O70-1100000)&lt;0,0,IF((O70-1100000)&lt;500000,0.19*(O70-1100000),95000))</f>
        <v>95000</v>
      </c>
      <c r="T70" s="467">
        <f t="shared" ref="T70" si="48">IF((O70-1600000)&lt;0,0,IF((O70-1600000)&lt;1600000,0.21*(O70-1600000),336000))</f>
        <v>336000</v>
      </c>
      <c r="U70" s="467">
        <f t="shared" ref="U70" si="49">24%*(O70-3200000)</f>
        <v>1603681.682304</v>
      </c>
      <c r="V70" s="467">
        <f t="shared" ref="V70" si="50">P70+Q70+R70+S70+T70+U70</f>
        <v>2163681.682304</v>
      </c>
      <c r="W70" s="474">
        <v>12</v>
      </c>
      <c r="X70" s="467">
        <f t="shared" ref="X70" si="51">V70/W70</f>
        <v>180306.806858667</v>
      </c>
      <c r="Y70" s="470"/>
      <c r="Z70" s="467">
        <f t="shared" ref="Z70" si="52">X70</f>
        <v>180306.806858667</v>
      </c>
      <c r="AA70" s="213">
        <v>180306.806858667</v>
      </c>
      <c r="AB70" s="213">
        <f>Z70-AA70</f>
        <v>-3.78349795937538e-10</v>
      </c>
      <c r="AC70" s="213"/>
      <c r="AD70" s="213"/>
      <c r="AE70" s="213"/>
    </row>
    <row r="71" ht="18" spans="1:31">
      <c r="A71" s="544">
        <v>62</v>
      </c>
      <c r="B71" s="14" t="s">
        <v>520</v>
      </c>
      <c r="C71" s="467">
        <v>516137.05</v>
      </c>
      <c r="D71" s="466">
        <v>12</v>
      </c>
      <c r="E71" s="467">
        <f t="shared" ref="E71:E76" si="53">C71*D71</f>
        <v>6193644.6</v>
      </c>
      <c r="F71" s="467"/>
      <c r="G71" s="470"/>
      <c r="H71" s="470"/>
      <c r="I71" s="467">
        <f t="shared" si="0"/>
        <v>6193644.6</v>
      </c>
      <c r="J71" s="467">
        <v>200000</v>
      </c>
      <c r="K71" s="467">
        <v>0.2</v>
      </c>
      <c r="L71" s="467">
        <f t="shared" si="1"/>
        <v>1238728.92</v>
      </c>
      <c r="M71" s="467">
        <f t="shared" si="2"/>
        <v>1438728.92</v>
      </c>
      <c r="N71" s="467">
        <f t="shared" si="3"/>
        <v>1438728.92</v>
      </c>
      <c r="O71" s="467">
        <f t="shared" si="4"/>
        <v>4754915.68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373179.7632</v>
      </c>
      <c r="V71" s="467">
        <f t="shared" si="11"/>
        <v>933179.7632</v>
      </c>
      <c r="W71" s="474">
        <v>12</v>
      </c>
      <c r="X71" s="467">
        <f t="shared" si="12"/>
        <v>77764.9802666667</v>
      </c>
      <c r="Y71" s="470"/>
      <c r="Z71" s="467">
        <f t="shared" si="13"/>
        <v>77764.9802666667</v>
      </c>
      <c r="AA71" s="213">
        <v>77764.9802666667</v>
      </c>
      <c r="AB71" s="213">
        <f t="shared" ref="AB71:AB76" si="54">Z71-AA71</f>
        <v>0</v>
      </c>
      <c r="AC71" s="213"/>
      <c r="AD71" s="213"/>
      <c r="AE71" s="213"/>
    </row>
    <row r="72" ht="36" spans="1:31">
      <c r="A72" s="544">
        <v>63</v>
      </c>
      <c r="B72" s="18" t="s">
        <v>521</v>
      </c>
      <c r="C72" s="467">
        <v>447553.5025</v>
      </c>
      <c r="D72" s="466">
        <v>12</v>
      </c>
      <c r="E72" s="467">
        <f t="shared" si="53"/>
        <v>5370642.03</v>
      </c>
      <c r="F72" s="467"/>
      <c r="G72" s="470"/>
      <c r="H72" s="470"/>
      <c r="I72" s="467">
        <f t="shared" si="0"/>
        <v>5370642.03</v>
      </c>
      <c r="J72" s="467">
        <v>200000</v>
      </c>
      <c r="K72" s="467">
        <v>0.2</v>
      </c>
      <c r="L72" s="467">
        <f t="shared" si="1"/>
        <v>1074128.406</v>
      </c>
      <c r="M72" s="467">
        <f t="shared" si="2"/>
        <v>1274128.406</v>
      </c>
      <c r="N72" s="467">
        <f t="shared" si="3"/>
        <v>1274128.406</v>
      </c>
      <c r="O72" s="467">
        <f t="shared" si="4"/>
        <v>4096513.624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215163.26976</v>
      </c>
      <c r="V72" s="467">
        <f t="shared" si="11"/>
        <v>775163.26976</v>
      </c>
      <c r="W72" s="474">
        <v>12</v>
      </c>
      <c r="X72" s="467">
        <f t="shared" si="12"/>
        <v>64596.9391466667</v>
      </c>
      <c r="Y72" s="470"/>
      <c r="Z72" s="467">
        <f t="shared" si="13"/>
        <v>64596.9391466667</v>
      </c>
      <c r="AA72" s="213">
        <v>64596.9391466667</v>
      </c>
      <c r="AB72" s="213">
        <f t="shared" si="54"/>
        <v>0</v>
      </c>
      <c r="AC72" s="213"/>
      <c r="AD72" s="213"/>
      <c r="AE72" s="213"/>
    </row>
    <row r="73" ht="18" spans="1:31">
      <c r="A73" s="544">
        <v>64</v>
      </c>
      <c r="B73" s="11" t="s">
        <v>146</v>
      </c>
      <c r="C73" s="467">
        <v>405272.06375</v>
      </c>
      <c r="D73" s="466">
        <v>12</v>
      </c>
      <c r="E73" s="467">
        <f t="shared" si="53"/>
        <v>4863264.765</v>
      </c>
      <c r="F73" s="467">
        <f>'[6]JANUARY 2024'!$V$78*12</f>
        <v>8019.795</v>
      </c>
      <c r="G73" s="470"/>
      <c r="H73" s="470"/>
      <c r="I73" s="467">
        <f t="shared" si="0"/>
        <v>4855244.97</v>
      </c>
      <c r="J73" s="467">
        <v>200000</v>
      </c>
      <c r="K73" s="467">
        <v>0.2</v>
      </c>
      <c r="L73" s="467">
        <f t="shared" si="1"/>
        <v>971048.994</v>
      </c>
      <c r="M73" s="467">
        <f t="shared" si="2"/>
        <v>1171048.994</v>
      </c>
      <c r="N73" s="467">
        <f t="shared" si="3"/>
        <v>1179068.789</v>
      </c>
      <c r="O73" s="467">
        <f t="shared" si="4"/>
        <v>3684195.976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116207.03424</v>
      </c>
      <c r="V73" s="467">
        <f t="shared" si="11"/>
        <v>676207.03424</v>
      </c>
      <c r="W73" s="474">
        <v>12</v>
      </c>
      <c r="X73" s="467">
        <f t="shared" si="12"/>
        <v>56350.5861866667</v>
      </c>
      <c r="Y73" s="470"/>
      <c r="Z73" s="467">
        <f t="shared" si="13"/>
        <v>56350.5861866667</v>
      </c>
      <c r="AA73" s="213">
        <v>56350.5861866667</v>
      </c>
      <c r="AB73" s="213">
        <f t="shared" si="54"/>
        <v>0</v>
      </c>
      <c r="AC73" s="213"/>
      <c r="AD73" s="213"/>
      <c r="AE73" s="213"/>
    </row>
    <row r="74" s="537" customFormat="1" ht="18" spans="1:31">
      <c r="A74" s="548">
        <v>65</v>
      </c>
      <c r="B74" s="11" t="s">
        <v>149</v>
      </c>
      <c r="C74" s="467">
        <v>273169.1175</v>
      </c>
      <c r="D74" s="466">
        <v>12</v>
      </c>
      <c r="E74" s="467">
        <f t="shared" si="53"/>
        <v>3278029.41</v>
      </c>
      <c r="F74" s="467"/>
      <c r="G74" s="470"/>
      <c r="H74" s="470"/>
      <c r="I74" s="467">
        <f t="shared" si="0"/>
        <v>3278029.41</v>
      </c>
      <c r="J74" s="467">
        <v>200000</v>
      </c>
      <c r="K74" s="467">
        <v>0.2</v>
      </c>
      <c r="L74" s="467">
        <f t="shared" si="1"/>
        <v>655605.882</v>
      </c>
      <c r="M74" s="467">
        <f t="shared" si="2"/>
        <v>855605.882</v>
      </c>
      <c r="N74" s="467">
        <f t="shared" si="3"/>
        <v>855605.882</v>
      </c>
      <c r="O74" s="467">
        <f t="shared" si="4"/>
        <v>2422423.528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172708.94088</v>
      </c>
      <c r="U74" s="467"/>
      <c r="V74" s="467">
        <f t="shared" si="11"/>
        <v>396708.94088</v>
      </c>
      <c r="W74" s="474">
        <v>12</v>
      </c>
      <c r="X74" s="467">
        <f t="shared" si="12"/>
        <v>33059.0784066667</v>
      </c>
      <c r="Y74" s="470"/>
      <c r="Z74" s="552">
        <f t="shared" si="13"/>
        <v>33059.0784066667</v>
      </c>
      <c r="AA74" s="553">
        <v>17507.5489666667</v>
      </c>
      <c r="AB74" s="553">
        <f t="shared" si="54"/>
        <v>15551.52944</v>
      </c>
      <c r="AC74" s="556"/>
      <c r="AD74" s="556"/>
      <c r="AE74" s="556"/>
    </row>
    <row r="75" ht="18" spans="1:31">
      <c r="A75" s="544"/>
      <c r="B75" s="11" t="s">
        <v>151</v>
      </c>
      <c r="C75" s="467">
        <v>249356.04725</v>
      </c>
      <c r="D75" s="466">
        <v>12</v>
      </c>
      <c r="E75" s="467">
        <f t="shared" si="53"/>
        <v>2992272.567</v>
      </c>
      <c r="F75" s="467"/>
      <c r="G75" s="470"/>
      <c r="H75" s="470"/>
      <c r="I75" s="467">
        <f t="shared" si="0"/>
        <v>2992272.567</v>
      </c>
      <c r="J75" s="467">
        <v>200000</v>
      </c>
      <c r="K75" s="467">
        <v>0.2</v>
      </c>
      <c r="L75" s="467">
        <f t="shared" si="1"/>
        <v>598454.5134</v>
      </c>
      <c r="M75" s="467">
        <f t="shared" si="2"/>
        <v>798454.5134</v>
      </c>
      <c r="N75" s="467">
        <f t="shared" si="3"/>
        <v>798454.5134</v>
      </c>
      <c r="O75" s="467">
        <f t="shared" si="4"/>
        <v>2193818.0536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124701.791256</v>
      </c>
      <c r="U75" s="467"/>
      <c r="V75" s="467">
        <f t="shared" si="11"/>
        <v>348701.791256</v>
      </c>
      <c r="W75" s="474">
        <v>12</v>
      </c>
      <c r="X75" s="467">
        <f t="shared" si="12"/>
        <v>29058.4826046667</v>
      </c>
      <c r="Y75" s="470"/>
      <c r="Z75" s="467">
        <f t="shared" si="13"/>
        <v>29058.4826046667</v>
      </c>
      <c r="AA75" s="213">
        <v>29058.4826046667</v>
      </c>
      <c r="AB75" s="213">
        <f t="shared" si="54"/>
        <v>-4.00177668780088e-11</v>
      </c>
      <c r="AC75" s="213"/>
      <c r="AD75" s="213"/>
      <c r="AE75" s="213"/>
    </row>
    <row r="76" ht="18" spans="1:31">
      <c r="A76" s="544"/>
      <c r="B76" s="11" t="s">
        <v>153</v>
      </c>
      <c r="C76" s="467">
        <v>223717.2845</v>
      </c>
      <c r="D76" s="466">
        <v>12</v>
      </c>
      <c r="E76" s="467">
        <f t="shared" si="53"/>
        <v>2684607.414</v>
      </c>
      <c r="F76" s="467"/>
      <c r="G76" s="470"/>
      <c r="H76" s="470"/>
      <c r="I76" s="467">
        <f t="shared" ref="I76" si="55">E76-F76-G76-H76</f>
        <v>2684607.414</v>
      </c>
      <c r="J76" s="467">
        <v>200000</v>
      </c>
      <c r="K76" s="467">
        <v>0.2</v>
      </c>
      <c r="L76" s="467">
        <f t="shared" ref="L76" si="56">I76*K76</f>
        <v>536921.4828</v>
      </c>
      <c r="M76" s="467">
        <f t="shared" ref="M76" si="57">J76+L76</f>
        <v>736921.4828</v>
      </c>
      <c r="N76" s="467">
        <f t="shared" ref="N76" si="58">F76+G76+H76+M76</f>
        <v>736921.4828</v>
      </c>
      <c r="O76" s="467">
        <f t="shared" ref="O76" si="59">E76-N76</f>
        <v>1947685.9312</v>
      </c>
      <c r="P76" s="467">
        <f t="shared" ref="P76" si="60">IF(O76&lt;300000,0.07*O76,21000)</f>
        <v>21000</v>
      </c>
      <c r="Q76" s="467">
        <f t="shared" ref="Q76" si="61">IF((O76-300000)&lt;0,0,IF((O76-300000)&lt;300000,0.11*(O76-300000),33000))</f>
        <v>33000</v>
      </c>
      <c r="R76" s="467">
        <f t="shared" ref="R76" si="62">IF((O76-600000)&lt;0,0,IF((O76-600000)&lt;500000,0.15*(O76-600000),75000))</f>
        <v>75000</v>
      </c>
      <c r="S76" s="467">
        <f t="shared" ref="S76" si="63">IF((O76-1100000)&lt;0,0,IF((O76-1100000)&lt;500000,0.19*(O76-1100000),95000))</f>
        <v>95000</v>
      </c>
      <c r="T76" s="467">
        <f t="shared" ref="T76" si="64">IF((O76-1600000)&lt;0,0,IF((O76-1600000)&lt;1600000,0.21*(O76-1600000),336000))</f>
        <v>73014.045552</v>
      </c>
      <c r="U76" s="467">
        <v>0</v>
      </c>
      <c r="V76" s="467">
        <f t="shared" ref="V76" si="65">P76+Q76+R76+S76+T76+U76</f>
        <v>297014.045552</v>
      </c>
      <c r="W76" s="474">
        <v>12</v>
      </c>
      <c r="X76" s="467">
        <f t="shared" ref="X76" si="66">V76/W76</f>
        <v>24751.1704626667</v>
      </c>
      <c r="Y76" s="470"/>
      <c r="Z76" s="467">
        <f t="shared" ref="Z76" si="67">X76</f>
        <v>24751.1704626667</v>
      </c>
      <c r="AA76" s="213">
        <v>24751.1704626667</v>
      </c>
      <c r="AB76" s="213">
        <f t="shared" si="54"/>
        <v>-3.63797880709171e-11</v>
      </c>
      <c r="AC76" s="213"/>
      <c r="AD76" s="213"/>
      <c r="AE76" s="213"/>
    </row>
    <row r="77" ht="17.5" spans="1:31">
      <c r="A77" s="544"/>
      <c r="B77" s="20" t="s">
        <v>96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67"/>
      <c r="AA77" s="213"/>
      <c r="AB77" s="558">
        <f>SUM(AB70:AB76)</f>
        <v>15551.5294399995</v>
      </c>
      <c r="AC77" s="213"/>
      <c r="AD77" s="213"/>
      <c r="AE77" s="213"/>
    </row>
    <row r="78" ht="17.5" spans="1:31">
      <c r="A78" s="54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67"/>
      <c r="AA78" s="213"/>
      <c r="AB78" s="213"/>
      <c r="AC78" s="213"/>
      <c r="AD78" s="213"/>
      <c r="AE78" s="213"/>
    </row>
    <row r="79" ht="35" spans="1:31">
      <c r="A79" s="544">
        <v>67</v>
      </c>
      <c r="B79" s="20" t="s">
        <v>155</v>
      </c>
      <c r="C79" s="467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  <c r="Y79" s="296"/>
      <c r="Z79" s="296"/>
      <c r="AB79" t="s">
        <v>522</v>
      </c>
      <c r="AC79" s="213"/>
      <c r="AD79" s="213"/>
      <c r="AE79" s="213"/>
    </row>
    <row r="80" ht="18" spans="1:31">
      <c r="A80" s="544">
        <v>68</v>
      </c>
      <c r="B80" s="11" t="s">
        <v>156</v>
      </c>
      <c r="C80" s="467">
        <v>627553.5025</v>
      </c>
      <c r="D80" s="466">
        <v>12</v>
      </c>
      <c r="E80" s="467">
        <f>C80*D80</f>
        <v>7530642.03</v>
      </c>
      <c r="F80" s="467"/>
      <c r="G80" s="470"/>
      <c r="H80" s="470"/>
      <c r="I80" s="467">
        <f t="shared" ref="I80:I89" si="68">E80-F80-G80-H80</f>
        <v>7530642.03</v>
      </c>
      <c r="J80" s="467">
        <v>200000</v>
      </c>
      <c r="K80" s="467">
        <v>0.2</v>
      </c>
      <c r="L80" s="467">
        <f t="shared" ref="L80:L89" si="69">I80*K80</f>
        <v>1506128.406</v>
      </c>
      <c r="M80" s="467">
        <f t="shared" ref="M80:M89" si="70">J80+L80</f>
        <v>1706128.406</v>
      </c>
      <c r="N80" s="467">
        <f t="shared" ref="N80:N89" si="71">F80+G80+H80+M80</f>
        <v>1706128.406</v>
      </c>
      <c r="O80" s="467">
        <f t="shared" ref="O80:O89" si="72">E80-N80</f>
        <v>5824513.624</v>
      </c>
      <c r="P80" s="467">
        <f t="shared" ref="P80:P89" si="73">IF(O80&lt;300000,0.07*O80,21000)</f>
        <v>21000</v>
      </c>
      <c r="Q80" s="467">
        <f t="shared" ref="Q80:Q89" si="74">IF((O80-300000)&lt;0,0,IF((O80-300000)&lt;300000,0.11*(O80-300000),33000))</f>
        <v>33000</v>
      </c>
      <c r="R80" s="467">
        <f t="shared" ref="R80:R89" si="75">IF((O80-600000)&lt;0,0,IF((O80-600000)&lt;500000,0.15*(O80-600000),75000))</f>
        <v>75000</v>
      </c>
      <c r="S80" s="467">
        <f t="shared" ref="S80:S89" si="76">IF((O80-1100000)&lt;0,0,IF((O80-1100000)&lt;500000,0.19*(O80-1100000),95000))</f>
        <v>95000</v>
      </c>
      <c r="T80" s="467">
        <f t="shared" ref="T80:T89" si="77">IF((O80-1600000)&lt;0,0,IF((O80-1600000)&lt;1600000,0.21*(O80-1600000),336000))</f>
        <v>336000</v>
      </c>
      <c r="U80" s="467">
        <f t="shared" ref="U80:U85" si="78">24%*(O80-3200000)</f>
        <v>629883.26976</v>
      </c>
      <c r="V80" s="467">
        <f t="shared" ref="V80:V89" si="79">P80+Q80+R80+S80+T80+U80</f>
        <v>1189883.26976</v>
      </c>
      <c r="W80" s="474">
        <v>12</v>
      </c>
      <c r="X80" s="467">
        <f t="shared" ref="X80:X89" si="80">V80/W80</f>
        <v>99156.9391466667</v>
      </c>
      <c r="Y80" s="470"/>
      <c r="Z80" s="467">
        <f t="shared" ref="Z80:Z89" si="81">X80</f>
        <v>99156.9391466667</v>
      </c>
      <c r="AA80" s="547">
        <v>99156.9391466667</v>
      </c>
      <c r="AB80" s="555">
        <f>Z80-AA80</f>
        <v>0</v>
      </c>
      <c r="AC80" s="213" t="s">
        <v>156</v>
      </c>
      <c r="AD80" s="213"/>
      <c r="AE80" s="213"/>
    </row>
    <row r="81" s="537" customFormat="1" ht="18" spans="1:31">
      <c r="A81" s="548">
        <v>69</v>
      </c>
      <c r="B81" s="11" t="s">
        <v>157</v>
      </c>
      <c r="C81" s="467">
        <v>527553.5025</v>
      </c>
      <c r="D81" s="466">
        <v>12</v>
      </c>
      <c r="E81" s="467">
        <f t="shared" ref="E81:E87" si="82">C81*D81</f>
        <v>6330642.03</v>
      </c>
      <c r="F81" s="467">
        <f>'[6]JANUARY 2024'!$V$86*12</f>
        <v>10052.25</v>
      </c>
      <c r="G81" s="470"/>
      <c r="H81" s="470"/>
      <c r="I81" s="467">
        <f t="shared" si="68"/>
        <v>6320589.78</v>
      </c>
      <c r="J81" s="467">
        <v>200000</v>
      </c>
      <c r="K81" s="467">
        <v>0.2</v>
      </c>
      <c r="L81" s="467">
        <f t="shared" si="69"/>
        <v>1264117.956</v>
      </c>
      <c r="M81" s="467">
        <f t="shared" si="70"/>
        <v>1464117.956</v>
      </c>
      <c r="N81" s="467">
        <f t="shared" si="71"/>
        <v>1474170.206</v>
      </c>
      <c r="O81" s="467">
        <f t="shared" si="72"/>
        <v>4856471.824</v>
      </c>
      <c r="P81" s="467">
        <f t="shared" si="73"/>
        <v>21000</v>
      </c>
      <c r="Q81" s="467">
        <f t="shared" si="74"/>
        <v>33000</v>
      </c>
      <c r="R81" s="467">
        <f t="shared" si="75"/>
        <v>75000</v>
      </c>
      <c r="S81" s="467">
        <f t="shared" si="76"/>
        <v>95000</v>
      </c>
      <c r="T81" s="467">
        <f t="shared" si="77"/>
        <v>336000</v>
      </c>
      <c r="U81" s="467">
        <f t="shared" si="78"/>
        <v>397553.23776</v>
      </c>
      <c r="V81" s="467">
        <f t="shared" si="79"/>
        <v>957553.23776</v>
      </c>
      <c r="W81" s="474">
        <v>12</v>
      </c>
      <c r="X81" s="467">
        <f t="shared" si="80"/>
        <v>79796.1031466666</v>
      </c>
      <c r="Y81" s="470"/>
      <c r="Z81" s="467">
        <f t="shared" si="81"/>
        <v>79796.1031466666</v>
      </c>
      <c r="AA81" s="547">
        <v>98996.1031466667</v>
      </c>
      <c r="AB81" s="555">
        <f t="shared" ref="AB81:AB87" si="83">Z81-AA81</f>
        <v>-19200.0000000001</v>
      </c>
      <c r="AC81" s="556" t="s">
        <v>157</v>
      </c>
      <c r="AD81" s="556"/>
      <c r="AE81" s="556"/>
    </row>
    <row r="82" s="537" customFormat="1" ht="36" spans="1:31">
      <c r="A82" s="548">
        <v>70</v>
      </c>
      <c r="B82" s="11" t="s">
        <v>158</v>
      </c>
      <c r="C82" s="467">
        <v>504729.222</v>
      </c>
      <c r="D82" s="466">
        <v>12</v>
      </c>
      <c r="E82" s="467">
        <f t="shared" si="82"/>
        <v>6056750.664</v>
      </c>
      <c r="F82" s="467"/>
      <c r="G82" s="470"/>
      <c r="H82" s="470"/>
      <c r="I82" s="467">
        <f t="shared" si="68"/>
        <v>6056750.664</v>
      </c>
      <c r="J82" s="467">
        <v>200000</v>
      </c>
      <c r="K82" s="467">
        <v>0.2</v>
      </c>
      <c r="L82" s="467">
        <f t="shared" si="69"/>
        <v>1211350.1328</v>
      </c>
      <c r="M82" s="467">
        <f t="shared" si="70"/>
        <v>1411350.1328</v>
      </c>
      <c r="N82" s="467">
        <f t="shared" si="71"/>
        <v>1411350.1328</v>
      </c>
      <c r="O82" s="467">
        <f t="shared" si="72"/>
        <v>4645400.5312</v>
      </c>
      <c r="P82" s="467">
        <f t="shared" si="73"/>
        <v>21000</v>
      </c>
      <c r="Q82" s="467">
        <f t="shared" si="74"/>
        <v>33000</v>
      </c>
      <c r="R82" s="467">
        <f t="shared" si="75"/>
        <v>75000</v>
      </c>
      <c r="S82" s="467">
        <f t="shared" si="76"/>
        <v>95000</v>
      </c>
      <c r="T82" s="467">
        <f t="shared" si="77"/>
        <v>336000</v>
      </c>
      <c r="U82" s="467">
        <f t="shared" si="78"/>
        <v>346896.127488</v>
      </c>
      <c r="V82" s="467">
        <f t="shared" si="79"/>
        <v>906896.127488</v>
      </c>
      <c r="W82" s="474">
        <v>12</v>
      </c>
      <c r="X82" s="467">
        <f t="shared" si="80"/>
        <v>75574.6772906667</v>
      </c>
      <c r="Y82" s="470"/>
      <c r="Z82" s="467">
        <f t="shared" si="81"/>
        <v>75574.6772906667</v>
      </c>
      <c r="AA82" s="559">
        <v>79956.9391466667</v>
      </c>
      <c r="AB82" s="555">
        <f t="shared" si="83"/>
        <v>-4382.26185600003</v>
      </c>
      <c r="AC82" s="556" t="s">
        <v>158</v>
      </c>
      <c r="AD82" s="556"/>
      <c r="AE82" s="556"/>
    </row>
    <row r="83" ht="18" spans="1:31">
      <c r="A83" s="544">
        <v>71</v>
      </c>
      <c r="B83" s="11" t="s">
        <v>159</v>
      </c>
      <c r="C83" s="467">
        <v>376663.0775</v>
      </c>
      <c r="D83" s="466">
        <v>12</v>
      </c>
      <c r="E83" s="467">
        <f t="shared" si="82"/>
        <v>4519956.93</v>
      </c>
      <c r="F83" s="467"/>
      <c r="G83" s="470"/>
      <c r="H83" s="470"/>
      <c r="I83" s="467">
        <f t="shared" si="68"/>
        <v>4519956.93</v>
      </c>
      <c r="J83" s="467">
        <v>200000</v>
      </c>
      <c r="K83" s="467">
        <v>0.2</v>
      </c>
      <c r="L83" s="467">
        <f t="shared" si="69"/>
        <v>903991.386</v>
      </c>
      <c r="M83" s="467">
        <f t="shared" si="70"/>
        <v>1103991.386</v>
      </c>
      <c r="N83" s="467">
        <f t="shared" si="71"/>
        <v>1103991.386</v>
      </c>
      <c r="O83" s="467">
        <f t="shared" si="72"/>
        <v>3415965.544</v>
      </c>
      <c r="P83" s="467">
        <f t="shared" si="73"/>
        <v>21000</v>
      </c>
      <c r="Q83" s="467">
        <f t="shared" si="74"/>
        <v>33000</v>
      </c>
      <c r="R83" s="467">
        <f t="shared" si="75"/>
        <v>75000</v>
      </c>
      <c r="S83" s="467">
        <f t="shared" si="76"/>
        <v>95000</v>
      </c>
      <c r="T83" s="467">
        <f t="shared" si="77"/>
        <v>336000</v>
      </c>
      <c r="U83" s="467">
        <f t="shared" si="78"/>
        <v>51831.7305599999</v>
      </c>
      <c r="V83" s="467">
        <f t="shared" si="79"/>
        <v>611831.73056</v>
      </c>
      <c r="W83" s="474">
        <v>12</v>
      </c>
      <c r="X83" s="467">
        <f t="shared" si="80"/>
        <v>50985.9775466667</v>
      </c>
      <c r="Y83" s="470"/>
      <c r="Z83" s="467">
        <f t="shared" si="81"/>
        <v>50985.9775466667</v>
      </c>
      <c r="AA83" s="559">
        <v>75574.6772906667</v>
      </c>
      <c r="AB83" s="555">
        <f t="shared" si="83"/>
        <v>-24588.699744</v>
      </c>
      <c r="AC83" s="213" t="s">
        <v>159</v>
      </c>
      <c r="AD83" s="213"/>
      <c r="AE83" s="213"/>
    </row>
    <row r="84" ht="18" spans="1:31">
      <c r="A84" s="544">
        <v>72</v>
      </c>
      <c r="B84" s="11" t="s">
        <v>160</v>
      </c>
      <c r="C84" s="467">
        <v>369177.65375</v>
      </c>
      <c r="D84" s="466">
        <v>12</v>
      </c>
      <c r="E84" s="467">
        <f t="shared" si="82"/>
        <v>4430131.845</v>
      </c>
      <c r="F84" s="467"/>
      <c r="G84" s="470"/>
      <c r="H84" s="470"/>
      <c r="I84" s="467">
        <f t="shared" si="68"/>
        <v>4430131.845</v>
      </c>
      <c r="J84" s="467">
        <v>200000</v>
      </c>
      <c r="K84" s="467">
        <v>0.2</v>
      </c>
      <c r="L84" s="467">
        <f t="shared" si="69"/>
        <v>886026.369</v>
      </c>
      <c r="M84" s="467">
        <f t="shared" si="70"/>
        <v>1086026.369</v>
      </c>
      <c r="N84" s="467">
        <f t="shared" si="71"/>
        <v>1086026.369</v>
      </c>
      <c r="O84" s="467">
        <f t="shared" si="72"/>
        <v>3344105.476</v>
      </c>
      <c r="P84" s="467">
        <f t="shared" si="73"/>
        <v>21000</v>
      </c>
      <c r="Q84" s="467">
        <f t="shared" si="74"/>
        <v>33000</v>
      </c>
      <c r="R84" s="467">
        <f t="shared" si="75"/>
        <v>75000</v>
      </c>
      <c r="S84" s="467">
        <f t="shared" si="76"/>
        <v>95000</v>
      </c>
      <c r="T84" s="467">
        <f t="shared" si="77"/>
        <v>336000</v>
      </c>
      <c r="U84" s="467">
        <f t="shared" si="78"/>
        <v>34585.3142399999</v>
      </c>
      <c r="V84" s="467">
        <f t="shared" si="79"/>
        <v>594585.31424</v>
      </c>
      <c r="W84" s="474">
        <v>12</v>
      </c>
      <c r="X84" s="467">
        <f t="shared" si="80"/>
        <v>49548.7761866667</v>
      </c>
      <c r="Y84" s="470"/>
      <c r="Z84" s="467">
        <f t="shared" si="81"/>
        <v>49548.7761866667</v>
      </c>
      <c r="AA84" s="547">
        <v>50985.9775466667</v>
      </c>
      <c r="AB84" s="555">
        <f t="shared" si="83"/>
        <v>-1437.20136000004</v>
      </c>
      <c r="AC84" s="213" t="s">
        <v>160</v>
      </c>
      <c r="AD84" s="213"/>
      <c r="AE84" s="213"/>
    </row>
    <row r="85" s="537" customFormat="1" ht="36" spans="1:31">
      <c r="A85" s="548">
        <v>73</v>
      </c>
      <c r="B85" s="11" t="s">
        <v>161</v>
      </c>
      <c r="C85" s="467">
        <v>389153.05675</v>
      </c>
      <c r="D85" s="466">
        <v>12</v>
      </c>
      <c r="E85" s="467">
        <f t="shared" si="82"/>
        <v>4669836.681</v>
      </c>
      <c r="F85" s="467"/>
      <c r="G85" s="470"/>
      <c r="H85" s="470"/>
      <c r="I85" s="467">
        <f t="shared" si="68"/>
        <v>4669836.681</v>
      </c>
      <c r="J85" s="467">
        <v>200000</v>
      </c>
      <c r="K85" s="467">
        <v>0.2</v>
      </c>
      <c r="L85" s="467">
        <f t="shared" si="69"/>
        <v>933967.3362</v>
      </c>
      <c r="M85" s="467">
        <f t="shared" si="70"/>
        <v>1133967.3362</v>
      </c>
      <c r="N85" s="467">
        <f t="shared" si="71"/>
        <v>1133967.3362</v>
      </c>
      <c r="O85" s="467">
        <f t="shared" si="72"/>
        <v>3535869.3448</v>
      </c>
      <c r="P85" s="467">
        <f t="shared" si="73"/>
        <v>21000</v>
      </c>
      <c r="Q85" s="467">
        <f t="shared" si="74"/>
        <v>33000</v>
      </c>
      <c r="R85" s="467">
        <f t="shared" si="75"/>
        <v>75000</v>
      </c>
      <c r="S85" s="467">
        <f t="shared" si="76"/>
        <v>95000</v>
      </c>
      <c r="T85" s="467">
        <f t="shared" si="77"/>
        <v>336000</v>
      </c>
      <c r="U85" s="467">
        <f t="shared" si="78"/>
        <v>80608.642752</v>
      </c>
      <c r="V85" s="467">
        <f t="shared" si="79"/>
        <v>640608.642752</v>
      </c>
      <c r="W85" s="474">
        <v>12</v>
      </c>
      <c r="X85" s="467">
        <f t="shared" si="80"/>
        <v>53384.0535626667</v>
      </c>
      <c r="Y85" s="470"/>
      <c r="Z85" s="552">
        <f t="shared" si="81"/>
        <v>53384.0535626667</v>
      </c>
      <c r="AA85" s="552">
        <v>49548.7761866667</v>
      </c>
      <c r="AB85" s="553">
        <f t="shared" si="83"/>
        <v>3835.27737599997</v>
      </c>
      <c r="AC85" s="556" t="s">
        <v>161</v>
      </c>
      <c r="AD85" s="556"/>
      <c r="AE85" s="556"/>
    </row>
    <row r="86" ht="18" spans="1:31">
      <c r="A86" s="544">
        <v>74</v>
      </c>
      <c r="B86" s="11" t="s">
        <v>163</v>
      </c>
      <c r="C86" s="467">
        <v>322454.074</v>
      </c>
      <c r="D86" s="466">
        <v>12</v>
      </c>
      <c r="E86" s="467">
        <f t="shared" si="82"/>
        <v>3869448.888</v>
      </c>
      <c r="F86" s="467"/>
      <c r="G86" s="470"/>
      <c r="H86" s="470"/>
      <c r="I86" s="467">
        <f t="shared" si="68"/>
        <v>3869448.888</v>
      </c>
      <c r="J86" s="467">
        <v>200000</v>
      </c>
      <c r="K86" s="467">
        <v>0.2</v>
      </c>
      <c r="L86" s="467">
        <f t="shared" si="69"/>
        <v>773889.7776</v>
      </c>
      <c r="M86" s="467">
        <f t="shared" si="70"/>
        <v>973889.7776</v>
      </c>
      <c r="N86" s="467">
        <f t="shared" si="71"/>
        <v>973889.7776</v>
      </c>
      <c r="O86" s="467">
        <f t="shared" si="72"/>
        <v>2895559.1104</v>
      </c>
      <c r="P86" s="467">
        <f t="shared" si="73"/>
        <v>21000</v>
      </c>
      <c r="Q86" s="467">
        <f t="shared" si="74"/>
        <v>33000</v>
      </c>
      <c r="R86" s="467">
        <f t="shared" si="75"/>
        <v>75000</v>
      </c>
      <c r="S86" s="467">
        <f t="shared" si="76"/>
        <v>95000</v>
      </c>
      <c r="T86" s="467">
        <f t="shared" si="77"/>
        <v>272067.413184</v>
      </c>
      <c r="U86" s="467"/>
      <c r="V86" s="467">
        <f t="shared" si="79"/>
        <v>496067.413184</v>
      </c>
      <c r="W86" s="474">
        <v>12</v>
      </c>
      <c r="X86" s="467">
        <f t="shared" si="80"/>
        <v>41338.9510986667</v>
      </c>
      <c r="Y86" s="470"/>
      <c r="Z86" s="467">
        <f t="shared" si="81"/>
        <v>41338.9510986667</v>
      </c>
      <c r="AA86" s="559">
        <v>53384.0535626667</v>
      </c>
      <c r="AB86" s="555">
        <f t="shared" si="83"/>
        <v>-12045.102464</v>
      </c>
      <c r="AC86" s="213" t="s">
        <v>163</v>
      </c>
      <c r="AD86" s="213"/>
      <c r="AE86" s="213"/>
    </row>
    <row r="87" ht="24" customHeight="1" spans="1:31">
      <c r="A87" s="544">
        <v>75</v>
      </c>
      <c r="B87" s="11" t="s">
        <v>164</v>
      </c>
      <c r="C87" s="467">
        <v>346713.03325</v>
      </c>
      <c r="D87" s="466">
        <v>12</v>
      </c>
      <c r="E87" s="467">
        <f t="shared" si="82"/>
        <v>4160556.399</v>
      </c>
      <c r="F87" s="467">
        <f>'[6]JANUARY 2024'!$V$92*12</f>
        <v>6922.497</v>
      </c>
      <c r="G87" s="470"/>
      <c r="H87" s="470"/>
      <c r="I87" s="467">
        <f t="shared" si="68"/>
        <v>4153633.902</v>
      </c>
      <c r="J87" s="467">
        <v>200000</v>
      </c>
      <c r="K87" s="467">
        <v>0.2</v>
      </c>
      <c r="L87" s="467">
        <f t="shared" si="69"/>
        <v>830726.7804</v>
      </c>
      <c r="M87" s="467">
        <f t="shared" si="70"/>
        <v>1030726.7804</v>
      </c>
      <c r="N87" s="467">
        <f t="shared" si="71"/>
        <v>1037649.2774</v>
      </c>
      <c r="O87" s="467">
        <f t="shared" si="72"/>
        <v>3122907.1216</v>
      </c>
      <c r="P87" s="467">
        <f t="shared" si="73"/>
        <v>21000</v>
      </c>
      <c r="Q87" s="467">
        <f t="shared" si="74"/>
        <v>33000</v>
      </c>
      <c r="R87" s="467">
        <f t="shared" si="75"/>
        <v>75000</v>
      </c>
      <c r="S87" s="467">
        <f t="shared" si="76"/>
        <v>95000</v>
      </c>
      <c r="T87" s="467">
        <f t="shared" si="77"/>
        <v>319810.495536</v>
      </c>
      <c r="U87" s="467"/>
      <c r="V87" s="467">
        <f t="shared" si="79"/>
        <v>543810.495536</v>
      </c>
      <c r="W87" s="474">
        <v>12</v>
      </c>
      <c r="X87" s="467">
        <f t="shared" si="80"/>
        <v>45317.5412946667</v>
      </c>
      <c r="Y87" s="470"/>
      <c r="Z87" s="552">
        <f t="shared" si="81"/>
        <v>45317.5412946667</v>
      </c>
      <c r="AA87" s="552">
        <v>41242.0361406667</v>
      </c>
      <c r="AB87" s="553">
        <f t="shared" si="83"/>
        <v>4075.50515399997</v>
      </c>
      <c r="AC87" s="213" t="s">
        <v>164</v>
      </c>
      <c r="AD87" s="213"/>
      <c r="AE87" s="213"/>
    </row>
    <row r="88" ht="18" spans="1:31">
      <c r="A88" s="544">
        <v>76</v>
      </c>
      <c r="B88" s="11" t="s">
        <v>167</v>
      </c>
      <c r="C88" s="467">
        <v>277734.047</v>
      </c>
      <c r="D88" s="466">
        <v>12</v>
      </c>
      <c r="E88" s="467">
        <f t="shared" ref="E88:E89" si="84">C88*D88</f>
        <v>3332808.564</v>
      </c>
      <c r="F88" s="467"/>
      <c r="G88" s="470"/>
      <c r="H88" s="470"/>
      <c r="I88" s="467">
        <f t="shared" si="68"/>
        <v>3332808.564</v>
      </c>
      <c r="J88" s="467">
        <v>200000</v>
      </c>
      <c r="K88" s="467">
        <v>0.2</v>
      </c>
      <c r="L88" s="467">
        <f t="shared" si="69"/>
        <v>666561.7128</v>
      </c>
      <c r="M88" s="467">
        <f t="shared" si="70"/>
        <v>866561.7128</v>
      </c>
      <c r="N88" s="467">
        <f t="shared" si="71"/>
        <v>866561.7128</v>
      </c>
      <c r="O88" s="467">
        <f t="shared" si="72"/>
        <v>2466246.8512</v>
      </c>
      <c r="P88" s="467">
        <f t="shared" si="73"/>
        <v>21000</v>
      </c>
      <c r="Q88" s="467">
        <f t="shared" si="74"/>
        <v>33000</v>
      </c>
      <c r="R88" s="467">
        <f t="shared" si="75"/>
        <v>75000</v>
      </c>
      <c r="S88" s="467">
        <f t="shared" si="76"/>
        <v>95000</v>
      </c>
      <c r="T88" s="467">
        <f t="shared" si="77"/>
        <v>181911.838752</v>
      </c>
      <c r="U88" s="467"/>
      <c r="V88" s="467">
        <f t="shared" si="79"/>
        <v>405911.838752</v>
      </c>
      <c r="W88" s="474">
        <v>12</v>
      </c>
      <c r="X88" s="467">
        <f t="shared" si="80"/>
        <v>33825.9865626667</v>
      </c>
      <c r="Y88" s="470"/>
      <c r="Z88" s="467">
        <f t="shared" si="81"/>
        <v>33825.9865626667</v>
      </c>
      <c r="AA88" s="547">
        <v>45414.4562526667</v>
      </c>
      <c r="AB88" s="555">
        <f t="shared" ref="AB88:AB89" si="85">Z88-AA88</f>
        <v>-11588.46969</v>
      </c>
      <c r="AC88" s="213" t="s">
        <v>167</v>
      </c>
      <c r="AD88" s="213"/>
      <c r="AE88" s="213"/>
    </row>
    <row r="89" ht="18" spans="1:31">
      <c r="A89" s="544"/>
      <c r="B89" s="11" t="s">
        <v>169</v>
      </c>
      <c r="C89" s="467">
        <v>254870.263445</v>
      </c>
      <c r="D89" s="466">
        <v>12</v>
      </c>
      <c r="E89" s="467">
        <f t="shared" si="84"/>
        <v>3058443.16134</v>
      </c>
      <c r="F89" s="467"/>
      <c r="G89" s="470"/>
      <c r="H89" s="470"/>
      <c r="I89" s="467">
        <f t="shared" si="68"/>
        <v>3058443.16134</v>
      </c>
      <c r="J89" s="467">
        <v>200000</v>
      </c>
      <c r="K89" s="467">
        <v>0.2</v>
      </c>
      <c r="L89" s="467">
        <f t="shared" si="69"/>
        <v>611688.632268</v>
      </c>
      <c r="M89" s="467">
        <f t="shared" si="70"/>
        <v>811688.632268</v>
      </c>
      <c r="N89" s="467">
        <f t="shared" si="71"/>
        <v>811688.632268</v>
      </c>
      <c r="O89" s="467">
        <f t="shared" si="72"/>
        <v>2246754.529072</v>
      </c>
      <c r="P89" s="467">
        <f t="shared" si="73"/>
        <v>21000</v>
      </c>
      <c r="Q89" s="467">
        <f t="shared" si="74"/>
        <v>33000</v>
      </c>
      <c r="R89" s="467">
        <f t="shared" si="75"/>
        <v>75000</v>
      </c>
      <c r="S89" s="467">
        <f t="shared" si="76"/>
        <v>95000</v>
      </c>
      <c r="T89" s="467">
        <f t="shared" si="77"/>
        <v>135818.45110512</v>
      </c>
      <c r="U89" s="467"/>
      <c r="V89" s="467">
        <f t="shared" si="79"/>
        <v>359818.45110512</v>
      </c>
      <c r="W89" s="474">
        <v>12</v>
      </c>
      <c r="X89" s="467">
        <f t="shared" si="80"/>
        <v>29984.8709254267</v>
      </c>
      <c r="Y89" s="470"/>
      <c r="Z89" s="467">
        <f t="shared" si="81"/>
        <v>29984.8709254267</v>
      </c>
      <c r="AA89" s="547">
        <v>33825.9865626667</v>
      </c>
      <c r="AB89" s="555">
        <f t="shared" si="85"/>
        <v>-3841.11563724003</v>
      </c>
      <c r="AC89" s="213" t="s">
        <v>169</v>
      </c>
      <c r="AD89" s="213"/>
      <c r="AE89" s="213"/>
    </row>
    <row r="90" ht="17.5" spans="1:31">
      <c r="A90" s="54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67"/>
      <c r="AA90" s="213"/>
      <c r="AB90" s="558">
        <f>SUM(AB80:AB89)</f>
        <v>-69172.0682212403</v>
      </c>
      <c r="AC90" s="213"/>
      <c r="AD90" s="213"/>
      <c r="AE90" s="213"/>
    </row>
    <row r="91" ht="17.5" spans="1:31">
      <c r="A91" s="54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67"/>
      <c r="AA91" s="213"/>
      <c r="AB91" s="213"/>
      <c r="AC91" s="213"/>
      <c r="AD91" s="213"/>
      <c r="AE91" s="213"/>
    </row>
    <row r="92" ht="17.5" spans="1:31">
      <c r="A92" s="544">
        <v>78</v>
      </c>
      <c r="B92" s="20" t="s">
        <v>172</v>
      </c>
      <c r="C92" s="467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C92" s="213"/>
      <c r="AD92" s="213"/>
      <c r="AE92" s="213"/>
    </row>
    <row r="93" s="537" customFormat="1" ht="18" spans="1:31">
      <c r="A93" s="548">
        <v>79</v>
      </c>
      <c r="B93" s="14" t="s">
        <v>173</v>
      </c>
      <c r="C93" s="467">
        <v>541465.02475</v>
      </c>
      <c r="D93" s="466">
        <v>12</v>
      </c>
      <c r="E93" s="467">
        <f>C93*D93</f>
        <v>6497580.297</v>
      </c>
      <c r="F93" s="467">
        <f>'[6]JANUARY 2024'!$V$98*12</f>
        <v>12795.951</v>
      </c>
      <c r="G93" s="470"/>
      <c r="H93" s="470"/>
      <c r="I93" s="467">
        <f>E93-F93-G93-H93</f>
        <v>6484784.346</v>
      </c>
      <c r="J93" s="467">
        <v>200000</v>
      </c>
      <c r="K93" s="467">
        <v>0.2</v>
      </c>
      <c r="L93" s="467">
        <f>I93*K93</f>
        <v>1296956.8692</v>
      </c>
      <c r="M93" s="467">
        <f>J93+L93</f>
        <v>1496956.8692</v>
      </c>
      <c r="N93" s="467">
        <f>F93+G93+H93+M93</f>
        <v>1509752.8202</v>
      </c>
      <c r="O93" s="467">
        <f>E93-N93</f>
        <v>4987827.4768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429078.594432</v>
      </c>
      <c r="V93" s="467">
        <f>P93+Q93+R93+S93+T93+U93</f>
        <v>989078.594432</v>
      </c>
      <c r="W93" s="474">
        <v>12</v>
      </c>
      <c r="X93" s="467">
        <f>V93/W93</f>
        <v>82423.2162026667</v>
      </c>
      <c r="Y93" s="470"/>
      <c r="Z93" s="467">
        <f>X93</f>
        <v>82423.2162026667</v>
      </c>
      <c r="AA93" s="213">
        <v>82423.2162026667</v>
      </c>
      <c r="AB93" s="555">
        <f>Z93-AA93</f>
        <v>0</v>
      </c>
      <c r="AC93" s="556" t="s">
        <v>173</v>
      </c>
      <c r="AD93" s="556"/>
      <c r="AE93" s="556"/>
    </row>
    <row r="94" ht="18" spans="1:31">
      <c r="A94" s="544">
        <v>80</v>
      </c>
      <c r="B94" s="11" t="s">
        <v>176</v>
      </c>
      <c r="C94" s="467">
        <v>335272.06375</v>
      </c>
      <c r="D94" s="466">
        <v>12</v>
      </c>
      <c r="E94" s="467">
        <f t="shared" ref="E94:E96" si="86">C94*D94</f>
        <v>4023264.765</v>
      </c>
      <c r="F94" s="467"/>
      <c r="G94" s="470"/>
      <c r="H94" s="470"/>
      <c r="I94" s="467">
        <f>E94-F94-G94-H94</f>
        <v>4023264.765</v>
      </c>
      <c r="J94" s="467">
        <v>200000</v>
      </c>
      <c r="K94" s="467">
        <v>0.2</v>
      </c>
      <c r="L94" s="467">
        <f>I94*K94</f>
        <v>804652.953</v>
      </c>
      <c r="M94" s="467">
        <f>J94+L94</f>
        <v>1004652.953</v>
      </c>
      <c r="N94" s="467">
        <f>F94+G94+H94+M94</f>
        <v>1004652.953</v>
      </c>
      <c r="O94" s="467">
        <f>E94-N94</f>
        <v>3018611.812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297908.48052</v>
      </c>
      <c r="U94" s="467"/>
      <c r="V94" s="467">
        <f>P94+Q94+R94+S94+T94+U94</f>
        <v>521908.48052</v>
      </c>
      <c r="W94" s="474">
        <v>12</v>
      </c>
      <c r="X94" s="467">
        <f>V94/W94</f>
        <v>43492.3733766667</v>
      </c>
      <c r="Y94" s="470"/>
      <c r="Z94" s="467">
        <f>X94</f>
        <v>43492.3733766667</v>
      </c>
      <c r="AA94" s="556">
        <v>82627.9514186667</v>
      </c>
      <c r="AB94" s="555">
        <f t="shared" ref="AB94:AB96" si="87">Z94-AA94</f>
        <v>-39135.578042</v>
      </c>
      <c r="AC94" s="213" t="s">
        <v>176</v>
      </c>
      <c r="AD94" s="213"/>
      <c r="AE94" s="213"/>
    </row>
    <row r="95" ht="18" spans="1:31">
      <c r="A95" s="544">
        <v>81</v>
      </c>
      <c r="B95" s="11" t="s">
        <v>180</v>
      </c>
      <c r="C95" s="467">
        <v>284536.9985</v>
      </c>
      <c r="D95" s="466">
        <v>12</v>
      </c>
      <c r="E95" s="467">
        <f t="shared" si="86"/>
        <v>3414443.982</v>
      </c>
      <c r="F95" s="467"/>
      <c r="G95" s="470"/>
      <c r="H95" s="470"/>
      <c r="I95" s="467">
        <f>E95-F95-G95-H95</f>
        <v>3414443.982</v>
      </c>
      <c r="J95" s="467">
        <v>200000</v>
      </c>
      <c r="K95" s="467">
        <v>0.2</v>
      </c>
      <c r="L95" s="467">
        <f>I95*K95</f>
        <v>682888.7964</v>
      </c>
      <c r="M95" s="467">
        <f>J95+L95</f>
        <v>882888.7964</v>
      </c>
      <c r="N95" s="467">
        <f>F95+G95+H95+M95</f>
        <v>882888.7964</v>
      </c>
      <c r="O95" s="467">
        <f>E95-N95</f>
        <v>2531555.1856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195626.588976</v>
      </c>
      <c r="U95" s="467"/>
      <c r="V95" s="467">
        <f>P95+Q95+R95+S95+T95+U95</f>
        <v>419626.588976</v>
      </c>
      <c r="W95" s="474">
        <v>12</v>
      </c>
      <c r="X95" s="467">
        <f>V95/W95</f>
        <v>34968.8824146667</v>
      </c>
      <c r="Y95" s="470"/>
      <c r="Z95" s="467">
        <f>X95</f>
        <v>34968.8824146667</v>
      </c>
      <c r="AA95" s="213">
        <v>43492.3733766667</v>
      </c>
      <c r="AB95" s="555">
        <f t="shared" si="87"/>
        <v>-8523.49096200003</v>
      </c>
      <c r="AC95" s="213" t="s">
        <v>180</v>
      </c>
      <c r="AD95" s="213"/>
      <c r="AE95" s="213"/>
    </row>
    <row r="96" ht="18" spans="1:31">
      <c r="A96" s="544"/>
      <c r="B96" s="11" t="s">
        <v>182</v>
      </c>
      <c r="C96" s="467">
        <v>237734.047</v>
      </c>
      <c r="D96" s="466">
        <v>12</v>
      </c>
      <c r="E96" s="467">
        <f t="shared" si="86"/>
        <v>2852808.564</v>
      </c>
      <c r="F96" s="467"/>
      <c r="G96" s="470"/>
      <c r="H96" s="470"/>
      <c r="I96" s="467">
        <f>E96-F96-G96-H96</f>
        <v>2852808.564</v>
      </c>
      <c r="J96" s="467">
        <v>200000</v>
      </c>
      <c r="K96" s="467">
        <v>0.2</v>
      </c>
      <c r="L96" s="467">
        <f>I96*K96</f>
        <v>570561.7128</v>
      </c>
      <c r="M96" s="467">
        <f>J96+L96</f>
        <v>770561.7128</v>
      </c>
      <c r="N96" s="467">
        <f>F96+G96+H96+M96</f>
        <v>770561.7128</v>
      </c>
      <c r="O96" s="467">
        <f>E96-N96</f>
        <v>2082246.8512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101271.838752</v>
      </c>
      <c r="U96" s="467"/>
      <c r="V96" s="467">
        <f>P96+Q96+R96+S96+T96+U96</f>
        <v>325271.838752</v>
      </c>
      <c r="W96" s="474">
        <v>12</v>
      </c>
      <c r="X96" s="467">
        <f>V96/W96</f>
        <v>27105.9865626667</v>
      </c>
      <c r="Y96" s="470"/>
      <c r="Z96" s="467">
        <f>X96</f>
        <v>27105.9865626667</v>
      </c>
      <c r="AA96" s="213">
        <v>34968.8824146667</v>
      </c>
      <c r="AB96" s="555">
        <f t="shared" si="87"/>
        <v>-7862.89585200003</v>
      </c>
      <c r="AC96" s="213" t="s">
        <v>182</v>
      </c>
      <c r="AD96" s="213"/>
      <c r="AE96" s="213"/>
    </row>
    <row r="97" ht="17.5" spans="1:31">
      <c r="A97" s="544"/>
      <c r="B97" s="20" t="s">
        <v>96</v>
      </c>
      <c r="C97" s="467"/>
      <c r="D97" s="466"/>
      <c r="E97" s="467"/>
      <c r="F97" s="467"/>
      <c r="G97" s="470"/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67"/>
      <c r="AA97" s="213"/>
      <c r="AB97" s="558">
        <f>SUM(AB93:AB96)</f>
        <v>-55521.9648560001</v>
      </c>
      <c r="AC97" s="213"/>
      <c r="AD97" s="213"/>
      <c r="AE97" s="213"/>
    </row>
    <row r="98" ht="17.5" spans="1:31">
      <c r="A98" s="544">
        <v>83</v>
      </c>
      <c r="B98" s="22"/>
      <c r="C98" s="467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C98" s="213"/>
      <c r="AD98" s="213"/>
      <c r="AE98" s="213"/>
    </row>
    <row r="99" ht="35" spans="1:31">
      <c r="A99" s="544">
        <v>84</v>
      </c>
      <c r="B99" s="20" t="s">
        <v>184</v>
      </c>
      <c r="C99" s="467"/>
      <c r="D99" s="296"/>
      <c r="E99" s="296"/>
      <c r="F99" s="296"/>
      <c r="G99" s="296"/>
      <c r="H99" s="296"/>
      <c r="I99" s="296"/>
      <c r="J99" s="296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B99" t="s">
        <v>518</v>
      </c>
      <c r="AC99" s="213"/>
      <c r="AD99" s="213"/>
      <c r="AE99" s="213"/>
    </row>
    <row r="100" ht="18" spans="1:31">
      <c r="A100" s="544">
        <v>85</v>
      </c>
      <c r="B100" s="11" t="s">
        <v>185</v>
      </c>
      <c r="C100" s="467">
        <v>1050209.0635</v>
      </c>
      <c r="D100" s="466">
        <v>12</v>
      </c>
      <c r="E100" s="467">
        <f>C100*D100</f>
        <v>12602508.762</v>
      </c>
      <c r="F100" s="467"/>
      <c r="G100" s="470"/>
      <c r="H100" s="470"/>
      <c r="I100" s="467">
        <f t="shared" ref="I100:I105" si="88">E100-F100-G100-H100</f>
        <v>12602508.762</v>
      </c>
      <c r="J100" s="467">
        <v>200000</v>
      </c>
      <c r="K100" s="467">
        <v>0.2</v>
      </c>
      <c r="L100" s="467">
        <f t="shared" ref="L100:L106" si="89">I100*K100</f>
        <v>2520501.7524</v>
      </c>
      <c r="M100" s="467">
        <f t="shared" ref="M100:M106" si="90">J100+L100</f>
        <v>2720501.7524</v>
      </c>
      <c r="N100" s="467">
        <f t="shared" ref="N100:N105" si="91">F100+G100+H100+M100</f>
        <v>2720501.7524</v>
      </c>
      <c r="O100" s="467">
        <f t="shared" ref="O100:O106" si="92">E100-N100</f>
        <v>9882007.0096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1603681.682304</v>
      </c>
      <c r="V100" s="467">
        <f t="shared" ref="V100:V106" si="98">P100+Q100+R100+S100+T100+U100</f>
        <v>2163681.682304</v>
      </c>
      <c r="W100" s="474">
        <v>12</v>
      </c>
      <c r="X100" s="467">
        <f t="shared" ref="X100:X106" si="99">V100/W100</f>
        <v>180306.806858667</v>
      </c>
      <c r="Y100" s="470"/>
      <c r="Z100" s="467">
        <f t="shared" ref="Z100:Z106" si="100">X100</f>
        <v>180306.806858667</v>
      </c>
      <c r="AA100" s="213">
        <v>180306.806858667</v>
      </c>
      <c r="AB100" s="555">
        <f>Z100-AA100</f>
        <v>-3.78349795937538e-10</v>
      </c>
      <c r="AC100" s="213" t="s">
        <v>185</v>
      </c>
      <c r="AD100" s="213"/>
      <c r="AE100" s="213"/>
    </row>
    <row r="101" ht="18" spans="1:31">
      <c r="A101" s="544">
        <v>86</v>
      </c>
      <c r="B101" s="11" t="s">
        <v>187</v>
      </c>
      <c r="C101" s="467">
        <v>631465.02475</v>
      </c>
      <c r="D101" s="466">
        <v>12</v>
      </c>
      <c r="E101" s="467">
        <f t="shared" ref="E101:E106" si="101">C101*D101</f>
        <v>7577580.297</v>
      </c>
      <c r="F101" s="467">
        <f>'[6]JANUARY 2024'!$V$106*12</f>
        <v>12795.951</v>
      </c>
      <c r="G101" s="470"/>
      <c r="H101" s="470"/>
      <c r="I101" s="467">
        <f t="shared" si="88"/>
        <v>7564784.346</v>
      </c>
      <c r="J101" s="467">
        <v>200000</v>
      </c>
      <c r="K101" s="467">
        <v>0.2</v>
      </c>
      <c r="L101" s="467">
        <f t="shared" si="89"/>
        <v>1512956.8692</v>
      </c>
      <c r="M101" s="467">
        <f t="shared" si="90"/>
        <v>1712956.8692</v>
      </c>
      <c r="N101" s="467">
        <f t="shared" si="91"/>
        <v>1725752.8202</v>
      </c>
      <c r="O101" s="467">
        <f t="shared" si="92"/>
        <v>5851827.4768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636438.594432</v>
      </c>
      <c r="V101" s="467">
        <f t="shared" si="98"/>
        <v>1196438.594432</v>
      </c>
      <c r="W101" s="474">
        <v>12</v>
      </c>
      <c r="X101" s="467">
        <f t="shared" si="99"/>
        <v>99703.2162026667</v>
      </c>
      <c r="Y101" s="470"/>
      <c r="Z101" s="467">
        <f t="shared" si="100"/>
        <v>99703.2162026667</v>
      </c>
      <c r="AA101" s="213">
        <v>99703.2162026667</v>
      </c>
      <c r="AB101" s="555">
        <f t="shared" ref="AB101:AB106" si="102">Z101-AA101</f>
        <v>0</v>
      </c>
      <c r="AC101" s="213" t="s">
        <v>187</v>
      </c>
      <c r="AD101" s="213"/>
      <c r="AE101" s="213"/>
    </row>
    <row r="102" ht="18" spans="1:31">
      <c r="A102" s="544">
        <v>87</v>
      </c>
      <c r="B102" s="11" t="s">
        <v>190</v>
      </c>
      <c r="C102" s="467">
        <v>418096.016025</v>
      </c>
      <c r="D102" s="466">
        <v>12</v>
      </c>
      <c r="E102" s="467">
        <f t="shared" si="101"/>
        <v>5017152.1923</v>
      </c>
      <c r="F102" s="467">
        <f>'[6]JANUARY 2024'!$V$107*12</f>
        <v>7901.79</v>
      </c>
      <c r="G102" s="470"/>
      <c r="H102" s="470"/>
      <c r="I102" s="467">
        <f t="shared" si="88"/>
        <v>5009250.4023</v>
      </c>
      <c r="J102" s="467">
        <v>200000</v>
      </c>
      <c r="K102" s="467">
        <v>0.2</v>
      </c>
      <c r="L102" s="467">
        <f t="shared" si="89"/>
        <v>1001850.08046</v>
      </c>
      <c r="M102" s="467">
        <f t="shared" si="90"/>
        <v>1201850.08046</v>
      </c>
      <c r="N102" s="467">
        <f t="shared" si="91"/>
        <v>1209751.87046</v>
      </c>
      <c r="O102" s="467">
        <f t="shared" si="92"/>
        <v>3807400.32184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145776.0772416</v>
      </c>
      <c r="V102" s="467">
        <f t="shared" si="98"/>
        <v>705776.0772416</v>
      </c>
      <c r="W102" s="474">
        <v>12</v>
      </c>
      <c r="X102" s="467">
        <f t="shared" si="99"/>
        <v>58814.6731034667</v>
      </c>
      <c r="Y102" s="470"/>
      <c r="Z102" s="467">
        <f t="shared" si="100"/>
        <v>58814.6731034667</v>
      </c>
      <c r="AA102" s="213">
        <v>180180.378218667</v>
      </c>
      <c r="AB102" s="555">
        <f t="shared" si="102"/>
        <v>-121365.7051152</v>
      </c>
      <c r="AC102" s="213" t="s">
        <v>190</v>
      </c>
      <c r="AD102" s="213"/>
      <c r="AE102" s="213"/>
    </row>
    <row r="103" ht="18" spans="1:31">
      <c r="A103" s="544">
        <v>88</v>
      </c>
      <c r="B103" s="11" t="s">
        <v>193</v>
      </c>
      <c r="C103" s="467">
        <v>416483.194155</v>
      </c>
      <c r="D103" s="466">
        <v>12</v>
      </c>
      <c r="E103" s="467">
        <f t="shared" si="101"/>
        <v>4997798.32986</v>
      </c>
      <c r="F103" s="467"/>
      <c r="G103" s="470"/>
      <c r="H103" s="470"/>
      <c r="I103" s="467">
        <f t="shared" si="88"/>
        <v>4997798.32986</v>
      </c>
      <c r="J103" s="467">
        <v>200000</v>
      </c>
      <c r="K103" s="467">
        <v>0.2</v>
      </c>
      <c r="L103" s="467">
        <f t="shared" si="89"/>
        <v>999559.665972</v>
      </c>
      <c r="M103" s="467">
        <f t="shared" si="90"/>
        <v>1199559.665972</v>
      </c>
      <c r="N103" s="467">
        <f t="shared" si="91"/>
        <v>1199559.665972</v>
      </c>
      <c r="O103" s="467">
        <f t="shared" si="92"/>
        <v>3798238.663888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143577.27933312</v>
      </c>
      <c r="V103" s="467">
        <f t="shared" si="98"/>
        <v>703577.27933312</v>
      </c>
      <c r="W103" s="474">
        <v>12</v>
      </c>
      <c r="X103" s="467">
        <f t="shared" si="99"/>
        <v>58631.4399444267</v>
      </c>
      <c r="Y103" s="470"/>
      <c r="Z103" s="467">
        <f t="shared" si="100"/>
        <v>58631.4399444267</v>
      </c>
      <c r="AA103" s="213">
        <v>99907.9514186667</v>
      </c>
      <c r="AB103" s="555">
        <f t="shared" si="102"/>
        <v>-41276.51147424</v>
      </c>
      <c r="AC103" s="213" t="s">
        <v>193</v>
      </c>
      <c r="AD103" s="213"/>
      <c r="AE103" s="213"/>
    </row>
    <row r="104" ht="18" spans="1:31">
      <c r="A104" s="544">
        <v>89</v>
      </c>
      <c r="B104" s="11" t="s">
        <v>194</v>
      </c>
      <c r="C104" s="467">
        <v>266099.21748</v>
      </c>
      <c r="D104" s="466">
        <v>12</v>
      </c>
      <c r="E104" s="467">
        <f t="shared" si="101"/>
        <v>3193190.60976</v>
      </c>
      <c r="F104" s="467"/>
      <c r="G104" s="470"/>
      <c r="H104" s="470"/>
      <c r="I104" s="467">
        <f t="shared" si="88"/>
        <v>3193190.60976</v>
      </c>
      <c r="J104" s="467">
        <v>200000</v>
      </c>
      <c r="K104" s="467">
        <v>0.2</v>
      </c>
      <c r="L104" s="467">
        <f t="shared" si="89"/>
        <v>638638.121952</v>
      </c>
      <c r="M104" s="467">
        <f t="shared" si="90"/>
        <v>838638.121952</v>
      </c>
      <c r="N104" s="467">
        <f t="shared" si="91"/>
        <v>838638.121952</v>
      </c>
      <c r="O104" s="467">
        <f t="shared" si="92"/>
        <v>2354552.487808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158456.02243968</v>
      </c>
      <c r="U104" s="467"/>
      <c r="V104" s="467">
        <f t="shared" si="98"/>
        <v>382456.02243968</v>
      </c>
      <c r="W104" s="474">
        <v>12</v>
      </c>
      <c r="X104" s="467">
        <f t="shared" si="99"/>
        <v>31871.3352033067</v>
      </c>
      <c r="Y104" s="470"/>
      <c r="Z104" s="467">
        <f t="shared" si="100"/>
        <v>31871.3352033067</v>
      </c>
      <c r="AA104" s="213">
        <v>58941.1017434667</v>
      </c>
      <c r="AB104" s="555">
        <f t="shared" si="102"/>
        <v>-27069.76654016</v>
      </c>
      <c r="AC104" s="213" t="s">
        <v>194</v>
      </c>
      <c r="AD104" s="213"/>
      <c r="AE104" s="213"/>
    </row>
    <row r="105" ht="36" spans="1:31">
      <c r="A105" s="544"/>
      <c r="B105" s="18" t="s">
        <v>197</v>
      </c>
      <c r="C105" s="467">
        <v>262229.041</v>
      </c>
      <c r="D105" s="466">
        <v>12</v>
      </c>
      <c r="E105" s="467">
        <f t="shared" si="101"/>
        <v>3146748.492</v>
      </c>
      <c r="F105" s="467"/>
      <c r="G105" s="470"/>
      <c r="H105" s="470"/>
      <c r="I105" s="467">
        <f t="shared" si="88"/>
        <v>3146748.492</v>
      </c>
      <c r="J105" s="467">
        <v>200000</v>
      </c>
      <c r="K105" s="467">
        <v>0.2</v>
      </c>
      <c r="L105" s="467">
        <f t="shared" si="89"/>
        <v>629349.6984</v>
      </c>
      <c r="M105" s="467">
        <f t="shared" si="90"/>
        <v>829349.6984</v>
      </c>
      <c r="N105" s="467">
        <f t="shared" si="91"/>
        <v>829349.6984</v>
      </c>
      <c r="O105" s="467">
        <f t="shared" si="92"/>
        <v>2317398.7936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150653.746656</v>
      </c>
      <c r="U105" s="467"/>
      <c r="V105" s="467">
        <f t="shared" si="98"/>
        <v>374653.746656</v>
      </c>
      <c r="W105" s="474">
        <v>12</v>
      </c>
      <c r="X105" s="467">
        <f t="shared" si="99"/>
        <v>31221.1455546667</v>
      </c>
      <c r="Y105" s="470"/>
      <c r="Z105" s="467">
        <f t="shared" si="100"/>
        <v>31221.1455546667</v>
      </c>
      <c r="AA105" s="213">
        <v>58631.4399444267</v>
      </c>
      <c r="AB105" s="555">
        <f t="shared" si="102"/>
        <v>-27410.29438976</v>
      </c>
      <c r="AC105" s="213" t="s">
        <v>197</v>
      </c>
      <c r="AD105" s="213"/>
      <c r="AE105" s="213"/>
    </row>
    <row r="106" ht="18" spans="1:31">
      <c r="A106" s="544"/>
      <c r="B106" s="18" t="s">
        <v>199</v>
      </c>
      <c r="C106" s="467">
        <v>254870.263445</v>
      </c>
      <c r="D106" s="466">
        <v>12</v>
      </c>
      <c r="E106" s="467">
        <f t="shared" si="101"/>
        <v>3058443.16134</v>
      </c>
      <c r="F106" s="296"/>
      <c r="G106" s="470"/>
      <c r="H106" s="470"/>
      <c r="I106" s="467">
        <f>E106-F107-G106-H106</f>
        <v>3058443.16134</v>
      </c>
      <c r="J106" s="467">
        <v>200000</v>
      </c>
      <c r="K106" s="467">
        <v>0.2</v>
      </c>
      <c r="L106" s="467">
        <f t="shared" si="89"/>
        <v>611688.632268</v>
      </c>
      <c r="M106" s="467">
        <f t="shared" si="90"/>
        <v>811688.632268</v>
      </c>
      <c r="N106" s="467">
        <f>F107+G106+H106+M106</f>
        <v>811688.632268</v>
      </c>
      <c r="O106" s="467">
        <f t="shared" si="92"/>
        <v>2246754.529072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135818.45110512</v>
      </c>
      <c r="U106" s="467"/>
      <c r="V106" s="467">
        <f t="shared" si="98"/>
        <v>359818.45110512</v>
      </c>
      <c r="W106" s="474">
        <v>12</v>
      </c>
      <c r="X106" s="467">
        <f t="shared" si="99"/>
        <v>29984.8709254267</v>
      </c>
      <c r="Y106" s="470"/>
      <c r="Z106" s="467">
        <f t="shared" si="100"/>
        <v>29984.8709254267</v>
      </c>
      <c r="AA106" s="213">
        <v>31871.3352033067</v>
      </c>
      <c r="AB106" s="555">
        <f t="shared" si="102"/>
        <v>-1886.46427788003</v>
      </c>
      <c r="AC106" s="213" t="s">
        <v>199</v>
      </c>
      <c r="AD106" s="213"/>
      <c r="AE106" s="213"/>
    </row>
    <row r="107" ht="17.5" spans="1:31">
      <c r="A107" s="544"/>
      <c r="B107" s="20" t="s">
        <v>96</v>
      </c>
      <c r="C107" s="467"/>
      <c r="D107" s="466"/>
      <c r="E107" s="467"/>
      <c r="F107" s="467"/>
      <c r="G107" s="470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67"/>
      <c r="AA107" s="213"/>
      <c r="AB107" s="558">
        <f>SUM(AB100:AB106)</f>
        <v>-219008.741797241</v>
      </c>
      <c r="AC107" s="213"/>
      <c r="AD107" s="213"/>
      <c r="AE107" s="213"/>
    </row>
    <row r="108" ht="17.5" spans="1:31">
      <c r="A108" s="544">
        <v>90</v>
      </c>
      <c r="B108" s="20"/>
      <c r="C108" s="467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467"/>
      <c r="V108" s="296"/>
      <c r="W108" s="296"/>
      <c r="X108" s="296"/>
      <c r="Y108" s="296"/>
      <c r="Z108" s="296"/>
      <c r="AC108" s="213"/>
      <c r="AD108" s="213"/>
      <c r="AE108" s="213"/>
    </row>
    <row r="109" ht="35" spans="1:31">
      <c r="A109" s="544">
        <v>91</v>
      </c>
      <c r="B109" s="20" t="s">
        <v>200</v>
      </c>
      <c r="C109" s="467"/>
      <c r="D109" s="296"/>
      <c r="E109" s="296"/>
      <c r="F109" s="296"/>
      <c r="G109" s="296"/>
      <c r="H109" s="296"/>
      <c r="I109" s="296"/>
      <c r="J109" s="296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467"/>
      <c r="V109" s="296"/>
      <c r="W109" s="296"/>
      <c r="X109" s="296"/>
      <c r="Y109" s="296"/>
      <c r="Z109" s="296"/>
      <c r="AC109" s="213"/>
      <c r="AD109" s="213"/>
      <c r="AE109" s="213"/>
    </row>
    <row r="110" ht="36" spans="1:31">
      <c r="A110" s="544">
        <v>92</v>
      </c>
      <c r="B110" s="14" t="s">
        <v>201</v>
      </c>
      <c r="C110" s="467">
        <v>516137.05</v>
      </c>
      <c r="D110" s="466">
        <v>12</v>
      </c>
      <c r="E110" s="467">
        <f>C110*D110</f>
        <v>6193644.6</v>
      </c>
      <c r="F110" s="467">
        <f>'[6]JANUARY 2024'!$V$115*12</f>
        <v>9678.96</v>
      </c>
      <c r="G110" s="470"/>
      <c r="H110" s="470"/>
      <c r="I110" s="467">
        <f>E110-F110-G110-H110</f>
        <v>6183965.64</v>
      </c>
      <c r="J110" s="467">
        <v>200000</v>
      </c>
      <c r="K110" s="467">
        <v>0.2</v>
      </c>
      <c r="L110" s="467">
        <f>I110*K110</f>
        <v>1236793.128</v>
      </c>
      <c r="M110" s="467">
        <f>J110+L110</f>
        <v>1436793.128</v>
      </c>
      <c r="N110" s="467">
        <f>F110+G110+H110+M110</f>
        <v>1446472.088</v>
      </c>
      <c r="O110" s="467">
        <f>E110-N110</f>
        <v>4747172.512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31" si="103">0.24*(O110-3200000)</f>
        <v>371321.40288</v>
      </c>
      <c r="V110" s="467">
        <f>P110+Q110+R110+S110+T110+U110</f>
        <v>931321.40288</v>
      </c>
      <c r="W110" s="474">
        <v>12</v>
      </c>
      <c r="X110" s="467">
        <f>V110/W110</f>
        <v>77610.1169066667</v>
      </c>
      <c r="Y110" s="470"/>
      <c r="Z110" s="467">
        <f>X110</f>
        <v>77610.1169066667</v>
      </c>
      <c r="AA110" s="213">
        <v>77610.1169066667</v>
      </c>
      <c r="AB110" s="213">
        <f>Z110-AA110</f>
        <v>0</v>
      </c>
      <c r="AC110" s="213"/>
      <c r="AD110" s="213"/>
      <c r="AE110" s="213"/>
    </row>
    <row r="111" ht="18" spans="1:31">
      <c r="A111" s="544">
        <v>93</v>
      </c>
      <c r="B111" s="11" t="s">
        <v>202</v>
      </c>
      <c r="C111" s="467">
        <v>334536.9985</v>
      </c>
      <c r="D111" s="466">
        <v>12</v>
      </c>
      <c r="E111" s="467">
        <f t="shared" ref="E111:E112" si="104">C111*D111</f>
        <v>4014443.982</v>
      </c>
      <c r="F111" s="467"/>
      <c r="G111" s="470"/>
      <c r="H111" s="470"/>
      <c r="I111" s="467">
        <f>E111-F111-G111-H111</f>
        <v>4014443.982</v>
      </c>
      <c r="J111" s="467">
        <v>200000</v>
      </c>
      <c r="K111" s="467">
        <v>0.2</v>
      </c>
      <c r="L111" s="467">
        <f>I111*K111</f>
        <v>802888.7964</v>
      </c>
      <c r="M111" s="467">
        <f>J111+L111</f>
        <v>1002888.7964</v>
      </c>
      <c r="N111" s="467">
        <f>F111+G111+H111+M111</f>
        <v>1002888.7964</v>
      </c>
      <c r="O111" s="467">
        <f>E111-N111</f>
        <v>3011555.1856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296426.588976</v>
      </c>
      <c r="U111" s="467"/>
      <c r="V111" s="467">
        <f>P111+Q111+R111+S111+T111+U111</f>
        <v>520426.588976</v>
      </c>
      <c r="W111" s="474">
        <v>12</v>
      </c>
      <c r="X111" s="467">
        <f>V111/W111</f>
        <v>43368.8824146667</v>
      </c>
      <c r="Y111" s="470"/>
      <c r="Z111" s="467">
        <f>X111</f>
        <v>43368.8824146667</v>
      </c>
      <c r="AA111" s="213">
        <v>43368.8824146667</v>
      </c>
      <c r="AB111" s="213">
        <f t="shared" ref="AB111:AB112" si="105">Z111-AA111</f>
        <v>0</v>
      </c>
      <c r="AC111" s="213"/>
      <c r="AD111" s="213"/>
      <c r="AE111" s="213"/>
    </row>
    <row r="112" ht="18" spans="1:31">
      <c r="A112" s="544">
        <v>94</v>
      </c>
      <c r="B112" s="11" t="s">
        <v>204</v>
      </c>
      <c r="C112" s="473">
        <v>286619.99875</v>
      </c>
      <c r="D112" s="466">
        <v>12</v>
      </c>
      <c r="E112" s="467">
        <f t="shared" si="104"/>
        <v>3439439.985</v>
      </c>
      <c r="F112" s="467">
        <f>'[6]JANUARY 2024'!$V$117*12</f>
        <v>6919.455</v>
      </c>
      <c r="G112" s="470"/>
      <c r="H112" s="470"/>
      <c r="I112" s="467">
        <f>E112-F112-G112-H112</f>
        <v>3432520.53</v>
      </c>
      <c r="J112" s="467">
        <v>200000</v>
      </c>
      <c r="K112" s="467">
        <v>0.2</v>
      </c>
      <c r="L112" s="467">
        <f>I112*K112</f>
        <v>686504.106</v>
      </c>
      <c r="M112" s="467">
        <f>J112+L112</f>
        <v>886504.106</v>
      </c>
      <c r="N112" s="467">
        <f>F112+G112+H112+M112</f>
        <v>893423.561</v>
      </c>
      <c r="O112" s="467">
        <f>E112-N112</f>
        <v>2546016.424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198663.44904</v>
      </c>
      <c r="U112" s="467"/>
      <c r="V112" s="467">
        <f>P112+Q112+R112+S112+T112+U112</f>
        <v>422663.44904</v>
      </c>
      <c r="W112" s="474">
        <v>12</v>
      </c>
      <c r="X112" s="467">
        <f>V112/W112</f>
        <v>35221.9540866667</v>
      </c>
      <c r="Y112" s="470"/>
      <c r="Z112" s="467">
        <f>X112</f>
        <v>35221.9540866667</v>
      </c>
      <c r="AA112" s="213">
        <v>35221.9540866667</v>
      </c>
      <c r="AB112" s="213">
        <f t="shared" si="105"/>
        <v>0</v>
      </c>
      <c r="AC112" s="213"/>
      <c r="AD112" s="213"/>
      <c r="AE112" s="213"/>
    </row>
    <row r="113" s="537" customFormat="1" ht="17.5" spans="1:31">
      <c r="A113" s="548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67"/>
      <c r="AA113" s="479"/>
      <c r="AB113" s="213"/>
      <c r="AC113" s="556"/>
      <c r="AD113" s="556"/>
      <c r="AE113" s="556"/>
    </row>
    <row r="114" s="537" customFormat="1" ht="17.5" spans="1:31">
      <c r="A114" s="548">
        <v>96</v>
      </c>
      <c r="B114" s="22"/>
      <c r="C114" s="467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467"/>
      <c r="V114" s="296"/>
      <c r="W114" s="296"/>
      <c r="X114" s="296"/>
      <c r="Y114" s="296"/>
      <c r="Z114" s="296"/>
      <c r="AA114" s="296"/>
      <c r="AC114" s="556"/>
      <c r="AD114" s="556"/>
      <c r="AE114" s="556"/>
    </row>
    <row r="115" ht="17.5" spans="1:31">
      <c r="A115" s="544">
        <v>97</v>
      </c>
      <c r="B115" s="20" t="s">
        <v>213</v>
      </c>
      <c r="C115" s="467"/>
      <c r="D115" s="296"/>
      <c r="E115" s="296"/>
      <c r="F115" s="296"/>
      <c r="G115" s="296"/>
      <c r="H115" s="296"/>
      <c r="I115" s="296"/>
      <c r="J115" s="296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467"/>
      <c r="V115" s="296"/>
      <c r="W115" s="296"/>
      <c r="X115" s="296"/>
      <c r="Y115" s="296"/>
      <c r="Z115" s="296"/>
      <c r="AA115" s="296"/>
      <c r="AC115" s="213"/>
      <c r="AD115" s="213"/>
      <c r="AE115" s="213"/>
    </row>
    <row r="116" ht="18" spans="1:31">
      <c r="A116" s="544">
        <v>98</v>
      </c>
      <c r="B116" s="11" t="s">
        <v>214</v>
      </c>
      <c r="C116" s="467">
        <v>1050209.0635</v>
      </c>
      <c r="D116" s="466">
        <v>12</v>
      </c>
      <c r="E116" s="467">
        <f>C116*D116</f>
        <v>12602508.762</v>
      </c>
      <c r="F116" s="467">
        <f>2043.5005*12</f>
        <v>24522.006</v>
      </c>
      <c r="G116" s="470"/>
      <c r="H116" s="470"/>
      <c r="I116" s="467">
        <f>E116-F116-G116-H116</f>
        <v>12577986.756</v>
      </c>
      <c r="J116" s="467">
        <v>200000</v>
      </c>
      <c r="K116" s="467">
        <v>0.2</v>
      </c>
      <c r="L116" s="467">
        <f>I116*K116</f>
        <v>2515597.3512</v>
      </c>
      <c r="M116" s="467">
        <f>J116+L116</f>
        <v>2715597.3512</v>
      </c>
      <c r="N116" s="467">
        <f>F116+G116+H116+M116</f>
        <v>2740119.3572</v>
      </c>
      <c r="O116" s="467">
        <f>E116-N116</f>
        <v>9862389.4048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1598973.457152</v>
      </c>
      <c r="V116" s="467">
        <f>P116+Q116+R116+S116+T116+U116</f>
        <v>2158973.457152</v>
      </c>
      <c r="W116" s="474">
        <v>12</v>
      </c>
      <c r="X116" s="467">
        <f>V116/W116</f>
        <v>179914.454762667</v>
      </c>
      <c r="Y116" s="470"/>
      <c r="Z116" s="467">
        <f>X116</f>
        <v>179914.454762667</v>
      </c>
      <c r="AA116" s="479">
        <v>179914.454762667</v>
      </c>
      <c r="AB116" s="556">
        <f>Z116-AA116</f>
        <v>-3.78349795937538e-10</v>
      </c>
      <c r="AC116" s="213"/>
      <c r="AD116" s="213"/>
      <c r="AE116" s="213"/>
    </row>
    <row r="117" ht="18" spans="1:31">
      <c r="A117" s="544">
        <v>99</v>
      </c>
      <c r="B117" s="11" t="s">
        <v>216</v>
      </c>
      <c r="C117" s="467">
        <v>627743.99575</v>
      </c>
      <c r="D117" s="466">
        <v>12</v>
      </c>
      <c r="E117" s="467">
        <f t="shared" ref="E117:E125" si="106">C117*D117</f>
        <v>7532927.949</v>
      </c>
      <c r="F117" s="467">
        <f>1028.94225*12</f>
        <v>12347.307</v>
      </c>
      <c r="G117" s="470"/>
      <c r="H117" s="470"/>
      <c r="I117" s="467">
        <f>E117-F117-G117-H117</f>
        <v>7520580.642</v>
      </c>
      <c r="J117" s="467">
        <v>200000</v>
      </c>
      <c r="K117" s="467">
        <v>0.2</v>
      </c>
      <c r="L117" s="467">
        <f>I117*K117</f>
        <v>1504116.1284</v>
      </c>
      <c r="M117" s="467">
        <f>J117+L117</f>
        <v>1704116.1284</v>
      </c>
      <c r="N117" s="467">
        <f>F117+G117+H117+M117</f>
        <v>1716463.4354</v>
      </c>
      <c r="O117" s="467">
        <f>E117-N117</f>
        <v>5816464.5136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627951.483264</v>
      </c>
      <c r="V117" s="467">
        <f>P117+Q117+R117+S117+T117+U117</f>
        <v>1187951.483264</v>
      </c>
      <c r="W117" s="474">
        <v>12</v>
      </c>
      <c r="X117" s="467">
        <f>V117/W117</f>
        <v>98995.9569386667</v>
      </c>
      <c r="Y117" s="470"/>
      <c r="Z117" s="467">
        <f>X117</f>
        <v>98995.9569386667</v>
      </c>
      <c r="AA117" s="479">
        <v>98995.9569386667</v>
      </c>
      <c r="AB117" s="556">
        <f t="shared" ref="AB117:AB125" si="107">Z117-AA117</f>
        <v>0</v>
      </c>
      <c r="AC117" s="213"/>
      <c r="AD117" s="213"/>
      <c r="AE117" s="213"/>
    </row>
    <row r="118" ht="18" spans="1:31">
      <c r="A118" s="544"/>
      <c r="B118" s="14" t="s">
        <v>218</v>
      </c>
      <c r="C118" s="467">
        <v>577553.5025</v>
      </c>
      <c r="D118" s="466">
        <v>12</v>
      </c>
      <c r="E118" s="467">
        <f t="shared" si="106"/>
        <v>6930642.03</v>
      </c>
      <c r="F118" s="467">
        <f>837.6875*12</f>
        <v>10052.25</v>
      </c>
      <c r="G118" s="470"/>
      <c r="H118" s="470"/>
      <c r="I118" s="467">
        <f>E118-F118-G118-H118</f>
        <v>6920589.78</v>
      </c>
      <c r="J118" s="467">
        <v>200000</v>
      </c>
      <c r="K118" s="467">
        <v>0.2</v>
      </c>
      <c r="L118" s="467">
        <f>I118*K118</f>
        <v>1384117.956</v>
      </c>
      <c r="M118" s="467">
        <f>J118+L118</f>
        <v>1584117.956</v>
      </c>
      <c r="N118" s="467">
        <f>F118+G118+H118+M118</f>
        <v>1594170.206</v>
      </c>
      <c r="O118" s="467">
        <f>E118-N118</f>
        <v>5336471.824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512753.23776</v>
      </c>
      <c r="V118" s="467">
        <f>P118+Q118+R118+S118+T118+U118</f>
        <v>1072753.23776</v>
      </c>
      <c r="W118" s="474">
        <v>12</v>
      </c>
      <c r="X118" s="467">
        <f>V118/W118</f>
        <v>89396.1031466666</v>
      </c>
      <c r="Y118" s="470"/>
      <c r="Z118" s="467">
        <f>X118</f>
        <v>89396.1031466666</v>
      </c>
      <c r="AA118" s="479">
        <v>89396.1031466666</v>
      </c>
      <c r="AB118" s="556">
        <f t="shared" si="107"/>
        <v>0</v>
      </c>
      <c r="AC118" s="213"/>
      <c r="AD118" s="213"/>
      <c r="AE118" s="213"/>
    </row>
    <row r="119" ht="18" spans="1:31">
      <c r="A119" s="544"/>
      <c r="B119" s="14" t="s">
        <v>523</v>
      </c>
      <c r="C119" s="467">
        <v>424729.222</v>
      </c>
      <c r="D119" s="466">
        <v>12</v>
      </c>
      <c r="E119" s="467">
        <f t="shared" si="106"/>
        <v>5096750.664</v>
      </c>
      <c r="F119" s="467"/>
      <c r="G119" s="470"/>
      <c r="H119" s="470"/>
      <c r="I119" s="467">
        <f>E119-F119-G119-H119</f>
        <v>5096750.664</v>
      </c>
      <c r="J119" s="467">
        <v>200000</v>
      </c>
      <c r="K119" s="467">
        <v>0.2</v>
      </c>
      <c r="L119" s="467">
        <f>I119*K119</f>
        <v>1019350.1328</v>
      </c>
      <c r="M119" s="467">
        <f>J119+L119</f>
        <v>1219350.1328</v>
      </c>
      <c r="N119" s="467">
        <f>F119+G119+H119+M119</f>
        <v>1219350.1328</v>
      </c>
      <c r="O119" s="467">
        <f>E119-N119</f>
        <v>3877400.5312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162576.127488</v>
      </c>
      <c r="V119" s="467">
        <f>P119+Q119+R119+S119+T119+U119</f>
        <v>722576.127488</v>
      </c>
      <c r="W119" s="474">
        <v>12</v>
      </c>
      <c r="X119" s="467">
        <f>V119/W119</f>
        <v>60214.6772906667</v>
      </c>
      <c r="Y119" s="470"/>
      <c r="Z119" s="467">
        <f>X119</f>
        <v>60214.6772906667</v>
      </c>
      <c r="AA119" s="479">
        <v>60214.6772906667</v>
      </c>
      <c r="AB119" s="556">
        <f t="shared" si="107"/>
        <v>0</v>
      </c>
      <c r="AC119" s="213"/>
      <c r="AD119" s="213"/>
      <c r="AE119" s="213"/>
    </row>
    <row r="120" ht="18" spans="1:31">
      <c r="A120" s="544">
        <v>101</v>
      </c>
      <c r="B120" s="11" t="s">
        <v>220</v>
      </c>
      <c r="C120" s="467">
        <v>343333.03525</v>
      </c>
      <c r="D120" s="466">
        <v>12</v>
      </c>
      <c r="E120" s="467">
        <f t="shared" si="106"/>
        <v>4119996.423</v>
      </c>
      <c r="F120" s="467"/>
      <c r="G120" s="470"/>
      <c r="H120" s="470"/>
      <c r="I120" s="467">
        <f t="shared" ref="I120:I125" si="108">E120-F120-G120-H120</f>
        <v>4119996.423</v>
      </c>
      <c r="J120" s="467">
        <v>200000</v>
      </c>
      <c r="K120" s="467">
        <v>0.2</v>
      </c>
      <c r="L120" s="467">
        <f t="shared" ref="L120:L125" si="109">I120*K120</f>
        <v>823999.2846</v>
      </c>
      <c r="M120" s="467">
        <f t="shared" ref="M120:M125" si="110">J120+L120</f>
        <v>1023999.2846</v>
      </c>
      <c r="N120" s="467">
        <f t="shared" ref="N120:N125" si="111">F120+G120+H120+M120</f>
        <v>1023999.2846</v>
      </c>
      <c r="O120" s="467">
        <f t="shared" ref="O120:O125" si="112">E120-N120</f>
        <v>3095997.1384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314159.399064</v>
      </c>
      <c r="U120" s="467"/>
      <c r="V120" s="467">
        <f t="shared" ref="V120:V125" si="118">P120+Q120+R120+S120+T120+U120</f>
        <v>538159.399064</v>
      </c>
      <c r="W120" s="474">
        <v>12</v>
      </c>
      <c r="X120" s="467">
        <f t="shared" ref="X120:X125" si="119">V120/W120</f>
        <v>44846.6165886667</v>
      </c>
      <c r="Y120" s="470"/>
      <c r="Z120" s="467">
        <f t="shared" ref="Z120:Z125" si="120">X120</f>
        <v>44846.6165886667</v>
      </c>
      <c r="AA120" s="479">
        <v>44846.6165886667</v>
      </c>
      <c r="AB120" s="556">
        <f t="shared" si="107"/>
        <v>0</v>
      </c>
      <c r="AC120" s="213"/>
      <c r="AD120" s="213"/>
      <c r="AE120" s="213"/>
    </row>
    <row r="121" ht="18" spans="1:31">
      <c r="A121" s="544">
        <v>103</v>
      </c>
      <c r="B121" s="11" t="s">
        <v>223</v>
      </c>
      <c r="C121" s="467">
        <v>327211.3675</v>
      </c>
      <c r="D121" s="466">
        <v>12</v>
      </c>
      <c r="E121" s="467">
        <f t="shared" si="106"/>
        <v>3926536.41</v>
      </c>
      <c r="F121" s="473">
        <f>646.3525*12</f>
        <v>7756.23</v>
      </c>
      <c r="G121" s="470"/>
      <c r="H121" s="470"/>
      <c r="I121" s="467">
        <f t="shared" si="108"/>
        <v>3918780.18</v>
      </c>
      <c r="J121" s="467">
        <v>200000</v>
      </c>
      <c r="K121" s="467">
        <v>0.2</v>
      </c>
      <c r="L121" s="467">
        <f t="shared" si="109"/>
        <v>783756.036</v>
      </c>
      <c r="M121" s="467">
        <f t="shared" si="110"/>
        <v>983756.036</v>
      </c>
      <c r="N121" s="467">
        <f t="shared" si="111"/>
        <v>991512.266</v>
      </c>
      <c r="O121" s="467">
        <f t="shared" si="112"/>
        <v>2935024.144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280355.07024</v>
      </c>
      <c r="U121" s="467"/>
      <c r="V121" s="467">
        <f t="shared" si="118"/>
        <v>504355.07024</v>
      </c>
      <c r="W121" s="474">
        <v>12</v>
      </c>
      <c r="X121" s="467">
        <f t="shared" si="119"/>
        <v>42029.5891866667</v>
      </c>
      <c r="Y121" s="470"/>
      <c r="Z121" s="467">
        <f t="shared" si="120"/>
        <v>42029.5891866667</v>
      </c>
      <c r="AA121" s="479">
        <v>42029.5891866667</v>
      </c>
      <c r="AB121" s="556">
        <f t="shared" si="107"/>
        <v>0</v>
      </c>
      <c r="AC121" s="213"/>
      <c r="AD121" s="213"/>
      <c r="AE121" s="213"/>
    </row>
    <row r="122" ht="18" spans="1:31">
      <c r="A122" s="544">
        <v>105</v>
      </c>
      <c r="B122" s="11" t="s">
        <v>225</v>
      </c>
      <c r="C122" s="467">
        <v>335272.06375</v>
      </c>
      <c r="D122" s="466">
        <v>12</v>
      </c>
      <c r="E122" s="467">
        <f t="shared" si="106"/>
        <v>4023264.765</v>
      </c>
      <c r="F122" s="473">
        <f>668.31625*12</f>
        <v>8019.795</v>
      </c>
      <c r="G122" s="470"/>
      <c r="H122" s="470"/>
      <c r="I122" s="467">
        <f t="shared" si="108"/>
        <v>4015244.97</v>
      </c>
      <c r="J122" s="467">
        <v>200000</v>
      </c>
      <c r="K122" s="467">
        <v>0.2</v>
      </c>
      <c r="L122" s="467">
        <f t="shared" si="109"/>
        <v>803048.994</v>
      </c>
      <c r="M122" s="467">
        <f t="shared" si="110"/>
        <v>1003048.994</v>
      </c>
      <c r="N122" s="467">
        <f t="shared" si="111"/>
        <v>1011068.789</v>
      </c>
      <c r="O122" s="467">
        <f t="shared" si="112"/>
        <v>3012195.976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296561.15496</v>
      </c>
      <c r="U122" s="467"/>
      <c r="V122" s="467">
        <f t="shared" si="118"/>
        <v>520561.15496</v>
      </c>
      <c r="W122" s="474">
        <v>12</v>
      </c>
      <c r="X122" s="467">
        <f t="shared" si="119"/>
        <v>43380.0962466667</v>
      </c>
      <c r="Y122" s="470"/>
      <c r="Z122" s="467">
        <f t="shared" si="120"/>
        <v>43380.0962466667</v>
      </c>
      <c r="AA122" s="479">
        <v>43380.0962466667</v>
      </c>
      <c r="AB122" s="556">
        <f t="shared" si="107"/>
        <v>0</v>
      </c>
      <c r="AC122" s="213"/>
      <c r="AD122" s="213"/>
      <c r="AE122" s="213"/>
    </row>
    <row r="123" ht="18" spans="1:31">
      <c r="A123" s="544">
        <v>106</v>
      </c>
      <c r="B123" s="11" t="s">
        <v>226</v>
      </c>
      <c r="C123" s="467">
        <v>213508.01</v>
      </c>
      <c r="D123" s="466">
        <v>12</v>
      </c>
      <c r="E123" s="467">
        <f t="shared" si="106"/>
        <v>2562096.12</v>
      </c>
      <c r="F123" s="467"/>
      <c r="G123" s="470"/>
      <c r="H123" s="470"/>
      <c r="I123" s="467">
        <f t="shared" si="108"/>
        <v>2562096.12</v>
      </c>
      <c r="J123" s="467">
        <v>200000</v>
      </c>
      <c r="K123" s="467">
        <v>0.2</v>
      </c>
      <c r="L123" s="467">
        <f t="shared" si="109"/>
        <v>512419.224</v>
      </c>
      <c r="M123" s="467">
        <f t="shared" si="110"/>
        <v>712419.224</v>
      </c>
      <c r="N123" s="467">
        <f t="shared" si="111"/>
        <v>712419.224</v>
      </c>
      <c r="O123" s="467">
        <f t="shared" si="112"/>
        <v>1849676.896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52432.14816</v>
      </c>
      <c r="U123" s="467"/>
      <c r="V123" s="467">
        <f t="shared" si="118"/>
        <v>276432.14816</v>
      </c>
      <c r="W123" s="474">
        <v>12</v>
      </c>
      <c r="X123" s="467">
        <f t="shared" si="119"/>
        <v>23036.0123466667</v>
      </c>
      <c r="Y123" s="470"/>
      <c r="Z123" s="467">
        <f t="shared" si="120"/>
        <v>23036.0123466667</v>
      </c>
      <c r="AA123" s="479">
        <v>23036.0123466667</v>
      </c>
      <c r="AB123" s="556">
        <f t="shared" si="107"/>
        <v>-2.91038304567337e-11</v>
      </c>
      <c r="AC123" s="213"/>
      <c r="AD123" s="213"/>
      <c r="AE123" s="213"/>
    </row>
    <row r="124" ht="18" spans="1:31">
      <c r="A124" s="544">
        <v>107</v>
      </c>
      <c r="B124" s="18" t="s">
        <v>228</v>
      </c>
      <c r="C124" s="467">
        <v>176816.1</v>
      </c>
      <c r="D124" s="466">
        <v>12</v>
      </c>
      <c r="E124" s="467">
        <f t="shared" si="106"/>
        <v>2121793.2</v>
      </c>
      <c r="F124" s="467"/>
      <c r="G124" s="470"/>
      <c r="H124" s="470"/>
      <c r="I124" s="467">
        <f t="shared" si="108"/>
        <v>2121793.2</v>
      </c>
      <c r="J124" s="467">
        <v>200000</v>
      </c>
      <c r="K124" s="467">
        <v>0.2</v>
      </c>
      <c r="L124" s="467">
        <f t="shared" si="109"/>
        <v>424358.64</v>
      </c>
      <c r="M124" s="467">
        <f t="shared" si="110"/>
        <v>624358.64</v>
      </c>
      <c r="N124" s="467">
        <f t="shared" si="111"/>
        <v>624358.64</v>
      </c>
      <c r="O124" s="467">
        <f t="shared" si="112"/>
        <v>1497434.56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75512.5664</v>
      </c>
      <c r="T124" s="467">
        <f t="shared" si="117"/>
        <v>0</v>
      </c>
      <c r="U124" s="467"/>
      <c r="V124" s="467">
        <f t="shared" si="118"/>
        <v>204512.5664</v>
      </c>
      <c r="W124" s="474">
        <v>12</v>
      </c>
      <c r="X124" s="467">
        <f t="shared" si="119"/>
        <v>17042.7138666667</v>
      </c>
      <c r="Y124" s="470"/>
      <c r="Z124" s="467">
        <f t="shared" si="120"/>
        <v>17042.7138666667</v>
      </c>
      <c r="AA124" s="479">
        <v>17042.7138666667</v>
      </c>
      <c r="AB124" s="556">
        <f t="shared" si="107"/>
        <v>-3.27418092638254e-11</v>
      </c>
      <c r="AC124" s="213"/>
      <c r="AD124" s="213"/>
      <c r="AE124" s="213"/>
    </row>
    <row r="125" s="537" customFormat="1" ht="18" spans="1:31">
      <c r="A125" s="548">
        <v>108</v>
      </c>
      <c r="B125" s="18" t="s">
        <v>230</v>
      </c>
      <c r="C125" s="467">
        <v>176816.1</v>
      </c>
      <c r="D125" s="466">
        <v>12</v>
      </c>
      <c r="E125" s="467">
        <f t="shared" si="106"/>
        <v>2121793.2</v>
      </c>
      <c r="F125" s="467"/>
      <c r="G125" s="470"/>
      <c r="H125" s="470"/>
      <c r="I125" s="467">
        <f t="shared" si="108"/>
        <v>2121793.2</v>
      </c>
      <c r="J125" s="467">
        <v>200000</v>
      </c>
      <c r="K125" s="467">
        <v>0.2</v>
      </c>
      <c r="L125" s="467">
        <f t="shared" si="109"/>
        <v>424358.64</v>
      </c>
      <c r="M125" s="467">
        <f t="shared" si="110"/>
        <v>624358.64</v>
      </c>
      <c r="N125" s="467">
        <f t="shared" si="111"/>
        <v>624358.64</v>
      </c>
      <c r="O125" s="467">
        <f t="shared" si="112"/>
        <v>1497434.56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75512.5664</v>
      </c>
      <c r="T125" s="467">
        <f t="shared" si="117"/>
        <v>0</v>
      </c>
      <c r="U125" s="467"/>
      <c r="V125" s="467">
        <f t="shared" si="118"/>
        <v>204512.5664</v>
      </c>
      <c r="W125" s="474">
        <v>12</v>
      </c>
      <c r="X125" s="467">
        <f t="shared" si="119"/>
        <v>17042.7138666667</v>
      </c>
      <c r="Y125" s="470"/>
      <c r="Z125" s="467">
        <f t="shared" si="120"/>
        <v>17042.7138666667</v>
      </c>
      <c r="AA125" s="556">
        <v>17042.7138666667</v>
      </c>
      <c r="AB125" s="556">
        <f t="shared" si="107"/>
        <v>-3.27418092638254e-11</v>
      </c>
      <c r="AC125" s="556"/>
      <c r="AD125" s="556"/>
      <c r="AE125" s="556"/>
    </row>
    <row r="126" ht="17.5" spans="1:31">
      <c r="A126" s="544">
        <v>109</v>
      </c>
      <c r="B126" s="20" t="s">
        <v>96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67"/>
      <c r="AA126" s="213"/>
      <c r="AB126" s="213"/>
      <c r="AC126" s="213"/>
      <c r="AD126" s="213"/>
      <c r="AE126" s="213"/>
    </row>
    <row r="127" ht="17.5" spans="1:31">
      <c r="A127" s="544">
        <v>110</v>
      </c>
      <c r="B127" s="22"/>
      <c r="C127" s="467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467"/>
      <c r="V127" s="296"/>
      <c r="W127" s="296"/>
      <c r="X127" s="296"/>
      <c r="Y127" s="296"/>
      <c r="Z127" s="296"/>
      <c r="AC127" s="213"/>
      <c r="AD127" s="213"/>
      <c r="AE127" s="213"/>
    </row>
    <row r="128" ht="17.5" spans="1:31">
      <c r="A128" s="544">
        <v>111</v>
      </c>
      <c r="B128" s="20" t="s">
        <v>234</v>
      </c>
      <c r="C128" s="467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467"/>
      <c r="V128" s="296"/>
      <c r="W128" s="296"/>
      <c r="X128" s="296"/>
      <c r="Y128" s="296"/>
      <c r="Z128" s="296"/>
      <c r="AC128" s="213"/>
      <c r="AD128" s="213"/>
      <c r="AE128" s="213"/>
    </row>
    <row r="129" ht="18" spans="1:31">
      <c r="A129" s="544">
        <v>112</v>
      </c>
      <c r="B129" s="11" t="s">
        <v>235</v>
      </c>
      <c r="C129" s="467">
        <v>950209.0635</v>
      </c>
      <c r="D129" s="466">
        <v>12</v>
      </c>
      <c r="E129" s="467">
        <f>C129*D129</f>
        <v>11402508.762</v>
      </c>
      <c r="F129" s="467"/>
      <c r="G129" s="470"/>
      <c r="H129" s="470"/>
      <c r="I129" s="467">
        <f>E129-F129-G129-H129</f>
        <v>11402508.762</v>
      </c>
      <c r="J129" s="467">
        <v>200000</v>
      </c>
      <c r="K129" s="467">
        <v>0.2</v>
      </c>
      <c r="L129" s="467">
        <f t="shared" ref="L129:L187" si="121">I129*K129</f>
        <v>2280501.7524</v>
      </c>
      <c r="M129" s="467">
        <f t="shared" ref="M129:M187" si="122">J129+L129</f>
        <v>2480501.7524</v>
      </c>
      <c r="N129" s="467">
        <f t="shared" ref="N129:N187" si="123">F129+G129+H129+M129</f>
        <v>2480501.7524</v>
      </c>
      <c r="O129" s="467">
        <f t="shared" ref="O129:O187" si="124">E129-N129</f>
        <v>8922007.0096</v>
      </c>
      <c r="P129" s="467">
        <f t="shared" ref="P129:P187" si="125">IF(O129&lt;300000,0.07*O129,21000)</f>
        <v>21000</v>
      </c>
      <c r="Q129" s="467">
        <f t="shared" ref="Q129:Q187" si="126">IF((O129-300000)&lt;0,0,IF((O129-300000)&lt;300000,0.11*(O129-300000),33000))</f>
        <v>33000</v>
      </c>
      <c r="R129" s="467">
        <f t="shared" ref="R129:R187" si="127">IF((O129-600000)&lt;0,0,IF((O129-600000)&lt;500000,0.15*(O129-600000),75000))</f>
        <v>75000</v>
      </c>
      <c r="S129" s="467">
        <f t="shared" ref="S129:S187" si="128">IF((O129-1100000)&lt;0,0,IF((O129-1100000)&lt;500000,0.19*(O129-1100000),95000))</f>
        <v>95000</v>
      </c>
      <c r="T129" s="467">
        <f t="shared" ref="T129:T187" si="129">IF((O129-1600000)&lt;0,0,IF((O129-1600000)&lt;1600000,0.21*(O129-1600000),336000))</f>
        <v>336000</v>
      </c>
      <c r="U129" s="467">
        <f t="shared" si="103"/>
        <v>1373281.682304</v>
      </c>
      <c r="V129" s="467">
        <f>P129+Q129+R129+S129+T129+U129</f>
        <v>1933281.682304</v>
      </c>
      <c r="W129" s="474">
        <v>12</v>
      </c>
      <c r="X129" s="467">
        <f t="shared" ref="X129:X187" si="130">V129/W129</f>
        <v>161106.806858667</v>
      </c>
      <c r="Y129" s="470"/>
      <c r="Z129" s="467">
        <f t="shared" ref="Z129:Z187" si="131">X129</f>
        <v>161106.806858667</v>
      </c>
      <c r="AA129" s="213">
        <v>161106.806858667</v>
      </c>
      <c r="AB129" s="213">
        <f>Z129-AA129</f>
        <v>-3.20142135024071e-10</v>
      </c>
      <c r="AC129" s="213"/>
      <c r="AD129" s="213"/>
      <c r="AE129" s="213"/>
    </row>
    <row r="130" s="537" customFormat="1" ht="18" spans="1:31">
      <c r="A130" s="548">
        <v>113</v>
      </c>
      <c r="B130" s="11" t="s">
        <v>524</v>
      </c>
      <c r="C130" s="467">
        <v>541465.02475</v>
      </c>
      <c r="D130" s="466">
        <v>12</v>
      </c>
      <c r="E130" s="467">
        <f t="shared" ref="E130:E187" si="132">C130*D130</f>
        <v>6497580.297</v>
      </c>
      <c r="F130" s="467"/>
      <c r="G130" s="470"/>
      <c r="H130" s="470"/>
      <c r="I130" s="467">
        <f t="shared" ref="I130:I187" si="133">E130-F130-G130-H130</f>
        <v>6497580.297</v>
      </c>
      <c r="J130" s="467">
        <v>200000</v>
      </c>
      <c r="K130" s="467">
        <v>0.2</v>
      </c>
      <c r="L130" s="467">
        <f t="shared" si="121"/>
        <v>1299516.0594</v>
      </c>
      <c r="M130" s="467">
        <f t="shared" si="122"/>
        <v>1499516.0594</v>
      </c>
      <c r="N130" s="467">
        <f t="shared" si="123"/>
        <v>1499516.0594</v>
      </c>
      <c r="O130" s="467">
        <f t="shared" si="124"/>
        <v>4998064.2376</v>
      </c>
      <c r="P130" s="467">
        <f t="shared" si="125"/>
        <v>21000</v>
      </c>
      <c r="Q130" s="467">
        <f t="shared" si="126"/>
        <v>33000</v>
      </c>
      <c r="R130" s="467">
        <f t="shared" si="127"/>
        <v>75000</v>
      </c>
      <c r="S130" s="467">
        <f t="shared" si="128"/>
        <v>95000</v>
      </c>
      <c r="T130" s="467">
        <f t="shared" si="129"/>
        <v>336000</v>
      </c>
      <c r="U130" s="467">
        <f t="shared" si="103"/>
        <v>431535.417024</v>
      </c>
      <c r="V130" s="467">
        <f>P130+Q130+R130+S130+T130+U130</f>
        <v>991535.417024</v>
      </c>
      <c r="W130" s="474">
        <v>12</v>
      </c>
      <c r="X130" s="467">
        <f t="shared" si="130"/>
        <v>82627.9514186667</v>
      </c>
      <c r="Y130" s="470"/>
      <c r="Z130" s="467">
        <f t="shared" si="131"/>
        <v>82627.9514186667</v>
      </c>
      <c r="AA130" s="213">
        <v>82627.9514186667</v>
      </c>
      <c r="AB130" s="213">
        <f t="shared" ref="AB130:AB187" si="134">Z130-AA130</f>
        <v>0</v>
      </c>
      <c r="AC130" s="556"/>
      <c r="AD130" s="556"/>
      <c r="AE130" s="556"/>
    </row>
    <row r="131" ht="18" spans="1:31">
      <c r="A131" s="544">
        <v>114</v>
      </c>
      <c r="B131" s="14" t="s">
        <v>237</v>
      </c>
      <c r="C131" s="467">
        <v>591465.02475</v>
      </c>
      <c r="D131" s="466">
        <v>12</v>
      </c>
      <c r="E131" s="467">
        <f t="shared" si="132"/>
        <v>7097580.297</v>
      </c>
      <c r="F131" s="467">
        <f>1066.32925*12</f>
        <v>12795.951</v>
      </c>
      <c r="G131" s="470"/>
      <c r="H131" s="470"/>
      <c r="I131" s="467">
        <f t="shared" si="133"/>
        <v>7084784.346</v>
      </c>
      <c r="J131" s="467">
        <v>200000</v>
      </c>
      <c r="K131" s="467">
        <v>0.2</v>
      </c>
      <c r="L131" s="467">
        <f t="shared" si="121"/>
        <v>1416956.8692</v>
      </c>
      <c r="M131" s="467">
        <f t="shared" si="122"/>
        <v>1616956.8692</v>
      </c>
      <c r="N131" s="467">
        <f t="shared" si="123"/>
        <v>1629752.8202</v>
      </c>
      <c r="O131" s="467">
        <f t="shared" si="124"/>
        <v>5467827.4768</v>
      </c>
      <c r="P131" s="467">
        <f t="shared" si="125"/>
        <v>21000</v>
      </c>
      <c r="Q131" s="467">
        <f t="shared" si="126"/>
        <v>33000</v>
      </c>
      <c r="R131" s="467">
        <f t="shared" si="127"/>
        <v>75000</v>
      </c>
      <c r="S131" s="467">
        <f t="shared" si="128"/>
        <v>95000</v>
      </c>
      <c r="T131" s="467">
        <f t="shared" si="129"/>
        <v>336000</v>
      </c>
      <c r="U131" s="467">
        <f t="shared" si="103"/>
        <v>544278.594432</v>
      </c>
      <c r="V131" s="467">
        <f>P131+Q131+R131+S131+T131+U131</f>
        <v>1104278.594432</v>
      </c>
      <c r="W131" s="474">
        <v>12</v>
      </c>
      <c r="X131" s="467">
        <f t="shared" si="130"/>
        <v>92023.2162026667</v>
      </c>
      <c r="Y131" s="470"/>
      <c r="Z131" s="467">
        <f t="shared" si="131"/>
        <v>92023.2162026667</v>
      </c>
      <c r="AA131" s="213">
        <v>92023.2162026667</v>
      </c>
      <c r="AB131" s="213">
        <f t="shared" si="134"/>
        <v>0</v>
      </c>
      <c r="AC131" s="213"/>
      <c r="AD131" s="213"/>
      <c r="AE131" s="213"/>
    </row>
    <row r="132" ht="18" spans="1:31">
      <c r="A132" s="544">
        <v>115</v>
      </c>
      <c r="B132" s="11" t="s">
        <v>239</v>
      </c>
      <c r="C132" s="467">
        <v>351394.00675</v>
      </c>
      <c r="D132" s="466">
        <v>12</v>
      </c>
      <c r="E132" s="467">
        <f t="shared" si="132"/>
        <v>4216728.081</v>
      </c>
      <c r="F132" s="467">
        <f>712.24525*12</f>
        <v>8546.943</v>
      </c>
      <c r="G132" s="470"/>
      <c r="H132" s="470"/>
      <c r="I132" s="467">
        <f t="shared" si="133"/>
        <v>4208181.138</v>
      </c>
      <c r="J132" s="467">
        <v>200000</v>
      </c>
      <c r="K132" s="467">
        <v>0.2</v>
      </c>
      <c r="L132" s="467">
        <f t="shared" si="121"/>
        <v>841636.2276</v>
      </c>
      <c r="M132" s="467">
        <f t="shared" si="122"/>
        <v>1041636.2276</v>
      </c>
      <c r="N132" s="467">
        <f t="shared" si="123"/>
        <v>1050183.1706</v>
      </c>
      <c r="O132" s="467">
        <f t="shared" si="124"/>
        <v>3166544.9104</v>
      </c>
      <c r="P132" s="467">
        <f t="shared" si="125"/>
        <v>21000</v>
      </c>
      <c r="Q132" s="467">
        <f t="shared" si="126"/>
        <v>33000</v>
      </c>
      <c r="R132" s="467">
        <f t="shared" si="127"/>
        <v>75000</v>
      </c>
      <c r="S132" s="467">
        <f t="shared" si="128"/>
        <v>95000</v>
      </c>
      <c r="T132" s="467">
        <f t="shared" si="129"/>
        <v>328974.431184</v>
      </c>
      <c r="U132" s="467"/>
      <c r="V132" s="467">
        <f t="shared" ref="V132:V187" si="135">P132+Q132+R132+S132+T132+U132</f>
        <v>552974.431184</v>
      </c>
      <c r="W132" s="474">
        <v>12</v>
      </c>
      <c r="X132" s="467">
        <f t="shared" si="130"/>
        <v>46081.2025986667</v>
      </c>
      <c r="Y132" s="470"/>
      <c r="Z132" s="467">
        <f t="shared" si="131"/>
        <v>46081.2025986667</v>
      </c>
      <c r="AA132" s="556">
        <v>46081.2025986667</v>
      </c>
      <c r="AB132" s="213">
        <f t="shared" si="134"/>
        <v>0</v>
      </c>
      <c r="AC132" s="213"/>
      <c r="AD132" s="213"/>
      <c r="AE132" s="213"/>
    </row>
    <row r="133" ht="18" spans="1:31">
      <c r="A133" s="544">
        <v>116</v>
      </c>
      <c r="B133" s="11" t="s">
        <v>241</v>
      </c>
      <c r="C133" s="467">
        <v>351394.00675</v>
      </c>
      <c r="D133" s="466">
        <v>12</v>
      </c>
      <c r="E133" s="467">
        <f t="shared" si="132"/>
        <v>4216728.081</v>
      </c>
      <c r="F133" s="467">
        <f>712.24525*12</f>
        <v>8546.943</v>
      </c>
      <c r="G133" s="470"/>
      <c r="H133" s="470"/>
      <c r="I133" s="467">
        <f t="shared" si="133"/>
        <v>4208181.138</v>
      </c>
      <c r="J133" s="467">
        <v>200000</v>
      </c>
      <c r="K133" s="467">
        <v>0.2</v>
      </c>
      <c r="L133" s="467">
        <f t="shared" si="121"/>
        <v>841636.2276</v>
      </c>
      <c r="M133" s="467">
        <f t="shared" si="122"/>
        <v>1041636.2276</v>
      </c>
      <c r="N133" s="467">
        <f t="shared" si="123"/>
        <v>1050183.1706</v>
      </c>
      <c r="O133" s="467">
        <f t="shared" si="124"/>
        <v>3166544.9104</v>
      </c>
      <c r="P133" s="467">
        <f t="shared" si="125"/>
        <v>21000</v>
      </c>
      <c r="Q133" s="467">
        <f t="shared" si="126"/>
        <v>33000</v>
      </c>
      <c r="R133" s="467">
        <f t="shared" si="127"/>
        <v>75000</v>
      </c>
      <c r="S133" s="467">
        <f t="shared" si="128"/>
        <v>95000</v>
      </c>
      <c r="T133" s="467">
        <f t="shared" si="129"/>
        <v>328974.431184</v>
      </c>
      <c r="U133" s="467"/>
      <c r="V133" s="467">
        <f t="shared" si="135"/>
        <v>552974.431184</v>
      </c>
      <c r="W133" s="474">
        <v>12</v>
      </c>
      <c r="X133" s="467">
        <f t="shared" si="130"/>
        <v>46081.2025986667</v>
      </c>
      <c r="Y133" s="470"/>
      <c r="Z133" s="467">
        <f t="shared" si="131"/>
        <v>46081.2025986667</v>
      </c>
      <c r="AA133" s="213">
        <v>46081.2025986667</v>
      </c>
      <c r="AB133" s="213">
        <f t="shared" si="134"/>
        <v>0</v>
      </c>
      <c r="AC133" s="213"/>
      <c r="AD133" s="213"/>
      <c r="AE133" s="213"/>
    </row>
    <row r="134" ht="18" spans="1:31">
      <c r="A134" s="544">
        <v>117</v>
      </c>
      <c r="B134" s="11" t="s">
        <v>243</v>
      </c>
      <c r="C134" s="467">
        <v>351394.00675</v>
      </c>
      <c r="D134" s="466">
        <v>12</v>
      </c>
      <c r="E134" s="467">
        <f t="shared" si="132"/>
        <v>4216728.081</v>
      </c>
      <c r="F134" s="467">
        <f>712.24525*12</f>
        <v>8546.943</v>
      </c>
      <c r="G134" s="470"/>
      <c r="H134" s="470"/>
      <c r="I134" s="467">
        <f t="shared" si="133"/>
        <v>4208181.138</v>
      </c>
      <c r="J134" s="467">
        <v>200000</v>
      </c>
      <c r="K134" s="467">
        <v>0.2</v>
      </c>
      <c r="L134" s="467">
        <f t="shared" si="121"/>
        <v>841636.2276</v>
      </c>
      <c r="M134" s="467">
        <f t="shared" si="122"/>
        <v>1041636.2276</v>
      </c>
      <c r="N134" s="467">
        <f t="shared" si="123"/>
        <v>1050183.1706</v>
      </c>
      <c r="O134" s="467">
        <f t="shared" si="124"/>
        <v>3166544.9104</v>
      </c>
      <c r="P134" s="467">
        <f t="shared" si="125"/>
        <v>21000</v>
      </c>
      <c r="Q134" s="467">
        <f t="shared" si="126"/>
        <v>33000</v>
      </c>
      <c r="R134" s="467">
        <f t="shared" si="127"/>
        <v>75000</v>
      </c>
      <c r="S134" s="467">
        <f t="shared" si="128"/>
        <v>95000</v>
      </c>
      <c r="T134" s="467">
        <f t="shared" si="129"/>
        <v>328974.431184</v>
      </c>
      <c r="U134" s="467"/>
      <c r="V134" s="467">
        <f t="shared" si="135"/>
        <v>552974.431184</v>
      </c>
      <c r="W134" s="474">
        <v>12</v>
      </c>
      <c r="X134" s="467">
        <f t="shared" si="130"/>
        <v>46081.2025986667</v>
      </c>
      <c r="Y134" s="470"/>
      <c r="Z134" s="467">
        <f t="shared" si="131"/>
        <v>46081.2025986667</v>
      </c>
      <c r="AA134" s="213">
        <v>46081.2025986667</v>
      </c>
      <c r="AB134" s="213">
        <f t="shared" si="134"/>
        <v>0</v>
      </c>
      <c r="AC134" s="213"/>
      <c r="AD134" s="213"/>
      <c r="AE134" s="213"/>
    </row>
    <row r="135" ht="18" spans="1:31">
      <c r="A135" s="544">
        <v>118</v>
      </c>
      <c r="B135" s="11" t="s">
        <v>178</v>
      </c>
      <c r="C135" s="467">
        <v>286619.99875</v>
      </c>
      <c r="D135" s="466">
        <v>12</v>
      </c>
      <c r="E135" s="467">
        <f t="shared" si="132"/>
        <v>3439439.985</v>
      </c>
      <c r="F135" s="467">
        <f>576.62125*12</f>
        <v>6919.455</v>
      </c>
      <c r="G135" s="470"/>
      <c r="H135" s="470"/>
      <c r="I135" s="467">
        <f t="shared" si="133"/>
        <v>3432520.53</v>
      </c>
      <c r="J135" s="467">
        <v>200000</v>
      </c>
      <c r="K135" s="467">
        <v>0.2</v>
      </c>
      <c r="L135" s="467">
        <f t="shared" si="121"/>
        <v>686504.106</v>
      </c>
      <c r="M135" s="467">
        <f t="shared" si="122"/>
        <v>886504.106</v>
      </c>
      <c r="N135" s="467">
        <f t="shared" si="123"/>
        <v>893423.561</v>
      </c>
      <c r="O135" s="467">
        <f t="shared" si="124"/>
        <v>2546016.424</v>
      </c>
      <c r="P135" s="467">
        <f t="shared" si="125"/>
        <v>21000</v>
      </c>
      <c r="Q135" s="467">
        <f t="shared" si="126"/>
        <v>33000</v>
      </c>
      <c r="R135" s="467">
        <f t="shared" si="127"/>
        <v>75000</v>
      </c>
      <c r="S135" s="467">
        <f t="shared" si="128"/>
        <v>95000</v>
      </c>
      <c r="T135" s="467">
        <f t="shared" si="129"/>
        <v>198663.44904</v>
      </c>
      <c r="U135" s="467"/>
      <c r="V135" s="467">
        <f t="shared" si="135"/>
        <v>422663.44904</v>
      </c>
      <c r="W135" s="474">
        <v>12</v>
      </c>
      <c r="X135" s="467">
        <f t="shared" si="130"/>
        <v>35221.9540866667</v>
      </c>
      <c r="Y135" s="470"/>
      <c r="Z135" s="467">
        <f t="shared" si="131"/>
        <v>35221.9540866667</v>
      </c>
      <c r="AA135" s="213">
        <v>35221.9540866667</v>
      </c>
      <c r="AB135" s="213">
        <f t="shared" si="134"/>
        <v>0</v>
      </c>
      <c r="AC135" s="213"/>
      <c r="AD135" s="213"/>
      <c r="AE135" s="213"/>
    </row>
    <row r="136" ht="18" spans="1:31">
      <c r="A136" s="544">
        <v>119</v>
      </c>
      <c r="B136" s="11" t="s">
        <v>244</v>
      </c>
      <c r="C136" s="467">
        <v>286619.99875</v>
      </c>
      <c r="D136" s="466">
        <v>12</v>
      </c>
      <c r="E136" s="467">
        <f t="shared" si="132"/>
        <v>3439439.985</v>
      </c>
      <c r="F136" s="467"/>
      <c r="G136" s="470"/>
      <c r="H136" s="470"/>
      <c r="I136" s="467">
        <f t="shared" si="133"/>
        <v>3439439.985</v>
      </c>
      <c r="J136" s="467">
        <v>200000</v>
      </c>
      <c r="K136" s="467">
        <v>0.2</v>
      </c>
      <c r="L136" s="467">
        <f t="shared" si="121"/>
        <v>687887.997</v>
      </c>
      <c r="M136" s="467">
        <f t="shared" si="122"/>
        <v>887887.997</v>
      </c>
      <c r="N136" s="467">
        <f t="shared" si="123"/>
        <v>887887.997</v>
      </c>
      <c r="O136" s="467">
        <f t="shared" si="124"/>
        <v>2551551.988</v>
      </c>
      <c r="P136" s="467">
        <f t="shared" si="125"/>
        <v>21000</v>
      </c>
      <c r="Q136" s="467">
        <f t="shared" si="126"/>
        <v>33000</v>
      </c>
      <c r="R136" s="467">
        <f t="shared" si="127"/>
        <v>75000</v>
      </c>
      <c r="S136" s="467">
        <f t="shared" si="128"/>
        <v>95000</v>
      </c>
      <c r="T136" s="467">
        <f t="shared" si="129"/>
        <v>199825.91748</v>
      </c>
      <c r="U136" s="467"/>
      <c r="V136" s="467">
        <f t="shared" si="135"/>
        <v>423825.91748</v>
      </c>
      <c r="W136" s="474">
        <v>12</v>
      </c>
      <c r="X136" s="467">
        <f t="shared" si="130"/>
        <v>35318.8264566667</v>
      </c>
      <c r="Y136" s="470"/>
      <c r="Z136" s="467">
        <f t="shared" si="131"/>
        <v>35318.8264566667</v>
      </c>
      <c r="AA136" s="213">
        <v>35318.8264566667</v>
      </c>
      <c r="AB136" s="213">
        <f t="shared" si="134"/>
        <v>0</v>
      </c>
      <c r="AC136" s="213"/>
      <c r="AD136" s="213"/>
      <c r="AE136" s="213"/>
    </row>
    <row r="137" ht="18" spans="1:31">
      <c r="A137" s="544">
        <v>120</v>
      </c>
      <c r="B137" s="11" t="s">
        <v>245</v>
      </c>
      <c r="C137" s="467">
        <v>286619.99875</v>
      </c>
      <c r="D137" s="466">
        <v>12</v>
      </c>
      <c r="E137" s="467">
        <f t="shared" si="132"/>
        <v>3439439.985</v>
      </c>
      <c r="F137" s="467"/>
      <c r="G137" s="470"/>
      <c r="H137" s="470"/>
      <c r="I137" s="467">
        <f t="shared" si="133"/>
        <v>3439439.985</v>
      </c>
      <c r="J137" s="467">
        <v>200000</v>
      </c>
      <c r="K137" s="467">
        <v>0.2</v>
      </c>
      <c r="L137" s="467">
        <f t="shared" si="121"/>
        <v>687887.997</v>
      </c>
      <c r="M137" s="467">
        <f t="shared" si="122"/>
        <v>887887.997</v>
      </c>
      <c r="N137" s="467">
        <f t="shared" si="123"/>
        <v>887887.997</v>
      </c>
      <c r="O137" s="467">
        <f t="shared" si="124"/>
        <v>2551551.988</v>
      </c>
      <c r="P137" s="467">
        <f t="shared" si="125"/>
        <v>21000</v>
      </c>
      <c r="Q137" s="467">
        <f t="shared" si="126"/>
        <v>33000</v>
      </c>
      <c r="R137" s="467">
        <f t="shared" si="127"/>
        <v>75000</v>
      </c>
      <c r="S137" s="467">
        <f t="shared" si="128"/>
        <v>95000</v>
      </c>
      <c r="T137" s="467">
        <f t="shared" si="129"/>
        <v>199825.91748</v>
      </c>
      <c r="U137" s="467"/>
      <c r="V137" s="467">
        <f t="shared" si="135"/>
        <v>423825.91748</v>
      </c>
      <c r="W137" s="474">
        <v>12</v>
      </c>
      <c r="X137" s="467">
        <f t="shared" si="130"/>
        <v>35318.8264566667</v>
      </c>
      <c r="Y137" s="470"/>
      <c r="Z137" s="467">
        <f t="shared" si="131"/>
        <v>35318.8264566667</v>
      </c>
      <c r="AA137" s="213">
        <v>35318.8264566667</v>
      </c>
      <c r="AB137" s="213">
        <f t="shared" si="134"/>
        <v>0</v>
      </c>
      <c r="AC137" s="213"/>
      <c r="AD137" s="213"/>
      <c r="AE137" s="213"/>
    </row>
    <row r="138" ht="18" spans="1:31">
      <c r="A138" s="544">
        <v>121</v>
      </c>
      <c r="B138" s="11" t="s">
        <v>247</v>
      </c>
      <c r="C138" s="467">
        <v>284536.9985</v>
      </c>
      <c r="D138" s="466">
        <v>12</v>
      </c>
      <c r="E138" s="467">
        <f t="shared" si="132"/>
        <v>3414443.982</v>
      </c>
      <c r="F138" s="467"/>
      <c r="G138" s="470"/>
      <c r="H138" s="470"/>
      <c r="I138" s="467">
        <f t="shared" si="133"/>
        <v>3414443.982</v>
      </c>
      <c r="J138" s="467">
        <v>200000</v>
      </c>
      <c r="K138" s="467">
        <v>0.2</v>
      </c>
      <c r="L138" s="467">
        <f t="shared" si="121"/>
        <v>682888.7964</v>
      </c>
      <c r="M138" s="467">
        <f t="shared" si="122"/>
        <v>882888.7964</v>
      </c>
      <c r="N138" s="467">
        <f t="shared" si="123"/>
        <v>882888.7964</v>
      </c>
      <c r="O138" s="467">
        <f t="shared" si="124"/>
        <v>2531555.1856</v>
      </c>
      <c r="P138" s="467">
        <f t="shared" si="125"/>
        <v>21000</v>
      </c>
      <c r="Q138" s="467">
        <f t="shared" si="126"/>
        <v>33000</v>
      </c>
      <c r="R138" s="467">
        <f t="shared" si="127"/>
        <v>75000</v>
      </c>
      <c r="S138" s="467">
        <f t="shared" si="128"/>
        <v>95000</v>
      </c>
      <c r="T138" s="467">
        <f t="shared" si="129"/>
        <v>195626.588976</v>
      </c>
      <c r="U138" s="467"/>
      <c r="V138" s="467">
        <f t="shared" si="135"/>
        <v>419626.588976</v>
      </c>
      <c r="W138" s="474">
        <v>12</v>
      </c>
      <c r="X138" s="467">
        <f t="shared" si="130"/>
        <v>34968.8824146667</v>
      </c>
      <c r="Y138" s="470"/>
      <c r="Z138" s="467">
        <f t="shared" si="131"/>
        <v>34968.8824146667</v>
      </c>
      <c r="AA138" s="213">
        <v>34968.8824146667</v>
      </c>
      <c r="AB138" s="213">
        <f t="shared" si="134"/>
        <v>0</v>
      </c>
      <c r="AC138" s="213"/>
      <c r="AD138" s="213"/>
      <c r="AE138" s="213"/>
    </row>
    <row r="139" ht="18" spans="1:31">
      <c r="A139" s="544">
        <v>122</v>
      </c>
      <c r="B139" s="11" t="s">
        <v>249</v>
      </c>
      <c r="C139" s="467">
        <v>272454.074</v>
      </c>
      <c r="D139" s="466">
        <v>12</v>
      </c>
      <c r="E139" s="467">
        <f t="shared" si="132"/>
        <v>3269448.888</v>
      </c>
      <c r="F139" s="467">
        <f>538.022*12</f>
        <v>6456.264</v>
      </c>
      <c r="G139" s="470"/>
      <c r="H139" s="470"/>
      <c r="I139" s="467">
        <f t="shared" si="133"/>
        <v>3262992.624</v>
      </c>
      <c r="J139" s="467">
        <v>200000</v>
      </c>
      <c r="K139" s="467">
        <v>0.2</v>
      </c>
      <c r="L139" s="467">
        <f t="shared" si="121"/>
        <v>652598.5248</v>
      </c>
      <c r="M139" s="467">
        <f t="shared" si="122"/>
        <v>852598.5248</v>
      </c>
      <c r="N139" s="467">
        <f t="shared" si="123"/>
        <v>859054.7888</v>
      </c>
      <c r="O139" s="467">
        <f t="shared" si="124"/>
        <v>2410394.0992</v>
      </c>
      <c r="P139" s="467">
        <f t="shared" si="125"/>
        <v>21000</v>
      </c>
      <c r="Q139" s="467">
        <f t="shared" si="126"/>
        <v>33000</v>
      </c>
      <c r="R139" s="467">
        <f t="shared" si="127"/>
        <v>75000</v>
      </c>
      <c r="S139" s="467">
        <f t="shared" si="128"/>
        <v>95000</v>
      </c>
      <c r="T139" s="467">
        <f t="shared" si="129"/>
        <v>170182.760832</v>
      </c>
      <c r="U139" s="467"/>
      <c r="V139" s="467">
        <f t="shared" si="135"/>
        <v>394182.760832</v>
      </c>
      <c r="W139" s="474">
        <v>12</v>
      </c>
      <c r="X139" s="467">
        <f t="shared" si="130"/>
        <v>32848.5634026667</v>
      </c>
      <c r="Y139" s="470"/>
      <c r="Z139" s="467">
        <f t="shared" si="131"/>
        <v>32848.5634026667</v>
      </c>
      <c r="AA139" s="213">
        <v>32848.5634026667</v>
      </c>
      <c r="AB139" s="213">
        <f t="shared" si="134"/>
        <v>0</v>
      </c>
      <c r="AC139" s="213"/>
      <c r="AD139" s="213"/>
      <c r="AE139" s="213"/>
    </row>
    <row r="140" ht="18" spans="1:31">
      <c r="A140" s="544">
        <v>123</v>
      </c>
      <c r="B140" s="11" t="s">
        <v>251</v>
      </c>
      <c r="C140" s="467">
        <v>286619.99875</v>
      </c>
      <c r="D140" s="466">
        <v>12</v>
      </c>
      <c r="E140" s="467">
        <f t="shared" si="132"/>
        <v>3439439.985</v>
      </c>
      <c r="F140" s="467">
        <f>576.62125*12</f>
        <v>6919.455</v>
      </c>
      <c r="G140" s="470"/>
      <c r="H140" s="470"/>
      <c r="I140" s="467">
        <f t="shared" si="133"/>
        <v>3432520.53</v>
      </c>
      <c r="J140" s="467">
        <v>200000</v>
      </c>
      <c r="K140" s="467">
        <v>0.2</v>
      </c>
      <c r="L140" s="467">
        <f t="shared" si="121"/>
        <v>686504.106</v>
      </c>
      <c r="M140" s="467">
        <f t="shared" si="122"/>
        <v>886504.106</v>
      </c>
      <c r="N140" s="467">
        <f t="shared" si="123"/>
        <v>893423.561</v>
      </c>
      <c r="O140" s="467">
        <f t="shared" si="124"/>
        <v>2546016.424</v>
      </c>
      <c r="P140" s="467">
        <f t="shared" si="125"/>
        <v>21000</v>
      </c>
      <c r="Q140" s="467">
        <f t="shared" si="126"/>
        <v>33000</v>
      </c>
      <c r="R140" s="467">
        <f t="shared" si="127"/>
        <v>75000</v>
      </c>
      <c r="S140" s="467">
        <f t="shared" si="128"/>
        <v>95000</v>
      </c>
      <c r="T140" s="467">
        <f t="shared" si="129"/>
        <v>198663.44904</v>
      </c>
      <c r="U140" s="467"/>
      <c r="V140" s="467">
        <f t="shared" si="135"/>
        <v>422663.44904</v>
      </c>
      <c r="W140" s="474">
        <v>12</v>
      </c>
      <c r="X140" s="467">
        <f t="shared" si="130"/>
        <v>35221.9540866667</v>
      </c>
      <c r="Y140" s="470"/>
      <c r="Z140" s="467">
        <f t="shared" si="131"/>
        <v>35221.9540866667</v>
      </c>
      <c r="AA140" s="213">
        <v>35221.9540866667</v>
      </c>
      <c r="AB140" s="213">
        <f t="shared" si="134"/>
        <v>0</v>
      </c>
      <c r="AC140" s="213"/>
      <c r="AD140" s="213"/>
      <c r="AE140" s="213"/>
    </row>
    <row r="141" s="537" customFormat="1" ht="18" spans="1:31">
      <c r="A141" s="548">
        <v>124</v>
      </c>
      <c r="B141" s="18" t="s">
        <v>254</v>
      </c>
      <c r="C141" s="467">
        <v>265372.075</v>
      </c>
      <c r="D141" s="466">
        <v>12</v>
      </c>
      <c r="E141" s="467">
        <f t="shared" si="132"/>
        <v>3184464.9</v>
      </c>
      <c r="F141" s="467">
        <v>0</v>
      </c>
      <c r="G141" s="470"/>
      <c r="H141" s="470"/>
      <c r="I141" s="467">
        <f t="shared" si="133"/>
        <v>3184464.9</v>
      </c>
      <c r="J141" s="467">
        <v>200000</v>
      </c>
      <c r="K141" s="467">
        <v>0.2</v>
      </c>
      <c r="L141" s="467">
        <f t="shared" si="121"/>
        <v>636892.98</v>
      </c>
      <c r="M141" s="467">
        <f t="shared" si="122"/>
        <v>836892.98</v>
      </c>
      <c r="N141" s="467">
        <f t="shared" si="123"/>
        <v>836892.98</v>
      </c>
      <c r="O141" s="467">
        <f t="shared" si="124"/>
        <v>2347571.92</v>
      </c>
      <c r="P141" s="467">
        <f t="shared" si="125"/>
        <v>21000</v>
      </c>
      <c r="Q141" s="467">
        <f t="shared" si="126"/>
        <v>33000</v>
      </c>
      <c r="R141" s="467">
        <f t="shared" si="127"/>
        <v>75000</v>
      </c>
      <c r="S141" s="467">
        <f t="shared" si="128"/>
        <v>95000</v>
      </c>
      <c r="T141" s="467">
        <f t="shared" si="129"/>
        <v>156990.1032</v>
      </c>
      <c r="U141" s="467"/>
      <c r="V141" s="467">
        <f t="shared" si="135"/>
        <v>380990.1032</v>
      </c>
      <c r="W141" s="474">
        <v>12</v>
      </c>
      <c r="X141" s="467">
        <f t="shared" si="130"/>
        <v>31749.1752666667</v>
      </c>
      <c r="Y141" s="470"/>
      <c r="Z141" s="467">
        <f t="shared" si="131"/>
        <v>31749.1752666667</v>
      </c>
      <c r="AA141" s="213">
        <v>31749.1752666667</v>
      </c>
      <c r="AB141" s="213">
        <f t="shared" si="134"/>
        <v>-2.91038304567337e-11</v>
      </c>
      <c r="AC141" s="556"/>
      <c r="AD141" s="556"/>
      <c r="AE141" s="556"/>
    </row>
    <row r="142" ht="18" spans="1:31">
      <c r="A142" s="544">
        <v>125</v>
      </c>
      <c r="B142" s="11" t="s">
        <v>256</v>
      </c>
      <c r="C142" s="467">
        <v>237734.047</v>
      </c>
      <c r="D142" s="466">
        <v>12</v>
      </c>
      <c r="E142" s="467">
        <f t="shared" si="132"/>
        <v>2852808.564</v>
      </c>
      <c r="F142" s="467"/>
      <c r="G142" s="470"/>
      <c r="H142" s="470"/>
      <c r="I142" s="467">
        <f t="shared" si="133"/>
        <v>2852808.564</v>
      </c>
      <c r="J142" s="467">
        <v>200000</v>
      </c>
      <c r="K142" s="467">
        <v>0.2</v>
      </c>
      <c r="L142" s="467">
        <f t="shared" si="121"/>
        <v>570561.7128</v>
      </c>
      <c r="M142" s="467">
        <f t="shared" si="122"/>
        <v>770561.7128</v>
      </c>
      <c r="N142" s="467">
        <f t="shared" si="123"/>
        <v>770561.7128</v>
      </c>
      <c r="O142" s="467">
        <f t="shared" si="124"/>
        <v>2082246.8512</v>
      </c>
      <c r="P142" s="467">
        <f t="shared" si="125"/>
        <v>21000</v>
      </c>
      <c r="Q142" s="467">
        <f t="shared" si="126"/>
        <v>33000</v>
      </c>
      <c r="R142" s="467">
        <f t="shared" si="127"/>
        <v>75000</v>
      </c>
      <c r="S142" s="467">
        <f t="shared" si="128"/>
        <v>95000</v>
      </c>
      <c r="T142" s="467">
        <f t="shared" si="129"/>
        <v>101271.838752</v>
      </c>
      <c r="U142" s="467"/>
      <c r="V142" s="467">
        <f t="shared" si="135"/>
        <v>325271.838752</v>
      </c>
      <c r="W142" s="474">
        <v>12</v>
      </c>
      <c r="X142" s="467">
        <f t="shared" si="130"/>
        <v>27105.9865626667</v>
      </c>
      <c r="Y142" s="470"/>
      <c r="Z142" s="467">
        <f t="shared" si="131"/>
        <v>27105.9865626667</v>
      </c>
      <c r="AA142" s="213">
        <v>27105.9865626667</v>
      </c>
      <c r="AB142" s="213">
        <f t="shared" si="134"/>
        <v>-3.27418092638254e-11</v>
      </c>
      <c r="AC142" s="213"/>
      <c r="AD142" s="213"/>
      <c r="AE142" s="213"/>
    </row>
    <row r="143" ht="18" spans="1:31">
      <c r="A143" s="544">
        <v>126</v>
      </c>
      <c r="B143" s="11" t="s">
        <v>257</v>
      </c>
      <c r="C143" s="467">
        <v>242300.0775</v>
      </c>
      <c r="D143" s="466">
        <v>12</v>
      </c>
      <c r="E143" s="467">
        <f t="shared" si="132"/>
        <v>2907600.93</v>
      </c>
      <c r="F143" s="467">
        <f>469.4825*12</f>
        <v>5633.79</v>
      </c>
      <c r="G143" s="470"/>
      <c r="H143" s="470"/>
      <c r="I143" s="467">
        <f t="shared" si="133"/>
        <v>2901967.14</v>
      </c>
      <c r="J143" s="467">
        <v>200000</v>
      </c>
      <c r="K143" s="467">
        <v>0.2</v>
      </c>
      <c r="L143" s="467">
        <f t="shared" si="121"/>
        <v>580393.428</v>
      </c>
      <c r="M143" s="467">
        <f t="shared" si="122"/>
        <v>780393.428</v>
      </c>
      <c r="N143" s="467">
        <f t="shared" si="123"/>
        <v>786027.218</v>
      </c>
      <c r="O143" s="467">
        <f t="shared" si="124"/>
        <v>2121573.712</v>
      </c>
      <c r="P143" s="467">
        <f t="shared" si="125"/>
        <v>21000</v>
      </c>
      <c r="Q143" s="467">
        <f t="shared" si="126"/>
        <v>33000</v>
      </c>
      <c r="R143" s="467">
        <f t="shared" si="127"/>
        <v>75000</v>
      </c>
      <c r="S143" s="467">
        <f t="shared" si="128"/>
        <v>95000</v>
      </c>
      <c r="T143" s="467">
        <f t="shared" si="129"/>
        <v>109530.47952</v>
      </c>
      <c r="U143" s="467"/>
      <c r="V143" s="467">
        <f t="shared" si="135"/>
        <v>333530.47952</v>
      </c>
      <c r="W143" s="474">
        <v>12</v>
      </c>
      <c r="X143" s="467">
        <f t="shared" si="130"/>
        <v>27794.2066266667</v>
      </c>
      <c r="Y143" s="470"/>
      <c r="Z143" s="467">
        <f t="shared" si="131"/>
        <v>27794.2066266667</v>
      </c>
      <c r="AA143" s="556">
        <v>27794.2066266667</v>
      </c>
      <c r="AB143" s="213">
        <f t="shared" si="134"/>
        <v>-2.91038304567337e-11</v>
      </c>
      <c r="AC143" s="213"/>
      <c r="AD143" s="213"/>
      <c r="AE143" s="213"/>
    </row>
    <row r="144" ht="18" spans="1:31">
      <c r="A144" s="544">
        <v>127</v>
      </c>
      <c r="B144" s="11" t="s">
        <v>258</v>
      </c>
      <c r="C144" s="467">
        <v>242300.0775</v>
      </c>
      <c r="D144" s="466">
        <v>12</v>
      </c>
      <c r="E144" s="467">
        <f t="shared" si="132"/>
        <v>2907600.93</v>
      </c>
      <c r="F144" s="467"/>
      <c r="G144" s="470"/>
      <c r="H144" s="470"/>
      <c r="I144" s="467">
        <f t="shared" si="133"/>
        <v>2907600.93</v>
      </c>
      <c r="J144" s="467">
        <v>200000</v>
      </c>
      <c r="K144" s="467">
        <v>0.2</v>
      </c>
      <c r="L144" s="467">
        <f t="shared" si="121"/>
        <v>581520.186</v>
      </c>
      <c r="M144" s="467">
        <f t="shared" si="122"/>
        <v>781520.186</v>
      </c>
      <c r="N144" s="467">
        <f t="shared" si="123"/>
        <v>781520.186</v>
      </c>
      <c r="O144" s="467">
        <f t="shared" si="124"/>
        <v>2126080.744</v>
      </c>
      <c r="P144" s="467">
        <f t="shared" si="125"/>
        <v>21000</v>
      </c>
      <c r="Q144" s="467">
        <f t="shared" si="126"/>
        <v>33000</v>
      </c>
      <c r="R144" s="467">
        <f t="shared" si="127"/>
        <v>75000</v>
      </c>
      <c r="S144" s="467">
        <f t="shared" si="128"/>
        <v>95000</v>
      </c>
      <c r="T144" s="467">
        <f t="shared" si="129"/>
        <v>110476.95624</v>
      </c>
      <c r="U144" s="467"/>
      <c r="V144" s="467">
        <f t="shared" si="135"/>
        <v>334476.95624</v>
      </c>
      <c r="W144" s="474">
        <v>12</v>
      </c>
      <c r="X144" s="467">
        <f t="shared" si="130"/>
        <v>27873.0796866667</v>
      </c>
      <c r="Y144" s="470"/>
      <c r="Z144" s="467">
        <f t="shared" si="131"/>
        <v>27873.0796866667</v>
      </c>
      <c r="AA144" s="213">
        <v>27873.0796866667</v>
      </c>
      <c r="AB144" s="213">
        <f t="shared" si="134"/>
        <v>-3.63797880709171e-11</v>
      </c>
      <c r="AC144" s="213"/>
      <c r="AD144" s="213"/>
      <c r="AE144" s="213"/>
    </row>
    <row r="145" ht="18" spans="1:31">
      <c r="A145" s="544">
        <v>128</v>
      </c>
      <c r="B145" s="11" t="s">
        <v>259</v>
      </c>
      <c r="C145" s="467">
        <v>237734.047</v>
      </c>
      <c r="D145" s="466">
        <v>12</v>
      </c>
      <c r="E145" s="467">
        <f t="shared" si="132"/>
        <v>2852808.564</v>
      </c>
      <c r="F145" s="467"/>
      <c r="G145" s="470"/>
      <c r="H145" s="470"/>
      <c r="I145" s="467">
        <f t="shared" si="133"/>
        <v>2852808.564</v>
      </c>
      <c r="J145" s="467">
        <v>200000</v>
      </c>
      <c r="K145" s="467">
        <v>0.2</v>
      </c>
      <c r="L145" s="467">
        <f t="shared" si="121"/>
        <v>570561.7128</v>
      </c>
      <c r="M145" s="467">
        <f t="shared" si="122"/>
        <v>770561.7128</v>
      </c>
      <c r="N145" s="467">
        <f t="shared" si="123"/>
        <v>770561.7128</v>
      </c>
      <c r="O145" s="467">
        <f t="shared" si="124"/>
        <v>2082246.8512</v>
      </c>
      <c r="P145" s="467">
        <f t="shared" si="125"/>
        <v>21000</v>
      </c>
      <c r="Q145" s="467">
        <f t="shared" si="126"/>
        <v>33000</v>
      </c>
      <c r="R145" s="467">
        <f t="shared" si="127"/>
        <v>75000</v>
      </c>
      <c r="S145" s="467">
        <f t="shared" si="128"/>
        <v>95000</v>
      </c>
      <c r="T145" s="467">
        <f t="shared" si="129"/>
        <v>101271.838752</v>
      </c>
      <c r="U145" s="467"/>
      <c r="V145" s="467">
        <f t="shared" si="135"/>
        <v>325271.838752</v>
      </c>
      <c r="W145" s="474">
        <v>12</v>
      </c>
      <c r="X145" s="467">
        <f t="shared" si="130"/>
        <v>27105.9865626667</v>
      </c>
      <c r="Y145" s="470"/>
      <c r="Z145" s="467">
        <f t="shared" si="131"/>
        <v>27105.9865626667</v>
      </c>
      <c r="AA145" s="213">
        <v>27105.9865626667</v>
      </c>
      <c r="AB145" s="213">
        <f t="shared" si="134"/>
        <v>-3.27418092638254e-11</v>
      </c>
      <c r="AC145" s="213"/>
      <c r="AD145" s="213"/>
      <c r="AE145" s="213"/>
    </row>
    <row r="146" ht="36" spans="1:31">
      <c r="A146" s="544">
        <v>129</v>
      </c>
      <c r="B146" s="11" t="s">
        <v>261</v>
      </c>
      <c r="C146" s="467">
        <v>209356.04725</v>
      </c>
      <c r="D146" s="466">
        <v>12</v>
      </c>
      <c r="E146" s="467">
        <f t="shared" si="132"/>
        <v>2512272.567</v>
      </c>
      <c r="F146" s="467"/>
      <c r="G146" s="470"/>
      <c r="H146" s="470"/>
      <c r="I146" s="467">
        <f t="shared" si="133"/>
        <v>2512272.567</v>
      </c>
      <c r="J146" s="467">
        <v>200000</v>
      </c>
      <c r="K146" s="467">
        <v>0.2</v>
      </c>
      <c r="L146" s="467">
        <f t="shared" si="121"/>
        <v>502454.5134</v>
      </c>
      <c r="M146" s="467">
        <f t="shared" si="122"/>
        <v>702454.5134</v>
      </c>
      <c r="N146" s="467">
        <f t="shared" si="123"/>
        <v>702454.5134</v>
      </c>
      <c r="O146" s="467">
        <f t="shared" si="124"/>
        <v>1809818.0536</v>
      </c>
      <c r="P146" s="467">
        <f t="shared" si="125"/>
        <v>21000</v>
      </c>
      <c r="Q146" s="467">
        <f t="shared" si="126"/>
        <v>33000</v>
      </c>
      <c r="R146" s="467">
        <f t="shared" si="127"/>
        <v>75000</v>
      </c>
      <c r="S146" s="467">
        <f t="shared" si="128"/>
        <v>95000</v>
      </c>
      <c r="T146" s="467">
        <f t="shared" si="129"/>
        <v>44061.7912559999</v>
      </c>
      <c r="U146" s="467"/>
      <c r="V146" s="467">
        <f t="shared" si="135"/>
        <v>268061.791256</v>
      </c>
      <c r="W146" s="474">
        <v>12</v>
      </c>
      <c r="X146" s="467">
        <f t="shared" si="130"/>
        <v>22338.4826046667</v>
      </c>
      <c r="Y146" s="470"/>
      <c r="Z146" s="467">
        <f t="shared" si="131"/>
        <v>22338.4826046667</v>
      </c>
      <c r="AA146" s="213">
        <v>22338.4826046667</v>
      </c>
      <c r="AB146" s="213">
        <f t="shared" si="134"/>
        <v>-4.00177668780088e-11</v>
      </c>
      <c r="AC146" s="213"/>
      <c r="AD146" s="213"/>
      <c r="AE146" s="213"/>
    </row>
    <row r="147" ht="18" spans="1:31">
      <c r="A147" s="544">
        <v>130</v>
      </c>
      <c r="B147" s="11" t="s">
        <v>263</v>
      </c>
      <c r="C147" s="467">
        <v>237734.047</v>
      </c>
      <c r="D147" s="466">
        <v>12</v>
      </c>
      <c r="E147" s="467">
        <f t="shared" si="132"/>
        <v>2852808.564</v>
      </c>
      <c r="F147" s="467"/>
      <c r="G147" s="470"/>
      <c r="H147" s="470"/>
      <c r="I147" s="467">
        <f t="shared" si="133"/>
        <v>2852808.564</v>
      </c>
      <c r="J147" s="467">
        <v>200000</v>
      </c>
      <c r="K147" s="467">
        <v>0.2</v>
      </c>
      <c r="L147" s="467">
        <f t="shared" si="121"/>
        <v>570561.7128</v>
      </c>
      <c r="M147" s="467">
        <f t="shared" si="122"/>
        <v>770561.7128</v>
      </c>
      <c r="N147" s="467">
        <f t="shared" si="123"/>
        <v>770561.7128</v>
      </c>
      <c r="O147" s="467">
        <f t="shared" si="124"/>
        <v>2082246.8512</v>
      </c>
      <c r="P147" s="467">
        <f t="shared" si="125"/>
        <v>21000</v>
      </c>
      <c r="Q147" s="467">
        <f t="shared" si="126"/>
        <v>33000</v>
      </c>
      <c r="R147" s="467">
        <f t="shared" si="127"/>
        <v>75000</v>
      </c>
      <c r="S147" s="467">
        <f t="shared" si="128"/>
        <v>95000</v>
      </c>
      <c r="T147" s="467">
        <f t="shared" si="129"/>
        <v>101271.838752</v>
      </c>
      <c r="U147" s="467"/>
      <c r="V147" s="467">
        <f t="shared" si="135"/>
        <v>325271.838752</v>
      </c>
      <c r="W147" s="474">
        <v>12</v>
      </c>
      <c r="X147" s="467">
        <f t="shared" si="130"/>
        <v>27105.9865626667</v>
      </c>
      <c r="Y147" s="470"/>
      <c r="Z147" s="467">
        <f t="shared" si="131"/>
        <v>27105.9865626667</v>
      </c>
      <c r="AA147" s="213">
        <v>27105.9865626667</v>
      </c>
      <c r="AB147" s="213">
        <f t="shared" si="134"/>
        <v>-3.27418092638254e-11</v>
      </c>
      <c r="AC147" s="213"/>
      <c r="AD147" s="213"/>
      <c r="AE147" s="213"/>
    </row>
    <row r="148" ht="18" spans="1:31">
      <c r="A148" s="544">
        <v>131</v>
      </c>
      <c r="B148" s="11" t="s">
        <v>266</v>
      </c>
      <c r="C148" s="467">
        <v>213508.01</v>
      </c>
      <c r="D148" s="466">
        <v>12</v>
      </c>
      <c r="E148" s="467">
        <f t="shared" si="132"/>
        <v>2562096.12</v>
      </c>
      <c r="F148" s="467"/>
      <c r="G148" s="470"/>
      <c r="H148" s="470"/>
      <c r="I148" s="467">
        <f t="shared" si="133"/>
        <v>2562096.12</v>
      </c>
      <c r="J148" s="467">
        <v>200000</v>
      </c>
      <c r="K148" s="467">
        <v>0.2</v>
      </c>
      <c r="L148" s="467">
        <f t="shared" si="121"/>
        <v>512419.224</v>
      </c>
      <c r="M148" s="467">
        <f t="shared" si="122"/>
        <v>712419.224</v>
      </c>
      <c r="N148" s="467">
        <f t="shared" si="123"/>
        <v>712419.224</v>
      </c>
      <c r="O148" s="467">
        <f t="shared" si="124"/>
        <v>1849676.896</v>
      </c>
      <c r="P148" s="467">
        <f t="shared" si="125"/>
        <v>21000</v>
      </c>
      <c r="Q148" s="467">
        <f t="shared" si="126"/>
        <v>33000</v>
      </c>
      <c r="R148" s="467">
        <f t="shared" si="127"/>
        <v>75000</v>
      </c>
      <c r="S148" s="467">
        <f t="shared" si="128"/>
        <v>95000</v>
      </c>
      <c r="T148" s="467">
        <f t="shared" si="129"/>
        <v>52432.14816</v>
      </c>
      <c r="U148" s="467"/>
      <c r="V148" s="467">
        <f t="shared" si="135"/>
        <v>276432.14816</v>
      </c>
      <c r="W148" s="474">
        <v>12</v>
      </c>
      <c r="X148" s="467">
        <f t="shared" si="130"/>
        <v>23036.0123466667</v>
      </c>
      <c r="Y148" s="470"/>
      <c r="Z148" s="467">
        <f t="shared" si="131"/>
        <v>23036.0123466667</v>
      </c>
      <c r="AA148" s="213">
        <v>23036.0123466667</v>
      </c>
      <c r="AB148" s="213">
        <f t="shared" si="134"/>
        <v>-2.91038304567337e-11</v>
      </c>
      <c r="AC148" s="213"/>
      <c r="AD148" s="213"/>
      <c r="AE148" s="213"/>
    </row>
    <row r="149" ht="18" spans="1:31">
      <c r="A149" s="544">
        <v>132</v>
      </c>
      <c r="B149" s="11" t="s">
        <v>268</v>
      </c>
      <c r="C149" s="467">
        <v>237734.047</v>
      </c>
      <c r="D149" s="466">
        <v>12</v>
      </c>
      <c r="E149" s="467">
        <f t="shared" si="132"/>
        <v>2852808.564</v>
      </c>
      <c r="F149" s="467">
        <f>457.041*12</f>
        <v>5484.492</v>
      </c>
      <c r="G149" s="470"/>
      <c r="H149" s="470"/>
      <c r="I149" s="467">
        <f t="shared" si="133"/>
        <v>2847324.072</v>
      </c>
      <c r="J149" s="467">
        <v>200000</v>
      </c>
      <c r="K149" s="467">
        <v>0.2</v>
      </c>
      <c r="L149" s="467">
        <f t="shared" si="121"/>
        <v>569464.8144</v>
      </c>
      <c r="M149" s="467">
        <f t="shared" si="122"/>
        <v>769464.8144</v>
      </c>
      <c r="N149" s="467">
        <f t="shared" si="123"/>
        <v>774949.3064</v>
      </c>
      <c r="O149" s="467">
        <f t="shared" si="124"/>
        <v>2077859.2576</v>
      </c>
      <c r="P149" s="467">
        <f t="shared" si="125"/>
        <v>21000</v>
      </c>
      <c r="Q149" s="467">
        <f t="shared" si="126"/>
        <v>33000</v>
      </c>
      <c r="R149" s="467">
        <f t="shared" si="127"/>
        <v>75000</v>
      </c>
      <c r="S149" s="467">
        <f t="shared" si="128"/>
        <v>95000</v>
      </c>
      <c r="T149" s="467">
        <f t="shared" si="129"/>
        <v>100350.444096</v>
      </c>
      <c r="U149" s="467"/>
      <c r="V149" s="467">
        <f t="shared" si="135"/>
        <v>324350.444096</v>
      </c>
      <c r="W149" s="474">
        <v>12</v>
      </c>
      <c r="X149" s="467">
        <f t="shared" si="130"/>
        <v>27029.2036746667</v>
      </c>
      <c r="Y149" s="470"/>
      <c r="Z149" s="467">
        <f t="shared" si="131"/>
        <v>27029.2036746667</v>
      </c>
      <c r="AA149" s="213">
        <v>27029.2036746667</v>
      </c>
      <c r="AB149" s="213">
        <f t="shared" si="134"/>
        <v>-3.27418092638254e-11</v>
      </c>
      <c r="AC149" s="213"/>
      <c r="AD149" s="213"/>
      <c r="AE149" s="213"/>
    </row>
    <row r="150" ht="18" spans="1:31">
      <c r="A150" s="544">
        <v>133</v>
      </c>
      <c r="B150" s="11" t="s">
        <v>270</v>
      </c>
      <c r="C150" s="467">
        <v>209356.04725</v>
      </c>
      <c r="D150" s="466">
        <v>12</v>
      </c>
      <c r="E150" s="467">
        <f t="shared" si="132"/>
        <v>2512272.567</v>
      </c>
      <c r="F150" s="467"/>
      <c r="G150" s="470"/>
      <c r="H150" s="470"/>
      <c r="I150" s="467">
        <f t="shared" si="133"/>
        <v>2512272.567</v>
      </c>
      <c r="J150" s="467">
        <v>200000</v>
      </c>
      <c r="K150" s="467">
        <v>0.2</v>
      </c>
      <c r="L150" s="467">
        <f t="shared" si="121"/>
        <v>502454.5134</v>
      </c>
      <c r="M150" s="467">
        <f t="shared" si="122"/>
        <v>702454.5134</v>
      </c>
      <c r="N150" s="467">
        <f t="shared" si="123"/>
        <v>702454.5134</v>
      </c>
      <c r="O150" s="467">
        <f t="shared" si="124"/>
        <v>1809818.0536</v>
      </c>
      <c r="P150" s="467">
        <f t="shared" si="125"/>
        <v>21000</v>
      </c>
      <c r="Q150" s="467">
        <f t="shared" si="126"/>
        <v>33000</v>
      </c>
      <c r="R150" s="467">
        <f t="shared" si="127"/>
        <v>75000</v>
      </c>
      <c r="S150" s="467">
        <f t="shared" si="128"/>
        <v>95000</v>
      </c>
      <c r="T150" s="467">
        <f t="shared" si="129"/>
        <v>44061.7912559999</v>
      </c>
      <c r="U150" s="467"/>
      <c r="V150" s="467">
        <f t="shared" si="135"/>
        <v>268061.791256</v>
      </c>
      <c r="W150" s="474">
        <v>12</v>
      </c>
      <c r="X150" s="467">
        <f t="shared" si="130"/>
        <v>22338.4826046667</v>
      </c>
      <c r="Y150" s="470"/>
      <c r="Z150" s="467">
        <f t="shared" si="131"/>
        <v>22338.4826046667</v>
      </c>
      <c r="AA150" s="213">
        <v>22338.4826046667</v>
      </c>
      <c r="AB150" s="213">
        <f t="shared" si="134"/>
        <v>-4.00177668780088e-11</v>
      </c>
      <c r="AC150" s="213"/>
      <c r="AD150" s="213"/>
      <c r="AE150" s="213"/>
    </row>
    <row r="151" ht="18" spans="1:31">
      <c r="A151" s="544">
        <v>134</v>
      </c>
      <c r="B151" s="18" t="s">
        <v>272</v>
      </c>
      <c r="C151" s="467">
        <v>205204.0845</v>
      </c>
      <c r="D151" s="466">
        <v>12</v>
      </c>
      <c r="E151" s="467">
        <f t="shared" si="132"/>
        <v>2462449.014</v>
      </c>
      <c r="F151" s="467"/>
      <c r="G151" s="470"/>
      <c r="H151" s="470"/>
      <c r="I151" s="467">
        <f t="shared" si="133"/>
        <v>2462449.014</v>
      </c>
      <c r="J151" s="467">
        <v>200000</v>
      </c>
      <c r="K151" s="467">
        <v>0.2</v>
      </c>
      <c r="L151" s="467">
        <f t="shared" si="121"/>
        <v>492489.8028</v>
      </c>
      <c r="M151" s="467">
        <f t="shared" si="122"/>
        <v>692489.8028</v>
      </c>
      <c r="N151" s="467">
        <f t="shared" si="123"/>
        <v>692489.8028</v>
      </c>
      <c r="O151" s="467">
        <f t="shared" si="124"/>
        <v>1769959.2112</v>
      </c>
      <c r="P151" s="467">
        <f t="shared" si="125"/>
        <v>21000</v>
      </c>
      <c r="Q151" s="467">
        <f t="shared" si="126"/>
        <v>33000</v>
      </c>
      <c r="R151" s="467">
        <f t="shared" si="127"/>
        <v>75000</v>
      </c>
      <c r="S151" s="467">
        <f t="shared" si="128"/>
        <v>95000</v>
      </c>
      <c r="T151" s="467">
        <f t="shared" si="129"/>
        <v>35691.434352</v>
      </c>
      <c r="U151" s="467"/>
      <c r="V151" s="467">
        <f t="shared" si="135"/>
        <v>259691.434352</v>
      </c>
      <c r="W151" s="474">
        <v>12</v>
      </c>
      <c r="X151" s="467">
        <f t="shared" si="130"/>
        <v>21640.9528626667</v>
      </c>
      <c r="Y151" s="470"/>
      <c r="Z151" s="467">
        <f t="shared" si="131"/>
        <v>21640.9528626667</v>
      </c>
      <c r="AA151" s="213">
        <v>21640.9528626667</v>
      </c>
      <c r="AB151" s="213">
        <f t="shared" si="134"/>
        <v>-3.27418092638254e-11</v>
      </c>
      <c r="AC151" s="213"/>
      <c r="AD151" s="213"/>
      <c r="AE151" s="213"/>
    </row>
    <row r="152" ht="18" spans="1:31">
      <c r="A152" s="544">
        <v>135</v>
      </c>
      <c r="B152" s="18" t="s">
        <v>275</v>
      </c>
      <c r="C152" s="467">
        <v>176816.1</v>
      </c>
      <c r="D152" s="466">
        <v>12</v>
      </c>
      <c r="E152" s="467">
        <f t="shared" si="132"/>
        <v>2121793.2</v>
      </c>
      <c r="F152" s="467">
        <v>0</v>
      </c>
      <c r="G152" s="470"/>
      <c r="H152" s="470"/>
      <c r="I152" s="467">
        <f t="shared" si="133"/>
        <v>2121793.2</v>
      </c>
      <c r="J152" s="467">
        <v>200000</v>
      </c>
      <c r="K152" s="467">
        <v>0.2</v>
      </c>
      <c r="L152" s="467">
        <f t="shared" si="121"/>
        <v>424358.64</v>
      </c>
      <c r="M152" s="467">
        <f t="shared" si="122"/>
        <v>624358.64</v>
      </c>
      <c r="N152" s="467">
        <f t="shared" si="123"/>
        <v>624358.64</v>
      </c>
      <c r="O152" s="467">
        <f t="shared" si="124"/>
        <v>1497434.56</v>
      </c>
      <c r="P152" s="467">
        <f t="shared" si="125"/>
        <v>21000</v>
      </c>
      <c r="Q152" s="467">
        <f t="shared" si="126"/>
        <v>33000</v>
      </c>
      <c r="R152" s="467">
        <f t="shared" si="127"/>
        <v>75000</v>
      </c>
      <c r="S152" s="467">
        <f t="shared" si="128"/>
        <v>75512.5664</v>
      </c>
      <c r="T152" s="467">
        <f t="shared" si="129"/>
        <v>0</v>
      </c>
      <c r="U152" s="467"/>
      <c r="V152" s="467">
        <f t="shared" si="135"/>
        <v>204512.5664</v>
      </c>
      <c r="W152" s="474">
        <v>12</v>
      </c>
      <c r="X152" s="467">
        <f t="shared" si="130"/>
        <v>17042.7138666667</v>
      </c>
      <c r="Y152" s="470"/>
      <c r="Z152" s="467">
        <f t="shared" si="131"/>
        <v>17042.7138666667</v>
      </c>
      <c r="AA152" s="213">
        <v>17042.7138666667</v>
      </c>
      <c r="AB152" s="213">
        <f t="shared" si="134"/>
        <v>-3.27418092638254e-11</v>
      </c>
      <c r="AC152" s="213"/>
      <c r="AD152" s="213"/>
      <c r="AE152" s="213"/>
    </row>
    <row r="153" ht="18" spans="1:31">
      <c r="A153" s="544">
        <v>136</v>
      </c>
      <c r="B153" s="18" t="s">
        <v>277</v>
      </c>
      <c r="C153" s="467">
        <v>176816.1</v>
      </c>
      <c r="D153" s="466">
        <v>12</v>
      </c>
      <c r="E153" s="467">
        <f t="shared" si="132"/>
        <v>2121793.2</v>
      </c>
      <c r="F153" s="467">
        <v>0</v>
      </c>
      <c r="G153" s="470"/>
      <c r="H153" s="470"/>
      <c r="I153" s="467">
        <f t="shared" si="133"/>
        <v>2121793.2</v>
      </c>
      <c r="J153" s="467">
        <v>200000</v>
      </c>
      <c r="K153" s="467">
        <v>0.2</v>
      </c>
      <c r="L153" s="467">
        <f t="shared" si="121"/>
        <v>424358.64</v>
      </c>
      <c r="M153" s="467">
        <f t="shared" si="122"/>
        <v>624358.64</v>
      </c>
      <c r="N153" s="467">
        <f t="shared" si="123"/>
        <v>624358.64</v>
      </c>
      <c r="O153" s="467">
        <f t="shared" si="124"/>
        <v>1497434.56</v>
      </c>
      <c r="P153" s="467">
        <f t="shared" si="125"/>
        <v>21000</v>
      </c>
      <c r="Q153" s="467">
        <f t="shared" si="126"/>
        <v>33000</v>
      </c>
      <c r="R153" s="467">
        <f t="shared" si="127"/>
        <v>75000</v>
      </c>
      <c r="S153" s="467">
        <f t="shared" si="128"/>
        <v>75512.5664</v>
      </c>
      <c r="T153" s="467">
        <f t="shared" si="129"/>
        <v>0</v>
      </c>
      <c r="U153" s="467"/>
      <c r="V153" s="467">
        <f t="shared" si="135"/>
        <v>204512.5664</v>
      </c>
      <c r="W153" s="474">
        <v>12</v>
      </c>
      <c r="X153" s="467">
        <f t="shared" si="130"/>
        <v>17042.7138666667</v>
      </c>
      <c r="Y153" s="470"/>
      <c r="Z153" s="467">
        <f t="shared" si="131"/>
        <v>17042.7138666667</v>
      </c>
      <c r="AA153" s="213">
        <v>17042.7138666667</v>
      </c>
      <c r="AB153" s="213">
        <f t="shared" si="134"/>
        <v>-3.27418092638254e-11</v>
      </c>
      <c r="AC153" s="213"/>
      <c r="AD153" s="213"/>
      <c r="AE153" s="213"/>
    </row>
    <row r="154" ht="18" spans="1:31">
      <c r="A154" s="544">
        <v>137</v>
      </c>
      <c r="B154" s="18" t="s">
        <v>279</v>
      </c>
      <c r="C154" s="467">
        <v>176816.1</v>
      </c>
      <c r="D154" s="466">
        <v>12</v>
      </c>
      <c r="E154" s="467">
        <f t="shared" si="132"/>
        <v>2121793.2</v>
      </c>
      <c r="F154" s="467">
        <v>0</v>
      </c>
      <c r="G154" s="470"/>
      <c r="H154" s="470"/>
      <c r="I154" s="467">
        <f t="shared" si="133"/>
        <v>2121793.2</v>
      </c>
      <c r="J154" s="467">
        <v>200000</v>
      </c>
      <c r="K154" s="467">
        <v>0.2</v>
      </c>
      <c r="L154" s="467">
        <f t="shared" si="121"/>
        <v>424358.64</v>
      </c>
      <c r="M154" s="467">
        <f t="shared" si="122"/>
        <v>624358.64</v>
      </c>
      <c r="N154" s="467">
        <f t="shared" si="123"/>
        <v>624358.64</v>
      </c>
      <c r="O154" s="467">
        <f t="shared" si="124"/>
        <v>1497434.56</v>
      </c>
      <c r="P154" s="467">
        <f t="shared" si="125"/>
        <v>21000</v>
      </c>
      <c r="Q154" s="467">
        <f t="shared" si="126"/>
        <v>33000</v>
      </c>
      <c r="R154" s="467">
        <f t="shared" si="127"/>
        <v>75000</v>
      </c>
      <c r="S154" s="467">
        <f t="shared" si="128"/>
        <v>75512.5664</v>
      </c>
      <c r="T154" s="467">
        <f t="shared" si="129"/>
        <v>0</v>
      </c>
      <c r="U154" s="467"/>
      <c r="V154" s="467">
        <f t="shared" si="135"/>
        <v>204512.5664</v>
      </c>
      <c r="W154" s="474">
        <v>12</v>
      </c>
      <c r="X154" s="467">
        <f t="shared" si="130"/>
        <v>17042.7138666667</v>
      </c>
      <c r="Y154" s="470"/>
      <c r="Z154" s="467">
        <f t="shared" si="131"/>
        <v>17042.7138666667</v>
      </c>
      <c r="AA154" s="213">
        <v>17042.7138666667</v>
      </c>
      <c r="AB154" s="213">
        <f t="shared" si="134"/>
        <v>-3.27418092638254e-11</v>
      </c>
      <c r="AC154" s="213"/>
      <c r="AD154" s="213"/>
      <c r="AE154" s="213"/>
    </row>
    <row r="155" ht="18" spans="1:31">
      <c r="A155" s="544">
        <v>138</v>
      </c>
      <c r="B155" s="18" t="s">
        <v>281</v>
      </c>
      <c r="C155" s="467">
        <v>180304.068</v>
      </c>
      <c r="D155" s="466">
        <v>12</v>
      </c>
      <c r="E155" s="467">
        <f t="shared" si="132"/>
        <v>2163648.816</v>
      </c>
      <c r="F155" s="467">
        <v>0</v>
      </c>
      <c r="G155" s="470"/>
      <c r="H155" s="470"/>
      <c r="I155" s="467">
        <f t="shared" si="133"/>
        <v>2163648.816</v>
      </c>
      <c r="J155" s="467">
        <v>200000</v>
      </c>
      <c r="K155" s="467">
        <v>0.2</v>
      </c>
      <c r="L155" s="467">
        <f t="shared" si="121"/>
        <v>432729.7632</v>
      </c>
      <c r="M155" s="467">
        <f t="shared" si="122"/>
        <v>632729.7632</v>
      </c>
      <c r="N155" s="467">
        <f t="shared" si="123"/>
        <v>632729.7632</v>
      </c>
      <c r="O155" s="467">
        <f t="shared" si="124"/>
        <v>1530919.0528</v>
      </c>
      <c r="P155" s="467">
        <f t="shared" si="125"/>
        <v>21000</v>
      </c>
      <c r="Q155" s="467">
        <f t="shared" si="126"/>
        <v>33000</v>
      </c>
      <c r="R155" s="467">
        <f t="shared" si="127"/>
        <v>75000</v>
      </c>
      <c r="S155" s="467">
        <f t="shared" si="128"/>
        <v>81874.620032</v>
      </c>
      <c r="T155" s="467">
        <f t="shared" si="129"/>
        <v>0</v>
      </c>
      <c r="U155" s="467"/>
      <c r="V155" s="467">
        <f t="shared" si="135"/>
        <v>210874.620032</v>
      </c>
      <c r="W155" s="474">
        <v>12</v>
      </c>
      <c r="X155" s="467">
        <f t="shared" si="130"/>
        <v>17572.8850026667</v>
      </c>
      <c r="Y155" s="470"/>
      <c r="Z155" s="467">
        <f t="shared" si="131"/>
        <v>17572.8850026667</v>
      </c>
      <c r="AA155" s="213">
        <v>17572.8850026667</v>
      </c>
      <c r="AB155" s="213">
        <f t="shared" si="134"/>
        <v>-2.91038304567337e-11</v>
      </c>
      <c r="AC155" s="213"/>
      <c r="AD155" s="213"/>
      <c r="AE155" s="213"/>
    </row>
    <row r="156" ht="18" spans="1:31">
      <c r="A156" s="544">
        <v>139</v>
      </c>
      <c r="B156" s="18" t="s">
        <v>283</v>
      </c>
      <c r="C156" s="467">
        <v>176816.1</v>
      </c>
      <c r="D156" s="466">
        <v>12</v>
      </c>
      <c r="E156" s="467">
        <f t="shared" si="132"/>
        <v>2121793.2</v>
      </c>
      <c r="F156" s="467">
        <v>0</v>
      </c>
      <c r="G156" s="470"/>
      <c r="H156" s="470"/>
      <c r="I156" s="467">
        <f t="shared" si="133"/>
        <v>2121793.2</v>
      </c>
      <c r="J156" s="467">
        <v>200000</v>
      </c>
      <c r="K156" s="467">
        <v>0.2</v>
      </c>
      <c r="L156" s="467">
        <f t="shared" si="121"/>
        <v>424358.64</v>
      </c>
      <c r="M156" s="467">
        <f t="shared" si="122"/>
        <v>624358.64</v>
      </c>
      <c r="N156" s="467">
        <f t="shared" si="123"/>
        <v>624358.64</v>
      </c>
      <c r="O156" s="467">
        <f t="shared" si="124"/>
        <v>1497434.56</v>
      </c>
      <c r="P156" s="467">
        <f t="shared" si="125"/>
        <v>21000</v>
      </c>
      <c r="Q156" s="467">
        <f t="shared" si="126"/>
        <v>33000</v>
      </c>
      <c r="R156" s="467">
        <f t="shared" si="127"/>
        <v>75000</v>
      </c>
      <c r="S156" s="467">
        <f t="shared" si="128"/>
        <v>75512.5664</v>
      </c>
      <c r="T156" s="467">
        <f t="shared" si="129"/>
        <v>0</v>
      </c>
      <c r="U156" s="467"/>
      <c r="V156" s="467">
        <f t="shared" si="135"/>
        <v>204512.5664</v>
      </c>
      <c r="W156" s="474">
        <v>12</v>
      </c>
      <c r="X156" s="467">
        <f t="shared" si="130"/>
        <v>17042.7138666667</v>
      </c>
      <c r="Y156" s="470"/>
      <c r="Z156" s="467">
        <f t="shared" si="131"/>
        <v>17042.7138666667</v>
      </c>
      <c r="AA156" s="213">
        <v>17042.7138666667</v>
      </c>
      <c r="AB156" s="213">
        <f t="shared" si="134"/>
        <v>-3.27418092638254e-11</v>
      </c>
      <c r="AC156" s="213"/>
      <c r="AD156" s="213"/>
      <c r="AE156" s="213"/>
    </row>
    <row r="157" ht="18" spans="1:31">
      <c r="A157" s="544">
        <v>140</v>
      </c>
      <c r="B157" s="11" t="s">
        <v>287</v>
      </c>
      <c r="C157" s="467">
        <v>135590.73</v>
      </c>
      <c r="D157" s="466">
        <v>12</v>
      </c>
      <c r="E157" s="467">
        <f t="shared" si="132"/>
        <v>1627088.76</v>
      </c>
      <c r="F157" s="467">
        <f>263.19*12</f>
        <v>3158.28</v>
      </c>
      <c r="G157" s="470"/>
      <c r="H157" s="470"/>
      <c r="I157" s="467">
        <f t="shared" si="133"/>
        <v>1623930.48</v>
      </c>
      <c r="J157" s="467">
        <v>200000</v>
      </c>
      <c r="K157" s="467">
        <v>0.2</v>
      </c>
      <c r="L157" s="467">
        <f t="shared" si="121"/>
        <v>324786.096</v>
      </c>
      <c r="M157" s="467">
        <f t="shared" si="122"/>
        <v>524786.096</v>
      </c>
      <c r="N157" s="467">
        <f t="shared" si="123"/>
        <v>527944.376</v>
      </c>
      <c r="O157" s="467">
        <f t="shared" si="124"/>
        <v>1099144.384</v>
      </c>
      <c r="P157" s="467">
        <f t="shared" si="125"/>
        <v>21000</v>
      </c>
      <c r="Q157" s="467">
        <f t="shared" si="126"/>
        <v>33000</v>
      </c>
      <c r="R157" s="467">
        <f t="shared" si="127"/>
        <v>74871.6576</v>
      </c>
      <c r="S157" s="467">
        <f t="shared" si="128"/>
        <v>0</v>
      </c>
      <c r="T157" s="467">
        <f t="shared" si="129"/>
        <v>0</v>
      </c>
      <c r="U157" s="467"/>
      <c r="V157" s="467">
        <f t="shared" si="135"/>
        <v>128871.6576</v>
      </c>
      <c r="W157" s="474">
        <v>12</v>
      </c>
      <c r="X157" s="467">
        <f t="shared" si="130"/>
        <v>10739.3048</v>
      </c>
      <c r="Y157" s="470"/>
      <c r="Z157" s="467">
        <f t="shared" si="131"/>
        <v>10739.3048</v>
      </c>
      <c r="AA157" s="213">
        <v>10739.3048</v>
      </c>
      <c r="AB157" s="213">
        <f t="shared" si="134"/>
        <v>0</v>
      </c>
      <c r="AC157" s="213"/>
      <c r="AD157" s="213"/>
      <c r="AE157" s="213"/>
    </row>
    <row r="158" ht="18" spans="1:31">
      <c r="A158" s="544">
        <v>141</v>
      </c>
      <c r="B158" s="11" t="s">
        <v>290</v>
      </c>
      <c r="C158" s="467">
        <v>138590.73</v>
      </c>
      <c r="D158" s="466">
        <v>12</v>
      </c>
      <c r="E158" s="467">
        <f t="shared" si="132"/>
        <v>1663088.76</v>
      </c>
      <c r="F158" s="467"/>
      <c r="G158" s="470"/>
      <c r="H158" s="470"/>
      <c r="I158" s="467">
        <f t="shared" si="133"/>
        <v>1663088.76</v>
      </c>
      <c r="J158" s="467">
        <v>200000</v>
      </c>
      <c r="K158" s="467">
        <v>0.2</v>
      </c>
      <c r="L158" s="467">
        <f t="shared" si="121"/>
        <v>332617.752</v>
      </c>
      <c r="M158" s="467">
        <f t="shared" si="122"/>
        <v>532617.752</v>
      </c>
      <c r="N158" s="467">
        <f t="shared" si="123"/>
        <v>532617.752</v>
      </c>
      <c r="O158" s="467">
        <f t="shared" si="124"/>
        <v>1130471.008</v>
      </c>
      <c r="P158" s="467">
        <f t="shared" si="125"/>
        <v>21000</v>
      </c>
      <c r="Q158" s="467">
        <f t="shared" si="126"/>
        <v>33000</v>
      </c>
      <c r="R158" s="467">
        <f t="shared" si="127"/>
        <v>75000</v>
      </c>
      <c r="S158" s="467">
        <f t="shared" si="128"/>
        <v>5789.49152000003</v>
      </c>
      <c r="T158" s="467">
        <f t="shared" si="129"/>
        <v>0</v>
      </c>
      <c r="U158" s="467"/>
      <c r="V158" s="467">
        <f t="shared" si="135"/>
        <v>134789.49152</v>
      </c>
      <c r="W158" s="474">
        <v>12</v>
      </c>
      <c r="X158" s="467">
        <f t="shared" si="130"/>
        <v>11232.4576266667</v>
      </c>
      <c r="Y158" s="470"/>
      <c r="Z158" s="467">
        <f t="shared" si="131"/>
        <v>11232.4576266667</v>
      </c>
      <c r="AA158" s="213">
        <v>11232.4576266667</v>
      </c>
      <c r="AB158" s="213">
        <f t="shared" si="134"/>
        <v>-3.09228198602796e-11</v>
      </c>
      <c r="AC158" s="213"/>
      <c r="AD158" s="213"/>
      <c r="AE158" s="213"/>
    </row>
    <row r="159" ht="15.75" customHeight="1" spans="1:31">
      <c r="A159" s="544">
        <v>142</v>
      </c>
      <c r="B159" s="11" t="s">
        <v>291</v>
      </c>
      <c r="C159" s="467">
        <v>135590.73</v>
      </c>
      <c r="D159" s="466">
        <v>12</v>
      </c>
      <c r="E159" s="467">
        <f t="shared" si="132"/>
        <v>1627088.76</v>
      </c>
      <c r="F159" s="467"/>
      <c r="G159" s="470"/>
      <c r="H159" s="470"/>
      <c r="I159" s="467">
        <f t="shared" si="133"/>
        <v>1627088.76</v>
      </c>
      <c r="J159" s="467">
        <v>200000</v>
      </c>
      <c r="K159" s="467">
        <v>0.2</v>
      </c>
      <c r="L159" s="467">
        <f t="shared" si="121"/>
        <v>325417.752</v>
      </c>
      <c r="M159" s="467">
        <f t="shared" si="122"/>
        <v>525417.752</v>
      </c>
      <c r="N159" s="467">
        <f t="shared" si="123"/>
        <v>525417.752</v>
      </c>
      <c r="O159" s="467">
        <f t="shared" si="124"/>
        <v>1101671.008</v>
      </c>
      <c r="P159" s="467">
        <f t="shared" si="125"/>
        <v>21000</v>
      </c>
      <c r="Q159" s="467">
        <f t="shared" si="126"/>
        <v>33000</v>
      </c>
      <c r="R159" s="467">
        <f t="shared" si="127"/>
        <v>75000</v>
      </c>
      <c r="S159" s="467">
        <f t="shared" si="128"/>
        <v>317.491520000028</v>
      </c>
      <c r="T159" s="467">
        <f t="shared" si="129"/>
        <v>0</v>
      </c>
      <c r="U159" s="467"/>
      <c r="V159" s="467">
        <f t="shared" si="135"/>
        <v>129317.49152</v>
      </c>
      <c r="W159" s="474">
        <v>12</v>
      </c>
      <c r="X159" s="467">
        <f t="shared" si="130"/>
        <v>10776.4576266667</v>
      </c>
      <c r="Y159" s="470"/>
      <c r="Z159" s="467">
        <f t="shared" si="131"/>
        <v>10776.4576266667</v>
      </c>
      <c r="AA159" s="213">
        <v>10776.4576266667</v>
      </c>
      <c r="AB159" s="213">
        <f t="shared" si="134"/>
        <v>-3.27418092638254e-11</v>
      </c>
      <c r="AC159" s="213"/>
      <c r="AD159" s="213"/>
      <c r="AE159" s="213"/>
    </row>
    <row r="160" s="537" customFormat="1" ht="18" spans="1:31">
      <c r="A160" s="548">
        <v>143</v>
      </c>
      <c r="B160" s="11" t="s">
        <v>292</v>
      </c>
      <c r="C160" s="467">
        <v>135590.73</v>
      </c>
      <c r="D160" s="466">
        <v>12</v>
      </c>
      <c r="E160" s="467">
        <f t="shared" si="132"/>
        <v>1627088.76</v>
      </c>
      <c r="F160" s="467">
        <f>263.19*12</f>
        <v>3158.28</v>
      </c>
      <c r="G160" s="470"/>
      <c r="H160" s="470"/>
      <c r="I160" s="467">
        <f t="shared" si="133"/>
        <v>1623930.48</v>
      </c>
      <c r="J160" s="467">
        <v>200000</v>
      </c>
      <c r="K160" s="467">
        <v>0.2</v>
      </c>
      <c r="L160" s="467">
        <f t="shared" si="121"/>
        <v>324786.096</v>
      </c>
      <c r="M160" s="467">
        <f t="shared" si="122"/>
        <v>524786.096</v>
      </c>
      <c r="N160" s="467">
        <f t="shared" si="123"/>
        <v>527944.376</v>
      </c>
      <c r="O160" s="467">
        <f t="shared" si="124"/>
        <v>1099144.384</v>
      </c>
      <c r="P160" s="467">
        <f t="shared" si="125"/>
        <v>21000</v>
      </c>
      <c r="Q160" s="467">
        <f t="shared" si="126"/>
        <v>33000</v>
      </c>
      <c r="R160" s="467">
        <f t="shared" si="127"/>
        <v>74871.6576</v>
      </c>
      <c r="S160" s="467">
        <f t="shared" si="128"/>
        <v>0</v>
      </c>
      <c r="T160" s="467">
        <f t="shared" si="129"/>
        <v>0</v>
      </c>
      <c r="U160" s="467"/>
      <c r="V160" s="467">
        <f t="shared" si="135"/>
        <v>128871.6576</v>
      </c>
      <c r="W160" s="474">
        <v>12</v>
      </c>
      <c r="X160" s="467">
        <f t="shared" si="130"/>
        <v>10739.3048</v>
      </c>
      <c r="Y160" s="470"/>
      <c r="Z160" s="467">
        <f t="shared" si="131"/>
        <v>10739.3048</v>
      </c>
      <c r="AA160" s="213">
        <v>10739.3048</v>
      </c>
      <c r="AB160" s="213">
        <f t="shared" si="134"/>
        <v>0</v>
      </c>
      <c r="AC160" s="556"/>
      <c r="AD160" s="556"/>
      <c r="AE160" s="556"/>
    </row>
    <row r="161" s="537" customFormat="1" ht="18" spans="1:31">
      <c r="A161" s="548">
        <v>144</v>
      </c>
      <c r="B161" s="11" t="s">
        <v>293</v>
      </c>
      <c r="C161" s="467">
        <v>135590.73</v>
      </c>
      <c r="D161" s="466">
        <v>12</v>
      </c>
      <c r="E161" s="467">
        <f t="shared" si="132"/>
        <v>1627088.76</v>
      </c>
      <c r="F161" s="467"/>
      <c r="G161" s="470"/>
      <c r="H161" s="470"/>
      <c r="I161" s="467">
        <f t="shared" si="133"/>
        <v>1627088.76</v>
      </c>
      <c r="J161" s="467">
        <v>200000</v>
      </c>
      <c r="K161" s="467">
        <v>0.2</v>
      </c>
      <c r="L161" s="467">
        <f t="shared" si="121"/>
        <v>325417.752</v>
      </c>
      <c r="M161" s="467">
        <f t="shared" si="122"/>
        <v>525417.752</v>
      </c>
      <c r="N161" s="467">
        <f t="shared" si="123"/>
        <v>525417.752</v>
      </c>
      <c r="O161" s="467">
        <f t="shared" si="124"/>
        <v>1101671.008</v>
      </c>
      <c r="P161" s="467">
        <f t="shared" si="125"/>
        <v>21000</v>
      </c>
      <c r="Q161" s="467">
        <f t="shared" si="126"/>
        <v>33000</v>
      </c>
      <c r="R161" s="467">
        <f t="shared" si="127"/>
        <v>75000</v>
      </c>
      <c r="S161" s="467">
        <f t="shared" si="128"/>
        <v>317.491520000028</v>
      </c>
      <c r="T161" s="467">
        <f t="shared" si="129"/>
        <v>0</v>
      </c>
      <c r="U161" s="467"/>
      <c r="V161" s="467">
        <f t="shared" si="135"/>
        <v>129317.49152</v>
      </c>
      <c r="W161" s="474">
        <v>12</v>
      </c>
      <c r="X161" s="467">
        <f t="shared" si="130"/>
        <v>10776.4576266667</v>
      </c>
      <c r="Y161" s="470"/>
      <c r="Z161" s="467">
        <f t="shared" si="131"/>
        <v>10776.4576266667</v>
      </c>
      <c r="AA161" s="213">
        <v>10776.4576266667</v>
      </c>
      <c r="AB161" s="213">
        <f t="shared" si="134"/>
        <v>-3.27418092638254e-11</v>
      </c>
      <c r="AC161" s="556"/>
      <c r="AD161" s="556"/>
      <c r="AE161" s="556"/>
    </row>
    <row r="162" s="537" customFormat="1" ht="18" spans="1:31">
      <c r="A162" s="548">
        <v>145</v>
      </c>
      <c r="B162" s="11" t="s">
        <v>294</v>
      </c>
      <c r="C162" s="467">
        <v>138590.73</v>
      </c>
      <c r="D162" s="466">
        <v>12</v>
      </c>
      <c r="E162" s="467">
        <f t="shared" si="132"/>
        <v>1663088.76</v>
      </c>
      <c r="F162" s="467"/>
      <c r="G162" s="470"/>
      <c r="H162" s="470"/>
      <c r="I162" s="467">
        <f t="shared" si="133"/>
        <v>1663088.76</v>
      </c>
      <c r="J162" s="467">
        <v>200000</v>
      </c>
      <c r="K162" s="467">
        <v>0.2</v>
      </c>
      <c r="L162" s="467">
        <f t="shared" si="121"/>
        <v>332617.752</v>
      </c>
      <c r="M162" s="467">
        <f t="shared" si="122"/>
        <v>532617.752</v>
      </c>
      <c r="N162" s="467">
        <f t="shared" si="123"/>
        <v>532617.752</v>
      </c>
      <c r="O162" s="467">
        <f t="shared" si="124"/>
        <v>1130471.008</v>
      </c>
      <c r="P162" s="467">
        <f t="shared" si="125"/>
        <v>21000</v>
      </c>
      <c r="Q162" s="467">
        <f t="shared" si="126"/>
        <v>33000</v>
      </c>
      <c r="R162" s="467">
        <f t="shared" si="127"/>
        <v>75000</v>
      </c>
      <c r="S162" s="467">
        <f t="shared" si="128"/>
        <v>5789.49152000003</v>
      </c>
      <c r="T162" s="467">
        <f t="shared" si="129"/>
        <v>0</v>
      </c>
      <c r="U162" s="467"/>
      <c r="V162" s="467">
        <f t="shared" si="135"/>
        <v>134789.49152</v>
      </c>
      <c r="W162" s="474">
        <v>12</v>
      </c>
      <c r="X162" s="467">
        <f t="shared" si="130"/>
        <v>11232.4576266667</v>
      </c>
      <c r="Y162" s="470"/>
      <c r="Z162" s="467">
        <f t="shared" si="131"/>
        <v>11232.4576266667</v>
      </c>
      <c r="AA162" s="556">
        <v>11232.4576266667</v>
      </c>
      <c r="AB162" s="213">
        <f t="shared" si="134"/>
        <v>-3.09228198602796e-11</v>
      </c>
      <c r="AC162" s="556"/>
      <c r="AD162" s="556"/>
      <c r="AE162" s="556"/>
    </row>
    <row r="163" ht="18" spans="1:31">
      <c r="A163" s="544">
        <v>146</v>
      </c>
      <c r="B163" s="11" t="s">
        <v>296</v>
      </c>
      <c r="C163" s="467">
        <v>135590.73</v>
      </c>
      <c r="D163" s="466">
        <v>12</v>
      </c>
      <c r="E163" s="467">
        <f t="shared" si="132"/>
        <v>1627088.76</v>
      </c>
      <c r="F163" s="467"/>
      <c r="G163" s="470"/>
      <c r="H163" s="470"/>
      <c r="I163" s="467">
        <f t="shared" si="133"/>
        <v>1627088.76</v>
      </c>
      <c r="J163" s="467">
        <v>200000</v>
      </c>
      <c r="K163" s="467">
        <v>0.2</v>
      </c>
      <c r="L163" s="467">
        <f t="shared" si="121"/>
        <v>325417.752</v>
      </c>
      <c r="M163" s="467">
        <f t="shared" si="122"/>
        <v>525417.752</v>
      </c>
      <c r="N163" s="467">
        <f t="shared" si="123"/>
        <v>525417.752</v>
      </c>
      <c r="O163" s="467">
        <f t="shared" si="124"/>
        <v>1101671.008</v>
      </c>
      <c r="P163" s="467">
        <f t="shared" si="125"/>
        <v>21000</v>
      </c>
      <c r="Q163" s="467">
        <f t="shared" si="126"/>
        <v>33000</v>
      </c>
      <c r="R163" s="467">
        <f t="shared" si="127"/>
        <v>75000</v>
      </c>
      <c r="S163" s="467">
        <f t="shared" si="128"/>
        <v>317.491520000028</v>
      </c>
      <c r="T163" s="467">
        <f t="shared" si="129"/>
        <v>0</v>
      </c>
      <c r="U163" s="467"/>
      <c r="V163" s="467">
        <f t="shared" si="135"/>
        <v>129317.49152</v>
      </c>
      <c r="W163" s="474">
        <v>12</v>
      </c>
      <c r="X163" s="467">
        <f t="shared" si="130"/>
        <v>10776.4576266667</v>
      </c>
      <c r="Y163" s="470"/>
      <c r="Z163" s="467">
        <f t="shared" si="131"/>
        <v>10776.4576266667</v>
      </c>
      <c r="AA163" s="556">
        <v>10776.4576266667</v>
      </c>
      <c r="AB163" s="213">
        <f t="shared" si="134"/>
        <v>-3.27418092638254e-11</v>
      </c>
      <c r="AC163" s="213"/>
      <c r="AD163" s="213"/>
      <c r="AE163" s="213"/>
    </row>
    <row r="164" ht="18" spans="1:31">
      <c r="A164" s="544">
        <v>147</v>
      </c>
      <c r="B164" s="14" t="s">
        <v>297</v>
      </c>
      <c r="C164" s="467">
        <v>138590.73</v>
      </c>
      <c r="D164" s="466">
        <v>12</v>
      </c>
      <c r="E164" s="467">
        <f t="shared" si="132"/>
        <v>1663088.76</v>
      </c>
      <c r="F164" s="467"/>
      <c r="G164" s="470"/>
      <c r="H164" s="470"/>
      <c r="I164" s="467">
        <f t="shared" si="133"/>
        <v>1663088.76</v>
      </c>
      <c r="J164" s="467">
        <v>200000</v>
      </c>
      <c r="K164" s="467">
        <v>0.2</v>
      </c>
      <c r="L164" s="467">
        <f t="shared" si="121"/>
        <v>332617.752</v>
      </c>
      <c r="M164" s="467">
        <f t="shared" si="122"/>
        <v>532617.752</v>
      </c>
      <c r="N164" s="467">
        <f t="shared" si="123"/>
        <v>532617.752</v>
      </c>
      <c r="O164" s="467">
        <f t="shared" si="124"/>
        <v>1130471.008</v>
      </c>
      <c r="P164" s="467">
        <f t="shared" si="125"/>
        <v>21000</v>
      </c>
      <c r="Q164" s="467">
        <f t="shared" si="126"/>
        <v>33000</v>
      </c>
      <c r="R164" s="467">
        <f t="shared" si="127"/>
        <v>75000</v>
      </c>
      <c r="S164" s="467">
        <f t="shared" si="128"/>
        <v>5789.49152000003</v>
      </c>
      <c r="T164" s="467">
        <f t="shared" si="129"/>
        <v>0</v>
      </c>
      <c r="U164" s="467"/>
      <c r="V164" s="467">
        <f t="shared" si="135"/>
        <v>134789.49152</v>
      </c>
      <c r="W164" s="474">
        <v>12</v>
      </c>
      <c r="X164" s="467">
        <f t="shared" si="130"/>
        <v>11232.4576266667</v>
      </c>
      <c r="Y164" s="470"/>
      <c r="Z164" s="467">
        <f t="shared" si="131"/>
        <v>11232.4576266667</v>
      </c>
      <c r="AA164" s="556">
        <v>11232.4576266667</v>
      </c>
      <c r="AB164" s="213">
        <f t="shared" si="134"/>
        <v>-3.09228198602796e-11</v>
      </c>
      <c r="AC164" s="213"/>
      <c r="AD164" s="213"/>
      <c r="AE164" s="213"/>
    </row>
    <row r="165" ht="18" spans="1:31">
      <c r="A165" s="544">
        <v>148</v>
      </c>
      <c r="B165" s="11" t="s">
        <v>298</v>
      </c>
      <c r="C165" s="467">
        <v>135590.73</v>
      </c>
      <c r="D165" s="466">
        <v>12</v>
      </c>
      <c r="E165" s="467">
        <f t="shared" si="132"/>
        <v>1627088.76</v>
      </c>
      <c r="F165" s="467"/>
      <c r="G165" s="470"/>
      <c r="H165" s="470"/>
      <c r="I165" s="467">
        <f t="shared" si="133"/>
        <v>1627088.76</v>
      </c>
      <c r="J165" s="467">
        <v>200000</v>
      </c>
      <c r="K165" s="467">
        <v>0.2</v>
      </c>
      <c r="L165" s="467">
        <f t="shared" si="121"/>
        <v>325417.752</v>
      </c>
      <c r="M165" s="467">
        <f t="shared" si="122"/>
        <v>525417.752</v>
      </c>
      <c r="N165" s="467">
        <f t="shared" si="123"/>
        <v>525417.752</v>
      </c>
      <c r="O165" s="467">
        <f t="shared" si="124"/>
        <v>1101671.008</v>
      </c>
      <c r="P165" s="467">
        <f t="shared" si="125"/>
        <v>21000</v>
      </c>
      <c r="Q165" s="467">
        <f t="shared" si="126"/>
        <v>33000</v>
      </c>
      <c r="R165" s="467">
        <f t="shared" si="127"/>
        <v>75000</v>
      </c>
      <c r="S165" s="467">
        <f t="shared" si="128"/>
        <v>317.491520000028</v>
      </c>
      <c r="T165" s="467">
        <f t="shared" si="129"/>
        <v>0</v>
      </c>
      <c r="U165" s="467"/>
      <c r="V165" s="467">
        <f t="shared" si="135"/>
        <v>129317.49152</v>
      </c>
      <c r="W165" s="474">
        <v>12</v>
      </c>
      <c r="X165" s="467">
        <f t="shared" si="130"/>
        <v>10776.4576266667</v>
      </c>
      <c r="Y165" s="470"/>
      <c r="Z165" s="467">
        <f t="shared" si="131"/>
        <v>10776.4576266667</v>
      </c>
      <c r="AA165" s="213">
        <v>10776.4576266667</v>
      </c>
      <c r="AB165" s="213">
        <f t="shared" si="134"/>
        <v>-3.27418092638254e-11</v>
      </c>
      <c r="AC165" s="213"/>
      <c r="AD165" s="213"/>
      <c r="AE165" s="213"/>
    </row>
    <row r="166" ht="18" spans="1:31">
      <c r="A166" s="544">
        <v>149</v>
      </c>
      <c r="B166" s="18" t="s">
        <v>299</v>
      </c>
      <c r="C166" s="467">
        <v>135590.73</v>
      </c>
      <c r="D166" s="466">
        <v>12</v>
      </c>
      <c r="E166" s="467">
        <f t="shared" si="132"/>
        <v>1627088.76</v>
      </c>
      <c r="F166" s="467"/>
      <c r="G166" s="470"/>
      <c r="H166" s="470"/>
      <c r="I166" s="467">
        <f t="shared" si="133"/>
        <v>1627088.76</v>
      </c>
      <c r="J166" s="467">
        <v>200000</v>
      </c>
      <c r="K166" s="467">
        <v>0.2</v>
      </c>
      <c r="L166" s="467">
        <f t="shared" si="121"/>
        <v>325417.752</v>
      </c>
      <c r="M166" s="467">
        <f t="shared" si="122"/>
        <v>525417.752</v>
      </c>
      <c r="N166" s="467">
        <f t="shared" si="123"/>
        <v>525417.752</v>
      </c>
      <c r="O166" s="467">
        <f t="shared" si="124"/>
        <v>1101671.008</v>
      </c>
      <c r="P166" s="467">
        <f t="shared" si="125"/>
        <v>21000</v>
      </c>
      <c r="Q166" s="467">
        <f t="shared" si="126"/>
        <v>33000</v>
      </c>
      <c r="R166" s="467">
        <f t="shared" si="127"/>
        <v>75000</v>
      </c>
      <c r="S166" s="467">
        <f t="shared" si="128"/>
        <v>317.491520000028</v>
      </c>
      <c r="T166" s="467">
        <f t="shared" si="129"/>
        <v>0</v>
      </c>
      <c r="U166" s="467"/>
      <c r="V166" s="467">
        <f t="shared" si="135"/>
        <v>129317.49152</v>
      </c>
      <c r="W166" s="474">
        <v>12</v>
      </c>
      <c r="X166" s="467">
        <f t="shared" si="130"/>
        <v>10776.4576266667</v>
      </c>
      <c r="Y166" s="470"/>
      <c r="Z166" s="467">
        <f t="shared" si="131"/>
        <v>10776.4576266667</v>
      </c>
      <c r="AA166" s="213">
        <v>10776.4576266667</v>
      </c>
      <c r="AB166" s="213">
        <f t="shared" si="134"/>
        <v>-3.27418092638254e-11</v>
      </c>
      <c r="AC166" s="213"/>
      <c r="AD166" s="213"/>
      <c r="AE166" s="213"/>
    </row>
    <row r="167" ht="18" spans="1:31">
      <c r="A167" s="544">
        <v>150</v>
      </c>
      <c r="B167" s="18" t="s">
        <v>300</v>
      </c>
      <c r="C167" s="467">
        <v>138590.73</v>
      </c>
      <c r="D167" s="466">
        <v>12</v>
      </c>
      <c r="E167" s="467">
        <f t="shared" si="132"/>
        <v>1663088.76</v>
      </c>
      <c r="F167" s="467"/>
      <c r="G167" s="470"/>
      <c r="H167" s="470"/>
      <c r="I167" s="467">
        <f t="shared" si="133"/>
        <v>1663088.76</v>
      </c>
      <c r="J167" s="467">
        <v>200000</v>
      </c>
      <c r="K167" s="467">
        <v>0.2</v>
      </c>
      <c r="L167" s="467">
        <f t="shared" si="121"/>
        <v>332617.752</v>
      </c>
      <c r="M167" s="467">
        <f t="shared" si="122"/>
        <v>532617.752</v>
      </c>
      <c r="N167" s="467">
        <f t="shared" si="123"/>
        <v>532617.752</v>
      </c>
      <c r="O167" s="467">
        <f t="shared" si="124"/>
        <v>1130471.008</v>
      </c>
      <c r="P167" s="467">
        <f t="shared" si="125"/>
        <v>21000</v>
      </c>
      <c r="Q167" s="467">
        <f t="shared" si="126"/>
        <v>33000</v>
      </c>
      <c r="R167" s="467">
        <f t="shared" si="127"/>
        <v>75000</v>
      </c>
      <c r="S167" s="467">
        <f t="shared" si="128"/>
        <v>5789.49152000003</v>
      </c>
      <c r="T167" s="467">
        <f t="shared" si="129"/>
        <v>0</v>
      </c>
      <c r="U167" s="467"/>
      <c r="V167" s="467">
        <f t="shared" si="135"/>
        <v>134789.49152</v>
      </c>
      <c r="W167" s="474">
        <v>12</v>
      </c>
      <c r="X167" s="467">
        <f t="shared" si="130"/>
        <v>11232.4576266667</v>
      </c>
      <c r="Y167" s="470"/>
      <c r="Z167" s="467">
        <f t="shared" si="131"/>
        <v>11232.4576266667</v>
      </c>
      <c r="AA167" s="213">
        <v>11232.4576266667</v>
      </c>
      <c r="AB167" s="213">
        <f t="shared" si="134"/>
        <v>-3.09228198602796e-11</v>
      </c>
      <c r="AC167" s="213"/>
      <c r="AD167" s="213"/>
      <c r="AE167" s="213"/>
    </row>
    <row r="168" ht="36" spans="1:31">
      <c r="A168" s="544">
        <v>151</v>
      </c>
      <c r="B168" s="11" t="s">
        <v>301</v>
      </c>
      <c r="C168" s="467">
        <v>122104.99825</v>
      </c>
      <c r="D168" s="466">
        <v>12</v>
      </c>
      <c r="E168" s="467">
        <f t="shared" si="132"/>
        <v>1465259.979</v>
      </c>
      <c r="F168" s="467"/>
      <c r="G168" s="470"/>
      <c r="H168" s="470"/>
      <c r="I168" s="467">
        <f t="shared" si="133"/>
        <v>1465259.979</v>
      </c>
      <c r="J168" s="467">
        <v>200000</v>
      </c>
      <c r="K168" s="467">
        <v>0.2</v>
      </c>
      <c r="L168" s="467">
        <f t="shared" si="121"/>
        <v>293051.9958</v>
      </c>
      <c r="M168" s="467">
        <f t="shared" si="122"/>
        <v>493051.9958</v>
      </c>
      <c r="N168" s="467">
        <f t="shared" si="123"/>
        <v>493051.9958</v>
      </c>
      <c r="O168" s="467">
        <f t="shared" si="124"/>
        <v>972207.9832</v>
      </c>
      <c r="P168" s="467">
        <f t="shared" si="125"/>
        <v>21000</v>
      </c>
      <c r="Q168" s="467">
        <f t="shared" si="126"/>
        <v>33000</v>
      </c>
      <c r="R168" s="467">
        <f t="shared" si="127"/>
        <v>55831.19748</v>
      </c>
      <c r="S168" s="467">
        <f t="shared" si="128"/>
        <v>0</v>
      </c>
      <c r="T168" s="467">
        <f t="shared" si="129"/>
        <v>0</v>
      </c>
      <c r="U168" s="467"/>
      <c r="V168" s="467">
        <f t="shared" si="135"/>
        <v>109831.19748</v>
      </c>
      <c r="W168" s="474">
        <v>12</v>
      </c>
      <c r="X168" s="467">
        <f t="shared" si="130"/>
        <v>9152.59979</v>
      </c>
      <c r="Y168" s="470"/>
      <c r="Z168" s="467">
        <f t="shared" si="131"/>
        <v>9152.59979</v>
      </c>
      <c r="AA168" s="213">
        <v>9152.59979</v>
      </c>
      <c r="AB168" s="213">
        <f t="shared" si="134"/>
        <v>0</v>
      </c>
      <c r="AC168" s="213"/>
      <c r="AD168" s="213"/>
      <c r="AE168" s="213"/>
    </row>
    <row r="169" ht="18" spans="1:31">
      <c r="A169" s="544">
        <v>152</v>
      </c>
      <c r="B169" s="11" t="s">
        <v>304</v>
      </c>
      <c r="C169" s="467">
        <v>122104.99825</v>
      </c>
      <c r="D169" s="466">
        <v>12</v>
      </c>
      <c r="E169" s="467">
        <f t="shared" si="132"/>
        <v>1465259.979</v>
      </c>
      <c r="F169" s="467"/>
      <c r="G169" s="470"/>
      <c r="H169" s="470"/>
      <c r="I169" s="467">
        <f t="shared" si="133"/>
        <v>1465259.979</v>
      </c>
      <c r="J169" s="467">
        <v>200000</v>
      </c>
      <c r="K169" s="467">
        <v>0.2</v>
      </c>
      <c r="L169" s="467">
        <f t="shared" si="121"/>
        <v>293051.9958</v>
      </c>
      <c r="M169" s="467">
        <f t="shared" si="122"/>
        <v>493051.9958</v>
      </c>
      <c r="N169" s="467">
        <f t="shared" si="123"/>
        <v>493051.9958</v>
      </c>
      <c r="O169" s="467">
        <f t="shared" si="124"/>
        <v>972207.9832</v>
      </c>
      <c r="P169" s="467">
        <f t="shared" si="125"/>
        <v>21000</v>
      </c>
      <c r="Q169" s="467">
        <f t="shared" si="126"/>
        <v>33000</v>
      </c>
      <c r="R169" s="467">
        <f t="shared" si="127"/>
        <v>55831.19748</v>
      </c>
      <c r="S169" s="467">
        <f t="shared" si="128"/>
        <v>0</v>
      </c>
      <c r="T169" s="467">
        <f t="shared" si="129"/>
        <v>0</v>
      </c>
      <c r="U169" s="467"/>
      <c r="V169" s="467">
        <f t="shared" si="135"/>
        <v>109831.19748</v>
      </c>
      <c r="W169" s="474">
        <v>12</v>
      </c>
      <c r="X169" s="467">
        <f t="shared" si="130"/>
        <v>9152.59979</v>
      </c>
      <c r="Y169" s="470"/>
      <c r="Z169" s="467">
        <f t="shared" si="131"/>
        <v>9152.59979</v>
      </c>
      <c r="AA169" s="213">
        <v>9152.59979</v>
      </c>
      <c r="AB169" s="213">
        <f t="shared" si="134"/>
        <v>0</v>
      </c>
      <c r="AC169" s="213"/>
      <c r="AD169" s="213"/>
      <c r="AE169" s="213"/>
    </row>
    <row r="170" ht="18" spans="1:31">
      <c r="A170" s="544">
        <v>153</v>
      </c>
      <c r="B170" s="18" t="s">
        <v>305</v>
      </c>
      <c r="C170" s="467">
        <v>125035.0345</v>
      </c>
      <c r="D170" s="466">
        <v>12</v>
      </c>
      <c r="E170" s="467">
        <f t="shared" si="132"/>
        <v>1500420.414</v>
      </c>
      <c r="F170" s="467"/>
      <c r="G170" s="470"/>
      <c r="H170" s="470"/>
      <c r="I170" s="467">
        <f t="shared" si="133"/>
        <v>1500420.414</v>
      </c>
      <c r="J170" s="467">
        <v>200000</v>
      </c>
      <c r="K170" s="467">
        <v>0.2</v>
      </c>
      <c r="L170" s="467">
        <f t="shared" si="121"/>
        <v>300084.0828</v>
      </c>
      <c r="M170" s="467">
        <f t="shared" si="122"/>
        <v>500084.0828</v>
      </c>
      <c r="N170" s="467">
        <f t="shared" si="123"/>
        <v>500084.0828</v>
      </c>
      <c r="O170" s="467">
        <f t="shared" si="124"/>
        <v>1000336.3312</v>
      </c>
      <c r="P170" s="467">
        <f t="shared" si="125"/>
        <v>21000</v>
      </c>
      <c r="Q170" s="467">
        <f t="shared" si="126"/>
        <v>33000</v>
      </c>
      <c r="R170" s="467">
        <f t="shared" si="127"/>
        <v>60050.44968</v>
      </c>
      <c r="S170" s="467">
        <f t="shared" si="128"/>
        <v>0</v>
      </c>
      <c r="T170" s="467">
        <f t="shared" si="129"/>
        <v>0</v>
      </c>
      <c r="U170" s="467"/>
      <c r="V170" s="467">
        <f t="shared" si="135"/>
        <v>114050.44968</v>
      </c>
      <c r="W170" s="474">
        <v>12</v>
      </c>
      <c r="X170" s="467">
        <f t="shared" si="130"/>
        <v>9504.20414</v>
      </c>
      <c r="Y170" s="470"/>
      <c r="Z170" s="467">
        <f t="shared" si="131"/>
        <v>9504.20414</v>
      </c>
      <c r="AA170" s="213">
        <v>9504.20414</v>
      </c>
      <c r="AB170" s="213">
        <f t="shared" si="134"/>
        <v>0</v>
      </c>
      <c r="AC170" s="213"/>
      <c r="AD170" s="213"/>
      <c r="AE170" s="213"/>
    </row>
    <row r="171" ht="29.25" customHeight="1" spans="1:31">
      <c r="A171" s="544">
        <v>154</v>
      </c>
      <c r="B171" s="11" t="s">
        <v>307</v>
      </c>
      <c r="C171" s="467">
        <v>81803.001</v>
      </c>
      <c r="D171" s="466">
        <v>12</v>
      </c>
      <c r="E171" s="467">
        <f t="shared" si="132"/>
        <v>981636.012</v>
      </c>
      <c r="F171" s="467"/>
      <c r="G171" s="470"/>
      <c r="H171" s="470"/>
      <c r="I171" s="467">
        <f t="shared" si="133"/>
        <v>981636.012</v>
      </c>
      <c r="J171" s="467">
        <v>200000</v>
      </c>
      <c r="K171" s="467">
        <v>0.2</v>
      </c>
      <c r="L171" s="467">
        <f t="shared" si="121"/>
        <v>196327.2024</v>
      </c>
      <c r="M171" s="467">
        <f t="shared" si="122"/>
        <v>396327.2024</v>
      </c>
      <c r="N171" s="467">
        <f t="shared" si="123"/>
        <v>396327.2024</v>
      </c>
      <c r="O171" s="467">
        <f t="shared" si="124"/>
        <v>585308.8096</v>
      </c>
      <c r="P171" s="467">
        <f t="shared" si="125"/>
        <v>21000</v>
      </c>
      <c r="Q171" s="467">
        <f t="shared" si="126"/>
        <v>31383.969056</v>
      </c>
      <c r="R171" s="467">
        <f t="shared" si="127"/>
        <v>0</v>
      </c>
      <c r="S171" s="467">
        <f t="shared" si="128"/>
        <v>0</v>
      </c>
      <c r="T171" s="467">
        <f t="shared" si="129"/>
        <v>0</v>
      </c>
      <c r="U171" s="467"/>
      <c r="V171" s="467">
        <f t="shared" si="135"/>
        <v>52383.969056</v>
      </c>
      <c r="W171" s="474">
        <v>12</v>
      </c>
      <c r="X171" s="467">
        <f t="shared" si="130"/>
        <v>4365.33075466667</v>
      </c>
      <c r="Y171" s="470"/>
      <c r="Z171" s="467">
        <f t="shared" si="131"/>
        <v>4365.33075466667</v>
      </c>
      <c r="AA171" s="213">
        <v>4365.33075466667</v>
      </c>
      <c r="AB171" s="213">
        <f t="shared" si="134"/>
        <v>0</v>
      </c>
      <c r="AC171" s="213"/>
      <c r="AD171" s="213"/>
      <c r="AE171" s="213"/>
    </row>
    <row r="172" ht="18" spans="1:31">
      <c r="A172" s="544">
        <v>155</v>
      </c>
      <c r="B172" s="11" t="s">
        <v>309</v>
      </c>
      <c r="C172" s="467">
        <v>80237.012</v>
      </c>
      <c r="D172" s="466">
        <v>12</v>
      </c>
      <c r="E172" s="467">
        <f t="shared" si="132"/>
        <v>962844.144</v>
      </c>
      <c r="F172" s="467"/>
      <c r="G172" s="470"/>
      <c r="H172" s="470"/>
      <c r="I172" s="467">
        <f t="shared" si="133"/>
        <v>962844.144</v>
      </c>
      <c r="J172" s="467">
        <v>200000</v>
      </c>
      <c r="K172" s="467">
        <v>0.2</v>
      </c>
      <c r="L172" s="467">
        <f t="shared" si="121"/>
        <v>192568.8288</v>
      </c>
      <c r="M172" s="467">
        <f t="shared" si="122"/>
        <v>392568.8288</v>
      </c>
      <c r="N172" s="467">
        <f t="shared" si="123"/>
        <v>392568.8288</v>
      </c>
      <c r="O172" s="467">
        <f t="shared" si="124"/>
        <v>570275.3152</v>
      </c>
      <c r="P172" s="467">
        <f t="shared" si="125"/>
        <v>21000</v>
      </c>
      <c r="Q172" s="467">
        <f t="shared" si="126"/>
        <v>29730.284672</v>
      </c>
      <c r="R172" s="467">
        <f t="shared" si="127"/>
        <v>0</v>
      </c>
      <c r="S172" s="467">
        <f t="shared" si="128"/>
        <v>0</v>
      </c>
      <c r="T172" s="467">
        <f t="shared" si="129"/>
        <v>0</v>
      </c>
      <c r="U172" s="467"/>
      <c r="V172" s="467">
        <f t="shared" si="135"/>
        <v>50730.284672</v>
      </c>
      <c r="W172" s="474">
        <v>12</v>
      </c>
      <c r="X172" s="467">
        <f t="shared" si="130"/>
        <v>4227.52372266667</v>
      </c>
      <c r="Y172" s="470"/>
      <c r="Z172" s="467">
        <f t="shared" si="131"/>
        <v>4227.52372266667</v>
      </c>
      <c r="AA172" s="213">
        <v>4227.52372266667</v>
      </c>
      <c r="AB172" s="213">
        <f t="shared" si="134"/>
        <v>0</v>
      </c>
      <c r="AC172" s="213"/>
      <c r="AD172" s="213"/>
      <c r="AE172" s="213"/>
    </row>
    <row r="173" s="537" customFormat="1" ht="18" spans="1:31">
      <c r="A173" s="548">
        <v>156</v>
      </c>
      <c r="B173" s="11" t="s">
        <v>312</v>
      </c>
      <c r="C173" s="467">
        <v>77237.012</v>
      </c>
      <c r="D173" s="466">
        <v>12</v>
      </c>
      <c r="E173" s="467">
        <f t="shared" si="132"/>
        <v>926844.144</v>
      </c>
      <c r="F173" s="467"/>
      <c r="G173" s="470"/>
      <c r="H173" s="470"/>
      <c r="I173" s="467">
        <f t="shared" si="133"/>
        <v>926844.144</v>
      </c>
      <c r="J173" s="467">
        <v>200000</v>
      </c>
      <c r="K173" s="467">
        <v>0.2</v>
      </c>
      <c r="L173" s="467">
        <f t="shared" si="121"/>
        <v>185368.8288</v>
      </c>
      <c r="M173" s="467">
        <f t="shared" si="122"/>
        <v>385368.8288</v>
      </c>
      <c r="N173" s="467">
        <f t="shared" si="123"/>
        <v>385368.8288</v>
      </c>
      <c r="O173" s="467">
        <f t="shared" si="124"/>
        <v>541475.3152</v>
      </c>
      <c r="P173" s="467">
        <f t="shared" si="125"/>
        <v>21000</v>
      </c>
      <c r="Q173" s="467">
        <f t="shared" si="126"/>
        <v>26562.284672</v>
      </c>
      <c r="R173" s="467">
        <f t="shared" si="127"/>
        <v>0</v>
      </c>
      <c r="S173" s="467">
        <f t="shared" si="128"/>
        <v>0</v>
      </c>
      <c r="T173" s="467">
        <f t="shared" si="129"/>
        <v>0</v>
      </c>
      <c r="U173" s="467"/>
      <c r="V173" s="467">
        <f t="shared" si="135"/>
        <v>47562.284672</v>
      </c>
      <c r="W173" s="474">
        <v>12</v>
      </c>
      <c r="X173" s="467">
        <f t="shared" si="130"/>
        <v>3963.52372266667</v>
      </c>
      <c r="Y173" s="470"/>
      <c r="Z173" s="467">
        <f t="shared" si="131"/>
        <v>3963.52372266667</v>
      </c>
      <c r="AA173" s="213">
        <v>3963.52372266667</v>
      </c>
      <c r="AB173" s="213">
        <f t="shared" si="134"/>
        <v>0</v>
      </c>
      <c r="AC173" s="556"/>
      <c r="AD173" s="556"/>
      <c r="AE173" s="556"/>
    </row>
    <row r="174" ht="18" spans="1:31">
      <c r="A174" s="544">
        <v>157</v>
      </c>
      <c r="B174" s="11" t="s">
        <v>313</v>
      </c>
      <c r="C174" s="467">
        <v>80237.012</v>
      </c>
      <c r="D174" s="466">
        <v>12</v>
      </c>
      <c r="E174" s="467">
        <f t="shared" si="132"/>
        <v>962844.144</v>
      </c>
      <c r="F174" s="467"/>
      <c r="G174" s="470"/>
      <c r="H174" s="470"/>
      <c r="I174" s="467">
        <f t="shared" si="133"/>
        <v>962844.144</v>
      </c>
      <c r="J174" s="467">
        <v>200000</v>
      </c>
      <c r="K174" s="467">
        <v>0.2</v>
      </c>
      <c r="L174" s="467">
        <f t="shared" si="121"/>
        <v>192568.8288</v>
      </c>
      <c r="M174" s="467">
        <f t="shared" si="122"/>
        <v>392568.8288</v>
      </c>
      <c r="N174" s="467">
        <f t="shared" si="123"/>
        <v>392568.8288</v>
      </c>
      <c r="O174" s="467">
        <f t="shared" si="124"/>
        <v>570275.3152</v>
      </c>
      <c r="P174" s="467">
        <f t="shared" si="125"/>
        <v>21000</v>
      </c>
      <c r="Q174" s="467">
        <f t="shared" si="126"/>
        <v>29730.284672</v>
      </c>
      <c r="R174" s="467">
        <f t="shared" si="127"/>
        <v>0</v>
      </c>
      <c r="S174" s="467">
        <f t="shared" si="128"/>
        <v>0</v>
      </c>
      <c r="T174" s="467">
        <f t="shared" si="129"/>
        <v>0</v>
      </c>
      <c r="U174" s="467"/>
      <c r="V174" s="467">
        <f t="shared" si="135"/>
        <v>50730.284672</v>
      </c>
      <c r="W174" s="474">
        <v>12</v>
      </c>
      <c r="X174" s="467">
        <f t="shared" si="130"/>
        <v>4227.52372266667</v>
      </c>
      <c r="Y174" s="470"/>
      <c r="Z174" s="467">
        <f t="shared" si="131"/>
        <v>4227.52372266667</v>
      </c>
      <c r="AA174" s="213">
        <v>4227.52372266667</v>
      </c>
      <c r="AB174" s="213">
        <f t="shared" si="134"/>
        <v>0</v>
      </c>
      <c r="AC174" s="213"/>
      <c r="AD174" s="213"/>
      <c r="AE174" s="213"/>
    </row>
    <row r="175" ht="18" spans="1:31">
      <c r="A175" s="550"/>
      <c r="B175" s="11" t="s">
        <v>314</v>
      </c>
      <c r="C175" s="483">
        <v>77237.012</v>
      </c>
      <c r="D175" s="466">
        <v>12</v>
      </c>
      <c r="E175" s="467">
        <f t="shared" si="132"/>
        <v>926844.144</v>
      </c>
      <c r="F175" s="467"/>
      <c r="G175" s="470"/>
      <c r="H175" s="470"/>
      <c r="I175" s="467">
        <f t="shared" si="133"/>
        <v>926844.144</v>
      </c>
      <c r="J175" s="467">
        <v>200000</v>
      </c>
      <c r="K175" s="467">
        <v>0.2</v>
      </c>
      <c r="L175" s="467">
        <f t="shared" si="121"/>
        <v>185368.8288</v>
      </c>
      <c r="M175" s="467">
        <f t="shared" si="122"/>
        <v>385368.8288</v>
      </c>
      <c r="N175" s="467">
        <f t="shared" si="123"/>
        <v>385368.8288</v>
      </c>
      <c r="O175" s="467">
        <f t="shared" si="124"/>
        <v>541475.3152</v>
      </c>
      <c r="P175" s="467">
        <f t="shared" si="125"/>
        <v>21000</v>
      </c>
      <c r="Q175" s="467">
        <f t="shared" si="126"/>
        <v>26562.284672</v>
      </c>
      <c r="R175" s="467">
        <f t="shared" si="127"/>
        <v>0</v>
      </c>
      <c r="S175" s="467">
        <f t="shared" si="128"/>
        <v>0</v>
      </c>
      <c r="T175" s="467">
        <f t="shared" si="129"/>
        <v>0</v>
      </c>
      <c r="U175" s="467"/>
      <c r="V175" s="467">
        <f t="shared" si="135"/>
        <v>47562.284672</v>
      </c>
      <c r="W175" s="474">
        <v>12</v>
      </c>
      <c r="X175" s="467">
        <f t="shared" si="130"/>
        <v>3963.52372266667</v>
      </c>
      <c r="Y175" s="470"/>
      <c r="Z175" s="467">
        <f t="shared" si="131"/>
        <v>3963.52372266667</v>
      </c>
      <c r="AA175" s="556">
        <v>3963.52372266667</v>
      </c>
      <c r="AB175" s="213">
        <f t="shared" si="134"/>
        <v>0</v>
      </c>
      <c r="AC175" s="213"/>
      <c r="AD175" s="213"/>
      <c r="AE175" s="213"/>
    </row>
    <row r="176" ht="18" spans="1:28">
      <c r="A176" s="550"/>
      <c r="B176" s="11" t="s">
        <v>315</v>
      </c>
      <c r="C176" s="483">
        <v>80237.012</v>
      </c>
      <c r="D176" s="466">
        <v>12</v>
      </c>
      <c r="E176" s="467">
        <f t="shared" si="132"/>
        <v>962844.144</v>
      </c>
      <c r="F176" s="467"/>
      <c r="G176" s="470"/>
      <c r="H176" s="470"/>
      <c r="I176" s="467">
        <f t="shared" si="133"/>
        <v>962844.144</v>
      </c>
      <c r="J176" s="467">
        <v>200000</v>
      </c>
      <c r="K176" s="467">
        <v>0.2</v>
      </c>
      <c r="L176" s="467">
        <f t="shared" si="121"/>
        <v>192568.8288</v>
      </c>
      <c r="M176" s="467">
        <f t="shared" si="122"/>
        <v>392568.8288</v>
      </c>
      <c r="N176" s="467">
        <f t="shared" si="123"/>
        <v>392568.8288</v>
      </c>
      <c r="O176" s="467">
        <f t="shared" si="124"/>
        <v>570275.3152</v>
      </c>
      <c r="P176" s="467">
        <f t="shared" si="125"/>
        <v>21000</v>
      </c>
      <c r="Q176" s="467">
        <f t="shared" si="126"/>
        <v>29730.284672</v>
      </c>
      <c r="R176" s="467">
        <f t="shared" si="127"/>
        <v>0</v>
      </c>
      <c r="S176" s="467">
        <f t="shared" si="128"/>
        <v>0</v>
      </c>
      <c r="T176" s="467">
        <f t="shared" si="129"/>
        <v>0</v>
      </c>
      <c r="U176" s="467"/>
      <c r="V176" s="467">
        <f t="shared" si="135"/>
        <v>50730.284672</v>
      </c>
      <c r="W176" s="474">
        <v>12</v>
      </c>
      <c r="X176" s="467">
        <f t="shared" si="130"/>
        <v>4227.52372266667</v>
      </c>
      <c r="Y176" s="470"/>
      <c r="Z176" s="467">
        <f t="shared" si="131"/>
        <v>4227.52372266667</v>
      </c>
      <c r="AA176" s="213">
        <v>4227.52372266667</v>
      </c>
      <c r="AB176" s="213">
        <f t="shared" si="134"/>
        <v>0</v>
      </c>
    </row>
    <row r="177" ht="18" spans="2:28">
      <c r="B177" s="18" t="s">
        <v>316</v>
      </c>
      <c r="C177" s="479">
        <v>77237.012</v>
      </c>
      <c r="D177" s="466">
        <v>12</v>
      </c>
      <c r="E177" s="467">
        <f t="shared" si="132"/>
        <v>926844.144</v>
      </c>
      <c r="F177" s="296"/>
      <c r="G177" s="296"/>
      <c r="H177" s="296"/>
      <c r="I177" s="467">
        <f t="shared" si="133"/>
        <v>926844.144</v>
      </c>
      <c r="J177" s="467">
        <v>200000</v>
      </c>
      <c r="K177" s="467">
        <v>0.2</v>
      </c>
      <c r="L177" s="467">
        <f t="shared" si="121"/>
        <v>185368.8288</v>
      </c>
      <c r="M177" s="467">
        <f t="shared" si="122"/>
        <v>385368.8288</v>
      </c>
      <c r="N177" s="467">
        <f t="shared" si="123"/>
        <v>385368.8288</v>
      </c>
      <c r="O177" s="467">
        <f t="shared" si="124"/>
        <v>541475.3152</v>
      </c>
      <c r="P177" s="467">
        <f t="shared" si="125"/>
        <v>21000</v>
      </c>
      <c r="Q177" s="467">
        <f t="shared" si="126"/>
        <v>26562.284672</v>
      </c>
      <c r="R177" s="467">
        <f t="shared" si="127"/>
        <v>0</v>
      </c>
      <c r="S177" s="467">
        <f t="shared" si="128"/>
        <v>0</v>
      </c>
      <c r="T177" s="467">
        <f t="shared" si="129"/>
        <v>0</v>
      </c>
      <c r="U177" s="467"/>
      <c r="V177" s="467">
        <f t="shared" si="135"/>
        <v>47562.284672</v>
      </c>
      <c r="W177" s="474">
        <v>12</v>
      </c>
      <c r="X177" s="467">
        <f t="shared" si="130"/>
        <v>3963.52372266667</v>
      </c>
      <c r="Y177" s="296"/>
      <c r="Z177" s="467">
        <f t="shared" si="131"/>
        <v>3963.52372266667</v>
      </c>
      <c r="AA177" s="213">
        <v>3963.52372266667</v>
      </c>
      <c r="AB177" s="213">
        <f t="shared" si="134"/>
        <v>0</v>
      </c>
    </row>
    <row r="178" ht="18" spans="2:28">
      <c r="B178" s="18" t="s">
        <v>317</v>
      </c>
      <c r="C178" s="479">
        <v>80237.012</v>
      </c>
      <c r="D178" s="466">
        <v>12</v>
      </c>
      <c r="E178" s="467">
        <f t="shared" si="132"/>
        <v>962844.144</v>
      </c>
      <c r="F178" s="296"/>
      <c r="G178" s="296"/>
      <c r="H178" s="296"/>
      <c r="I178" s="467">
        <f t="shared" si="133"/>
        <v>962844.144</v>
      </c>
      <c r="J178" s="467">
        <v>200000</v>
      </c>
      <c r="K178" s="467">
        <v>0.2</v>
      </c>
      <c r="L178" s="467">
        <f t="shared" si="121"/>
        <v>192568.8288</v>
      </c>
      <c r="M178" s="467">
        <f t="shared" si="122"/>
        <v>392568.8288</v>
      </c>
      <c r="N178" s="467">
        <f t="shared" si="123"/>
        <v>392568.8288</v>
      </c>
      <c r="O178" s="467">
        <f t="shared" si="124"/>
        <v>570275.3152</v>
      </c>
      <c r="P178" s="467">
        <f t="shared" si="125"/>
        <v>21000</v>
      </c>
      <c r="Q178" s="467">
        <f t="shared" si="126"/>
        <v>29730.284672</v>
      </c>
      <c r="R178" s="467">
        <f t="shared" si="127"/>
        <v>0</v>
      </c>
      <c r="S178" s="467">
        <f t="shared" si="128"/>
        <v>0</v>
      </c>
      <c r="T178" s="467">
        <f t="shared" si="129"/>
        <v>0</v>
      </c>
      <c r="U178" s="296"/>
      <c r="V178" s="467">
        <f t="shared" si="135"/>
        <v>50730.284672</v>
      </c>
      <c r="W178" s="474">
        <v>12</v>
      </c>
      <c r="X178" s="467">
        <f t="shared" si="130"/>
        <v>4227.52372266667</v>
      </c>
      <c r="Y178" s="296"/>
      <c r="Z178" s="467">
        <f t="shared" si="131"/>
        <v>4227.52372266667</v>
      </c>
      <c r="AA178" s="213">
        <v>4227.52372266667</v>
      </c>
      <c r="AB178" s="213">
        <f t="shared" si="134"/>
        <v>0</v>
      </c>
    </row>
    <row r="179" ht="18" spans="2:28">
      <c r="B179" s="11" t="s">
        <v>318</v>
      </c>
      <c r="C179" s="479">
        <v>78671.023</v>
      </c>
      <c r="D179" s="466">
        <v>12</v>
      </c>
      <c r="E179" s="467">
        <f t="shared" si="132"/>
        <v>944052.276</v>
      </c>
      <c r="F179" s="296"/>
      <c r="G179" s="296"/>
      <c r="H179" s="296"/>
      <c r="I179" s="467">
        <f t="shared" si="133"/>
        <v>944052.276</v>
      </c>
      <c r="J179" s="467">
        <v>200000</v>
      </c>
      <c r="K179" s="467">
        <v>0.2</v>
      </c>
      <c r="L179" s="467">
        <f t="shared" si="121"/>
        <v>188810.4552</v>
      </c>
      <c r="M179" s="467">
        <f t="shared" si="122"/>
        <v>388810.4552</v>
      </c>
      <c r="N179" s="467">
        <f t="shared" si="123"/>
        <v>388810.4552</v>
      </c>
      <c r="O179" s="467">
        <f t="shared" si="124"/>
        <v>555241.8208</v>
      </c>
      <c r="P179" s="467">
        <f t="shared" si="125"/>
        <v>21000</v>
      </c>
      <c r="Q179" s="467">
        <f t="shared" si="126"/>
        <v>28076.600288</v>
      </c>
      <c r="R179" s="467">
        <f t="shared" si="127"/>
        <v>0</v>
      </c>
      <c r="S179" s="467">
        <f t="shared" si="128"/>
        <v>0</v>
      </c>
      <c r="T179" s="467">
        <f t="shared" si="129"/>
        <v>0</v>
      </c>
      <c r="U179" s="296"/>
      <c r="V179" s="467">
        <f t="shared" si="135"/>
        <v>49076.600288</v>
      </c>
      <c r="W179" s="474">
        <v>12</v>
      </c>
      <c r="X179" s="467">
        <f t="shared" si="130"/>
        <v>4089.71669066667</v>
      </c>
      <c r="Y179" s="296"/>
      <c r="Z179" s="467">
        <f t="shared" si="131"/>
        <v>4089.71669066667</v>
      </c>
      <c r="AA179" s="213">
        <v>4089.71669066667</v>
      </c>
      <c r="AB179" s="213">
        <f t="shared" si="134"/>
        <v>0</v>
      </c>
    </row>
    <row r="180" ht="18" spans="2:28">
      <c r="B180" s="11" t="s">
        <v>319</v>
      </c>
      <c r="C180" s="479">
        <v>80237.012</v>
      </c>
      <c r="D180" s="466">
        <v>12</v>
      </c>
      <c r="E180" s="467">
        <f t="shared" si="132"/>
        <v>962844.144</v>
      </c>
      <c r="F180" s="296"/>
      <c r="G180" s="296"/>
      <c r="H180" s="296"/>
      <c r="I180" s="467">
        <f t="shared" si="133"/>
        <v>962844.144</v>
      </c>
      <c r="J180" s="467">
        <v>200000</v>
      </c>
      <c r="K180" s="467">
        <v>0.2</v>
      </c>
      <c r="L180" s="467">
        <f t="shared" si="121"/>
        <v>192568.8288</v>
      </c>
      <c r="M180" s="467">
        <f t="shared" si="122"/>
        <v>392568.8288</v>
      </c>
      <c r="N180" s="467">
        <f t="shared" si="123"/>
        <v>392568.8288</v>
      </c>
      <c r="O180" s="467">
        <f t="shared" si="124"/>
        <v>570275.3152</v>
      </c>
      <c r="P180" s="467">
        <f t="shared" si="125"/>
        <v>21000</v>
      </c>
      <c r="Q180" s="467">
        <f t="shared" si="126"/>
        <v>29730.284672</v>
      </c>
      <c r="R180" s="467">
        <f t="shared" si="127"/>
        <v>0</v>
      </c>
      <c r="S180" s="467">
        <f t="shared" si="128"/>
        <v>0</v>
      </c>
      <c r="T180" s="467">
        <f t="shared" si="129"/>
        <v>0</v>
      </c>
      <c r="U180" s="296"/>
      <c r="V180" s="467">
        <f t="shared" si="135"/>
        <v>50730.284672</v>
      </c>
      <c r="W180" s="474">
        <v>12</v>
      </c>
      <c r="X180" s="467">
        <f t="shared" si="130"/>
        <v>4227.52372266667</v>
      </c>
      <c r="Y180" s="296"/>
      <c r="Z180" s="467">
        <f t="shared" si="131"/>
        <v>4227.52372266667</v>
      </c>
      <c r="AA180" s="213">
        <v>4227.52372266667</v>
      </c>
      <c r="AB180" s="213">
        <f t="shared" si="134"/>
        <v>0</v>
      </c>
    </row>
    <row r="181" ht="18" spans="2:28">
      <c r="B181" s="18" t="s">
        <v>320</v>
      </c>
      <c r="C181" s="479">
        <v>78671.023</v>
      </c>
      <c r="D181" s="466">
        <v>12</v>
      </c>
      <c r="E181" s="467">
        <f t="shared" si="132"/>
        <v>944052.276</v>
      </c>
      <c r="F181" s="296"/>
      <c r="G181" s="296"/>
      <c r="H181" s="296"/>
      <c r="I181" s="467">
        <f t="shared" si="133"/>
        <v>944052.276</v>
      </c>
      <c r="J181" s="467">
        <v>200000</v>
      </c>
      <c r="K181" s="467">
        <v>0.2</v>
      </c>
      <c r="L181" s="467">
        <f t="shared" si="121"/>
        <v>188810.4552</v>
      </c>
      <c r="M181" s="467">
        <f t="shared" si="122"/>
        <v>388810.4552</v>
      </c>
      <c r="N181" s="467">
        <f t="shared" si="123"/>
        <v>388810.4552</v>
      </c>
      <c r="O181" s="467">
        <f t="shared" si="124"/>
        <v>555241.8208</v>
      </c>
      <c r="P181" s="467">
        <f t="shared" si="125"/>
        <v>21000</v>
      </c>
      <c r="Q181" s="467">
        <f t="shared" si="126"/>
        <v>28076.600288</v>
      </c>
      <c r="R181" s="467">
        <f t="shared" si="127"/>
        <v>0</v>
      </c>
      <c r="S181" s="467">
        <f t="shared" si="128"/>
        <v>0</v>
      </c>
      <c r="T181" s="467">
        <f t="shared" si="129"/>
        <v>0</v>
      </c>
      <c r="U181" s="296"/>
      <c r="V181" s="467">
        <f t="shared" si="135"/>
        <v>49076.600288</v>
      </c>
      <c r="W181" s="474">
        <v>12</v>
      </c>
      <c r="X181" s="467">
        <f t="shared" si="130"/>
        <v>4089.71669066667</v>
      </c>
      <c r="Y181" s="296"/>
      <c r="Z181" s="467">
        <f t="shared" si="131"/>
        <v>4089.71669066667</v>
      </c>
      <c r="AA181" s="213">
        <v>4089.71669066667</v>
      </c>
      <c r="AB181" s="213">
        <f t="shared" si="134"/>
        <v>0</v>
      </c>
    </row>
    <row r="182" ht="18" spans="2:28">
      <c r="B182" s="18" t="s">
        <v>325</v>
      </c>
      <c r="C182" s="479">
        <v>68675.997025</v>
      </c>
      <c r="D182" s="466">
        <v>12</v>
      </c>
      <c r="E182" s="467">
        <f t="shared" si="132"/>
        <v>824111.9643</v>
      </c>
      <c r="F182" s="296"/>
      <c r="G182" s="296"/>
      <c r="H182" s="296"/>
      <c r="I182" s="467">
        <f t="shared" si="133"/>
        <v>824111.9643</v>
      </c>
      <c r="J182" s="467">
        <v>200000</v>
      </c>
      <c r="K182" s="467">
        <v>0.2</v>
      </c>
      <c r="L182" s="467">
        <f t="shared" si="121"/>
        <v>164822.39286</v>
      </c>
      <c r="M182" s="467">
        <f t="shared" si="122"/>
        <v>364822.39286</v>
      </c>
      <c r="N182" s="467">
        <f t="shared" si="123"/>
        <v>364822.39286</v>
      </c>
      <c r="O182" s="467">
        <f t="shared" si="124"/>
        <v>459289.57144</v>
      </c>
      <c r="P182" s="467">
        <f t="shared" si="125"/>
        <v>21000</v>
      </c>
      <c r="Q182" s="467">
        <f t="shared" si="126"/>
        <v>17521.8528584</v>
      </c>
      <c r="R182" s="467">
        <f t="shared" si="127"/>
        <v>0</v>
      </c>
      <c r="S182" s="467">
        <f t="shared" si="128"/>
        <v>0</v>
      </c>
      <c r="T182" s="467">
        <f t="shared" si="129"/>
        <v>0</v>
      </c>
      <c r="U182" s="296"/>
      <c r="V182" s="467">
        <f t="shared" si="135"/>
        <v>38521.8528584</v>
      </c>
      <c r="W182" s="474">
        <v>12</v>
      </c>
      <c r="X182" s="467">
        <f t="shared" si="130"/>
        <v>3210.15440486667</v>
      </c>
      <c r="Y182" s="296"/>
      <c r="Z182" s="467">
        <f t="shared" si="131"/>
        <v>3210.15440486667</v>
      </c>
      <c r="AA182" s="213">
        <v>3210.15440486667</v>
      </c>
      <c r="AB182" s="213">
        <f t="shared" si="134"/>
        <v>0</v>
      </c>
    </row>
    <row r="183" ht="18" spans="2:28">
      <c r="B183" s="18" t="s">
        <v>326</v>
      </c>
      <c r="C183" s="479">
        <v>62980.07925</v>
      </c>
      <c r="D183" s="466">
        <v>12</v>
      </c>
      <c r="E183" s="467">
        <f t="shared" si="132"/>
        <v>755760.951</v>
      </c>
      <c r="F183" s="296"/>
      <c r="G183" s="296"/>
      <c r="H183" s="296"/>
      <c r="I183" s="467">
        <f t="shared" si="133"/>
        <v>755760.951</v>
      </c>
      <c r="J183" s="467">
        <v>200000</v>
      </c>
      <c r="K183" s="467">
        <v>0.2</v>
      </c>
      <c r="L183" s="467">
        <f t="shared" si="121"/>
        <v>151152.1902</v>
      </c>
      <c r="M183" s="467">
        <f t="shared" si="122"/>
        <v>351152.1902</v>
      </c>
      <c r="N183" s="467">
        <f t="shared" si="123"/>
        <v>351152.1902</v>
      </c>
      <c r="O183" s="467">
        <f t="shared" si="124"/>
        <v>404608.7608</v>
      </c>
      <c r="P183" s="467">
        <f t="shared" si="125"/>
        <v>21000</v>
      </c>
      <c r="Q183" s="467">
        <f t="shared" si="126"/>
        <v>11506.963688</v>
      </c>
      <c r="R183" s="467">
        <f t="shared" si="127"/>
        <v>0</v>
      </c>
      <c r="S183" s="467">
        <f t="shared" si="128"/>
        <v>0</v>
      </c>
      <c r="T183" s="467">
        <f t="shared" si="129"/>
        <v>0</v>
      </c>
      <c r="U183" s="296"/>
      <c r="V183" s="467">
        <f t="shared" si="135"/>
        <v>32506.963688</v>
      </c>
      <c r="W183" s="474">
        <v>12</v>
      </c>
      <c r="X183" s="467">
        <f t="shared" si="130"/>
        <v>2708.91364066667</v>
      </c>
      <c r="Y183" s="296"/>
      <c r="Z183" s="467">
        <f t="shared" si="131"/>
        <v>2708.91364066667</v>
      </c>
      <c r="AA183" s="213">
        <v>2708.91364066667</v>
      </c>
      <c r="AB183" s="213">
        <f t="shared" si="134"/>
        <v>-3.63797880709171e-12</v>
      </c>
    </row>
    <row r="184" ht="18" spans="2:28">
      <c r="B184" s="18" t="s">
        <v>329</v>
      </c>
      <c r="C184" s="479">
        <v>62980.07925</v>
      </c>
      <c r="D184" s="466">
        <v>12</v>
      </c>
      <c r="E184" s="467">
        <f t="shared" si="132"/>
        <v>755760.951</v>
      </c>
      <c r="F184" s="296"/>
      <c r="G184" s="296"/>
      <c r="H184" s="296"/>
      <c r="I184" s="467">
        <f t="shared" si="133"/>
        <v>755760.951</v>
      </c>
      <c r="J184" s="467">
        <v>200000</v>
      </c>
      <c r="K184" s="467">
        <v>0.2</v>
      </c>
      <c r="L184" s="467">
        <f t="shared" si="121"/>
        <v>151152.1902</v>
      </c>
      <c r="M184" s="467">
        <f t="shared" si="122"/>
        <v>351152.1902</v>
      </c>
      <c r="N184" s="467">
        <f t="shared" si="123"/>
        <v>351152.1902</v>
      </c>
      <c r="O184" s="467">
        <f t="shared" si="124"/>
        <v>404608.7608</v>
      </c>
      <c r="P184" s="467">
        <f t="shared" si="125"/>
        <v>21000</v>
      </c>
      <c r="Q184" s="467">
        <f t="shared" si="126"/>
        <v>11506.963688</v>
      </c>
      <c r="R184" s="467">
        <f t="shared" si="127"/>
        <v>0</v>
      </c>
      <c r="S184" s="467">
        <f t="shared" si="128"/>
        <v>0</v>
      </c>
      <c r="T184" s="467">
        <f t="shared" si="129"/>
        <v>0</v>
      </c>
      <c r="U184" s="296"/>
      <c r="V184" s="467">
        <f t="shared" si="135"/>
        <v>32506.963688</v>
      </c>
      <c r="W184" s="474">
        <v>12</v>
      </c>
      <c r="X184" s="467">
        <f t="shared" si="130"/>
        <v>2708.91364066667</v>
      </c>
      <c r="Y184" s="296"/>
      <c r="Z184" s="467">
        <f t="shared" si="131"/>
        <v>2708.91364066667</v>
      </c>
      <c r="AA184" s="213">
        <v>2708.91364066667</v>
      </c>
      <c r="AB184" s="213">
        <f t="shared" si="134"/>
        <v>-3.63797880709171e-12</v>
      </c>
    </row>
    <row r="185" ht="18" spans="2:28">
      <c r="B185" s="18" t="s">
        <v>330</v>
      </c>
      <c r="C185" s="479">
        <v>62980.07925</v>
      </c>
      <c r="D185" s="466">
        <v>12</v>
      </c>
      <c r="E185" s="467">
        <f t="shared" si="132"/>
        <v>755760.951</v>
      </c>
      <c r="F185" s="296"/>
      <c r="G185" s="296"/>
      <c r="H185" s="296"/>
      <c r="I185" s="467">
        <f t="shared" si="133"/>
        <v>755760.951</v>
      </c>
      <c r="J185" s="467">
        <v>200000</v>
      </c>
      <c r="K185" s="467">
        <v>0.2</v>
      </c>
      <c r="L185" s="467">
        <f t="shared" si="121"/>
        <v>151152.1902</v>
      </c>
      <c r="M185" s="467">
        <f t="shared" si="122"/>
        <v>351152.1902</v>
      </c>
      <c r="N185" s="467">
        <f t="shared" si="123"/>
        <v>351152.1902</v>
      </c>
      <c r="O185" s="467">
        <f t="shared" si="124"/>
        <v>404608.7608</v>
      </c>
      <c r="P185" s="467">
        <f t="shared" si="125"/>
        <v>21000</v>
      </c>
      <c r="Q185" s="467">
        <f t="shared" si="126"/>
        <v>11506.963688</v>
      </c>
      <c r="R185" s="467">
        <f t="shared" si="127"/>
        <v>0</v>
      </c>
      <c r="S185" s="467">
        <f t="shared" si="128"/>
        <v>0</v>
      </c>
      <c r="T185" s="467">
        <f t="shared" si="129"/>
        <v>0</v>
      </c>
      <c r="U185" s="296"/>
      <c r="V185" s="467">
        <f t="shared" si="135"/>
        <v>32506.963688</v>
      </c>
      <c r="W185" s="474">
        <v>12</v>
      </c>
      <c r="X185" s="467">
        <f t="shared" si="130"/>
        <v>2708.91364066667</v>
      </c>
      <c r="Y185" s="296"/>
      <c r="Z185" s="467">
        <f t="shared" si="131"/>
        <v>2708.91364066667</v>
      </c>
      <c r="AA185" s="213">
        <v>2708.91364066667</v>
      </c>
      <c r="AB185" s="213">
        <f t="shared" si="134"/>
        <v>-3.63797880709171e-12</v>
      </c>
    </row>
    <row r="186" ht="18" spans="2:28">
      <c r="B186" s="18" t="s">
        <v>331</v>
      </c>
      <c r="C186" s="479">
        <v>72103.7495</v>
      </c>
      <c r="D186" s="466">
        <v>12</v>
      </c>
      <c r="E186" s="467">
        <f t="shared" si="132"/>
        <v>865244.994</v>
      </c>
      <c r="F186" s="296"/>
      <c r="G186" s="296"/>
      <c r="H186" s="296"/>
      <c r="I186" s="467">
        <f t="shared" si="133"/>
        <v>865244.994</v>
      </c>
      <c r="J186" s="467">
        <v>200000</v>
      </c>
      <c r="K186" s="467">
        <v>0.2</v>
      </c>
      <c r="L186" s="467">
        <f t="shared" si="121"/>
        <v>173048.9988</v>
      </c>
      <c r="M186" s="467">
        <f t="shared" si="122"/>
        <v>373048.9988</v>
      </c>
      <c r="N186" s="467">
        <f t="shared" si="123"/>
        <v>373048.9988</v>
      </c>
      <c r="O186" s="467">
        <f t="shared" si="124"/>
        <v>492195.9952</v>
      </c>
      <c r="P186" s="467">
        <f t="shared" si="125"/>
        <v>21000</v>
      </c>
      <c r="Q186" s="467">
        <f t="shared" si="126"/>
        <v>21141.559472</v>
      </c>
      <c r="R186" s="467">
        <f t="shared" si="127"/>
        <v>0</v>
      </c>
      <c r="S186" s="467">
        <f t="shared" si="128"/>
        <v>0</v>
      </c>
      <c r="T186" s="467">
        <f t="shared" si="129"/>
        <v>0</v>
      </c>
      <c r="U186" s="296"/>
      <c r="V186" s="467">
        <f t="shared" si="135"/>
        <v>42141.559472</v>
      </c>
      <c r="W186" s="474">
        <v>12</v>
      </c>
      <c r="X186" s="467">
        <f t="shared" si="130"/>
        <v>3511.79662266667</v>
      </c>
      <c r="Y186" s="296"/>
      <c r="Z186" s="467">
        <f t="shared" si="131"/>
        <v>3511.79662266667</v>
      </c>
      <c r="AA186" s="213">
        <v>3511.79662266667</v>
      </c>
      <c r="AB186" s="213">
        <f t="shared" si="134"/>
        <v>0</v>
      </c>
    </row>
    <row r="187" ht="18" spans="2:28">
      <c r="B187" s="18" t="s">
        <v>334</v>
      </c>
      <c r="C187" s="479">
        <v>72103.7495</v>
      </c>
      <c r="D187" s="466">
        <v>12</v>
      </c>
      <c r="E187" s="467">
        <f t="shared" si="132"/>
        <v>865244.994</v>
      </c>
      <c r="F187" s="296"/>
      <c r="G187" s="296"/>
      <c r="H187" s="296"/>
      <c r="I187" s="467">
        <f t="shared" si="133"/>
        <v>865244.994</v>
      </c>
      <c r="J187" s="467">
        <v>200000</v>
      </c>
      <c r="K187" s="467">
        <v>0.2</v>
      </c>
      <c r="L187" s="467">
        <f t="shared" si="121"/>
        <v>173048.9988</v>
      </c>
      <c r="M187" s="467">
        <f t="shared" si="122"/>
        <v>373048.9988</v>
      </c>
      <c r="N187" s="467">
        <f t="shared" si="123"/>
        <v>373048.9988</v>
      </c>
      <c r="O187" s="467">
        <f t="shared" si="124"/>
        <v>492195.9952</v>
      </c>
      <c r="P187" s="467">
        <f t="shared" si="125"/>
        <v>21000</v>
      </c>
      <c r="Q187" s="467">
        <f t="shared" si="126"/>
        <v>21141.559472</v>
      </c>
      <c r="R187" s="467">
        <f t="shared" si="127"/>
        <v>0</v>
      </c>
      <c r="S187" s="467">
        <f t="shared" si="128"/>
        <v>0</v>
      </c>
      <c r="T187" s="467">
        <f t="shared" si="129"/>
        <v>0</v>
      </c>
      <c r="U187" s="296"/>
      <c r="V187" s="467">
        <f t="shared" si="135"/>
        <v>42141.559472</v>
      </c>
      <c r="W187" s="474">
        <v>12</v>
      </c>
      <c r="X187" s="467">
        <f t="shared" si="130"/>
        <v>3511.79662266667</v>
      </c>
      <c r="Y187" s="296"/>
      <c r="Z187" s="467">
        <f t="shared" si="131"/>
        <v>3511.79662266667</v>
      </c>
      <c r="AA187" s="213">
        <v>3511.79662266667</v>
      </c>
      <c r="AB187" s="213">
        <f t="shared" si="134"/>
        <v>0</v>
      </c>
    </row>
    <row r="188" ht="30.75" customHeight="1" spans="2:28">
      <c r="B188" s="8"/>
      <c r="C188" s="213"/>
      <c r="E188" s="547"/>
      <c r="W188" s="294" t="s">
        <v>631</v>
      </c>
      <c r="Z188" s="560">
        <f>SUM(Z6:Z187)</f>
        <v>7214215.76864559</v>
      </c>
      <c r="AA188" s="561">
        <f>SUM(AA6:AA187)</f>
        <v>7445494.57932008</v>
      </c>
      <c r="AB188" s="562">
        <f>AB77+AB90+AB97+AB107+AB61+AB33</f>
        <v>-231278.810674484</v>
      </c>
    </row>
    <row r="189" ht="17.5" spans="2:3">
      <c r="B189" s="30"/>
      <c r="C189" s="213"/>
    </row>
    <row r="190" ht="17.5" spans="2:28">
      <c r="B190" s="33"/>
      <c r="X190" s="294" t="s">
        <v>632</v>
      </c>
      <c r="AB190" s="563">
        <f>AB81+AB82+AB83+AB84+AB86+AB88+AB89+AB94+AB95+AB96+AB102+AB103+AB104+AB105+AB106</f>
        <v>-351613.557404481</v>
      </c>
    </row>
    <row r="191" ht="14" spans="24:28">
      <c r="X191" s="294" t="s">
        <v>633</v>
      </c>
      <c r="AB191" s="564">
        <f>AB87+AB85+AB74+AB61+AB21+AB19+AB18+AB16+AB15</f>
        <v>126852.23813</v>
      </c>
    </row>
    <row r="192" ht="14" spans="24:28">
      <c r="X192" s="294" t="s">
        <v>634</v>
      </c>
      <c r="AB192" s="565">
        <f>SUM(AB190:AB191)</f>
        <v>-224761.319274481</v>
      </c>
    </row>
    <row r="193" ht="14" spans="24:28">
      <c r="X193" s="294" t="s">
        <v>635</v>
      </c>
      <c r="AB193" s="566">
        <f>-6517.49</f>
        <v>-6517.49</v>
      </c>
    </row>
    <row r="194" ht="24.75" customHeight="1" spans="24:28">
      <c r="X194" s="294" t="s">
        <v>513</v>
      </c>
      <c r="AA194" s="213"/>
      <c r="AB194" s="567">
        <f>AB192+AB193</f>
        <v>-231278.809274481</v>
      </c>
    </row>
    <row r="196" spans="27:27">
      <c r="AA196" s="409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D20" sqref="D20"/>
    </sheetView>
  </sheetViews>
  <sheetFormatPr defaultColWidth="9" defaultRowHeight="12.5" outlineLevelCol="5"/>
  <cols>
    <col min="1" max="1" width="5.85454545454545" customWidth="1"/>
    <col min="2" max="2" width="42.7090909090909" customWidth="1"/>
    <col min="3" max="3" width="18.1363636363636" customWidth="1"/>
    <col min="4" max="4" width="19.5727272727273" customWidth="1"/>
    <col min="5" max="5" width="14.8545454545455" customWidth="1"/>
    <col min="6" max="6" width="34.7090909090909" customWidth="1"/>
  </cols>
  <sheetData>
    <row r="1" ht="14" spans="1:5">
      <c r="A1" s="527"/>
      <c r="B1" s="527"/>
      <c r="C1" s="527"/>
      <c r="D1" s="527"/>
      <c r="E1" s="527"/>
    </row>
    <row r="2" ht="52.5" spans="1:6">
      <c r="A2" s="528" t="s">
        <v>20</v>
      </c>
      <c r="B2" s="528" t="s">
        <v>446</v>
      </c>
      <c r="C2" s="529" t="s">
        <v>636</v>
      </c>
      <c r="D2" s="529" t="s">
        <v>637</v>
      </c>
      <c r="E2" s="529" t="s">
        <v>638</v>
      </c>
      <c r="F2" s="530"/>
    </row>
    <row r="3" ht="18.5" spans="1:6">
      <c r="A3" s="528"/>
      <c r="B3" s="528"/>
      <c r="C3" s="529" t="s">
        <v>19</v>
      </c>
      <c r="D3" s="529" t="s">
        <v>19</v>
      </c>
      <c r="E3" s="529" t="s">
        <v>19</v>
      </c>
      <c r="F3" s="530"/>
    </row>
    <row r="4" ht="18.5" spans="1:6">
      <c r="A4" s="531">
        <v>1</v>
      </c>
      <c r="B4" s="532" t="s">
        <v>157</v>
      </c>
      <c r="C4" s="533">
        <v>98996.1031466667</v>
      </c>
      <c r="D4" s="533">
        <v>79796.1031466666</v>
      </c>
      <c r="E4" s="533">
        <f>C4-D4</f>
        <v>19200.0000000001</v>
      </c>
      <c r="F4" s="530"/>
    </row>
    <row r="5" ht="18.5" spans="1:6">
      <c r="A5" s="531">
        <v>2</v>
      </c>
      <c r="B5" s="532" t="s">
        <v>158</v>
      </c>
      <c r="C5" s="533">
        <v>79956.9391466667</v>
      </c>
      <c r="D5" s="533">
        <v>75574.6772906667</v>
      </c>
      <c r="E5" s="533">
        <f t="shared" ref="E5:E11" si="0">C5-D5</f>
        <v>4382.261856</v>
      </c>
      <c r="F5" s="530"/>
    </row>
    <row r="6" ht="18.5" spans="1:6">
      <c r="A6" s="531">
        <v>3</v>
      </c>
      <c r="B6" s="532" t="s">
        <v>159</v>
      </c>
      <c r="C6" s="533">
        <v>75574.6772906667</v>
      </c>
      <c r="D6" s="533">
        <v>50985.9775466667</v>
      </c>
      <c r="E6" s="533">
        <f t="shared" si="0"/>
        <v>24588.699744</v>
      </c>
      <c r="F6" s="530"/>
    </row>
    <row r="7" ht="18.5" spans="1:6">
      <c r="A7" s="531">
        <v>4</v>
      </c>
      <c r="B7" s="532" t="s">
        <v>160</v>
      </c>
      <c r="C7" s="533">
        <v>50985.9775466667</v>
      </c>
      <c r="D7" s="533">
        <v>49548.7761866667</v>
      </c>
      <c r="E7" s="533">
        <f t="shared" si="0"/>
        <v>1437.20136</v>
      </c>
      <c r="F7" s="530"/>
    </row>
    <row r="8" ht="18.5" spans="1:6">
      <c r="A8" s="531">
        <v>5</v>
      </c>
      <c r="B8" s="532" t="s">
        <v>163</v>
      </c>
      <c r="C8" s="533">
        <v>53384.0535626667</v>
      </c>
      <c r="D8" s="533">
        <v>41338.9510986667</v>
      </c>
      <c r="E8" s="533">
        <f t="shared" si="0"/>
        <v>12045.102464</v>
      </c>
      <c r="F8" s="530"/>
    </row>
    <row r="9" ht="18.5" spans="1:6">
      <c r="A9" s="531">
        <v>6</v>
      </c>
      <c r="B9" s="532" t="s">
        <v>167</v>
      </c>
      <c r="C9" s="533">
        <v>45414.4562526667</v>
      </c>
      <c r="D9" s="533">
        <v>33825.9865626667</v>
      </c>
      <c r="E9" s="533">
        <f t="shared" si="0"/>
        <v>11588.46969</v>
      </c>
      <c r="F9" s="530"/>
    </row>
    <row r="10" ht="18.5" spans="1:6">
      <c r="A10" s="531">
        <v>7</v>
      </c>
      <c r="B10" s="532" t="s">
        <v>169</v>
      </c>
      <c r="C10" s="533">
        <v>33825.9865626667</v>
      </c>
      <c r="D10" s="533">
        <v>29984.8709254267</v>
      </c>
      <c r="E10" s="533">
        <f t="shared" si="0"/>
        <v>3841.11563724</v>
      </c>
      <c r="F10" s="530"/>
    </row>
    <row r="11" ht="18.5" spans="1:6">
      <c r="A11" s="531">
        <v>8</v>
      </c>
      <c r="B11" s="532" t="s">
        <v>176</v>
      </c>
      <c r="C11" s="534">
        <v>82627.9514186667</v>
      </c>
      <c r="D11" s="533">
        <v>43492.3733766667</v>
      </c>
      <c r="E11" s="533">
        <f t="shared" si="0"/>
        <v>39135.578042</v>
      </c>
      <c r="F11" s="530"/>
    </row>
    <row r="12" ht="18.5" spans="1:6">
      <c r="A12" s="531">
        <v>9</v>
      </c>
      <c r="B12" s="532" t="s">
        <v>180</v>
      </c>
      <c r="C12" s="533">
        <v>43492.3733766667</v>
      </c>
      <c r="D12" s="533">
        <v>34968.8824146667</v>
      </c>
      <c r="E12" s="533">
        <f t="shared" ref="E12:E14" si="1">C12-D12</f>
        <v>8523.490962</v>
      </c>
      <c r="F12" s="530"/>
    </row>
    <row r="13" ht="18.5" spans="1:6">
      <c r="A13" s="531">
        <v>10</v>
      </c>
      <c r="B13" s="532" t="s">
        <v>182</v>
      </c>
      <c r="C13" s="533">
        <v>34968.8824146667</v>
      </c>
      <c r="D13" s="533">
        <v>27105.9865626667</v>
      </c>
      <c r="E13" s="533">
        <f t="shared" si="1"/>
        <v>7862.895852</v>
      </c>
      <c r="F13" s="530"/>
    </row>
    <row r="14" ht="18.5" spans="1:6">
      <c r="A14" s="531">
        <v>11</v>
      </c>
      <c r="B14" s="532" t="s">
        <v>190</v>
      </c>
      <c r="C14" s="533">
        <v>180180.378218667</v>
      </c>
      <c r="D14" s="533">
        <v>58814.6731034667</v>
      </c>
      <c r="E14" s="533">
        <f t="shared" si="1"/>
        <v>121365.7051152</v>
      </c>
      <c r="F14" s="530"/>
    </row>
    <row r="15" ht="18.5" spans="1:6">
      <c r="A15" s="531">
        <v>12</v>
      </c>
      <c r="B15" s="532" t="s">
        <v>193</v>
      </c>
      <c r="C15" s="533">
        <v>99907.9514186667</v>
      </c>
      <c r="D15" s="533">
        <v>58631.4399444267</v>
      </c>
      <c r="E15" s="533">
        <f t="shared" ref="E15:E18" si="2">C15-D15</f>
        <v>41276.51147424</v>
      </c>
      <c r="F15" s="530"/>
    </row>
    <row r="16" ht="18.5" spans="1:6">
      <c r="A16" s="531">
        <v>13</v>
      </c>
      <c r="B16" s="532" t="s">
        <v>194</v>
      </c>
      <c r="C16" s="533">
        <v>58941.1017434667</v>
      </c>
      <c r="D16" s="533">
        <v>31871.3352033067</v>
      </c>
      <c r="E16" s="533">
        <f t="shared" si="2"/>
        <v>27069.76654016</v>
      </c>
      <c r="F16" s="530"/>
    </row>
    <row r="17" ht="18.5" spans="1:6">
      <c r="A17" s="531">
        <v>14</v>
      </c>
      <c r="B17" s="532" t="s">
        <v>197</v>
      </c>
      <c r="C17" s="533">
        <v>58631.4399444267</v>
      </c>
      <c r="D17" s="533">
        <v>31221.1455546667</v>
      </c>
      <c r="E17" s="533">
        <f t="shared" si="2"/>
        <v>27410.29438976</v>
      </c>
      <c r="F17" s="530"/>
    </row>
    <row r="18" ht="18.5" spans="1:6">
      <c r="A18" s="531">
        <v>15</v>
      </c>
      <c r="B18" s="532" t="s">
        <v>199</v>
      </c>
      <c r="C18" s="533">
        <v>31871.3352033067</v>
      </c>
      <c r="D18" s="533">
        <v>29984.8709254267</v>
      </c>
      <c r="E18" s="533">
        <f t="shared" si="2"/>
        <v>1886.46427788</v>
      </c>
      <c r="F18" s="530"/>
    </row>
    <row r="19" ht="18.5" spans="1:6">
      <c r="A19" s="532"/>
      <c r="B19" s="535" t="s">
        <v>96</v>
      </c>
      <c r="C19" s="535">
        <f>SUM(C4:C18)</f>
        <v>1028759.6072472</v>
      </c>
      <c r="D19" s="535">
        <f t="shared" ref="D19:E19" si="3">SUM(D4:D18)</f>
        <v>677146.04984272</v>
      </c>
      <c r="E19" s="535">
        <f t="shared" si="3"/>
        <v>351613.55740448</v>
      </c>
      <c r="F19" s="530"/>
    </row>
    <row r="20" ht="24.75" customHeight="1" spans="1:6">
      <c r="A20" s="536"/>
      <c r="B20" s="536"/>
      <c r="C20" s="536"/>
      <c r="D20" s="536"/>
      <c r="E20" s="536"/>
      <c r="F20" s="530"/>
    </row>
  </sheetData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8"/>
  <sheetViews>
    <sheetView workbookViewId="0">
      <selection activeCell="O196" sqref="O196"/>
    </sheetView>
  </sheetViews>
  <sheetFormatPr defaultColWidth="9.13636363636364" defaultRowHeight="18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18.2818181818182" style="1" customWidth="1"/>
    <col min="8" max="8" width="18.1363636363636" style="1" customWidth="1"/>
    <col min="9" max="9" width="17.8545454545455" style="1" customWidth="1"/>
    <col min="10" max="12" width="20" style="1" customWidth="1"/>
    <col min="13" max="15" width="19.7090909090909" style="1" customWidth="1"/>
    <col min="16" max="16" width="21.7090909090909" style="1" customWidth="1"/>
    <col min="17" max="16384" width="9.13636363636364" style="1"/>
  </cols>
  <sheetData>
    <row r="1" ht="27" customHeight="1" spans="1:12">
      <c r="A1" s="502" t="s">
        <v>0</v>
      </c>
      <c r="B1" s="502"/>
      <c r="C1" s="502"/>
      <c r="D1" s="502"/>
      <c r="E1" s="502"/>
      <c r="F1" s="502"/>
      <c r="G1" s="217"/>
      <c r="H1" s="217"/>
      <c r="I1" s="217"/>
      <c r="J1" s="217"/>
      <c r="K1" s="217"/>
      <c r="L1" s="217"/>
    </row>
    <row r="2" ht="33.75" customHeight="1" spans="1:15">
      <c r="A2" s="502" t="s">
        <v>639</v>
      </c>
      <c r="B2" s="503"/>
      <c r="C2" s="502"/>
      <c r="D2" s="502"/>
      <c r="E2" s="504"/>
      <c r="F2" s="504"/>
      <c r="G2" s="299"/>
      <c r="H2" s="299"/>
      <c r="I2" s="299"/>
      <c r="J2" s="299"/>
      <c r="K2" s="299"/>
      <c r="L2" s="299"/>
      <c r="M2" s="78"/>
      <c r="N2" s="78"/>
      <c r="O2" s="78"/>
    </row>
    <row r="3" ht="9.75" customHeight="1" spans="5:12"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/>
    </row>
    <row r="4" ht="52.5" customHeight="1" spans="1:15">
      <c r="A4" s="4"/>
      <c r="B4" s="5" t="s">
        <v>2</v>
      </c>
      <c r="C4" s="6" t="s">
        <v>3</v>
      </c>
      <c r="D4" s="7" t="s">
        <v>4</v>
      </c>
      <c r="E4" s="218" t="s">
        <v>546</v>
      </c>
      <c r="F4" s="218" t="s">
        <v>617</v>
      </c>
      <c r="G4" s="218" t="s">
        <v>618</v>
      </c>
      <c r="H4" s="218" t="s">
        <v>619</v>
      </c>
      <c r="I4" s="218" t="s">
        <v>8</v>
      </c>
      <c r="J4" s="505" t="s">
        <v>474</v>
      </c>
      <c r="K4" s="505" t="s">
        <v>620</v>
      </c>
      <c r="L4" s="505" t="s">
        <v>621</v>
      </c>
      <c r="M4" s="506" t="s">
        <v>622</v>
      </c>
      <c r="N4" s="506" t="s">
        <v>623</v>
      </c>
      <c r="O4" s="506" t="s">
        <v>624</v>
      </c>
    </row>
    <row r="5" ht="17.25" customHeight="1" spans="3:15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507"/>
      <c r="K5" s="507"/>
      <c r="L5" s="507"/>
      <c r="M5" s="508" t="s">
        <v>19</v>
      </c>
      <c r="N5" s="508"/>
      <c r="O5" s="508"/>
    </row>
    <row r="6" ht="20.1" customHeight="1" spans="1:15">
      <c r="A6" s="9" t="s">
        <v>20</v>
      </c>
      <c r="B6" s="8" t="s">
        <v>21</v>
      </c>
      <c r="C6" s="8"/>
      <c r="D6" s="8"/>
      <c r="E6" s="82"/>
      <c r="F6" s="21"/>
      <c r="G6" s="82"/>
      <c r="H6" s="82"/>
      <c r="I6" s="82"/>
      <c r="J6" s="507"/>
      <c r="K6" s="507"/>
      <c r="L6" s="507"/>
      <c r="M6" s="508"/>
      <c r="N6" s="508"/>
      <c r="O6" s="508"/>
    </row>
    <row r="7" ht="20.1" customHeight="1" spans="1:16">
      <c r="A7" s="10">
        <v>1</v>
      </c>
      <c r="B7" s="11" t="s">
        <v>22</v>
      </c>
      <c r="C7" s="12" t="s">
        <v>23</v>
      </c>
      <c r="D7" s="12" t="s">
        <v>24</v>
      </c>
      <c r="E7" s="85">
        <v>1659751.167</v>
      </c>
      <c r="F7" s="85"/>
      <c r="G7" s="220">
        <f>250000</f>
        <v>250000</v>
      </c>
      <c r="H7" s="220"/>
      <c r="I7" s="85">
        <v>25235</v>
      </c>
      <c r="J7" s="509">
        <f>E7+F7+G7+H7+I7</f>
        <v>1934986.167</v>
      </c>
      <c r="K7" s="509">
        <v>1158849.84</v>
      </c>
      <c r="L7" s="509">
        <f>J7-K7</f>
        <v>776136.327</v>
      </c>
      <c r="M7" s="510">
        <v>350184.010730667</v>
      </c>
      <c r="N7" s="510">
        <v>201165.835946667</v>
      </c>
      <c r="O7" s="511">
        <f>M7-N7</f>
        <v>149018.174784</v>
      </c>
      <c r="P7" s="13"/>
    </row>
    <row r="8" ht="20.1" customHeight="1" spans="1:16">
      <c r="A8" s="10">
        <v>2</v>
      </c>
      <c r="B8" s="11" t="s">
        <v>25</v>
      </c>
      <c r="C8" s="12" t="s">
        <v>26</v>
      </c>
      <c r="D8" s="10" t="s">
        <v>27</v>
      </c>
      <c r="E8" s="85">
        <v>762373.166666667</v>
      </c>
      <c r="F8" s="85"/>
      <c r="G8" s="220"/>
      <c r="H8" s="220">
        <f>90000</f>
        <v>90000</v>
      </c>
      <c r="I8" s="85">
        <v>0</v>
      </c>
      <c r="J8" s="509">
        <f t="shared" ref="J8:J33" si="0">E8+F8+G8+H8+I8</f>
        <v>852373.166666667</v>
      </c>
      <c r="K8" s="509">
        <v>541465.02475</v>
      </c>
      <c r="L8" s="509">
        <f t="shared" ref="L8:L33" si="1">J8-K8</f>
        <v>310908.141916667</v>
      </c>
      <c r="M8" s="510">
        <v>130612.262826667</v>
      </c>
      <c r="N8" s="510">
        <v>82627.9514186667</v>
      </c>
      <c r="O8" s="511">
        <f t="shared" ref="O8:O33" si="2">M8-N8</f>
        <v>47984.3114080003</v>
      </c>
      <c r="P8" s="13"/>
    </row>
    <row r="9" ht="20.1" customHeight="1" spans="1:16">
      <c r="A9" s="10">
        <v>3</v>
      </c>
      <c r="B9" s="14" t="s">
        <v>28</v>
      </c>
      <c r="C9" s="4" t="s">
        <v>29</v>
      </c>
      <c r="D9" s="10" t="s">
        <v>27</v>
      </c>
      <c r="E9" s="85">
        <v>762373.166666667</v>
      </c>
      <c r="F9" s="85"/>
      <c r="G9" s="220"/>
      <c r="H9" s="220">
        <f>90000</f>
        <v>90000</v>
      </c>
      <c r="I9" s="85">
        <f>100000+100000</f>
        <v>200000</v>
      </c>
      <c r="J9" s="509">
        <f t="shared" si="0"/>
        <v>1052373.16666667</v>
      </c>
      <c r="K9" s="509">
        <v>741465.02475</v>
      </c>
      <c r="L9" s="509">
        <f t="shared" si="1"/>
        <v>310908.141916667</v>
      </c>
      <c r="M9" s="510">
        <v>180722.314666667</v>
      </c>
      <c r="N9" s="510">
        <v>121027.951418667</v>
      </c>
      <c r="O9" s="511">
        <f t="shared" si="2"/>
        <v>59694.363248</v>
      </c>
      <c r="P9" s="13"/>
    </row>
    <row r="10" ht="20.1" customHeight="1" spans="1:16">
      <c r="A10" s="10">
        <v>4</v>
      </c>
      <c r="B10" s="11" t="s">
        <v>30</v>
      </c>
      <c r="C10" s="17" t="s">
        <v>31</v>
      </c>
      <c r="D10" s="10" t="s">
        <v>27</v>
      </c>
      <c r="E10" s="85">
        <v>762373.166666667</v>
      </c>
      <c r="F10" s="85"/>
      <c r="G10" s="220">
        <v>180000</v>
      </c>
      <c r="H10" s="220"/>
      <c r="I10" s="85">
        <v>0</v>
      </c>
      <c r="J10" s="509">
        <f t="shared" si="0"/>
        <v>942373.166666667</v>
      </c>
      <c r="K10" s="509">
        <v>631465.02475</v>
      </c>
      <c r="L10" s="509">
        <f t="shared" si="1"/>
        <v>310908.141916667</v>
      </c>
      <c r="M10" s="510">
        <v>147687.527610667</v>
      </c>
      <c r="N10" s="510">
        <v>99703.2162026667</v>
      </c>
      <c r="O10" s="511">
        <f t="shared" si="2"/>
        <v>47984.3114080003</v>
      </c>
      <c r="P10" s="13"/>
    </row>
    <row r="11" ht="20.1" customHeight="1" spans="1:16">
      <c r="A11" s="10">
        <v>5</v>
      </c>
      <c r="B11" s="14" t="s">
        <v>32</v>
      </c>
      <c r="C11" s="4" t="s">
        <v>608</v>
      </c>
      <c r="D11" s="10" t="s">
        <v>27</v>
      </c>
      <c r="E11" s="85">
        <v>762373.166666667</v>
      </c>
      <c r="F11" s="85"/>
      <c r="G11" s="220"/>
      <c r="H11" s="220">
        <f>80000+10000</f>
        <v>90000</v>
      </c>
      <c r="I11" s="85">
        <v>150000</v>
      </c>
      <c r="J11" s="509">
        <f t="shared" si="0"/>
        <v>1002373.16666667</v>
      </c>
      <c r="K11" s="509">
        <v>691465.02475</v>
      </c>
      <c r="L11" s="509">
        <f t="shared" si="1"/>
        <v>310908.141916667</v>
      </c>
      <c r="M11" s="510">
        <v>159207.527610667</v>
      </c>
      <c r="N11" s="510">
        <v>111223.216202667</v>
      </c>
      <c r="O11" s="511">
        <f t="shared" si="2"/>
        <v>47984.311408</v>
      </c>
      <c r="P11" s="13"/>
    </row>
    <row r="12" ht="20.1" customHeight="1" spans="1:16">
      <c r="A12" s="10">
        <v>6</v>
      </c>
      <c r="B12" s="18" t="s">
        <v>576</v>
      </c>
      <c r="C12" s="10" t="s">
        <v>577</v>
      </c>
      <c r="D12" s="10" t="s">
        <v>27</v>
      </c>
      <c r="E12" s="85">
        <v>762373.166666667</v>
      </c>
      <c r="F12" s="85"/>
      <c r="G12" s="220"/>
      <c r="H12" s="220">
        <f>90000</f>
        <v>90000</v>
      </c>
      <c r="I12" s="85">
        <v>100000</v>
      </c>
      <c r="J12" s="509">
        <f t="shared" si="0"/>
        <v>952373.166666667</v>
      </c>
      <c r="K12" s="509">
        <v>641465.02475</v>
      </c>
      <c r="L12" s="509">
        <f t="shared" si="1"/>
        <v>310908.141916667</v>
      </c>
      <c r="M12" s="510">
        <v>161522.314666667</v>
      </c>
      <c r="N12" s="510">
        <v>101827.951418667</v>
      </c>
      <c r="O12" s="511">
        <f t="shared" si="2"/>
        <v>59694.363248</v>
      </c>
      <c r="P12" s="13"/>
    </row>
    <row r="13" ht="20.1" customHeight="1" spans="1:16">
      <c r="A13" s="10">
        <v>7</v>
      </c>
      <c r="B13" s="11" t="s">
        <v>34</v>
      </c>
      <c r="C13" s="12" t="s">
        <v>35</v>
      </c>
      <c r="D13" s="15" t="s">
        <v>36</v>
      </c>
      <c r="E13" s="85">
        <v>620675.583333333</v>
      </c>
      <c r="F13" s="85"/>
      <c r="G13" s="220"/>
      <c r="H13" s="220">
        <f t="shared" ref="H13:H124" si="3">80000</f>
        <v>80000</v>
      </c>
      <c r="I13" s="85">
        <v>50000</v>
      </c>
      <c r="J13" s="509">
        <f t="shared" si="0"/>
        <v>750675.583333333</v>
      </c>
      <c r="K13" s="509">
        <v>497553.5025</v>
      </c>
      <c r="L13" s="509">
        <f t="shared" si="1"/>
        <v>253122.080833333</v>
      </c>
      <c r="M13" s="510">
        <v>113101.965706667</v>
      </c>
      <c r="N13" s="510">
        <v>74036.1031466667</v>
      </c>
      <c r="O13" s="511">
        <f t="shared" si="2"/>
        <v>39065.8625600003</v>
      </c>
      <c r="P13" s="13"/>
    </row>
    <row r="14" ht="20.1" customHeight="1" spans="1:16">
      <c r="A14" s="10">
        <v>8</v>
      </c>
      <c r="B14" s="11" t="s">
        <v>37</v>
      </c>
      <c r="C14" s="4" t="s">
        <v>38</v>
      </c>
      <c r="D14" s="10" t="s">
        <v>39</v>
      </c>
      <c r="E14" s="85">
        <v>582118.083333333</v>
      </c>
      <c r="F14" s="85"/>
      <c r="G14" s="220">
        <v>160000</v>
      </c>
      <c r="H14" s="220"/>
      <c r="I14" s="85">
        <f>100000</f>
        <v>100000</v>
      </c>
      <c r="J14" s="509">
        <f t="shared" si="0"/>
        <v>842118.083333333</v>
      </c>
      <c r="K14" s="509">
        <v>604729.222</v>
      </c>
      <c r="L14" s="509">
        <f t="shared" si="1"/>
        <v>237388.861333333</v>
      </c>
      <c r="M14" s="510">
        <v>131263.109674667</v>
      </c>
      <c r="N14" s="510">
        <v>94625.7820586667</v>
      </c>
      <c r="O14" s="511">
        <f t="shared" si="2"/>
        <v>36637.3276160003</v>
      </c>
      <c r="P14" s="13"/>
    </row>
    <row r="15" ht="20.1" customHeight="1" spans="1:16">
      <c r="A15" s="10">
        <v>9</v>
      </c>
      <c r="B15" s="11" t="s">
        <v>40</v>
      </c>
      <c r="C15" s="4" t="s">
        <v>41</v>
      </c>
      <c r="D15" s="15" t="s">
        <v>42</v>
      </c>
      <c r="E15" s="85">
        <v>484373.75</v>
      </c>
      <c r="F15" s="85"/>
      <c r="G15" s="220"/>
      <c r="H15" s="220">
        <f t="shared" ref="H15" si="4">70000</f>
        <v>70000</v>
      </c>
      <c r="I15" s="85">
        <f>0</f>
        <v>0</v>
      </c>
      <c r="J15" s="509">
        <f t="shared" si="0"/>
        <v>554373.75</v>
      </c>
      <c r="K15" s="509">
        <v>343333.03525</v>
      </c>
      <c r="L15" s="509">
        <f t="shared" si="1"/>
        <v>211040.71475</v>
      </c>
      <c r="M15" s="510">
        <v>77666.4458666667</v>
      </c>
      <c r="N15" s="510">
        <v>44846.6165886667</v>
      </c>
      <c r="O15" s="511">
        <f t="shared" si="2"/>
        <v>32819.829278</v>
      </c>
      <c r="P15" s="13"/>
    </row>
    <row r="16" ht="20.1" customHeight="1" spans="1:16">
      <c r="A16" s="10">
        <v>10</v>
      </c>
      <c r="B16" s="14" t="s">
        <v>43</v>
      </c>
      <c r="C16" s="17" t="s">
        <v>133</v>
      </c>
      <c r="D16" s="15" t="s">
        <v>222</v>
      </c>
      <c r="E16" s="85">
        <v>470498</v>
      </c>
      <c r="F16" s="85"/>
      <c r="G16" s="220">
        <v>140000</v>
      </c>
      <c r="H16" s="220"/>
      <c r="I16" s="85">
        <v>50000</v>
      </c>
      <c r="J16" s="509">
        <f t="shared" si="0"/>
        <v>660498</v>
      </c>
      <c r="K16" s="509">
        <v>463333.03525</v>
      </c>
      <c r="L16" s="509">
        <f t="shared" si="1"/>
        <v>197164.96475</v>
      </c>
      <c r="M16" s="512">
        <v>98255.4333866667</v>
      </c>
      <c r="N16" s="510">
        <v>67626.6094346667</v>
      </c>
      <c r="O16" s="511">
        <f t="shared" si="2"/>
        <v>30628.823952</v>
      </c>
      <c r="P16" s="13"/>
    </row>
    <row r="17" ht="20.1" customHeight="1" spans="1:16">
      <c r="A17" s="10">
        <v>11</v>
      </c>
      <c r="B17" s="11" t="s">
        <v>45</v>
      </c>
      <c r="C17" s="4" t="s">
        <v>46</v>
      </c>
      <c r="D17" s="10" t="s">
        <v>47</v>
      </c>
      <c r="E17" s="85">
        <v>442746.5</v>
      </c>
      <c r="F17" s="85"/>
      <c r="G17" s="220">
        <f>140000</f>
        <v>140000</v>
      </c>
      <c r="H17" s="220"/>
      <c r="I17" s="85">
        <v>150000</v>
      </c>
      <c r="J17" s="509">
        <f t="shared" si="0"/>
        <v>732746.5</v>
      </c>
      <c r="K17" s="509">
        <v>547211.3675</v>
      </c>
      <c r="L17" s="509">
        <f t="shared" si="1"/>
        <v>185535.1325</v>
      </c>
      <c r="M17" s="510">
        <v>112553.408426667</v>
      </c>
      <c r="N17" s="510">
        <v>83731.2492266667</v>
      </c>
      <c r="O17" s="511">
        <f t="shared" si="2"/>
        <v>28822.1592000003</v>
      </c>
      <c r="P17" s="13"/>
    </row>
    <row r="18" ht="20.1" customHeight="1" spans="1:15">
      <c r="A18" s="10">
        <v>12</v>
      </c>
      <c r="B18" s="11" t="s">
        <v>48</v>
      </c>
      <c r="C18" s="4" t="s">
        <v>579</v>
      </c>
      <c r="D18" s="10" t="s">
        <v>192</v>
      </c>
      <c r="E18" s="85">
        <v>441804.916666667</v>
      </c>
      <c r="F18" s="85"/>
      <c r="G18" s="220"/>
      <c r="H18" s="220">
        <v>70000</v>
      </c>
      <c r="I18" s="85"/>
      <c r="J18" s="509">
        <f t="shared" si="0"/>
        <v>511804.916666667</v>
      </c>
      <c r="K18" s="509">
        <v>326663.0775</v>
      </c>
      <c r="L18" s="509">
        <f t="shared" si="1"/>
        <v>185141.839166667</v>
      </c>
      <c r="M18" s="510">
        <v>70147.0871466667</v>
      </c>
      <c r="N18" s="510">
        <v>42046.0636866667</v>
      </c>
      <c r="O18" s="511">
        <f t="shared" si="2"/>
        <v>28101.02346</v>
      </c>
    </row>
    <row r="19" ht="20.1" customHeight="1" spans="1:16">
      <c r="A19" s="10">
        <v>13</v>
      </c>
      <c r="B19" s="11" t="s">
        <v>50</v>
      </c>
      <c r="C19" s="12" t="s">
        <v>51</v>
      </c>
      <c r="D19" s="15" t="s">
        <v>52</v>
      </c>
      <c r="E19" s="85">
        <v>428915.916666667</v>
      </c>
      <c r="F19" s="85"/>
      <c r="G19" s="220">
        <f>120000</f>
        <v>120000</v>
      </c>
      <c r="H19" s="220"/>
      <c r="I19" s="85">
        <v>0</v>
      </c>
      <c r="J19" s="509">
        <f t="shared" si="0"/>
        <v>548915.916666667</v>
      </c>
      <c r="K19" s="509">
        <v>369177.65375</v>
      </c>
      <c r="L19" s="509">
        <f t="shared" si="1"/>
        <v>179738.262916667</v>
      </c>
      <c r="M19" s="510">
        <v>77470.3741866667</v>
      </c>
      <c r="N19" s="510">
        <v>49548.7761866667</v>
      </c>
      <c r="O19" s="511">
        <f t="shared" si="2"/>
        <v>27921.598</v>
      </c>
      <c r="P19" s="13"/>
    </row>
    <row r="20" ht="20.1" customHeight="1" spans="1:16">
      <c r="A20" s="10">
        <v>14</v>
      </c>
      <c r="B20" s="18" t="s">
        <v>53</v>
      </c>
      <c r="C20" s="4" t="s">
        <v>609</v>
      </c>
      <c r="D20" s="15" t="s">
        <v>55</v>
      </c>
      <c r="E20" s="85">
        <v>416026.916666667</v>
      </c>
      <c r="F20" s="85"/>
      <c r="G20" s="220">
        <f>120000</f>
        <v>120000</v>
      </c>
      <c r="H20" s="220"/>
      <c r="I20" s="85">
        <f>100000</f>
        <v>100000</v>
      </c>
      <c r="J20" s="509">
        <f t="shared" si="0"/>
        <v>636026.916666667</v>
      </c>
      <c r="K20" s="509">
        <v>462001.0605</v>
      </c>
      <c r="L20" s="509">
        <f t="shared" si="1"/>
        <v>174025.856166667</v>
      </c>
      <c r="M20" s="510">
        <v>94274.9034666667</v>
      </c>
      <c r="N20" s="510">
        <v>67370.8702826667</v>
      </c>
      <c r="O20" s="511">
        <f t="shared" si="2"/>
        <v>26904.033184</v>
      </c>
      <c r="P20" s="13"/>
    </row>
    <row r="21" ht="18.75" customHeight="1" spans="1:16">
      <c r="A21" s="10">
        <v>15</v>
      </c>
      <c r="B21" s="11" t="s">
        <v>60</v>
      </c>
      <c r="C21" s="12" t="s">
        <v>61</v>
      </c>
      <c r="D21" s="15" t="s">
        <v>62</v>
      </c>
      <c r="E21" s="85">
        <v>377895.166666667</v>
      </c>
      <c r="F21" s="85"/>
      <c r="G21" s="220"/>
      <c r="H21" s="220">
        <f>60000</f>
        <v>60000</v>
      </c>
      <c r="I21" s="85">
        <v>100000</v>
      </c>
      <c r="J21" s="509">
        <f t="shared" si="0"/>
        <v>537895.166666667</v>
      </c>
      <c r="K21" s="509">
        <v>384536.9985</v>
      </c>
      <c r="L21" s="509">
        <f t="shared" si="1"/>
        <v>153358.168166667</v>
      </c>
      <c r="M21" s="510">
        <v>76138.0689066667</v>
      </c>
      <c r="N21" s="510">
        <v>52497.7703786666</v>
      </c>
      <c r="O21" s="511">
        <f t="shared" si="2"/>
        <v>23640.2985280001</v>
      </c>
      <c r="P21" s="13"/>
    </row>
    <row r="22" ht="20.1" customHeight="1" spans="1:16">
      <c r="A22" s="10">
        <v>16</v>
      </c>
      <c r="B22" s="14" t="s">
        <v>63</v>
      </c>
      <c r="C22" s="17" t="s">
        <v>610</v>
      </c>
      <c r="D22" s="10" t="s">
        <v>65</v>
      </c>
      <c r="E22" s="85">
        <v>353512.5</v>
      </c>
      <c r="F22" s="85"/>
      <c r="G22" s="220">
        <f t="shared" ref="G22" si="5">100000</f>
        <v>100000</v>
      </c>
      <c r="H22" s="220"/>
      <c r="I22" s="85">
        <v>100000</v>
      </c>
      <c r="J22" s="509">
        <f t="shared" si="0"/>
        <v>553512.5</v>
      </c>
      <c r="K22" s="509">
        <v>400372.075</v>
      </c>
      <c r="L22" s="509">
        <f t="shared" si="1"/>
        <v>153140.425</v>
      </c>
      <c r="M22" s="510">
        <v>79511.1146666667</v>
      </c>
      <c r="N22" s="510">
        <v>55538.1050666667</v>
      </c>
      <c r="O22" s="511">
        <f t="shared" si="2"/>
        <v>23973.0096</v>
      </c>
      <c r="P22" s="13"/>
    </row>
    <row r="23" ht="21.6" customHeight="1" spans="1:16">
      <c r="A23" s="10">
        <v>17</v>
      </c>
      <c r="B23" s="11" t="s">
        <v>66</v>
      </c>
      <c r="C23" s="17" t="s">
        <v>67</v>
      </c>
      <c r="D23" s="15" t="s">
        <v>65</v>
      </c>
      <c r="E23" s="85">
        <v>353512.5</v>
      </c>
      <c r="F23" s="85"/>
      <c r="G23" s="220">
        <v>110000</v>
      </c>
      <c r="H23" s="220"/>
      <c r="I23" s="85">
        <v>0</v>
      </c>
      <c r="J23" s="509">
        <f t="shared" si="0"/>
        <v>463512.5</v>
      </c>
      <c r="K23" s="509">
        <v>1015372.075</v>
      </c>
      <c r="L23" s="509">
        <f t="shared" si="1"/>
        <v>-551859.575</v>
      </c>
      <c r="M23" s="510">
        <v>62231.1146666667</v>
      </c>
      <c r="N23" s="510">
        <v>40149.1752666667</v>
      </c>
      <c r="O23" s="511">
        <f t="shared" si="2"/>
        <v>22081.9394</v>
      </c>
      <c r="P23" s="13"/>
    </row>
    <row r="24" ht="20.1" customHeight="1" spans="1:16">
      <c r="A24" s="10">
        <v>18</v>
      </c>
      <c r="B24" s="14" t="s">
        <v>68</v>
      </c>
      <c r="C24" s="17" t="s">
        <v>69</v>
      </c>
      <c r="D24" s="10" t="s">
        <v>70</v>
      </c>
      <c r="E24" s="85">
        <v>293029.666666667</v>
      </c>
      <c r="F24" s="85"/>
      <c r="G24" s="220"/>
      <c r="H24" s="220">
        <f>50000+10000</f>
        <v>60000</v>
      </c>
      <c r="I24" s="85">
        <v>100000</v>
      </c>
      <c r="J24" s="509">
        <f t="shared" si="0"/>
        <v>453029.666666667</v>
      </c>
      <c r="K24" s="509">
        <v>328602.07775</v>
      </c>
      <c r="L24" s="509">
        <f t="shared" si="1"/>
        <v>124427.588916667</v>
      </c>
      <c r="M24" s="510">
        <v>61147.4269866667</v>
      </c>
      <c r="N24" s="510">
        <v>42371.8157286667</v>
      </c>
      <c r="O24" s="511">
        <f t="shared" si="2"/>
        <v>18775.611258</v>
      </c>
      <c r="P24" s="13"/>
    </row>
    <row r="25" ht="18.75" customHeight="1" spans="1:16">
      <c r="A25" s="10">
        <v>19</v>
      </c>
      <c r="B25" s="4" t="s">
        <v>73</v>
      </c>
      <c r="C25" s="4" t="s">
        <v>74</v>
      </c>
      <c r="D25" s="10" t="s">
        <v>75</v>
      </c>
      <c r="E25" s="85">
        <v>270481.666666667</v>
      </c>
      <c r="F25" s="85"/>
      <c r="G25" s="220"/>
      <c r="H25" s="220">
        <f>50000+10000</f>
        <v>60000</v>
      </c>
      <c r="I25" s="85"/>
      <c r="J25" s="509">
        <f t="shared" si="0"/>
        <v>330481.666666667</v>
      </c>
      <c r="K25" s="509">
        <v>213508.01</v>
      </c>
      <c r="L25" s="509">
        <f t="shared" si="1"/>
        <v>116973.656666667</v>
      </c>
      <c r="M25" s="512">
        <v>39052.3130666667</v>
      </c>
      <c r="N25" s="510">
        <v>23036.0123466667</v>
      </c>
      <c r="O25" s="511">
        <f t="shared" si="2"/>
        <v>16016.30072</v>
      </c>
      <c r="P25" s="13"/>
    </row>
    <row r="26" ht="18.75" customHeight="1" spans="1:16">
      <c r="A26" s="10">
        <v>20</v>
      </c>
      <c r="B26" s="18" t="s">
        <v>76</v>
      </c>
      <c r="C26" s="12" t="s">
        <v>74</v>
      </c>
      <c r="D26" s="15" t="s">
        <v>75</v>
      </c>
      <c r="E26" s="85">
        <v>270481.666666667</v>
      </c>
      <c r="F26" s="85"/>
      <c r="G26" s="220"/>
      <c r="H26" s="220">
        <f>50000+10000</f>
        <v>60000</v>
      </c>
      <c r="I26" s="85"/>
      <c r="J26" s="509">
        <f t="shared" si="0"/>
        <v>330481.666666667</v>
      </c>
      <c r="K26" s="509">
        <v>213508.01</v>
      </c>
      <c r="L26" s="509">
        <f t="shared" si="1"/>
        <v>116973.656666667</v>
      </c>
      <c r="M26" s="510">
        <v>39052.3130666667</v>
      </c>
      <c r="N26" s="510">
        <v>23036.0123466667</v>
      </c>
      <c r="O26" s="511">
        <f t="shared" si="2"/>
        <v>16016.30072</v>
      </c>
      <c r="P26" s="13"/>
    </row>
    <row r="27" ht="20.1" customHeight="1" spans="1:16">
      <c r="A27" s="10">
        <v>21</v>
      </c>
      <c r="B27" s="11" t="s">
        <v>77</v>
      </c>
      <c r="C27" s="17" t="s">
        <v>64</v>
      </c>
      <c r="D27" s="10" t="s">
        <v>75</v>
      </c>
      <c r="E27" s="85">
        <v>270481.666666667</v>
      </c>
      <c r="F27" s="85"/>
      <c r="G27" s="220">
        <f t="shared" ref="G27" si="6">100000</f>
        <v>100000</v>
      </c>
      <c r="H27" s="220"/>
      <c r="I27" s="85"/>
      <c r="J27" s="509">
        <f t="shared" si="0"/>
        <v>370481.666666667</v>
      </c>
      <c r="K27" s="509">
        <v>253508.01</v>
      </c>
      <c r="L27" s="509">
        <f t="shared" si="1"/>
        <v>116973.656666667</v>
      </c>
      <c r="M27" s="510">
        <v>45772.3130666667</v>
      </c>
      <c r="N27" s="510">
        <v>29756.0123466667</v>
      </c>
      <c r="O27" s="511">
        <f t="shared" si="2"/>
        <v>16016.30072</v>
      </c>
      <c r="P27" s="13"/>
    </row>
    <row r="28" ht="18.75" customHeight="1" spans="1:16">
      <c r="A28" s="10">
        <v>22</v>
      </c>
      <c r="B28" s="18" t="s">
        <v>78</v>
      </c>
      <c r="C28" s="12" t="s">
        <v>79</v>
      </c>
      <c r="D28" s="15" t="s">
        <v>80</v>
      </c>
      <c r="E28" s="85">
        <v>263165.333333333</v>
      </c>
      <c r="F28" s="85"/>
      <c r="G28" s="220"/>
      <c r="H28" s="220">
        <f>60000</f>
        <v>60000</v>
      </c>
      <c r="I28" s="4"/>
      <c r="J28" s="509">
        <f t="shared" si="0"/>
        <v>323165.333333333</v>
      </c>
      <c r="K28" s="509">
        <v>209356.04725</v>
      </c>
      <c r="L28" s="509">
        <f t="shared" si="1"/>
        <v>113809.286083333</v>
      </c>
      <c r="M28" s="510">
        <v>37921.5005866667</v>
      </c>
      <c r="N28" s="510">
        <v>22338.4826046667</v>
      </c>
      <c r="O28" s="511">
        <f t="shared" si="2"/>
        <v>15583.017982</v>
      </c>
      <c r="P28" s="13"/>
    </row>
    <row r="29" ht="18.75" customHeight="1" spans="1:16">
      <c r="A29" s="10">
        <v>23</v>
      </c>
      <c r="B29" s="18" t="s">
        <v>81</v>
      </c>
      <c r="C29" s="4" t="s">
        <v>82</v>
      </c>
      <c r="D29" s="10" t="s">
        <v>83</v>
      </c>
      <c r="E29" s="85">
        <v>255849</v>
      </c>
      <c r="F29" s="85"/>
      <c r="G29" s="220"/>
      <c r="H29" s="220">
        <f>60000</f>
        <v>60000</v>
      </c>
      <c r="I29" s="85"/>
      <c r="J29" s="509">
        <f t="shared" si="0"/>
        <v>315849</v>
      </c>
      <c r="K29" s="509">
        <v>205204.0845</v>
      </c>
      <c r="L29" s="509">
        <f t="shared" si="1"/>
        <v>110644.9155</v>
      </c>
      <c r="M29" s="510">
        <v>36790.6881066667</v>
      </c>
      <c r="N29" s="510">
        <v>21640.9528626667</v>
      </c>
      <c r="O29" s="511">
        <f t="shared" si="2"/>
        <v>15149.735244</v>
      </c>
      <c r="P29" s="13"/>
    </row>
    <row r="30" ht="18.75" customHeight="1" spans="1:16">
      <c r="A30" s="10">
        <v>24</v>
      </c>
      <c r="B30" s="18" t="s">
        <v>84</v>
      </c>
      <c r="C30" s="4" t="s">
        <v>82</v>
      </c>
      <c r="D30" s="10" t="s">
        <v>83</v>
      </c>
      <c r="E30" s="85">
        <v>255849</v>
      </c>
      <c r="F30" s="85"/>
      <c r="G30" s="220"/>
      <c r="H30" s="220">
        <f>60000</f>
        <v>60000</v>
      </c>
      <c r="I30" s="85"/>
      <c r="J30" s="509">
        <f t="shared" si="0"/>
        <v>315849</v>
      </c>
      <c r="K30" s="509">
        <v>205204.0845</v>
      </c>
      <c r="L30" s="509">
        <f t="shared" si="1"/>
        <v>110644.9155</v>
      </c>
      <c r="M30" s="510">
        <v>36790.6881066667</v>
      </c>
      <c r="N30" s="510">
        <v>21640.9528626667</v>
      </c>
      <c r="O30" s="511">
        <f t="shared" si="2"/>
        <v>15149.735244</v>
      </c>
      <c r="P30" s="13"/>
    </row>
    <row r="31" ht="18.75" customHeight="1" spans="1:16">
      <c r="A31" s="10">
        <v>25</v>
      </c>
      <c r="B31" s="18" t="s">
        <v>85</v>
      </c>
      <c r="C31" s="17" t="s">
        <v>86</v>
      </c>
      <c r="D31" s="15" t="s">
        <v>75</v>
      </c>
      <c r="E31" s="85">
        <v>270481.666666667</v>
      </c>
      <c r="F31" s="85"/>
      <c r="G31" s="220"/>
      <c r="H31" s="220">
        <f>60000</f>
        <v>60000</v>
      </c>
      <c r="I31" s="85"/>
      <c r="J31" s="509">
        <f t="shared" si="0"/>
        <v>330481.666666667</v>
      </c>
      <c r="K31" s="509">
        <v>209356.04725</v>
      </c>
      <c r="L31" s="509">
        <f t="shared" si="1"/>
        <v>121125.619416667</v>
      </c>
      <c r="M31" s="513">
        <v>39052.3130666667</v>
      </c>
      <c r="N31" s="513">
        <v>22338.4826046667</v>
      </c>
      <c r="O31" s="511">
        <f t="shared" si="2"/>
        <v>16713.830462</v>
      </c>
      <c r="P31" s="13"/>
    </row>
    <row r="32" ht="18.75" customHeight="1" spans="1:16">
      <c r="A32" s="10">
        <v>26</v>
      </c>
      <c r="B32" s="18" t="s">
        <v>88</v>
      </c>
      <c r="C32" s="4" t="s">
        <v>89</v>
      </c>
      <c r="D32" s="10" t="s">
        <v>171</v>
      </c>
      <c r="E32" s="85">
        <v>230631.916666667</v>
      </c>
      <c r="F32" s="85"/>
      <c r="G32" s="220"/>
      <c r="H32" s="220">
        <f>50000</f>
        <v>50000</v>
      </c>
      <c r="I32" s="85"/>
      <c r="J32" s="509">
        <f t="shared" si="0"/>
        <v>280631.916666667</v>
      </c>
      <c r="K32" s="509">
        <v>180304.068</v>
      </c>
      <c r="L32" s="509">
        <f t="shared" si="1"/>
        <v>100327.848666667</v>
      </c>
      <c r="M32" s="510">
        <v>31213.1357066667</v>
      </c>
      <c r="N32" s="510">
        <v>17572.8850026667</v>
      </c>
      <c r="O32" s="511">
        <f t="shared" si="2"/>
        <v>13640.250704</v>
      </c>
      <c r="P32" s="13"/>
    </row>
    <row r="33" ht="18.75" customHeight="1" spans="1:16">
      <c r="A33" s="10">
        <v>27</v>
      </c>
      <c r="B33" s="18" t="s">
        <v>90</v>
      </c>
      <c r="C33" s="12" t="s">
        <v>91</v>
      </c>
      <c r="D33" s="15" t="s">
        <v>92</v>
      </c>
      <c r="E33" s="85">
        <v>224459.75</v>
      </c>
      <c r="F33" s="85"/>
      <c r="G33" s="220"/>
      <c r="H33" s="220">
        <v>50000</v>
      </c>
      <c r="I33" s="85"/>
      <c r="J33" s="509">
        <f t="shared" si="0"/>
        <v>274459.75</v>
      </c>
      <c r="K33" s="509">
        <v>173329.0495</v>
      </c>
      <c r="L33" s="509">
        <f t="shared" si="1"/>
        <v>101130.7005</v>
      </c>
      <c r="M33" s="510">
        <v>30259.1656266667</v>
      </c>
      <c r="N33" s="510">
        <v>16512.6821906667</v>
      </c>
      <c r="O33" s="511">
        <f t="shared" si="2"/>
        <v>13746.483436</v>
      </c>
      <c r="P33" s="13"/>
    </row>
    <row r="34" ht="26.25" customHeight="1" spans="1:16">
      <c r="A34" s="10"/>
      <c r="B34" s="20" t="s">
        <v>96</v>
      </c>
      <c r="C34" s="21">
        <v>27</v>
      </c>
      <c r="D34" s="15"/>
      <c r="E34" s="221">
        <f>SUM(E7:E33)</f>
        <v>13048608.167</v>
      </c>
      <c r="F34" s="221">
        <f t="shared" ref="F34:O34" si="7">SUM(F7:F33)</f>
        <v>0</v>
      </c>
      <c r="G34" s="221">
        <f t="shared" si="7"/>
        <v>1420000</v>
      </c>
      <c r="H34" s="221">
        <f t="shared" si="7"/>
        <v>1160000</v>
      </c>
      <c r="I34" s="221">
        <f t="shared" si="7"/>
        <v>1225235</v>
      </c>
      <c r="J34" s="221">
        <f t="shared" si="7"/>
        <v>16853843.167</v>
      </c>
      <c r="K34" s="221">
        <v>12012337.55525</v>
      </c>
      <c r="L34" s="221">
        <f t="shared" si="7"/>
        <v>4841505.61175</v>
      </c>
      <c r="M34" s="221">
        <f t="shared" si="7"/>
        <v>2519600.8416</v>
      </c>
      <c r="N34" s="221">
        <v>1629837.534828</v>
      </c>
      <c r="O34" s="221">
        <f t="shared" si="7"/>
        <v>889763.306772002</v>
      </c>
      <c r="P34" s="13"/>
    </row>
    <row r="35" ht="18.75" customHeight="1" spans="1:16">
      <c r="A35" s="10"/>
      <c r="B35" s="22"/>
      <c r="C35" s="4"/>
      <c r="D35" s="15"/>
      <c r="E35" s="221"/>
      <c r="F35" s="221"/>
      <c r="G35" s="220"/>
      <c r="H35" s="220"/>
      <c r="I35" s="221"/>
      <c r="J35" s="514"/>
      <c r="K35" s="514"/>
      <c r="L35" s="514"/>
      <c r="M35" s="515"/>
      <c r="N35" s="515"/>
      <c r="O35" s="515"/>
      <c r="P35" s="13"/>
    </row>
    <row r="36" ht="18.75" customHeight="1" spans="1:16">
      <c r="A36" s="10"/>
      <c r="B36" s="20" t="s">
        <v>97</v>
      </c>
      <c r="C36" s="4"/>
      <c r="D36" s="15"/>
      <c r="E36" s="85"/>
      <c r="F36" s="85"/>
      <c r="G36" s="220"/>
      <c r="H36" s="220"/>
      <c r="I36" s="85"/>
      <c r="J36" s="509"/>
      <c r="K36" s="509"/>
      <c r="L36" s="509"/>
      <c r="M36" s="510"/>
      <c r="N36" s="510"/>
      <c r="O36" s="510"/>
      <c r="P36" s="13"/>
    </row>
    <row r="37" ht="18.75" customHeight="1" spans="1:16">
      <c r="A37" s="10">
        <v>1</v>
      </c>
      <c r="B37" s="18" t="s">
        <v>98</v>
      </c>
      <c r="C37" s="4" t="s">
        <v>99</v>
      </c>
      <c r="D37" s="10" t="s">
        <v>100</v>
      </c>
      <c r="E37" s="85">
        <v>1435720</v>
      </c>
      <c r="F37" s="85"/>
      <c r="G37" s="220"/>
      <c r="H37" s="220">
        <f>100000</f>
        <v>100000</v>
      </c>
      <c r="I37" s="85"/>
      <c r="J37" s="509">
        <f>E37+F37+G37+H37+I37</f>
        <v>1535720</v>
      </c>
      <c r="K37" s="509">
        <v>950209.0635</v>
      </c>
      <c r="L37" s="509">
        <f>J37-K37</f>
        <v>585510.9365</v>
      </c>
      <c r="M37" s="511">
        <v>251472.247466667</v>
      </c>
      <c r="N37" s="510">
        <v>161106.806858667</v>
      </c>
      <c r="O37" s="511">
        <f>M37-N37</f>
        <v>90365.440608</v>
      </c>
      <c r="P37" s="13"/>
    </row>
    <row r="38" ht="18.75" customHeight="1" spans="1:16">
      <c r="A38" s="10">
        <v>2</v>
      </c>
      <c r="B38" s="18" t="s">
        <v>101</v>
      </c>
      <c r="C38" s="4" t="s">
        <v>611</v>
      </c>
      <c r="D38" s="10" t="s">
        <v>70</v>
      </c>
      <c r="E38" s="85">
        <v>293029.666666667</v>
      </c>
      <c r="F38" s="85"/>
      <c r="G38" s="220"/>
      <c r="H38" s="220">
        <f>60000</f>
        <v>60000</v>
      </c>
      <c r="I38" s="85"/>
      <c r="J38" s="509">
        <f t="shared" ref="J38:J39" si="8">E38+F38+G38+H38+I38</f>
        <v>353029.666666667</v>
      </c>
      <c r="K38" s="509">
        <v>176816.1</v>
      </c>
      <c r="L38" s="509">
        <f t="shared" ref="L38:L39" si="9">J38-K38</f>
        <v>176213.566666667</v>
      </c>
      <c r="M38" s="511">
        <v>42537.3319466667</v>
      </c>
      <c r="N38" s="510">
        <v>17042.7138666667</v>
      </c>
      <c r="O38" s="511">
        <f>M38-N38</f>
        <v>25494.61808</v>
      </c>
      <c r="P38" s="13"/>
    </row>
    <row r="39" ht="18.75" customHeight="1" spans="1:16">
      <c r="A39" s="10">
        <v>3</v>
      </c>
      <c r="B39" s="11" t="s">
        <v>103</v>
      </c>
      <c r="C39" s="12" t="s">
        <v>612</v>
      </c>
      <c r="D39" s="15" t="s">
        <v>104</v>
      </c>
      <c r="E39" s="85">
        <v>300965.583333333</v>
      </c>
      <c r="F39" s="85"/>
      <c r="G39" s="220"/>
      <c r="H39" s="220">
        <f>50000+10000</f>
        <v>60000</v>
      </c>
      <c r="I39" s="85"/>
      <c r="J39" s="509">
        <f t="shared" si="8"/>
        <v>360965.583333333</v>
      </c>
      <c r="K39" s="509">
        <v>233169.1175</v>
      </c>
      <c r="L39" s="509">
        <f t="shared" si="9"/>
        <v>127796.465833333</v>
      </c>
      <c r="M39" s="511">
        <v>43763.9072266667</v>
      </c>
      <c r="N39" s="510">
        <v>26339.0784066667</v>
      </c>
      <c r="O39" s="511">
        <f>M39-N39</f>
        <v>17424.82882</v>
      </c>
      <c r="P39" s="13"/>
    </row>
    <row r="40" ht="19.5" customHeight="1" spans="1:16">
      <c r="A40" s="10"/>
      <c r="B40" s="14"/>
      <c r="C40" s="21">
        <v>3</v>
      </c>
      <c r="D40" s="10"/>
      <c r="E40" s="221">
        <f>SUM(E37:E39)</f>
        <v>2029715.25</v>
      </c>
      <c r="F40" s="221">
        <f t="shared" ref="F40:O40" si="10">SUM(F37:F39)</f>
        <v>0</v>
      </c>
      <c r="G40" s="221">
        <f t="shared" si="10"/>
        <v>0</v>
      </c>
      <c r="H40" s="221">
        <f t="shared" si="10"/>
        <v>220000</v>
      </c>
      <c r="I40" s="221">
        <f t="shared" si="10"/>
        <v>0</v>
      </c>
      <c r="J40" s="221">
        <f t="shared" si="10"/>
        <v>2249715.25</v>
      </c>
      <c r="K40" s="221">
        <v>1360194.281</v>
      </c>
      <c r="L40" s="221">
        <f t="shared" si="10"/>
        <v>889520.969</v>
      </c>
      <c r="M40" s="221">
        <f t="shared" si="10"/>
        <v>337773.48664</v>
      </c>
      <c r="N40" s="221">
        <v>204488.599132</v>
      </c>
      <c r="O40" s="221">
        <f t="shared" si="10"/>
        <v>133284.887508</v>
      </c>
      <c r="P40" s="13"/>
    </row>
    <row r="41" ht="20.1" customHeight="1" spans="1:16">
      <c r="A41" s="10"/>
      <c r="B41" s="14"/>
      <c r="C41" s="4"/>
      <c r="D41" s="10"/>
      <c r="E41" s="221"/>
      <c r="F41" s="221"/>
      <c r="G41" s="220"/>
      <c r="H41" s="220"/>
      <c r="I41" s="221"/>
      <c r="J41" s="514"/>
      <c r="K41" s="514"/>
      <c r="L41" s="514"/>
      <c r="M41" s="515"/>
      <c r="N41" s="515"/>
      <c r="O41" s="515"/>
      <c r="P41" s="13"/>
    </row>
    <row r="42" ht="20.1" customHeight="1" spans="1:16">
      <c r="A42" s="10"/>
      <c r="B42" s="23" t="s">
        <v>107</v>
      </c>
      <c r="C42" s="5"/>
      <c r="D42" s="24"/>
      <c r="E42" s="221"/>
      <c r="F42" s="221"/>
      <c r="G42" s="220"/>
      <c r="H42" s="220"/>
      <c r="I42" s="85"/>
      <c r="J42" s="509"/>
      <c r="K42" s="509"/>
      <c r="L42" s="509"/>
      <c r="M42" s="510"/>
      <c r="N42" s="510"/>
      <c r="O42" s="510"/>
      <c r="P42" s="13"/>
    </row>
    <row r="43" ht="20.1" customHeight="1" spans="1:16">
      <c r="A43" s="10">
        <v>1</v>
      </c>
      <c r="B43" s="11" t="s">
        <v>501</v>
      </c>
      <c r="C43" s="4" t="s">
        <v>502</v>
      </c>
      <c r="D43" s="10" t="s">
        <v>100</v>
      </c>
      <c r="E43" s="85">
        <v>1435720</v>
      </c>
      <c r="F43" s="85"/>
      <c r="G43" s="220">
        <f>200000</f>
        <v>200000</v>
      </c>
      <c r="H43" s="220"/>
      <c r="I43" s="85"/>
      <c r="J43" s="509">
        <f>E43+F43+G43+H43+I43</f>
        <v>1635720</v>
      </c>
      <c r="K43" s="509">
        <v>1050209.0635</v>
      </c>
      <c r="L43" s="509">
        <f>J43-K43</f>
        <v>585510.9365</v>
      </c>
      <c r="M43" s="511">
        <v>270672.247466667</v>
      </c>
      <c r="N43" s="510">
        <v>180306.806858667</v>
      </c>
      <c r="O43" s="511">
        <f t="shared" ref="O43:O53" si="11">M43-N43</f>
        <v>90365.440608</v>
      </c>
      <c r="P43" s="13"/>
    </row>
    <row r="44" ht="20.1" customHeight="1" spans="1:16">
      <c r="A44" s="10">
        <v>2</v>
      </c>
      <c r="B44" s="11" t="s">
        <v>491</v>
      </c>
      <c r="C44" s="4" t="s">
        <v>44</v>
      </c>
      <c r="D44" s="10" t="s">
        <v>36</v>
      </c>
      <c r="E44" s="85">
        <v>620675.583333333</v>
      </c>
      <c r="F44" s="85"/>
      <c r="G44" s="220">
        <f>160000</f>
        <v>160000</v>
      </c>
      <c r="H44" s="220"/>
      <c r="I44" s="85">
        <v>0</v>
      </c>
      <c r="J44" s="509">
        <f t="shared" ref="J44:J53" si="12">E44+F44+G44+H44+I44</f>
        <v>780675.583333333</v>
      </c>
      <c r="K44" s="509">
        <v>527553.5025</v>
      </c>
      <c r="L44" s="509">
        <f t="shared" ref="L44:L53" si="13">J44-K44</f>
        <v>253122.080833333</v>
      </c>
      <c r="M44" s="511">
        <v>119022.801706667</v>
      </c>
      <c r="N44" s="510">
        <v>79956.9391466667</v>
      </c>
      <c r="O44" s="511">
        <f t="shared" si="11"/>
        <v>39065.8625600003</v>
      </c>
      <c r="P44" s="13"/>
    </row>
    <row r="45" ht="20.1" customHeight="1" spans="1:16">
      <c r="A45" s="10">
        <v>3</v>
      </c>
      <c r="B45" s="11" t="s">
        <v>108</v>
      </c>
      <c r="C45" s="4" t="s">
        <v>109</v>
      </c>
      <c r="D45" s="10" t="s">
        <v>110</v>
      </c>
      <c r="E45" s="85">
        <v>739203.583333333</v>
      </c>
      <c r="F45" s="85"/>
      <c r="G45" s="220">
        <f>180000</f>
        <v>180000</v>
      </c>
      <c r="H45" s="220"/>
      <c r="I45" s="85"/>
      <c r="J45" s="509">
        <f t="shared" si="12"/>
        <v>919203.583333333</v>
      </c>
      <c r="K45" s="509">
        <v>617743.99575</v>
      </c>
      <c r="L45" s="509">
        <f t="shared" si="13"/>
        <v>301459.587583333</v>
      </c>
      <c r="M45" s="511">
        <v>143799.587626667</v>
      </c>
      <c r="N45" s="510">
        <v>97273.5138506667</v>
      </c>
      <c r="O45" s="511">
        <f t="shared" si="11"/>
        <v>46526.0737760003</v>
      </c>
      <c r="P45" s="13"/>
    </row>
    <row r="46" ht="20.1" customHeight="1" spans="1:16">
      <c r="A46" s="10">
        <v>4</v>
      </c>
      <c r="B46" s="11" t="s">
        <v>111</v>
      </c>
      <c r="C46" s="4" t="s">
        <v>112</v>
      </c>
      <c r="D46" s="10" t="s">
        <v>36</v>
      </c>
      <c r="E46" s="85">
        <v>620675.583333333</v>
      </c>
      <c r="F46" s="85"/>
      <c r="G46" s="220">
        <f>160000</f>
        <v>160000</v>
      </c>
      <c r="H46" s="220"/>
      <c r="I46" s="85"/>
      <c r="J46" s="509">
        <f t="shared" si="12"/>
        <v>780675.583333333</v>
      </c>
      <c r="K46" s="509">
        <v>527553.5025</v>
      </c>
      <c r="L46" s="509">
        <f t="shared" si="13"/>
        <v>253122.080833333</v>
      </c>
      <c r="M46" s="511">
        <v>119022.801706667</v>
      </c>
      <c r="N46" s="510">
        <v>79956.9391466667</v>
      </c>
      <c r="O46" s="511">
        <f t="shared" si="11"/>
        <v>39065.8625600003</v>
      </c>
      <c r="P46" s="13"/>
    </row>
    <row r="47" ht="20.1" customHeight="1" spans="1:16">
      <c r="A47" s="10">
        <v>5</v>
      </c>
      <c r="B47" s="11" t="s">
        <v>113</v>
      </c>
      <c r="C47" s="4" t="s">
        <v>112</v>
      </c>
      <c r="D47" s="10" t="s">
        <v>36</v>
      </c>
      <c r="E47" s="85">
        <v>620675.583333333</v>
      </c>
      <c r="F47" s="85"/>
      <c r="G47" s="220">
        <f>140000+20000</f>
        <v>160000</v>
      </c>
      <c r="H47" s="220"/>
      <c r="I47" s="85">
        <v>0</v>
      </c>
      <c r="J47" s="509">
        <f t="shared" si="12"/>
        <v>780675.583333333</v>
      </c>
      <c r="K47" s="509">
        <v>527553.5025</v>
      </c>
      <c r="L47" s="509">
        <f t="shared" si="13"/>
        <v>253122.080833333</v>
      </c>
      <c r="M47" s="511">
        <v>118861.965706667</v>
      </c>
      <c r="N47" s="510">
        <v>79796.1031466666</v>
      </c>
      <c r="O47" s="511">
        <f t="shared" si="11"/>
        <v>39065.8625600004</v>
      </c>
      <c r="P47" s="13"/>
    </row>
    <row r="48" ht="20.1" customHeight="1" spans="1:16">
      <c r="A48" s="10">
        <v>6</v>
      </c>
      <c r="B48" s="11" t="s">
        <v>114</v>
      </c>
      <c r="C48" s="4" t="s">
        <v>112</v>
      </c>
      <c r="D48" s="10" t="s">
        <v>39</v>
      </c>
      <c r="E48" s="85">
        <v>582118.083333333</v>
      </c>
      <c r="F48" s="85"/>
      <c r="G48" s="220">
        <f>140000+20000</f>
        <v>160000</v>
      </c>
      <c r="H48" s="220"/>
      <c r="I48" s="85"/>
      <c r="J48" s="509">
        <f t="shared" si="12"/>
        <v>742118.083333333</v>
      </c>
      <c r="K48" s="509">
        <v>504720.047</v>
      </c>
      <c r="L48" s="509">
        <f t="shared" si="13"/>
        <v>237398.036333333</v>
      </c>
      <c r="M48" s="511">
        <v>112212.004906667</v>
      </c>
      <c r="N48" s="510">
        <v>75572.9156906667</v>
      </c>
      <c r="O48" s="511">
        <f t="shared" si="11"/>
        <v>36639.0892160003</v>
      </c>
      <c r="P48" s="13"/>
    </row>
    <row r="49" ht="20.1" customHeight="1" spans="1:16">
      <c r="A49" s="10">
        <v>7</v>
      </c>
      <c r="B49" s="14" t="s">
        <v>115</v>
      </c>
      <c r="C49" s="4" t="s">
        <v>133</v>
      </c>
      <c r="D49" s="16" t="s">
        <v>222</v>
      </c>
      <c r="E49" s="85">
        <v>470498</v>
      </c>
      <c r="F49" s="85"/>
      <c r="G49" s="220">
        <f>140000</f>
        <v>140000</v>
      </c>
      <c r="H49" s="220"/>
      <c r="I49" s="85"/>
      <c r="J49" s="509">
        <f t="shared" si="12"/>
        <v>610498</v>
      </c>
      <c r="K49" s="509">
        <v>413333.03525</v>
      </c>
      <c r="L49" s="509">
        <f t="shared" si="13"/>
        <v>197164.96475</v>
      </c>
      <c r="M49" s="511">
        <v>88655.4333866667</v>
      </c>
      <c r="N49" s="510">
        <v>58026.6094346667</v>
      </c>
      <c r="O49" s="511">
        <f t="shared" si="11"/>
        <v>30628.823952</v>
      </c>
      <c r="P49" s="13"/>
    </row>
    <row r="50" ht="20.1" customHeight="1" spans="1:16">
      <c r="A50" s="10">
        <v>8</v>
      </c>
      <c r="B50" s="11" t="s">
        <v>116</v>
      </c>
      <c r="C50" s="4" t="s">
        <v>117</v>
      </c>
      <c r="D50" s="10" t="s">
        <v>104</v>
      </c>
      <c r="E50" s="85">
        <v>300965.583333333</v>
      </c>
      <c r="F50" s="85"/>
      <c r="G50" s="220">
        <v>100000</v>
      </c>
      <c r="H50" s="220"/>
      <c r="I50" s="85"/>
      <c r="J50" s="509">
        <f t="shared" si="12"/>
        <v>400965.583333333</v>
      </c>
      <c r="K50" s="509">
        <v>273169.1175</v>
      </c>
      <c r="L50" s="509">
        <f t="shared" si="13"/>
        <v>127796.465833333</v>
      </c>
      <c r="M50" s="511">
        <v>51029.2273066667</v>
      </c>
      <c r="N50" s="510">
        <v>33059.0784066667</v>
      </c>
      <c r="O50" s="511">
        <f t="shared" si="11"/>
        <v>17970.1489</v>
      </c>
      <c r="P50" s="13"/>
    </row>
    <row r="51" ht="20.1" customHeight="1" spans="1:16">
      <c r="A51" s="10">
        <v>9</v>
      </c>
      <c r="B51" s="11" t="s">
        <v>118</v>
      </c>
      <c r="C51" s="4" t="s">
        <v>117</v>
      </c>
      <c r="D51" s="10" t="s">
        <v>80</v>
      </c>
      <c r="E51" s="85">
        <v>263165.333333333</v>
      </c>
      <c r="F51" s="85"/>
      <c r="G51" s="220">
        <f>100000</f>
        <v>100000</v>
      </c>
      <c r="H51" s="220"/>
      <c r="I51" s="85"/>
      <c r="J51" s="509">
        <f t="shared" si="12"/>
        <v>363165.333333333</v>
      </c>
      <c r="K51" s="509">
        <v>249356.04725</v>
      </c>
      <c r="L51" s="509">
        <f t="shared" si="13"/>
        <v>113809.286083333</v>
      </c>
      <c r="M51" s="511">
        <v>44641.5005866667</v>
      </c>
      <c r="N51" s="510">
        <v>29058.4826046667</v>
      </c>
      <c r="O51" s="511">
        <f t="shared" si="11"/>
        <v>15583.017982</v>
      </c>
      <c r="P51" s="13"/>
    </row>
    <row r="52" ht="20.1" customHeight="1" spans="1:16">
      <c r="A52" s="10">
        <v>10</v>
      </c>
      <c r="B52" s="11" t="s">
        <v>580</v>
      </c>
      <c r="C52" s="4" t="s">
        <v>117</v>
      </c>
      <c r="D52" s="10" t="s">
        <v>80</v>
      </c>
      <c r="E52" s="85">
        <v>263165.333333333</v>
      </c>
      <c r="F52" s="85"/>
      <c r="G52" s="220">
        <f>100000</f>
        <v>100000</v>
      </c>
      <c r="H52" s="220"/>
      <c r="I52" s="85"/>
      <c r="J52" s="509">
        <f t="shared" si="12"/>
        <v>363165.333333333</v>
      </c>
      <c r="K52" s="509">
        <v>249356.04725</v>
      </c>
      <c r="L52" s="509">
        <f t="shared" si="13"/>
        <v>113809.286083333</v>
      </c>
      <c r="M52" s="511">
        <v>44641.5005866667</v>
      </c>
      <c r="N52" s="510">
        <v>28360.9528626667</v>
      </c>
      <c r="O52" s="511">
        <f t="shared" si="11"/>
        <v>16280.547724</v>
      </c>
      <c r="P52" s="13"/>
    </row>
    <row r="53" ht="20.1" customHeight="1" spans="1:16">
      <c r="A53" s="10">
        <v>11</v>
      </c>
      <c r="B53" s="11" t="s">
        <v>119</v>
      </c>
      <c r="C53" s="4" t="s">
        <v>117</v>
      </c>
      <c r="D53" s="10" t="s">
        <v>80</v>
      </c>
      <c r="E53" s="85">
        <v>263165.333333333</v>
      </c>
      <c r="F53" s="85"/>
      <c r="G53" s="220">
        <f>100000</f>
        <v>100000</v>
      </c>
      <c r="H53" s="220"/>
      <c r="I53" s="85"/>
      <c r="J53" s="509">
        <f t="shared" si="12"/>
        <v>363165.333333333</v>
      </c>
      <c r="K53" s="509">
        <v>249356.04725</v>
      </c>
      <c r="L53" s="509">
        <f t="shared" si="13"/>
        <v>113809.286083333</v>
      </c>
      <c r="M53" s="511">
        <v>44641.5005866667</v>
      </c>
      <c r="N53" s="510">
        <v>29058.4826046667</v>
      </c>
      <c r="O53" s="511">
        <f t="shared" si="11"/>
        <v>15583.017982</v>
      </c>
      <c r="P53" s="13"/>
    </row>
    <row r="54" ht="25.5" customHeight="1" spans="1:16">
      <c r="A54" s="10"/>
      <c r="B54" s="20" t="s">
        <v>96</v>
      </c>
      <c r="C54" s="21">
        <v>11</v>
      </c>
      <c r="D54" s="21"/>
      <c r="E54" s="93">
        <f>SUM(E43:E53)</f>
        <v>6180028</v>
      </c>
      <c r="F54" s="93">
        <f t="shared" ref="F54:O54" si="14">SUM(F43:F53)</f>
        <v>0</v>
      </c>
      <c r="G54" s="93">
        <f t="shared" si="14"/>
        <v>1560000</v>
      </c>
      <c r="H54" s="93">
        <f t="shared" si="14"/>
        <v>0</v>
      </c>
      <c r="I54" s="93">
        <f t="shared" si="14"/>
        <v>0</v>
      </c>
      <c r="J54" s="93">
        <f t="shared" si="14"/>
        <v>7740028</v>
      </c>
      <c r="K54" s="93">
        <v>5189903.90825</v>
      </c>
      <c r="L54" s="93">
        <f t="shared" si="14"/>
        <v>2550124.09175</v>
      </c>
      <c r="M54" s="93">
        <f t="shared" si="14"/>
        <v>1157200.57157334</v>
      </c>
      <c r="N54" s="93">
        <v>770426.823753333</v>
      </c>
      <c r="O54" s="93">
        <f t="shared" si="14"/>
        <v>386773.747820002</v>
      </c>
      <c r="P54" s="13"/>
    </row>
    <row r="55" ht="20.1" customHeight="1" spans="1:16">
      <c r="A55" s="10"/>
      <c r="B55" s="22"/>
      <c r="C55" s="21"/>
      <c r="D55" s="21"/>
      <c r="E55" s="146"/>
      <c r="F55" s="146"/>
      <c r="G55" s="220"/>
      <c r="H55" s="220"/>
      <c r="I55" s="146"/>
      <c r="J55" s="516"/>
      <c r="K55" s="516"/>
      <c r="L55" s="516"/>
      <c r="M55" s="517"/>
      <c r="N55" s="517"/>
      <c r="O55" s="517"/>
      <c r="P55" s="13"/>
    </row>
    <row r="56" ht="20.1" customHeight="1" spans="1:16">
      <c r="A56" s="10"/>
      <c r="B56" s="20" t="s">
        <v>120</v>
      </c>
      <c r="C56" s="21"/>
      <c r="D56" s="21"/>
      <c r="E56" s="146"/>
      <c r="F56" s="146"/>
      <c r="G56" s="220"/>
      <c r="H56" s="220"/>
      <c r="I56" s="146"/>
      <c r="J56" s="516"/>
      <c r="K56" s="516"/>
      <c r="L56" s="516"/>
      <c r="M56" s="517"/>
      <c r="N56" s="517"/>
      <c r="O56" s="517"/>
      <c r="P56" s="13"/>
    </row>
    <row r="57" ht="20.1" customHeight="1" spans="1:16">
      <c r="A57" s="10">
        <v>1</v>
      </c>
      <c r="B57" s="11" t="s">
        <v>503</v>
      </c>
      <c r="C57" s="12" t="s">
        <v>122</v>
      </c>
      <c r="D57" s="15" t="s">
        <v>100</v>
      </c>
      <c r="E57" s="85">
        <v>1435720</v>
      </c>
      <c r="F57" s="85"/>
      <c r="G57" s="220">
        <f>200000</f>
        <v>200000</v>
      </c>
      <c r="H57" s="220"/>
      <c r="I57" s="85">
        <v>0</v>
      </c>
      <c r="J57" s="509">
        <f>E57+F57+G57+H57+I57</f>
        <v>1635720</v>
      </c>
      <c r="K57" s="509">
        <v>1050209.0635</v>
      </c>
      <c r="L57" s="509">
        <f>J57-K57</f>
        <v>585510.9365</v>
      </c>
      <c r="M57" s="511">
        <v>270672.247466667</v>
      </c>
      <c r="N57" s="512">
        <v>180306.806858667</v>
      </c>
      <c r="O57" s="511">
        <f>M57-N57</f>
        <v>90365.440608</v>
      </c>
      <c r="P57" s="13"/>
    </row>
    <row r="58" ht="20.1" customHeight="1" spans="1:16">
      <c r="A58" s="10">
        <v>2</v>
      </c>
      <c r="B58" s="11" t="s">
        <v>123</v>
      </c>
      <c r="C58" s="12" t="s">
        <v>124</v>
      </c>
      <c r="D58" s="15" t="s">
        <v>125</v>
      </c>
      <c r="E58" s="85">
        <v>620675.583333333</v>
      </c>
      <c r="F58" s="85"/>
      <c r="G58" s="220"/>
      <c r="H58" s="220">
        <v>80000</v>
      </c>
      <c r="I58" s="85"/>
      <c r="J58" s="509">
        <f>E58+F58+G58+H58+I58</f>
        <v>700675.583333333</v>
      </c>
      <c r="K58" s="509">
        <v>447553.5025</v>
      </c>
      <c r="L58" s="509">
        <f>J58-K58</f>
        <v>253122.080833333</v>
      </c>
      <c r="M58" s="511">
        <v>103662.801706667</v>
      </c>
      <c r="N58" s="512">
        <v>64596.9391466667</v>
      </c>
      <c r="O58" s="511">
        <f>M58-N58</f>
        <v>39065.8625600003</v>
      </c>
      <c r="P58" s="13"/>
    </row>
    <row r="59" ht="20.1" customHeight="1" spans="1:16">
      <c r="A59" s="10"/>
      <c r="B59" s="20" t="s">
        <v>96</v>
      </c>
      <c r="C59" s="21">
        <v>2</v>
      </c>
      <c r="D59" s="21"/>
      <c r="E59" s="93">
        <f>SUM(E57:E58)</f>
        <v>2056395.58333333</v>
      </c>
      <c r="F59" s="93">
        <f t="shared" ref="F59:O59" si="15">SUM(F57:F58)</f>
        <v>0</v>
      </c>
      <c r="G59" s="93">
        <f t="shared" si="15"/>
        <v>200000</v>
      </c>
      <c r="H59" s="93">
        <f t="shared" si="15"/>
        <v>80000</v>
      </c>
      <c r="I59" s="93">
        <f t="shared" si="15"/>
        <v>0</v>
      </c>
      <c r="J59" s="93">
        <f t="shared" si="15"/>
        <v>2336395.58333333</v>
      </c>
      <c r="K59" s="93">
        <v>1497762.566</v>
      </c>
      <c r="L59" s="93">
        <f t="shared" si="15"/>
        <v>838633.017333333</v>
      </c>
      <c r="M59" s="93">
        <f t="shared" si="15"/>
        <v>374335.049173334</v>
      </c>
      <c r="N59" s="93">
        <v>244903.746005333</v>
      </c>
      <c r="O59" s="93">
        <f t="shared" si="15"/>
        <v>129431.303168</v>
      </c>
      <c r="P59" s="13"/>
    </row>
    <row r="60" ht="20.1" customHeight="1" spans="1:16">
      <c r="A60" s="10"/>
      <c r="B60" s="20"/>
      <c r="C60" s="21"/>
      <c r="D60" s="21"/>
      <c r="E60" s="146"/>
      <c r="F60" s="146"/>
      <c r="G60" s="220"/>
      <c r="H60" s="220"/>
      <c r="I60" s="146"/>
      <c r="J60" s="516"/>
      <c r="K60" s="516"/>
      <c r="L60" s="516"/>
      <c r="M60" s="517"/>
      <c r="N60" s="517"/>
      <c r="O60" s="517"/>
      <c r="P60" s="13"/>
    </row>
    <row r="61" ht="20.1" customHeight="1" spans="1:16">
      <c r="A61" s="10"/>
      <c r="B61" s="20" t="s">
        <v>126</v>
      </c>
      <c r="C61" s="21"/>
      <c r="D61" s="21"/>
      <c r="E61" s="146"/>
      <c r="F61" s="146"/>
      <c r="G61" s="220"/>
      <c r="H61" s="220"/>
      <c r="I61" s="146"/>
      <c r="J61" s="516"/>
      <c r="K61" s="516"/>
      <c r="L61" s="516"/>
      <c r="M61" s="517"/>
      <c r="N61" s="517"/>
      <c r="O61" s="517"/>
      <c r="P61" s="13"/>
    </row>
    <row r="62" ht="20.1" customHeight="1" spans="1:16">
      <c r="A62" s="10">
        <v>1</v>
      </c>
      <c r="B62" s="11" t="s">
        <v>127</v>
      </c>
      <c r="C62" s="17" t="s">
        <v>128</v>
      </c>
      <c r="D62" s="10" t="s">
        <v>100</v>
      </c>
      <c r="E62" s="85">
        <v>1435720</v>
      </c>
      <c r="F62" s="85"/>
      <c r="G62" s="220">
        <f>200000</f>
        <v>200000</v>
      </c>
      <c r="H62" s="220"/>
      <c r="I62" s="85">
        <v>0</v>
      </c>
      <c r="J62" s="509">
        <f>E62+F62+G62+H62+I62</f>
        <v>1635720</v>
      </c>
      <c r="K62" s="509">
        <v>1050209.0635</v>
      </c>
      <c r="L62" s="509">
        <f>J62-K62</f>
        <v>585510.9365</v>
      </c>
      <c r="M62" s="511">
        <v>292724.906666667</v>
      </c>
      <c r="N62" s="510">
        <v>180306.806858667</v>
      </c>
      <c r="O62" s="511">
        <f t="shared" ref="O62:O71" si="16">M62-N62</f>
        <v>112418.099808</v>
      </c>
      <c r="P62" s="13"/>
    </row>
    <row r="63" ht="20.1" customHeight="1" spans="1:16">
      <c r="A63" s="10">
        <v>2</v>
      </c>
      <c r="B63" s="351" t="s">
        <v>129</v>
      </c>
      <c r="C63" s="17" t="s">
        <v>130</v>
      </c>
      <c r="D63" s="15" t="s">
        <v>131</v>
      </c>
      <c r="E63" s="85">
        <v>601396.833333333</v>
      </c>
      <c r="F63" s="85"/>
      <c r="G63" s="220">
        <f>160000</f>
        <v>160000</v>
      </c>
      <c r="H63" s="220"/>
      <c r="I63" s="146">
        <v>0</v>
      </c>
      <c r="J63" s="509">
        <f t="shared" ref="J63:J71" si="17">E63+F63+G63+H63+I63</f>
        <v>761396.833333333</v>
      </c>
      <c r="K63" s="509">
        <v>516137.05</v>
      </c>
      <c r="L63" s="509">
        <f t="shared" ref="L63:L71" si="18">J63-K63</f>
        <v>245259.783333333</v>
      </c>
      <c r="M63" s="511">
        <v>115617.403306667</v>
      </c>
      <c r="N63" s="510">
        <v>77764.9802666667</v>
      </c>
      <c r="O63" s="511">
        <f t="shared" si="16"/>
        <v>37852.4230400003</v>
      </c>
      <c r="P63" s="13"/>
    </row>
    <row r="64" ht="20.1" customHeight="1" spans="1:16">
      <c r="A64" s="10">
        <v>3</v>
      </c>
      <c r="B64" s="11" t="s">
        <v>132</v>
      </c>
      <c r="C64" s="4" t="s">
        <v>133</v>
      </c>
      <c r="D64" s="10" t="s">
        <v>47</v>
      </c>
      <c r="E64" s="85">
        <v>442746.5</v>
      </c>
      <c r="F64" s="85"/>
      <c r="G64" s="220">
        <v>140000</v>
      </c>
      <c r="H64" s="220"/>
      <c r="I64" s="85"/>
      <c r="J64" s="509">
        <f t="shared" si="17"/>
        <v>582746.5</v>
      </c>
      <c r="K64" s="509">
        <v>397211.3675</v>
      </c>
      <c r="L64" s="509">
        <f t="shared" si="18"/>
        <v>185535.1325</v>
      </c>
      <c r="M64" s="511">
        <v>83753.4084266666</v>
      </c>
      <c r="N64" s="510">
        <v>54931.2492266667</v>
      </c>
      <c r="O64" s="511">
        <f t="shared" si="16"/>
        <v>28822.1591999999</v>
      </c>
      <c r="P64" s="13"/>
    </row>
    <row r="65" ht="20.1" customHeight="1" spans="1:16">
      <c r="A65" s="10">
        <v>4</v>
      </c>
      <c r="B65" s="18" t="s">
        <v>486</v>
      </c>
      <c r="C65" s="17" t="s">
        <v>165</v>
      </c>
      <c r="D65" s="15" t="s">
        <v>52</v>
      </c>
      <c r="E65" s="85">
        <v>428915.916666667</v>
      </c>
      <c r="F65" s="85"/>
      <c r="G65" s="220">
        <f t="shared" ref="G65" si="19">120000</f>
        <v>120000</v>
      </c>
      <c r="H65" s="220"/>
      <c r="I65" s="85">
        <v>0</v>
      </c>
      <c r="J65" s="509">
        <f t="shared" si="17"/>
        <v>548915.916666667</v>
      </c>
      <c r="K65" s="509">
        <v>369177.65375</v>
      </c>
      <c r="L65" s="509">
        <f t="shared" si="18"/>
        <v>179738.262916667</v>
      </c>
      <c r="M65" s="511">
        <v>77470.3741866667</v>
      </c>
      <c r="N65" s="510">
        <v>49548.7761866667</v>
      </c>
      <c r="O65" s="511">
        <f t="shared" si="16"/>
        <v>27921.598</v>
      </c>
      <c r="P65" s="13"/>
    </row>
    <row r="66" ht="20.1" customHeight="1" spans="1:16">
      <c r="A66" s="10">
        <v>5</v>
      </c>
      <c r="B66" s="14" t="s">
        <v>519</v>
      </c>
      <c r="C66" s="17" t="s">
        <v>133</v>
      </c>
      <c r="D66" s="15" t="s">
        <v>42</v>
      </c>
      <c r="E66" s="85">
        <v>484373.75</v>
      </c>
      <c r="F66" s="85"/>
      <c r="G66" s="220">
        <f>140000</f>
        <v>140000</v>
      </c>
      <c r="H66" s="220"/>
      <c r="I66" s="85"/>
      <c r="J66" s="509">
        <f t="shared" si="17"/>
        <v>624373.75</v>
      </c>
      <c r="K66" s="509">
        <v>421394.00675</v>
      </c>
      <c r="L66" s="509">
        <f t="shared" si="18"/>
        <v>202979.74325</v>
      </c>
      <c r="M66" s="511">
        <v>91106.4458666667</v>
      </c>
      <c r="N66" s="510">
        <v>59574.3159626667</v>
      </c>
      <c r="O66" s="511">
        <f t="shared" si="16"/>
        <v>31532.129904</v>
      </c>
      <c r="P66" s="13"/>
    </row>
    <row r="67" ht="20.1" customHeight="1" spans="1:16">
      <c r="A67" s="10">
        <v>7</v>
      </c>
      <c r="B67" s="11" t="s">
        <v>134</v>
      </c>
      <c r="C67" s="4" t="s">
        <v>117</v>
      </c>
      <c r="D67" s="10" t="s">
        <v>135</v>
      </c>
      <c r="E67" s="85">
        <v>365703.833333333</v>
      </c>
      <c r="F67" s="85"/>
      <c r="G67" s="220">
        <f>110000</f>
        <v>110000</v>
      </c>
      <c r="H67" s="220"/>
      <c r="I67" s="85">
        <v>0</v>
      </c>
      <c r="J67" s="509">
        <f t="shared" si="17"/>
        <v>475703.833333333</v>
      </c>
      <c r="K67" s="509">
        <v>322454.074</v>
      </c>
      <c r="L67" s="509">
        <f t="shared" si="18"/>
        <v>153249.759333333</v>
      </c>
      <c r="M67" s="511">
        <v>64384.5917866667</v>
      </c>
      <c r="N67" s="510">
        <v>41338.9510986667</v>
      </c>
      <c r="O67" s="511">
        <f t="shared" si="16"/>
        <v>23045.640688</v>
      </c>
      <c r="P67" s="13"/>
    </row>
    <row r="68" ht="20.1" customHeight="1" spans="1:16">
      <c r="A68" s="10">
        <v>8</v>
      </c>
      <c r="B68" s="11" t="s">
        <v>136</v>
      </c>
      <c r="C68" s="17" t="s">
        <v>67</v>
      </c>
      <c r="D68" s="10" t="s">
        <v>135</v>
      </c>
      <c r="E68" s="85">
        <v>365703.833333333</v>
      </c>
      <c r="F68" s="85"/>
      <c r="G68" s="220">
        <f t="shared" ref="G68:G70" si="20">110000</f>
        <v>110000</v>
      </c>
      <c r="H68" s="220"/>
      <c r="I68" s="85">
        <v>0</v>
      </c>
      <c r="J68" s="509">
        <f t="shared" si="17"/>
        <v>475703.833333333</v>
      </c>
      <c r="K68" s="509">
        <v>322454.074</v>
      </c>
      <c r="L68" s="509">
        <f t="shared" si="18"/>
        <v>153249.759333333</v>
      </c>
      <c r="M68" s="511">
        <v>64384.5917866667</v>
      </c>
      <c r="N68" s="510">
        <v>41338.9510986667</v>
      </c>
      <c r="O68" s="511">
        <f t="shared" si="16"/>
        <v>23045.640688</v>
      </c>
      <c r="P68" s="13"/>
    </row>
    <row r="69" ht="20.1" customHeight="1" spans="1:16">
      <c r="A69" s="10">
        <v>9</v>
      </c>
      <c r="B69" s="11" t="s">
        <v>137</v>
      </c>
      <c r="C69" s="17" t="s">
        <v>67</v>
      </c>
      <c r="D69" s="10" t="s">
        <v>135</v>
      </c>
      <c r="E69" s="85">
        <v>365703.833333333</v>
      </c>
      <c r="F69" s="85"/>
      <c r="G69" s="220">
        <f t="shared" si="20"/>
        <v>110000</v>
      </c>
      <c r="H69" s="220"/>
      <c r="I69" s="85">
        <v>0</v>
      </c>
      <c r="J69" s="509">
        <f t="shared" si="17"/>
        <v>475703.833333333</v>
      </c>
      <c r="K69" s="509">
        <v>322454.074</v>
      </c>
      <c r="L69" s="509">
        <f t="shared" si="18"/>
        <v>153249.759333333</v>
      </c>
      <c r="M69" s="511">
        <v>64384.5917866667</v>
      </c>
      <c r="N69" s="510">
        <v>41338.9510986667</v>
      </c>
      <c r="O69" s="511">
        <f t="shared" si="16"/>
        <v>23045.640688</v>
      </c>
      <c r="P69" s="13"/>
    </row>
    <row r="70" ht="20.1" customHeight="1" spans="1:16">
      <c r="A70" s="10">
        <v>10</v>
      </c>
      <c r="B70" s="11" t="s">
        <v>138</v>
      </c>
      <c r="C70" s="4" t="s">
        <v>139</v>
      </c>
      <c r="D70" s="10" t="s">
        <v>62</v>
      </c>
      <c r="E70" s="457">
        <v>377895.166666667</v>
      </c>
      <c r="F70" s="85"/>
      <c r="G70" s="220">
        <f t="shared" si="20"/>
        <v>110000</v>
      </c>
      <c r="H70" s="220"/>
      <c r="I70" s="85"/>
      <c r="J70" s="509">
        <f t="shared" si="17"/>
        <v>487895.166666667</v>
      </c>
      <c r="K70" s="509">
        <v>334536.9985</v>
      </c>
      <c r="L70" s="509">
        <f t="shared" si="18"/>
        <v>153358.168166667</v>
      </c>
      <c r="M70" s="511">
        <v>66538.0689066667</v>
      </c>
      <c r="N70" s="510">
        <v>43368.8824146667</v>
      </c>
      <c r="O70" s="511">
        <f t="shared" si="16"/>
        <v>23169.186492</v>
      </c>
      <c r="P70" s="13"/>
    </row>
    <row r="71" ht="21.6" customHeight="1" spans="1:15">
      <c r="A71" s="10">
        <v>11</v>
      </c>
      <c r="B71" s="11" t="s">
        <v>140</v>
      </c>
      <c r="C71" s="4" t="s">
        <v>117</v>
      </c>
      <c r="D71" s="10" t="s">
        <v>104</v>
      </c>
      <c r="E71" s="220">
        <v>300965.583333333</v>
      </c>
      <c r="F71" s="85"/>
      <c r="G71" s="220">
        <v>100000</v>
      </c>
      <c r="H71" s="220"/>
      <c r="I71" s="85"/>
      <c r="J71" s="509">
        <f t="shared" si="17"/>
        <v>400965.583333333</v>
      </c>
      <c r="K71" s="509">
        <v>277734.047</v>
      </c>
      <c r="L71" s="509">
        <f t="shared" si="18"/>
        <v>123231.536333333</v>
      </c>
      <c r="M71" s="511">
        <v>51029.2273066667</v>
      </c>
      <c r="N71" s="510">
        <v>33825.9865626667</v>
      </c>
      <c r="O71" s="511">
        <f t="shared" si="16"/>
        <v>17203.240744</v>
      </c>
    </row>
    <row r="72" ht="27" customHeight="1" spans="1:16">
      <c r="A72" s="10"/>
      <c r="B72" s="20" t="s">
        <v>96</v>
      </c>
      <c r="C72" s="21">
        <v>12</v>
      </c>
      <c r="D72" s="21"/>
      <c r="E72" s="93">
        <f>SUM(E62:E71)</f>
        <v>5169125.25</v>
      </c>
      <c r="F72" s="93">
        <f t="shared" ref="F72:O72" si="21">SUM(F62:F71)</f>
        <v>0</v>
      </c>
      <c r="G72" s="93">
        <f t="shared" si="21"/>
        <v>1300000</v>
      </c>
      <c r="H72" s="93">
        <f t="shared" si="21"/>
        <v>0</v>
      </c>
      <c r="I72" s="93">
        <f t="shared" si="21"/>
        <v>0</v>
      </c>
      <c r="J72" s="93">
        <f t="shared" si="21"/>
        <v>6469125.25</v>
      </c>
      <c r="K72" s="93">
        <v>4333762.409</v>
      </c>
      <c r="L72" s="93">
        <f t="shared" si="21"/>
        <v>2135362.841</v>
      </c>
      <c r="M72" s="93">
        <f t="shared" si="21"/>
        <v>971393.610026667</v>
      </c>
      <c r="N72" s="93">
        <v>623337.850774667</v>
      </c>
      <c r="O72" s="93">
        <f t="shared" si="21"/>
        <v>348055.759252</v>
      </c>
      <c r="P72" s="13"/>
    </row>
    <row r="73" ht="20.1" customHeight="1" spans="1:16">
      <c r="A73" s="10"/>
      <c r="B73" s="22"/>
      <c r="C73" s="21"/>
      <c r="D73" s="21"/>
      <c r="E73" s="146"/>
      <c r="F73" s="146"/>
      <c r="G73" s="220"/>
      <c r="H73" s="220"/>
      <c r="I73" s="146"/>
      <c r="J73" s="516"/>
      <c r="K73" s="516"/>
      <c r="L73" s="516"/>
      <c r="M73" s="517"/>
      <c r="N73" s="517"/>
      <c r="O73" s="517"/>
      <c r="P73" s="13"/>
    </row>
    <row r="74" ht="20.1" customHeight="1" spans="1:16">
      <c r="A74" s="10"/>
      <c r="B74" s="20" t="s">
        <v>141</v>
      </c>
      <c r="C74" s="21"/>
      <c r="D74" s="21"/>
      <c r="E74" s="146"/>
      <c r="F74" s="146"/>
      <c r="G74" s="220"/>
      <c r="H74" s="220"/>
      <c r="I74" s="146"/>
      <c r="J74" s="516"/>
      <c r="K74" s="516"/>
      <c r="L74" s="516"/>
      <c r="M74" s="517"/>
      <c r="N74" s="517"/>
      <c r="O74" s="517"/>
      <c r="P74" s="13"/>
    </row>
    <row r="75" ht="20.1" customHeight="1" spans="1:16">
      <c r="A75" s="10">
        <v>1</v>
      </c>
      <c r="B75" s="11" t="s">
        <v>142</v>
      </c>
      <c r="C75" s="4" t="s">
        <v>143</v>
      </c>
      <c r="D75" s="10" t="s">
        <v>100</v>
      </c>
      <c r="E75" s="85">
        <v>1435720</v>
      </c>
      <c r="F75" s="85"/>
      <c r="G75" s="220">
        <f>200000</f>
        <v>200000</v>
      </c>
      <c r="H75" s="220"/>
      <c r="I75" s="85">
        <v>0</v>
      </c>
      <c r="J75" s="509">
        <f>E75+F75+G75+H75+I75</f>
        <v>1635720</v>
      </c>
      <c r="K75" s="509">
        <v>1050209.0635</v>
      </c>
      <c r="L75" s="509">
        <f>J75-K75</f>
        <v>585510.9365</v>
      </c>
      <c r="M75" s="511">
        <v>270672.247466667</v>
      </c>
      <c r="N75" s="510">
        <v>180306.806858667</v>
      </c>
      <c r="O75" s="511">
        <f t="shared" ref="O75:O81" si="22">M75-N75</f>
        <v>90365.440608</v>
      </c>
      <c r="P75" s="13"/>
    </row>
    <row r="76" ht="20.1" customHeight="1" spans="1:16">
      <c r="A76" s="10">
        <v>2</v>
      </c>
      <c r="B76" s="14" t="s">
        <v>520</v>
      </c>
      <c r="C76" s="4" t="s">
        <v>572</v>
      </c>
      <c r="D76" s="15" t="s">
        <v>573</v>
      </c>
      <c r="E76" s="85">
        <v>601396.833333333</v>
      </c>
      <c r="F76" s="85"/>
      <c r="G76" s="220">
        <f>160000</f>
        <v>160000</v>
      </c>
      <c r="H76" s="220"/>
      <c r="I76" s="146">
        <v>0</v>
      </c>
      <c r="J76" s="509">
        <f t="shared" ref="J76:J81" si="23">E76+F76+G76+H76+I76</f>
        <v>761396.833333333</v>
      </c>
      <c r="K76" s="509">
        <v>516137.05</v>
      </c>
      <c r="L76" s="509">
        <f t="shared" ref="L76:L81" si="24">J76-K76</f>
        <v>245259.783333333</v>
      </c>
      <c r="M76" s="511">
        <v>124854.858666667</v>
      </c>
      <c r="N76" s="510">
        <v>77764.9802666667</v>
      </c>
      <c r="O76" s="511">
        <f t="shared" si="22"/>
        <v>47089.8784000003</v>
      </c>
      <c r="P76" s="13"/>
    </row>
    <row r="77" ht="20.1" customHeight="1" spans="1:16">
      <c r="A77" s="10">
        <v>3</v>
      </c>
      <c r="B77" s="18" t="s">
        <v>521</v>
      </c>
      <c r="C77" s="12" t="s">
        <v>574</v>
      </c>
      <c r="D77" s="10" t="s">
        <v>125</v>
      </c>
      <c r="E77" s="85">
        <v>620675.583333333</v>
      </c>
      <c r="F77" s="85"/>
      <c r="G77" s="220">
        <v>0</v>
      </c>
      <c r="H77" s="220">
        <v>80000</v>
      </c>
      <c r="I77" s="146">
        <v>0</v>
      </c>
      <c r="J77" s="509">
        <f t="shared" si="23"/>
        <v>700675.583333333</v>
      </c>
      <c r="K77" s="509">
        <v>447553.5025</v>
      </c>
      <c r="L77" s="509">
        <f t="shared" si="24"/>
        <v>253122.080833333</v>
      </c>
      <c r="M77" s="511">
        <v>113196.378666667</v>
      </c>
      <c r="N77" s="510">
        <v>64596.9391466667</v>
      </c>
      <c r="O77" s="511">
        <f t="shared" si="22"/>
        <v>48599.4395200003</v>
      </c>
      <c r="P77" s="13"/>
    </row>
    <row r="78" ht="20.1" customHeight="1" spans="1:16">
      <c r="A78" s="10">
        <v>4</v>
      </c>
      <c r="B78" s="11" t="s">
        <v>146</v>
      </c>
      <c r="C78" s="4" t="s">
        <v>147</v>
      </c>
      <c r="D78" s="15" t="s">
        <v>148</v>
      </c>
      <c r="E78" s="85">
        <v>456622.25</v>
      </c>
      <c r="F78" s="85"/>
      <c r="G78" s="220">
        <f>140000</f>
        <v>140000</v>
      </c>
      <c r="H78" s="220"/>
      <c r="I78" s="85">
        <v>0</v>
      </c>
      <c r="J78" s="509">
        <f t="shared" si="23"/>
        <v>596622.25</v>
      </c>
      <c r="K78" s="509">
        <v>405272.06375</v>
      </c>
      <c r="L78" s="509">
        <f t="shared" si="24"/>
        <v>191350.18625</v>
      </c>
      <c r="M78" s="511">
        <v>86076.1041866667</v>
      </c>
      <c r="N78" s="510">
        <v>56350.5861866667</v>
      </c>
      <c r="O78" s="511">
        <f t="shared" si="22"/>
        <v>29725.518</v>
      </c>
      <c r="P78" s="13"/>
    </row>
    <row r="79" ht="20.1" customHeight="1" spans="1:16">
      <c r="A79" s="10">
        <v>5</v>
      </c>
      <c r="B79" s="11" t="s">
        <v>149</v>
      </c>
      <c r="C79" s="4" t="s">
        <v>152</v>
      </c>
      <c r="D79" s="10" t="s">
        <v>265</v>
      </c>
      <c r="E79" s="85">
        <v>308901.5</v>
      </c>
      <c r="F79" s="85"/>
      <c r="G79" s="220">
        <f>100000</f>
        <v>100000</v>
      </c>
      <c r="H79" s="220"/>
      <c r="I79" s="85"/>
      <c r="J79" s="509">
        <f t="shared" si="23"/>
        <v>408901.5</v>
      </c>
      <c r="K79" s="509">
        <v>273169.1175</v>
      </c>
      <c r="L79" s="509">
        <f t="shared" si="24"/>
        <v>135732.3825</v>
      </c>
      <c r="M79" s="511">
        <v>52431.0276266667</v>
      </c>
      <c r="N79" s="510">
        <v>33059.0784066667</v>
      </c>
      <c r="O79" s="511">
        <f t="shared" si="22"/>
        <v>19371.94922</v>
      </c>
      <c r="P79" s="13"/>
    </row>
    <row r="80" ht="20.1" customHeight="1" spans="1:16">
      <c r="A80" s="10">
        <v>6</v>
      </c>
      <c r="B80" s="11" t="s">
        <v>151</v>
      </c>
      <c r="C80" s="4" t="s">
        <v>152</v>
      </c>
      <c r="D80" s="10" t="s">
        <v>80</v>
      </c>
      <c r="E80" s="85">
        <v>263165.333333333</v>
      </c>
      <c r="F80" s="85"/>
      <c r="G80" s="220">
        <v>100000</v>
      </c>
      <c r="H80" s="220"/>
      <c r="I80" s="85"/>
      <c r="J80" s="509">
        <f t="shared" si="23"/>
        <v>363165.333333333</v>
      </c>
      <c r="K80" s="509">
        <v>249356.04725</v>
      </c>
      <c r="L80" s="509">
        <f t="shared" si="24"/>
        <v>113809.286083333</v>
      </c>
      <c r="M80" s="511">
        <v>44641.5005866667</v>
      </c>
      <c r="N80" s="510">
        <v>29058.4826046667</v>
      </c>
      <c r="O80" s="511">
        <f t="shared" si="22"/>
        <v>15583.017982</v>
      </c>
      <c r="P80" s="13"/>
    </row>
    <row r="81" ht="20.1" customHeight="1" spans="1:16">
      <c r="A81" s="10">
        <v>7</v>
      </c>
      <c r="B81" s="11" t="s">
        <v>153</v>
      </c>
      <c r="C81" s="4" t="s">
        <v>154</v>
      </c>
      <c r="D81" s="10" t="s">
        <v>92</v>
      </c>
      <c r="E81" s="85">
        <v>224459.75</v>
      </c>
      <c r="F81" s="85"/>
      <c r="G81" s="220">
        <v>100000</v>
      </c>
      <c r="H81" s="220">
        <v>0</v>
      </c>
      <c r="I81" s="85"/>
      <c r="J81" s="509">
        <f t="shared" si="23"/>
        <v>324459.75</v>
      </c>
      <c r="K81" s="509">
        <v>223717.2845</v>
      </c>
      <c r="L81" s="509">
        <f t="shared" si="24"/>
        <v>100742.4655</v>
      </c>
      <c r="M81" s="511">
        <v>38659.1656266667</v>
      </c>
      <c r="N81" s="510">
        <v>24751.1704626667</v>
      </c>
      <c r="O81" s="511">
        <f t="shared" si="22"/>
        <v>13907.995164</v>
      </c>
      <c r="P81" s="13"/>
    </row>
    <row r="82" ht="20.1" customHeight="1" spans="1:16">
      <c r="A82" s="10"/>
      <c r="B82" s="20" t="s">
        <v>96</v>
      </c>
      <c r="C82" s="21">
        <v>7</v>
      </c>
      <c r="D82" s="21"/>
      <c r="E82" s="93">
        <f>SUM(E75:E81)</f>
        <v>3910941.25</v>
      </c>
      <c r="F82" s="93">
        <f t="shared" ref="F82:O82" si="25">SUM(F75:F81)</f>
        <v>0</v>
      </c>
      <c r="G82" s="93">
        <f t="shared" si="25"/>
        <v>800000</v>
      </c>
      <c r="H82" s="93">
        <f t="shared" si="25"/>
        <v>80000</v>
      </c>
      <c r="I82" s="93">
        <f t="shared" si="25"/>
        <v>0</v>
      </c>
      <c r="J82" s="93">
        <f t="shared" si="25"/>
        <v>4790941.25</v>
      </c>
      <c r="K82" s="93">
        <v>3165414.129</v>
      </c>
      <c r="L82" s="93">
        <f t="shared" si="25"/>
        <v>1625527.121</v>
      </c>
      <c r="M82" s="93">
        <f t="shared" si="25"/>
        <v>730531.282826668</v>
      </c>
      <c r="N82" s="93">
        <v>465888.043932667</v>
      </c>
      <c r="O82" s="93">
        <f t="shared" si="25"/>
        <v>264643.238894001</v>
      </c>
      <c r="P82" s="13"/>
    </row>
    <row r="83" ht="20.1" customHeight="1" spans="1:16">
      <c r="A83" s="10"/>
      <c r="B83" s="20"/>
      <c r="C83" s="21"/>
      <c r="D83" s="21"/>
      <c r="E83" s="146"/>
      <c r="F83" s="146"/>
      <c r="G83" s="220"/>
      <c r="H83" s="220"/>
      <c r="I83" s="146"/>
      <c r="J83" s="516"/>
      <c r="K83" s="516"/>
      <c r="L83" s="516"/>
      <c r="M83" s="517"/>
      <c r="N83" s="517"/>
      <c r="O83" s="517"/>
      <c r="P83" s="13"/>
    </row>
    <row r="84" ht="20.1" customHeight="1" spans="1:16">
      <c r="A84" s="10"/>
      <c r="B84" s="20" t="s">
        <v>155</v>
      </c>
      <c r="C84" s="25"/>
      <c r="D84" s="21"/>
      <c r="E84" s="146"/>
      <c r="F84" s="146"/>
      <c r="G84" s="220"/>
      <c r="H84" s="220"/>
      <c r="I84" s="146"/>
      <c r="J84" s="516"/>
      <c r="K84" s="516"/>
      <c r="L84" s="516"/>
      <c r="M84" s="517"/>
      <c r="N84" s="517"/>
      <c r="O84" s="517"/>
      <c r="P84" s="13"/>
    </row>
    <row r="85" ht="20.1" customHeight="1" spans="1:16">
      <c r="A85" s="10">
        <v>1</v>
      </c>
      <c r="B85" s="11" t="s">
        <v>156</v>
      </c>
      <c r="C85" s="4" t="s">
        <v>112</v>
      </c>
      <c r="D85" s="10" t="s">
        <v>36</v>
      </c>
      <c r="E85" s="85">
        <v>620675.583333333</v>
      </c>
      <c r="F85" s="85"/>
      <c r="G85" s="220">
        <f>160000</f>
        <v>160000</v>
      </c>
      <c r="H85" s="220"/>
      <c r="I85" s="85">
        <v>100000</v>
      </c>
      <c r="J85" s="509">
        <f>E85+F85+G85+H85+I85</f>
        <v>880675.583333333</v>
      </c>
      <c r="K85" s="509">
        <v>627553.5025</v>
      </c>
      <c r="L85" s="509">
        <f>J85-K85</f>
        <v>253122.080833333</v>
      </c>
      <c r="M85" s="511">
        <v>138222.801706667</v>
      </c>
      <c r="N85" s="510">
        <v>99156.9391466667</v>
      </c>
      <c r="O85" s="511">
        <f t="shared" ref="O85:O94" si="26">M85-N85</f>
        <v>39065.8625600003</v>
      </c>
      <c r="P85" s="13"/>
    </row>
    <row r="86" ht="20.1" customHeight="1" spans="1:16">
      <c r="A86" s="10">
        <v>2</v>
      </c>
      <c r="B86" s="11" t="s">
        <v>157</v>
      </c>
      <c r="C86" s="4" t="s">
        <v>112</v>
      </c>
      <c r="D86" s="10" t="s">
        <v>36</v>
      </c>
      <c r="E86" s="85">
        <v>620675.583333333</v>
      </c>
      <c r="F86" s="85"/>
      <c r="G86" s="220">
        <f>160000</f>
        <v>160000</v>
      </c>
      <c r="H86" s="220"/>
      <c r="I86" s="85"/>
      <c r="J86" s="509">
        <f t="shared" ref="J86:J94" si="27">E86+F86+G86+H86+I86</f>
        <v>780675.583333333</v>
      </c>
      <c r="K86" s="509">
        <v>527553.5025</v>
      </c>
      <c r="L86" s="509">
        <f t="shared" ref="L86:L94" si="28">J86-K86</f>
        <v>253122.080833333</v>
      </c>
      <c r="M86" s="511">
        <v>118861.965706667</v>
      </c>
      <c r="N86" s="510">
        <v>79796.1031466666</v>
      </c>
      <c r="O86" s="511">
        <f t="shared" si="26"/>
        <v>39065.8625600004</v>
      </c>
      <c r="P86" s="13"/>
    </row>
    <row r="87" ht="20.1" customHeight="1" spans="1:16">
      <c r="A87" s="10">
        <v>3</v>
      </c>
      <c r="B87" s="11" t="s">
        <v>158</v>
      </c>
      <c r="C87" s="4" t="s">
        <v>112</v>
      </c>
      <c r="D87" s="10" t="s">
        <v>39</v>
      </c>
      <c r="E87" s="85">
        <v>582118.083333333</v>
      </c>
      <c r="F87" s="85"/>
      <c r="G87" s="220">
        <v>160000</v>
      </c>
      <c r="H87" s="220"/>
      <c r="I87" s="85"/>
      <c r="J87" s="509">
        <f t="shared" si="27"/>
        <v>742118.083333333</v>
      </c>
      <c r="K87" s="509">
        <v>504729.222</v>
      </c>
      <c r="L87" s="509">
        <f t="shared" si="28"/>
        <v>237388.861333333</v>
      </c>
      <c r="M87" s="511">
        <v>112212.004906667</v>
      </c>
      <c r="N87" s="510">
        <v>75574.6772906667</v>
      </c>
      <c r="O87" s="511">
        <f t="shared" si="26"/>
        <v>36637.3276160003</v>
      </c>
      <c r="P87" s="13"/>
    </row>
    <row r="88" ht="21.6" customHeight="1" spans="1:16">
      <c r="A88" s="10">
        <v>4</v>
      </c>
      <c r="B88" s="11" t="s">
        <v>159</v>
      </c>
      <c r="C88" s="4" t="s">
        <v>483</v>
      </c>
      <c r="D88" s="15" t="s">
        <v>192</v>
      </c>
      <c r="E88" s="85">
        <v>441804.916666667</v>
      </c>
      <c r="F88" s="85"/>
      <c r="G88" s="220">
        <f>120000</f>
        <v>120000</v>
      </c>
      <c r="H88" s="220"/>
      <c r="I88" s="85">
        <v>0</v>
      </c>
      <c r="J88" s="509">
        <f t="shared" si="27"/>
        <v>561804.916666667</v>
      </c>
      <c r="K88" s="509">
        <v>376663.0775</v>
      </c>
      <c r="L88" s="509">
        <f t="shared" si="28"/>
        <v>185141.839166667</v>
      </c>
      <c r="M88" s="511">
        <v>79747.0871466667</v>
      </c>
      <c r="N88" s="510">
        <v>50985.9775466667</v>
      </c>
      <c r="O88" s="511">
        <f t="shared" si="26"/>
        <v>28761.1096</v>
      </c>
      <c r="P88" s="13"/>
    </row>
    <row r="89" ht="21.6" customHeight="1" spans="1:16">
      <c r="A89" s="10">
        <v>5</v>
      </c>
      <c r="B89" s="11" t="s">
        <v>160</v>
      </c>
      <c r="C89" s="12" t="s">
        <v>165</v>
      </c>
      <c r="D89" s="15" t="s">
        <v>52</v>
      </c>
      <c r="E89" s="85">
        <v>428915.916666667</v>
      </c>
      <c r="F89" s="85"/>
      <c r="G89" s="220">
        <f t="shared" ref="G89" si="29">120000</f>
        <v>120000</v>
      </c>
      <c r="H89" s="220"/>
      <c r="I89" s="85">
        <v>0</v>
      </c>
      <c r="J89" s="509">
        <f t="shared" si="27"/>
        <v>548915.916666667</v>
      </c>
      <c r="K89" s="509">
        <v>369177.65375</v>
      </c>
      <c r="L89" s="509">
        <f t="shared" si="28"/>
        <v>179738.262916667</v>
      </c>
      <c r="M89" s="511">
        <v>77470.3741866667</v>
      </c>
      <c r="N89" s="510">
        <v>49548.7761866667</v>
      </c>
      <c r="O89" s="511">
        <f t="shared" si="26"/>
        <v>27921.598</v>
      </c>
      <c r="P89" s="13"/>
    </row>
    <row r="90" ht="21.6" customHeight="1" spans="1:16">
      <c r="A90" s="10">
        <v>6</v>
      </c>
      <c r="B90" s="11" t="s">
        <v>161</v>
      </c>
      <c r="C90" s="12" t="s">
        <v>133</v>
      </c>
      <c r="D90" s="15" t="s">
        <v>162</v>
      </c>
      <c r="E90" s="85">
        <v>428870.75</v>
      </c>
      <c r="F90" s="85"/>
      <c r="G90" s="220">
        <f>140000</f>
        <v>140000</v>
      </c>
      <c r="H90" s="220"/>
      <c r="I90" s="85">
        <v>0</v>
      </c>
      <c r="J90" s="509">
        <f t="shared" si="27"/>
        <v>568870.75</v>
      </c>
      <c r="K90" s="509">
        <v>389153.05675</v>
      </c>
      <c r="L90" s="509">
        <f t="shared" si="28"/>
        <v>179717.69325</v>
      </c>
      <c r="M90" s="511">
        <v>81302.3959466667</v>
      </c>
      <c r="N90" s="510">
        <v>53384.0535626667</v>
      </c>
      <c r="O90" s="511">
        <f t="shared" si="26"/>
        <v>27918.342384</v>
      </c>
      <c r="P90" s="13"/>
    </row>
    <row r="91" ht="21.6" customHeight="1" spans="1:16">
      <c r="A91" s="10">
        <v>7</v>
      </c>
      <c r="B91" s="11" t="s">
        <v>163</v>
      </c>
      <c r="C91" s="17" t="s">
        <v>67</v>
      </c>
      <c r="D91" s="15" t="s">
        <v>135</v>
      </c>
      <c r="E91" s="85">
        <v>365703.833333333</v>
      </c>
      <c r="F91" s="85"/>
      <c r="G91" s="220">
        <f t="shared" ref="G91" si="30">110000</f>
        <v>110000</v>
      </c>
      <c r="H91" s="220"/>
      <c r="I91" s="85">
        <v>0</v>
      </c>
      <c r="J91" s="509">
        <f t="shared" si="27"/>
        <v>475703.833333333</v>
      </c>
      <c r="K91" s="509">
        <v>322454.074</v>
      </c>
      <c r="L91" s="509">
        <f t="shared" si="28"/>
        <v>153249.759333333</v>
      </c>
      <c r="M91" s="511">
        <v>64384.5917866667</v>
      </c>
      <c r="N91" s="510">
        <v>41338.9510986667</v>
      </c>
      <c r="O91" s="511">
        <f t="shared" si="26"/>
        <v>23045.640688</v>
      </c>
      <c r="P91" s="13"/>
    </row>
    <row r="92" ht="21.6" customHeight="1" spans="1:16">
      <c r="A92" s="10">
        <v>8</v>
      </c>
      <c r="B92" s="11" t="s">
        <v>164</v>
      </c>
      <c r="C92" s="17" t="s">
        <v>165</v>
      </c>
      <c r="D92" s="15" t="s">
        <v>166</v>
      </c>
      <c r="E92" s="85">
        <v>390248.916666667</v>
      </c>
      <c r="F92" s="85"/>
      <c r="G92" s="220">
        <v>120000</v>
      </c>
      <c r="H92" s="220"/>
      <c r="I92" s="85">
        <v>0</v>
      </c>
      <c r="J92" s="509">
        <f t="shared" si="27"/>
        <v>510248.916666667</v>
      </c>
      <c r="K92" s="509">
        <v>346713.03325</v>
      </c>
      <c r="L92" s="509">
        <f t="shared" si="28"/>
        <v>163535.883416667</v>
      </c>
      <c r="M92" s="511">
        <v>70529.4753546667</v>
      </c>
      <c r="N92" s="510">
        <v>45317.5412946667</v>
      </c>
      <c r="O92" s="511">
        <f t="shared" si="26"/>
        <v>25211.93406</v>
      </c>
      <c r="P92" s="13"/>
    </row>
    <row r="93" ht="21.6" customHeight="1" spans="1:16">
      <c r="A93" s="10">
        <v>9</v>
      </c>
      <c r="B93" s="11" t="s">
        <v>167</v>
      </c>
      <c r="C93" s="4" t="s">
        <v>168</v>
      </c>
      <c r="D93" s="10" t="s">
        <v>104</v>
      </c>
      <c r="E93" s="220">
        <v>300965.583333333</v>
      </c>
      <c r="F93" s="85"/>
      <c r="G93" s="220">
        <v>100000</v>
      </c>
      <c r="H93" s="220"/>
      <c r="I93" s="85"/>
      <c r="J93" s="509">
        <f t="shared" si="27"/>
        <v>400965.583333333</v>
      </c>
      <c r="K93" s="509">
        <v>277734.047</v>
      </c>
      <c r="L93" s="509">
        <f t="shared" si="28"/>
        <v>123231.536333333</v>
      </c>
      <c r="M93" s="511">
        <v>51029.2273066667</v>
      </c>
      <c r="N93" s="510">
        <v>33825.9865626667</v>
      </c>
      <c r="O93" s="511">
        <f t="shared" si="26"/>
        <v>17203.240744</v>
      </c>
      <c r="P93" s="13"/>
    </row>
    <row r="94" ht="21.6" customHeight="1" spans="1:16">
      <c r="A94" s="10">
        <v>10</v>
      </c>
      <c r="B94" s="11" t="s">
        <v>169</v>
      </c>
      <c r="C94" s="17" t="s">
        <v>170</v>
      </c>
      <c r="D94" s="15" t="s">
        <v>171</v>
      </c>
      <c r="E94" s="220">
        <v>230631.916666667</v>
      </c>
      <c r="F94" s="85"/>
      <c r="G94" s="220">
        <f t="shared" ref="G94" si="31">100000</f>
        <v>100000</v>
      </c>
      <c r="H94" s="220"/>
      <c r="I94" s="85"/>
      <c r="J94" s="509">
        <f t="shared" si="27"/>
        <v>330631.916666667</v>
      </c>
      <c r="K94" s="509">
        <v>254870.263445</v>
      </c>
      <c r="L94" s="509">
        <f t="shared" si="28"/>
        <v>75761.653221667</v>
      </c>
      <c r="M94" s="511">
        <v>39613.1357066667</v>
      </c>
      <c r="N94" s="510">
        <v>29984.8709254267</v>
      </c>
      <c r="O94" s="511">
        <f t="shared" si="26"/>
        <v>9628.26478124</v>
      </c>
      <c r="P94" s="13"/>
    </row>
    <row r="95" ht="20.1" customHeight="1" spans="1:16">
      <c r="A95" s="10"/>
      <c r="B95" s="20" t="s">
        <v>96</v>
      </c>
      <c r="C95" s="21">
        <v>11</v>
      </c>
      <c r="D95" s="21"/>
      <c r="E95" s="93">
        <f>SUM(E85:E94)</f>
        <v>4410611.08333333</v>
      </c>
      <c r="F95" s="93">
        <f t="shared" ref="F95:O95" si="32">SUM(F85:F94)</f>
        <v>0</v>
      </c>
      <c r="G95" s="93">
        <f t="shared" si="32"/>
        <v>1290000</v>
      </c>
      <c r="H95" s="93">
        <f t="shared" si="32"/>
        <v>0</v>
      </c>
      <c r="I95" s="93">
        <f t="shared" si="32"/>
        <v>100000</v>
      </c>
      <c r="J95" s="93">
        <f t="shared" si="32"/>
        <v>5800611.08333333</v>
      </c>
      <c r="K95" s="93">
        <v>3996601.432695</v>
      </c>
      <c r="L95" s="93">
        <f t="shared" si="32"/>
        <v>1804009.65063833</v>
      </c>
      <c r="M95" s="93">
        <f t="shared" si="32"/>
        <v>833373.059754668</v>
      </c>
      <c r="N95" s="93">
        <v>558913.876761427</v>
      </c>
      <c r="O95" s="93">
        <f t="shared" si="32"/>
        <v>274459.182993241</v>
      </c>
      <c r="P95" s="13"/>
    </row>
    <row r="96" ht="20.1" customHeight="1" spans="1:16">
      <c r="A96" s="10"/>
      <c r="B96" s="22"/>
      <c r="C96" s="21"/>
      <c r="D96" s="21"/>
      <c r="E96" s="146"/>
      <c r="F96" s="146"/>
      <c r="G96" s="220"/>
      <c r="H96" s="220"/>
      <c r="I96" s="146"/>
      <c r="J96" s="516"/>
      <c r="K96" s="516"/>
      <c r="L96" s="516"/>
      <c r="M96" s="517"/>
      <c r="N96" s="517"/>
      <c r="O96" s="517"/>
      <c r="P96" s="13"/>
    </row>
    <row r="97" ht="20.1" customHeight="1" spans="1:16">
      <c r="A97" s="10"/>
      <c r="B97" s="20" t="s">
        <v>172</v>
      </c>
      <c r="C97" s="21"/>
      <c r="D97" s="21"/>
      <c r="E97" s="146"/>
      <c r="F97" s="146"/>
      <c r="G97" s="220"/>
      <c r="H97" s="220"/>
      <c r="I97" s="146"/>
      <c r="J97" s="516"/>
      <c r="K97" s="516"/>
      <c r="L97" s="516"/>
      <c r="M97" s="517"/>
      <c r="N97" s="517"/>
      <c r="O97" s="517"/>
      <c r="P97" s="13"/>
    </row>
    <row r="98" ht="20.1" customHeight="1" spans="1:16">
      <c r="A98" s="10">
        <v>1</v>
      </c>
      <c r="B98" s="14" t="s">
        <v>173</v>
      </c>
      <c r="C98" s="4" t="s">
        <v>174</v>
      </c>
      <c r="D98" s="16" t="s">
        <v>189</v>
      </c>
      <c r="E98" s="85">
        <v>762373.166666667</v>
      </c>
      <c r="F98" s="85"/>
      <c r="G98" s="220"/>
      <c r="H98" s="220">
        <f>80000+10000</f>
        <v>90000</v>
      </c>
      <c r="I98" s="85"/>
      <c r="J98" s="509">
        <f>E98+F98+G98+H98+I98</f>
        <v>852373.166666667</v>
      </c>
      <c r="K98" s="509">
        <v>541465.02475</v>
      </c>
      <c r="L98" s="509">
        <f>J98-K98</f>
        <v>310908.141916667</v>
      </c>
      <c r="M98" s="519">
        <v>130407.527610667</v>
      </c>
      <c r="N98" s="510">
        <v>82423.2162026667</v>
      </c>
      <c r="O98" s="519">
        <f>M98-N98</f>
        <v>47984.3114080003</v>
      </c>
      <c r="P98" s="13"/>
    </row>
    <row r="99" ht="20.1" customHeight="1" spans="1:16">
      <c r="A99" s="10">
        <v>2</v>
      </c>
      <c r="B99" s="11" t="s">
        <v>176</v>
      </c>
      <c r="C99" s="4" t="s">
        <v>177</v>
      </c>
      <c r="D99" s="15" t="s">
        <v>148</v>
      </c>
      <c r="E99" s="85">
        <v>456622.25</v>
      </c>
      <c r="F99" s="85"/>
      <c r="G99" s="220"/>
      <c r="H99" s="220">
        <v>70000</v>
      </c>
      <c r="I99" s="85">
        <v>0</v>
      </c>
      <c r="J99" s="509">
        <f t="shared" ref="J99:J101" si="33">E99+F99+G99+H99+I99</f>
        <v>526622.25</v>
      </c>
      <c r="K99" s="509">
        <v>335272.06375</v>
      </c>
      <c r="L99" s="509">
        <f t="shared" ref="L99:L101" si="34">J99-K99</f>
        <v>191350.18625</v>
      </c>
      <c r="M99" s="519">
        <v>72764.4209066667</v>
      </c>
      <c r="N99" s="510">
        <v>43492.3733766667</v>
      </c>
      <c r="O99" s="519">
        <f>M99-N99</f>
        <v>29272.04753</v>
      </c>
      <c r="P99" s="13"/>
    </row>
    <row r="100" ht="20.1" customHeight="1" spans="1:16">
      <c r="A100" s="10">
        <v>3</v>
      </c>
      <c r="B100" s="11" t="s">
        <v>180</v>
      </c>
      <c r="C100" s="4" t="s">
        <v>181</v>
      </c>
      <c r="D100" s="15" t="s">
        <v>62</v>
      </c>
      <c r="E100" s="85">
        <v>377895.166666667</v>
      </c>
      <c r="F100" s="85"/>
      <c r="G100" s="220"/>
      <c r="H100" s="220">
        <f>60000</f>
        <v>60000</v>
      </c>
      <c r="I100" s="85"/>
      <c r="J100" s="509">
        <f t="shared" si="33"/>
        <v>437895.166666667</v>
      </c>
      <c r="K100" s="509">
        <v>284536.9985</v>
      </c>
      <c r="L100" s="509">
        <f t="shared" si="34"/>
        <v>153358.168166667</v>
      </c>
      <c r="M100" s="519">
        <v>56938.0689066667</v>
      </c>
      <c r="N100" s="510">
        <v>34968.8824146667</v>
      </c>
      <c r="O100" s="519">
        <f>M100-N100</f>
        <v>21969.186492</v>
      </c>
      <c r="P100" s="13"/>
    </row>
    <row r="101" ht="20.1" customHeight="1" spans="1:16">
      <c r="A101" s="10">
        <v>4</v>
      </c>
      <c r="B101" s="11" t="s">
        <v>182</v>
      </c>
      <c r="C101" s="4" t="s">
        <v>183</v>
      </c>
      <c r="D101" s="15" t="s">
        <v>104</v>
      </c>
      <c r="E101" s="220">
        <v>300965.583333333</v>
      </c>
      <c r="F101" s="85"/>
      <c r="G101" s="220"/>
      <c r="H101" s="220">
        <f>60000</f>
        <v>60000</v>
      </c>
      <c r="I101" s="85"/>
      <c r="J101" s="509">
        <f t="shared" si="33"/>
        <v>360965.583333333</v>
      </c>
      <c r="K101" s="509">
        <v>237734.047</v>
      </c>
      <c r="L101" s="509">
        <f t="shared" si="34"/>
        <v>123231.536333333</v>
      </c>
      <c r="M101" s="519">
        <v>43763.9072266667</v>
      </c>
      <c r="N101" s="510">
        <v>27105.9865626667</v>
      </c>
      <c r="O101" s="519">
        <f>M101-N101</f>
        <v>16657.920664</v>
      </c>
      <c r="P101" s="13"/>
    </row>
    <row r="102" ht="20.1" customHeight="1" spans="1:16">
      <c r="A102" s="4"/>
      <c r="B102" s="20" t="s">
        <v>96</v>
      </c>
      <c r="C102" s="21">
        <v>4</v>
      </c>
      <c r="D102" s="26"/>
      <c r="E102" s="93">
        <f>SUM(E98:E101)</f>
        <v>1897856.16666667</v>
      </c>
      <c r="F102" s="93">
        <f t="shared" ref="F102:O102" si="35">SUM(F98:F101)</f>
        <v>0</v>
      </c>
      <c r="G102" s="93">
        <f t="shared" si="35"/>
        <v>0</v>
      </c>
      <c r="H102" s="93">
        <f t="shared" si="35"/>
        <v>280000</v>
      </c>
      <c r="I102" s="93">
        <f t="shared" si="35"/>
        <v>0</v>
      </c>
      <c r="J102" s="93">
        <f t="shared" si="35"/>
        <v>2177856.16666667</v>
      </c>
      <c r="K102" s="93">
        <v>1399008.134</v>
      </c>
      <c r="L102" s="93">
        <f t="shared" si="35"/>
        <v>778848.032666667</v>
      </c>
      <c r="M102" s="93">
        <f t="shared" si="35"/>
        <v>303873.924650667</v>
      </c>
      <c r="N102" s="93">
        <v>187990.458556667</v>
      </c>
      <c r="O102" s="93">
        <f t="shared" si="35"/>
        <v>115883.466094</v>
      </c>
      <c r="P102" s="13"/>
    </row>
    <row r="103" ht="20.1" customHeight="1" spans="1:16">
      <c r="A103" s="4"/>
      <c r="B103" s="22"/>
      <c r="C103" s="21"/>
      <c r="D103" s="26"/>
      <c r="E103" s="146"/>
      <c r="F103" s="146"/>
      <c r="G103" s="220"/>
      <c r="H103" s="220"/>
      <c r="I103" s="146"/>
      <c r="J103" s="516"/>
      <c r="K103" s="516"/>
      <c r="L103" s="516"/>
      <c r="M103" s="517"/>
      <c r="N103" s="517"/>
      <c r="O103" s="517"/>
      <c r="P103" s="13"/>
    </row>
    <row r="104" ht="20.1" customHeight="1" spans="1:16">
      <c r="A104" s="4"/>
      <c r="B104" s="20" t="s">
        <v>184</v>
      </c>
      <c r="C104" s="4"/>
      <c r="D104" s="4"/>
      <c r="E104" s="4"/>
      <c r="F104" s="4"/>
      <c r="G104" s="220"/>
      <c r="H104" s="220"/>
      <c r="I104" s="4"/>
      <c r="J104" s="520"/>
      <c r="K104" s="520"/>
      <c r="L104" s="520"/>
      <c r="M104" s="521"/>
      <c r="N104" s="521"/>
      <c r="O104" s="521"/>
      <c r="P104" s="13"/>
    </row>
    <row r="105" ht="20.1" customHeight="1" spans="1:16">
      <c r="A105" s="4">
        <v>1</v>
      </c>
      <c r="B105" s="11" t="s">
        <v>185</v>
      </c>
      <c r="C105" s="12" t="s">
        <v>186</v>
      </c>
      <c r="D105" s="15" t="s">
        <v>100</v>
      </c>
      <c r="E105" s="85">
        <v>1435720</v>
      </c>
      <c r="F105" s="85"/>
      <c r="G105" s="220">
        <f>200000</f>
        <v>200000</v>
      </c>
      <c r="H105" s="220"/>
      <c r="I105" s="85">
        <v>0</v>
      </c>
      <c r="J105" s="509">
        <f>E105+F105+G105+H105+I105</f>
        <v>1635720</v>
      </c>
      <c r="K105" s="509">
        <v>1050209.0635</v>
      </c>
      <c r="L105" s="509">
        <f>J105-K105</f>
        <v>585510.9365</v>
      </c>
      <c r="M105" s="511">
        <v>270672.247466667</v>
      </c>
      <c r="N105" s="510">
        <v>180306.806858667</v>
      </c>
      <c r="O105" s="511">
        <f t="shared" ref="O105:O111" si="36">M105-N105</f>
        <v>90365.440608</v>
      </c>
      <c r="P105" s="13"/>
    </row>
    <row r="106" ht="20.1" customHeight="1" spans="1:16">
      <c r="A106" s="4">
        <v>2</v>
      </c>
      <c r="B106" s="11" t="s">
        <v>187</v>
      </c>
      <c r="C106" s="4" t="s">
        <v>188</v>
      </c>
      <c r="D106" s="16" t="s">
        <v>189</v>
      </c>
      <c r="E106" s="85">
        <v>762373.166666667</v>
      </c>
      <c r="F106" s="85"/>
      <c r="G106" s="220">
        <f>160000+20000</f>
        <v>180000</v>
      </c>
      <c r="H106" s="220"/>
      <c r="I106" s="85">
        <v>0</v>
      </c>
      <c r="J106" s="509">
        <f t="shared" ref="J106:J111" si="37">E106+F106+G106+H106+I106</f>
        <v>942373.166666667</v>
      </c>
      <c r="K106" s="509">
        <v>631465.02475</v>
      </c>
      <c r="L106" s="509">
        <f t="shared" ref="L106:L111" si="38">J106-K106</f>
        <v>310908.141916667</v>
      </c>
      <c r="M106" s="511">
        <v>147687.527610667</v>
      </c>
      <c r="N106" s="510">
        <v>99703.2162026667</v>
      </c>
      <c r="O106" s="511">
        <f t="shared" si="36"/>
        <v>47984.3114080003</v>
      </c>
      <c r="P106" s="13"/>
    </row>
    <row r="107" ht="20.1" customHeight="1" spans="1:16">
      <c r="A107" s="4">
        <v>3</v>
      </c>
      <c r="B107" s="11" t="s">
        <v>190</v>
      </c>
      <c r="C107" s="4" t="s">
        <v>191</v>
      </c>
      <c r="D107" s="10" t="s">
        <v>192</v>
      </c>
      <c r="E107" s="85">
        <v>441804.916666667</v>
      </c>
      <c r="F107" s="85"/>
      <c r="G107" s="220">
        <f>120000</f>
        <v>120000</v>
      </c>
      <c r="H107" s="220"/>
      <c r="I107" s="85">
        <v>41432.938525</v>
      </c>
      <c r="J107" s="509">
        <f t="shared" si="37"/>
        <v>603237.855191667</v>
      </c>
      <c r="K107" s="509">
        <v>418096.016025</v>
      </c>
      <c r="L107" s="509">
        <f t="shared" si="38"/>
        <v>185141.839166667</v>
      </c>
      <c r="M107" s="511">
        <v>87575.7827034667</v>
      </c>
      <c r="N107" s="510">
        <v>58814.6731034667</v>
      </c>
      <c r="O107" s="511">
        <f t="shared" si="36"/>
        <v>28761.1096</v>
      </c>
      <c r="P107" s="13"/>
    </row>
    <row r="108" ht="20.1" customHeight="1" spans="1:16">
      <c r="A108" s="4">
        <v>4</v>
      </c>
      <c r="B108" s="11" t="s">
        <v>193</v>
      </c>
      <c r="C108" s="4" t="s">
        <v>191</v>
      </c>
      <c r="D108" s="10" t="s">
        <v>192</v>
      </c>
      <c r="E108" s="85">
        <v>441804.916666667</v>
      </c>
      <c r="F108" s="85"/>
      <c r="G108" s="220">
        <f>120000</f>
        <v>120000</v>
      </c>
      <c r="H108" s="220"/>
      <c r="I108" s="85">
        <v>39820.116655</v>
      </c>
      <c r="J108" s="509">
        <f t="shared" si="37"/>
        <v>601625.033321667</v>
      </c>
      <c r="K108" s="509">
        <v>416483.194155</v>
      </c>
      <c r="L108" s="509">
        <f t="shared" si="38"/>
        <v>185141.839166667</v>
      </c>
      <c r="M108" s="511">
        <v>87392.5495444267</v>
      </c>
      <c r="N108" s="510">
        <v>58631.4399444267</v>
      </c>
      <c r="O108" s="511">
        <f t="shared" si="36"/>
        <v>28761.1096</v>
      </c>
      <c r="P108" s="13"/>
    </row>
    <row r="109" ht="20.1" customHeight="1" spans="1:16">
      <c r="A109" s="4">
        <v>5</v>
      </c>
      <c r="B109" s="11" t="s">
        <v>194</v>
      </c>
      <c r="C109" s="4" t="s">
        <v>195</v>
      </c>
      <c r="D109" s="15" t="s">
        <v>196</v>
      </c>
      <c r="E109" s="220">
        <v>249148.416666667</v>
      </c>
      <c r="F109" s="85"/>
      <c r="G109" s="220">
        <f>100000</f>
        <v>100000</v>
      </c>
      <c r="H109" s="220"/>
      <c r="I109" s="85">
        <v>25333.44748</v>
      </c>
      <c r="J109" s="509">
        <f t="shared" si="37"/>
        <v>374481.864146667</v>
      </c>
      <c r="K109" s="509">
        <v>266099.21748</v>
      </c>
      <c r="L109" s="509">
        <f t="shared" si="38"/>
        <v>108382.646666667</v>
      </c>
      <c r="M109" s="511">
        <v>46740.2649028267</v>
      </c>
      <c r="N109" s="510">
        <v>31871.3352033067</v>
      </c>
      <c r="O109" s="511">
        <f t="shared" si="36"/>
        <v>14868.92969952</v>
      </c>
      <c r="P109" s="13"/>
    </row>
    <row r="110" ht="20.1" customHeight="1" spans="1:16">
      <c r="A110" s="4">
        <v>6</v>
      </c>
      <c r="B110" s="18" t="s">
        <v>197</v>
      </c>
      <c r="C110" s="4" t="s">
        <v>195</v>
      </c>
      <c r="D110" s="10" t="s">
        <v>198</v>
      </c>
      <c r="E110" s="220">
        <v>242976.25</v>
      </c>
      <c r="F110" s="85"/>
      <c r="G110" s="220">
        <f>100000</f>
        <v>100000</v>
      </c>
      <c r="H110" s="220"/>
      <c r="I110" s="85">
        <v>24949.771</v>
      </c>
      <c r="J110" s="509">
        <f t="shared" si="37"/>
        <v>367926.021</v>
      </c>
      <c r="K110" s="509">
        <v>262229.041</v>
      </c>
      <c r="L110" s="509">
        <f t="shared" si="38"/>
        <v>105696.98</v>
      </c>
      <c r="M110" s="511">
        <v>45712.6373946667</v>
      </c>
      <c r="N110" s="510">
        <v>31221.1455546667</v>
      </c>
      <c r="O110" s="511">
        <f t="shared" si="36"/>
        <v>14491.49184</v>
      </c>
      <c r="P110" s="13"/>
    </row>
    <row r="111" ht="20.1" customHeight="1" spans="1:16">
      <c r="A111" s="4">
        <v>7</v>
      </c>
      <c r="B111" s="18" t="s">
        <v>199</v>
      </c>
      <c r="C111" s="4" t="s">
        <v>195</v>
      </c>
      <c r="D111" s="15" t="s">
        <v>171</v>
      </c>
      <c r="E111" s="220">
        <v>230631.916666667</v>
      </c>
      <c r="F111" s="85"/>
      <c r="G111" s="220">
        <f t="shared" ref="G111" si="39">100000</f>
        <v>100000</v>
      </c>
      <c r="H111" s="220"/>
      <c r="I111" s="85">
        <v>24566.195445</v>
      </c>
      <c r="J111" s="509">
        <f t="shared" si="37"/>
        <v>355198.112111667</v>
      </c>
      <c r="K111" s="509">
        <v>254870.263445</v>
      </c>
      <c r="L111" s="509">
        <f t="shared" si="38"/>
        <v>100327.848666667</v>
      </c>
      <c r="M111" s="511">
        <v>43740.2565414267</v>
      </c>
      <c r="N111" s="510">
        <v>29984.8709254267</v>
      </c>
      <c r="O111" s="511">
        <f t="shared" si="36"/>
        <v>13755.385616</v>
      </c>
      <c r="P111" s="13"/>
    </row>
    <row r="112" ht="25.5" customHeight="1" spans="1:16">
      <c r="A112" s="4"/>
      <c r="B112" s="20" t="s">
        <v>96</v>
      </c>
      <c r="C112" s="21">
        <v>7</v>
      </c>
      <c r="D112" s="4"/>
      <c r="E112" s="223">
        <f>SUM(E105:E111)</f>
        <v>3804459.58333333</v>
      </c>
      <c r="F112" s="223">
        <f t="shared" ref="F112:O112" si="40">SUM(F105:F111)</f>
        <v>0</v>
      </c>
      <c r="G112" s="223">
        <f t="shared" si="40"/>
        <v>920000</v>
      </c>
      <c r="H112" s="223">
        <f t="shared" si="40"/>
        <v>0</v>
      </c>
      <c r="I112" s="223">
        <f t="shared" si="40"/>
        <v>156102.469105</v>
      </c>
      <c r="J112" s="223">
        <f t="shared" si="40"/>
        <v>4880562.05243834</v>
      </c>
      <c r="K112" s="223">
        <v>3299451.820355</v>
      </c>
      <c r="L112" s="223">
        <f t="shared" si="40"/>
        <v>1581110.23208334</v>
      </c>
      <c r="M112" s="223">
        <f t="shared" si="40"/>
        <v>729521.266164148</v>
      </c>
      <c r="N112" s="223">
        <v>490533.487792627</v>
      </c>
      <c r="O112" s="223">
        <f t="shared" si="40"/>
        <v>238987.77837152</v>
      </c>
      <c r="P112" s="13"/>
    </row>
    <row r="113" ht="20.1" customHeight="1" spans="1:16">
      <c r="A113" s="4"/>
      <c r="B113" s="20"/>
      <c r="C113" s="21"/>
      <c r="D113" s="4"/>
      <c r="E113" s="223"/>
      <c r="F113" s="223"/>
      <c r="G113" s="518"/>
      <c r="H113" s="518"/>
      <c r="I113" s="223"/>
      <c r="J113" s="522"/>
      <c r="K113" s="522"/>
      <c r="L113" s="522"/>
      <c r="M113" s="523"/>
      <c r="N113" s="523"/>
      <c r="O113" s="523"/>
      <c r="P113" s="13"/>
    </row>
    <row r="114" ht="20.1" customHeight="1" spans="1:16">
      <c r="A114" s="10"/>
      <c r="B114" s="20" t="s">
        <v>200</v>
      </c>
      <c r="C114" s="21"/>
      <c r="D114" s="21"/>
      <c r="E114" s="146"/>
      <c r="F114" s="146"/>
      <c r="G114" s="220"/>
      <c r="H114" s="220"/>
      <c r="I114" s="146"/>
      <c r="J114" s="516"/>
      <c r="K114" s="516"/>
      <c r="L114" s="516"/>
      <c r="M114" s="517"/>
      <c r="N114" s="517"/>
      <c r="O114" s="517"/>
      <c r="P114" s="13"/>
    </row>
    <row r="115" ht="20.1" customHeight="1" spans="1:16">
      <c r="A115" s="10">
        <v>1</v>
      </c>
      <c r="B115" s="14" t="s">
        <v>201</v>
      </c>
      <c r="C115" s="4" t="s">
        <v>112</v>
      </c>
      <c r="D115" s="10" t="s">
        <v>131</v>
      </c>
      <c r="E115" s="85">
        <v>601396.833333333</v>
      </c>
      <c r="F115" s="85"/>
      <c r="G115" s="220">
        <v>160000</v>
      </c>
      <c r="H115" s="220"/>
      <c r="I115" s="85">
        <v>0</v>
      </c>
      <c r="J115" s="509">
        <f>E115+F115+G115+H115+I115</f>
        <v>761396.833333333</v>
      </c>
      <c r="K115" s="509">
        <v>516137.05</v>
      </c>
      <c r="L115" s="509">
        <f>J115-K115</f>
        <v>245259.783333333</v>
      </c>
      <c r="M115" s="511">
        <v>115462.539946667</v>
      </c>
      <c r="N115" s="510">
        <v>77610.1169066667</v>
      </c>
      <c r="O115" s="511">
        <f>M115-N115</f>
        <v>37852.4230400003</v>
      </c>
      <c r="P115" s="13"/>
    </row>
    <row r="116" ht="18.75" customHeight="1" spans="1:16">
      <c r="A116" s="10">
        <v>2</v>
      </c>
      <c r="B116" s="11" t="s">
        <v>202</v>
      </c>
      <c r="C116" s="4" t="s">
        <v>203</v>
      </c>
      <c r="D116" s="15" t="s">
        <v>62</v>
      </c>
      <c r="E116" s="85">
        <v>377895.166666667</v>
      </c>
      <c r="F116" s="85"/>
      <c r="G116" s="220">
        <v>110000</v>
      </c>
      <c r="H116" s="220">
        <v>0</v>
      </c>
      <c r="I116" s="85"/>
      <c r="J116" s="509">
        <f t="shared" ref="J116:J117" si="41">E116+F116+G116+H116+I116</f>
        <v>487895.166666667</v>
      </c>
      <c r="K116" s="509">
        <v>334536.9985</v>
      </c>
      <c r="L116" s="509">
        <f t="shared" ref="L116:L117" si="42">J116-K116</f>
        <v>153358.168166667</v>
      </c>
      <c r="M116" s="511">
        <v>66538.0689066667</v>
      </c>
      <c r="N116" s="510">
        <v>43368.8824146667</v>
      </c>
      <c r="O116" s="511">
        <f>M116-N116</f>
        <v>23169.186492</v>
      </c>
      <c r="P116" s="13"/>
    </row>
    <row r="117" ht="20.1" customHeight="1" spans="1:16">
      <c r="A117" s="10">
        <v>3</v>
      </c>
      <c r="B117" s="11" t="s">
        <v>204</v>
      </c>
      <c r="C117" s="12" t="s">
        <v>581</v>
      </c>
      <c r="D117" s="15" t="s">
        <v>253</v>
      </c>
      <c r="E117" s="85">
        <v>390086.5</v>
      </c>
      <c r="F117" s="85"/>
      <c r="G117" s="220"/>
      <c r="H117" s="220">
        <f>60000</f>
        <v>60000</v>
      </c>
      <c r="I117" s="85"/>
      <c r="J117" s="509">
        <f t="shared" si="41"/>
        <v>450086.5</v>
      </c>
      <c r="K117" s="509">
        <v>286619.99875</v>
      </c>
      <c r="L117" s="509">
        <f t="shared" si="42"/>
        <v>163466.50125</v>
      </c>
      <c r="M117" s="511">
        <v>58980.8347466667</v>
      </c>
      <c r="N117" s="510">
        <v>35221.9540866667</v>
      </c>
      <c r="O117" s="511">
        <f>M117-N117</f>
        <v>23758.88066</v>
      </c>
      <c r="P117" s="13"/>
    </row>
    <row r="118" ht="24.75" customHeight="1" spans="1:16">
      <c r="A118" s="4"/>
      <c r="B118" s="20" t="s">
        <v>96</v>
      </c>
      <c r="C118" s="21">
        <v>2</v>
      </c>
      <c r="D118" s="26"/>
      <c r="E118" s="93">
        <f>SUM(E115:E117)</f>
        <v>1369378.5</v>
      </c>
      <c r="F118" s="93">
        <f t="shared" ref="F118:O118" si="43">SUM(F115:F117)</f>
        <v>0</v>
      </c>
      <c r="G118" s="93">
        <f t="shared" si="43"/>
        <v>270000</v>
      </c>
      <c r="H118" s="93">
        <f t="shared" si="43"/>
        <v>60000</v>
      </c>
      <c r="I118" s="93">
        <f t="shared" si="43"/>
        <v>0</v>
      </c>
      <c r="J118" s="93">
        <f t="shared" si="43"/>
        <v>1699378.5</v>
      </c>
      <c r="K118" s="93">
        <v>1137294.04725</v>
      </c>
      <c r="L118" s="93">
        <f t="shared" si="43"/>
        <v>562084.45275</v>
      </c>
      <c r="M118" s="93">
        <f t="shared" si="43"/>
        <v>240981.4436</v>
      </c>
      <c r="N118" s="93">
        <v>156200.953408</v>
      </c>
      <c r="O118" s="93">
        <f t="shared" si="43"/>
        <v>84780.4901920003</v>
      </c>
      <c r="P118" s="13"/>
    </row>
    <row r="119" ht="20.1" customHeight="1" spans="1:16">
      <c r="A119" s="4"/>
      <c r="B119" s="22"/>
      <c r="C119" s="10"/>
      <c r="D119" s="4"/>
      <c r="E119" s="224"/>
      <c r="F119" s="9"/>
      <c r="G119" s="220"/>
      <c r="H119" s="220"/>
      <c r="I119" s="224"/>
      <c r="J119" s="524"/>
      <c r="K119" s="524"/>
      <c r="L119" s="524"/>
      <c r="M119" s="525"/>
      <c r="N119" s="525"/>
      <c r="O119" s="525"/>
      <c r="P119" s="13"/>
    </row>
    <row r="120" ht="20.1" customHeight="1" spans="1:16">
      <c r="A120" s="4"/>
      <c r="B120" s="20" t="s">
        <v>213</v>
      </c>
      <c r="C120" s="21"/>
      <c r="D120" s="21"/>
      <c r="E120" s="146"/>
      <c r="F120" s="146"/>
      <c r="G120" s="220"/>
      <c r="H120" s="220"/>
      <c r="I120" s="146"/>
      <c r="J120" s="516"/>
      <c r="K120" s="516"/>
      <c r="L120" s="516"/>
      <c r="M120" s="517"/>
      <c r="N120" s="517"/>
      <c r="O120" s="517"/>
      <c r="P120" s="13"/>
    </row>
    <row r="121" ht="20.1" customHeight="1" spans="1:16">
      <c r="A121" s="4">
        <v>1</v>
      </c>
      <c r="B121" s="11" t="s">
        <v>214</v>
      </c>
      <c r="C121" s="12" t="s">
        <v>215</v>
      </c>
      <c r="D121" s="15" t="s">
        <v>100</v>
      </c>
      <c r="E121" s="85">
        <v>1435720</v>
      </c>
      <c r="F121" s="85"/>
      <c r="G121" s="220"/>
      <c r="H121" s="220">
        <f>100000</f>
        <v>100000</v>
      </c>
      <c r="I121" s="85">
        <v>100000</v>
      </c>
      <c r="J121" s="509">
        <f>E121+F121+G121+H121+I121</f>
        <v>1635720</v>
      </c>
      <c r="K121" s="509">
        <v>1050209.0635</v>
      </c>
      <c r="L121" s="509">
        <f>J121-K121</f>
        <v>585510.9365</v>
      </c>
      <c r="M121" s="511">
        <v>270279.895370667</v>
      </c>
      <c r="N121" s="510">
        <v>179914.454762667</v>
      </c>
      <c r="O121" s="511">
        <f t="shared" ref="O121:O130" si="44">M121-N121</f>
        <v>90365.440608</v>
      </c>
      <c r="P121" s="13"/>
    </row>
    <row r="122" ht="20.1" customHeight="1" spans="1:16">
      <c r="A122" s="4">
        <v>2</v>
      </c>
      <c r="B122" s="11" t="s">
        <v>216</v>
      </c>
      <c r="C122" s="12" t="s">
        <v>217</v>
      </c>
      <c r="D122" s="15" t="s">
        <v>110</v>
      </c>
      <c r="E122" s="85">
        <v>739203.583333333</v>
      </c>
      <c r="F122" s="85"/>
      <c r="G122" s="220"/>
      <c r="H122" s="220">
        <f>90000</f>
        <v>90000</v>
      </c>
      <c r="I122" s="85">
        <v>100000</v>
      </c>
      <c r="J122" s="509">
        <f t="shared" ref="J122:J130" si="45">E122+F122+G122+H122+I122</f>
        <v>929203.583333333</v>
      </c>
      <c r="K122" s="509">
        <v>627743.99575</v>
      </c>
      <c r="L122" s="509">
        <f t="shared" ref="L122:L130" si="46">J122-K122</f>
        <v>301459.587583333</v>
      </c>
      <c r="M122" s="511">
        <v>145522.030714667</v>
      </c>
      <c r="N122" s="510">
        <v>98995.9569386667</v>
      </c>
      <c r="O122" s="511">
        <f t="shared" si="44"/>
        <v>46526.0737760003</v>
      </c>
      <c r="P122" s="13"/>
    </row>
    <row r="123" ht="20.1" customHeight="1" spans="1:16">
      <c r="A123" s="4">
        <v>3</v>
      </c>
      <c r="B123" s="14" t="s">
        <v>218</v>
      </c>
      <c r="C123" s="12" t="s">
        <v>219</v>
      </c>
      <c r="D123" s="15" t="s">
        <v>36</v>
      </c>
      <c r="E123" s="85">
        <v>620675.583333333</v>
      </c>
      <c r="F123" s="85"/>
      <c r="G123" s="220"/>
      <c r="H123" s="220">
        <f t="shared" si="3"/>
        <v>80000</v>
      </c>
      <c r="I123" s="85">
        <f>100000+30000</f>
        <v>130000</v>
      </c>
      <c r="J123" s="509">
        <f t="shared" si="45"/>
        <v>830675.583333333</v>
      </c>
      <c r="K123" s="509">
        <v>577553.5025</v>
      </c>
      <c r="L123" s="509">
        <f t="shared" si="46"/>
        <v>253122.080833333</v>
      </c>
      <c r="M123" s="511">
        <v>128461.965706667</v>
      </c>
      <c r="N123" s="510">
        <v>89396.1031466666</v>
      </c>
      <c r="O123" s="511">
        <f t="shared" si="44"/>
        <v>39065.8625600004</v>
      </c>
      <c r="P123" s="13"/>
    </row>
    <row r="124" ht="20.1" customHeight="1" spans="1:16">
      <c r="A124" s="4">
        <v>4</v>
      </c>
      <c r="B124" s="14" t="s">
        <v>523</v>
      </c>
      <c r="C124" s="12" t="s">
        <v>219</v>
      </c>
      <c r="D124" s="15" t="s">
        <v>39</v>
      </c>
      <c r="E124" s="85">
        <v>582118.083333333</v>
      </c>
      <c r="F124" s="85"/>
      <c r="G124" s="220"/>
      <c r="H124" s="220">
        <f t="shared" si="3"/>
        <v>80000</v>
      </c>
      <c r="I124" s="85">
        <v>0</v>
      </c>
      <c r="J124" s="509">
        <f t="shared" si="45"/>
        <v>662118.083333333</v>
      </c>
      <c r="K124" s="509">
        <v>424729.222</v>
      </c>
      <c r="L124" s="509">
        <f t="shared" si="46"/>
        <v>237388.861333333</v>
      </c>
      <c r="M124" s="511">
        <v>105793.338666667</v>
      </c>
      <c r="N124" s="510">
        <v>60214.6772906667</v>
      </c>
      <c r="O124" s="511">
        <f t="shared" si="44"/>
        <v>45578.6613760003</v>
      </c>
      <c r="P124" s="13"/>
    </row>
    <row r="125" ht="20.1" customHeight="1" spans="1:16">
      <c r="A125" s="4">
        <v>5</v>
      </c>
      <c r="B125" s="11" t="s">
        <v>220</v>
      </c>
      <c r="C125" s="12" t="s">
        <v>221</v>
      </c>
      <c r="D125" s="15" t="s">
        <v>222</v>
      </c>
      <c r="E125" s="85">
        <v>470498</v>
      </c>
      <c r="F125" s="85"/>
      <c r="G125" s="220"/>
      <c r="H125" s="220">
        <f>70000</f>
        <v>70000</v>
      </c>
      <c r="I125" s="85">
        <v>0</v>
      </c>
      <c r="J125" s="509">
        <f t="shared" si="45"/>
        <v>540498</v>
      </c>
      <c r="K125" s="509">
        <v>343333.03525</v>
      </c>
      <c r="L125" s="509">
        <f t="shared" si="46"/>
        <v>197164.96475</v>
      </c>
      <c r="M125" s="511">
        <v>75215.4333866667</v>
      </c>
      <c r="N125" s="510">
        <v>44846.6165886667</v>
      </c>
      <c r="O125" s="511">
        <f t="shared" si="44"/>
        <v>30368.816798</v>
      </c>
      <c r="P125" s="13"/>
    </row>
    <row r="126" ht="20.1" customHeight="1" spans="1:16">
      <c r="A126" s="4">
        <v>6</v>
      </c>
      <c r="B126" s="11" t="s">
        <v>223</v>
      </c>
      <c r="C126" s="12" t="s">
        <v>224</v>
      </c>
      <c r="D126" s="15" t="s">
        <v>47</v>
      </c>
      <c r="E126" s="85">
        <v>442746.5</v>
      </c>
      <c r="F126" s="85"/>
      <c r="G126" s="220"/>
      <c r="H126" s="220">
        <f t="shared" ref="H126:H127" si="47">70000</f>
        <v>70000</v>
      </c>
      <c r="I126" s="85">
        <v>0</v>
      </c>
      <c r="J126" s="509">
        <f t="shared" si="45"/>
        <v>512746.5</v>
      </c>
      <c r="K126" s="509">
        <v>327211.3675</v>
      </c>
      <c r="L126" s="509">
        <f t="shared" si="46"/>
        <v>185535.1325</v>
      </c>
      <c r="M126" s="511">
        <v>70189.3087466667</v>
      </c>
      <c r="N126" s="510">
        <v>42029.5891866667</v>
      </c>
      <c r="O126" s="511">
        <f t="shared" si="44"/>
        <v>28159.71956</v>
      </c>
      <c r="P126" s="13"/>
    </row>
    <row r="127" ht="20.1" customHeight="1" spans="1:16">
      <c r="A127" s="4">
        <v>7</v>
      </c>
      <c r="B127" s="11" t="s">
        <v>225</v>
      </c>
      <c r="C127" s="12" t="s">
        <v>221</v>
      </c>
      <c r="D127" s="15" t="s">
        <v>148</v>
      </c>
      <c r="E127" s="85">
        <v>456622.25</v>
      </c>
      <c r="F127" s="85"/>
      <c r="G127" s="220"/>
      <c r="H127" s="220">
        <f t="shared" si="47"/>
        <v>70000</v>
      </c>
      <c r="I127" s="85"/>
      <c r="J127" s="509">
        <f t="shared" si="45"/>
        <v>526622.25</v>
      </c>
      <c r="K127" s="509">
        <v>335272.06375</v>
      </c>
      <c r="L127" s="509">
        <f t="shared" si="46"/>
        <v>191350.18625</v>
      </c>
      <c r="M127" s="511">
        <v>72636.1041866667</v>
      </c>
      <c r="N127" s="510">
        <v>43380.0962466667</v>
      </c>
      <c r="O127" s="511">
        <f t="shared" si="44"/>
        <v>29256.00794</v>
      </c>
      <c r="P127" s="13"/>
    </row>
    <row r="128" ht="20.1" customHeight="1" spans="1:16">
      <c r="A128" s="4">
        <v>8</v>
      </c>
      <c r="B128" s="11" t="s">
        <v>226</v>
      </c>
      <c r="C128" s="12" t="s">
        <v>227</v>
      </c>
      <c r="D128" s="10" t="s">
        <v>75</v>
      </c>
      <c r="E128" s="85">
        <v>270481.666666667</v>
      </c>
      <c r="F128" s="85"/>
      <c r="G128" s="220"/>
      <c r="H128" s="220">
        <f>60000</f>
        <v>60000</v>
      </c>
      <c r="I128" s="85"/>
      <c r="J128" s="509">
        <f t="shared" si="45"/>
        <v>330481.666666667</v>
      </c>
      <c r="K128" s="509">
        <v>213508.01</v>
      </c>
      <c r="L128" s="509">
        <f t="shared" si="46"/>
        <v>116973.656666667</v>
      </c>
      <c r="M128" s="511">
        <v>39052.3130666667</v>
      </c>
      <c r="N128" s="510">
        <v>23036.0123466667</v>
      </c>
      <c r="O128" s="511">
        <f t="shared" si="44"/>
        <v>16016.30072</v>
      </c>
      <c r="P128" s="13"/>
    </row>
    <row r="129" ht="20.1" customHeight="1" spans="1:16">
      <c r="A129" s="4">
        <v>9</v>
      </c>
      <c r="B129" s="18" t="s">
        <v>228</v>
      </c>
      <c r="C129" s="12" t="s">
        <v>229</v>
      </c>
      <c r="D129" s="15" t="s">
        <v>92</v>
      </c>
      <c r="E129" s="85">
        <v>224459.75</v>
      </c>
      <c r="F129" s="85"/>
      <c r="G129" s="220"/>
      <c r="H129" s="220">
        <f>50000</f>
        <v>50000</v>
      </c>
      <c r="I129" s="85"/>
      <c r="J129" s="509">
        <f t="shared" si="45"/>
        <v>274459.75</v>
      </c>
      <c r="K129" s="509">
        <v>176816.1</v>
      </c>
      <c r="L129" s="509">
        <f t="shared" si="46"/>
        <v>97643.65</v>
      </c>
      <c r="M129" s="511">
        <v>30259.1656266667</v>
      </c>
      <c r="N129" s="510">
        <v>17042.7138666667</v>
      </c>
      <c r="O129" s="511">
        <f t="shared" si="44"/>
        <v>13216.45176</v>
      </c>
      <c r="P129" s="13"/>
    </row>
    <row r="130" ht="20.1" customHeight="1" spans="1:16">
      <c r="A130" s="4">
        <v>10</v>
      </c>
      <c r="B130" s="18" t="s">
        <v>230</v>
      </c>
      <c r="C130" s="12" t="s">
        <v>231</v>
      </c>
      <c r="D130" s="15" t="s">
        <v>92</v>
      </c>
      <c r="E130" s="85">
        <v>224459.75</v>
      </c>
      <c r="F130" s="85"/>
      <c r="G130" s="220"/>
      <c r="H130" s="220">
        <v>50000</v>
      </c>
      <c r="I130" s="85"/>
      <c r="J130" s="509">
        <f t="shared" si="45"/>
        <v>274459.75</v>
      </c>
      <c r="K130" s="509">
        <v>176816.1</v>
      </c>
      <c r="L130" s="509">
        <f t="shared" si="46"/>
        <v>97643.65</v>
      </c>
      <c r="M130" s="511">
        <v>30259.1656266667</v>
      </c>
      <c r="N130" s="510">
        <v>17042.7138666667</v>
      </c>
      <c r="O130" s="511">
        <f t="shared" si="44"/>
        <v>13216.45176</v>
      </c>
      <c r="P130" s="13"/>
    </row>
    <row r="131" ht="28.5" customHeight="1" spans="1:16">
      <c r="A131" s="4"/>
      <c r="B131" s="20" t="s">
        <v>96</v>
      </c>
      <c r="C131" s="26" t="s">
        <v>233</v>
      </c>
      <c r="D131" s="15"/>
      <c r="E131" s="146">
        <f>SUM(E121:E130)</f>
        <v>5466985.16666667</v>
      </c>
      <c r="F131" s="146">
        <f t="shared" ref="F131:O131" si="48">SUM(F121:F130)</f>
        <v>0</v>
      </c>
      <c r="G131" s="146">
        <f t="shared" si="48"/>
        <v>0</v>
      </c>
      <c r="H131" s="146">
        <f t="shared" si="48"/>
        <v>720000</v>
      </c>
      <c r="I131" s="146">
        <f t="shared" si="48"/>
        <v>330000</v>
      </c>
      <c r="J131" s="146">
        <f t="shared" si="48"/>
        <v>6516985.16666667</v>
      </c>
      <c r="K131" s="146">
        <v>4253192.46025</v>
      </c>
      <c r="L131" s="146">
        <f t="shared" si="48"/>
        <v>2263792.70641667</v>
      </c>
      <c r="M131" s="146">
        <f t="shared" si="48"/>
        <v>967668.721098668</v>
      </c>
      <c r="N131" s="146">
        <v>615898.934240667</v>
      </c>
      <c r="O131" s="146">
        <f t="shared" si="48"/>
        <v>351769.786858001</v>
      </c>
      <c r="P131" s="13"/>
    </row>
    <row r="132" ht="20.1" customHeight="1" spans="1:16">
      <c r="A132" s="4"/>
      <c r="B132" s="22"/>
      <c r="C132" s="26"/>
      <c r="D132" s="15"/>
      <c r="E132" s="146"/>
      <c r="F132" s="146"/>
      <c r="G132" s="220"/>
      <c r="H132" s="220"/>
      <c r="I132" s="146"/>
      <c r="J132" s="516"/>
      <c r="K132" s="516"/>
      <c r="L132" s="516"/>
      <c r="M132" s="517"/>
      <c r="N132" s="517"/>
      <c r="O132" s="517"/>
      <c r="P132" s="13"/>
    </row>
    <row r="133" ht="20.1" customHeight="1" spans="1:16">
      <c r="A133" s="4"/>
      <c r="B133" s="20" t="s">
        <v>234</v>
      </c>
      <c r="C133" s="12"/>
      <c r="D133" s="15"/>
      <c r="E133" s="85"/>
      <c r="F133" s="85"/>
      <c r="G133" s="220"/>
      <c r="H133" s="220"/>
      <c r="I133" s="85"/>
      <c r="J133" s="509"/>
      <c r="K133" s="509"/>
      <c r="L133" s="509"/>
      <c r="M133" s="510"/>
      <c r="N133" s="510"/>
      <c r="O133" s="510"/>
      <c r="P133" s="13"/>
    </row>
    <row r="134" ht="20.1" customHeight="1" spans="1:16">
      <c r="A134" s="27">
        <v>1</v>
      </c>
      <c r="B134" s="11" t="s">
        <v>235</v>
      </c>
      <c r="C134" s="12" t="s">
        <v>236</v>
      </c>
      <c r="D134" s="15" t="s">
        <v>100</v>
      </c>
      <c r="E134" s="85">
        <v>1435720</v>
      </c>
      <c r="F134" s="85"/>
      <c r="G134" s="220"/>
      <c r="H134" s="220">
        <f>100000</f>
        <v>100000</v>
      </c>
      <c r="I134" s="85">
        <v>0</v>
      </c>
      <c r="J134" s="509">
        <f>E134+F134+G134+H134+I134</f>
        <v>1535720</v>
      </c>
      <c r="K134" s="509">
        <v>950209.0635</v>
      </c>
      <c r="L134" s="509">
        <f>J134-K134</f>
        <v>585510.9365</v>
      </c>
      <c r="M134" s="511">
        <v>251472.247466667</v>
      </c>
      <c r="N134" s="510">
        <v>161106.806858667</v>
      </c>
      <c r="O134" s="511">
        <f t="shared" ref="O134:O192" si="49">M134-N134</f>
        <v>90365.440608</v>
      </c>
      <c r="P134" s="13"/>
    </row>
    <row r="135" ht="20.1" customHeight="1" spans="1:16">
      <c r="A135" s="27">
        <v>2</v>
      </c>
      <c r="B135" s="11" t="s">
        <v>524</v>
      </c>
      <c r="C135" s="12" t="s">
        <v>575</v>
      </c>
      <c r="D135" s="15" t="s">
        <v>189</v>
      </c>
      <c r="E135" s="85">
        <v>762373.166666667</v>
      </c>
      <c r="F135" s="85"/>
      <c r="G135" s="220"/>
      <c r="H135" s="220">
        <v>90000</v>
      </c>
      <c r="I135" s="85"/>
      <c r="J135" s="509">
        <f t="shared" ref="J135:J192" si="50">E135+F135+G135+H135+I135</f>
        <v>852373.166666667</v>
      </c>
      <c r="K135" s="509">
        <v>541465.02475</v>
      </c>
      <c r="L135" s="509">
        <f t="shared" ref="L135:L192" si="51">J135-K135</f>
        <v>310908.141916667</v>
      </c>
      <c r="M135" s="511">
        <v>142322.314666667</v>
      </c>
      <c r="N135" s="510">
        <v>82627.9514186667</v>
      </c>
      <c r="O135" s="511">
        <f t="shared" si="49"/>
        <v>59694.3632480003</v>
      </c>
      <c r="P135" s="13"/>
    </row>
    <row r="136" ht="20.1" customHeight="1" spans="1:16">
      <c r="A136" s="27">
        <v>3</v>
      </c>
      <c r="B136" s="14" t="s">
        <v>237</v>
      </c>
      <c r="C136" s="4" t="s">
        <v>238</v>
      </c>
      <c r="D136" s="16" t="s">
        <v>189</v>
      </c>
      <c r="E136" s="85">
        <v>762373.166666667</v>
      </c>
      <c r="F136" s="85"/>
      <c r="G136" s="220"/>
      <c r="H136" s="220">
        <f>80000+10000</f>
        <v>90000</v>
      </c>
      <c r="I136" s="85">
        <v>50000</v>
      </c>
      <c r="J136" s="509">
        <f t="shared" si="50"/>
        <v>902373.166666667</v>
      </c>
      <c r="K136" s="509">
        <v>591465.02475</v>
      </c>
      <c r="L136" s="509">
        <f t="shared" si="51"/>
        <v>310908.141916667</v>
      </c>
      <c r="M136" s="511">
        <v>140007.527610667</v>
      </c>
      <c r="N136" s="510">
        <v>92023.2162026667</v>
      </c>
      <c r="O136" s="511">
        <f t="shared" si="49"/>
        <v>47984.3114080003</v>
      </c>
      <c r="P136" s="13"/>
    </row>
    <row r="137" ht="20.1" customHeight="1" spans="1:16">
      <c r="A137" s="27">
        <v>4</v>
      </c>
      <c r="B137" s="11" t="s">
        <v>239</v>
      </c>
      <c r="C137" s="12" t="s">
        <v>582</v>
      </c>
      <c r="D137" s="15" t="s">
        <v>42</v>
      </c>
      <c r="E137" s="85">
        <v>484373.75</v>
      </c>
      <c r="F137" s="85"/>
      <c r="G137" s="220"/>
      <c r="H137" s="220">
        <v>70000</v>
      </c>
      <c r="I137" s="85"/>
      <c r="J137" s="509">
        <f t="shared" si="50"/>
        <v>554373.75</v>
      </c>
      <c r="K137" s="509">
        <v>351394.00675</v>
      </c>
      <c r="L137" s="509">
        <f t="shared" si="51"/>
        <v>202979.74325</v>
      </c>
      <c r="M137" s="511">
        <v>77529.6947786667</v>
      </c>
      <c r="N137" s="510">
        <v>46081.2025986667</v>
      </c>
      <c r="O137" s="511">
        <f t="shared" si="49"/>
        <v>31448.49218</v>
      </c>
      <c r="P137" s="13"/>
    </row>
    <row r="138" ht="20.1" customHeight="1" spans="1:16">
      <c r="A138" s="27">
        <v>5</v>
      </c>
      <c r="B138" s="11" t="s">
        <v>241</v>
      </c>
      <c r="C138" s="4" t="s">
        <v>583</v>
      </c>
      <c r="D138" s="15" t="s">
        <v>42</v>
      </c>
      <c r="E138" s="85">
        <v>484373.75</v>
      </c>
      <c r="F138" s="85"/>
      <c r="G138" s="220"/>
      <c r="H138" s="220">
        <v>70000</v>
      </c>
      <c r="I138" s="85">
        <v>0</v>
      </c>
      <c r="J138" s="509">
        <f t="shared" si="50"/>
        <v>554373.75</v>
      </c>
      <c r="K138" s="509">
        <v>351394.00675</v>
      </c>
      <c r="L138" s="509">
        <f t="shared" si="51"/>
        <v>202979.74325</v>
      </c>
      <c r="M138" s="511">
        <v>77529.6947786667</v>
      </c>
      <c r="N138" s="510">
        <v>46081.2025986667</v>
      </c>
      <c r="O138" s="511">
        <f t="shared" si="49"/>
        <v>31448.49218</v>
      </c>
      <c r="P138" s="13"/>
    </row>
    <row r="139" ht="20.1" customHeight="1" spans="1:16">
      <c r="A139" s="27">
        <v>6</v>
      </c>
      <c r="B139" s="11" t="s">
        <v>243</v>
      </c>
      <c r="C139" s="4" t="s">
        <v>583</v>
      </c>
      <c r="D139" s="15" t="s">
        <v>42</v>
      </c>
      <c r="E139" s="85">
        <v>484373.75</v>
      </c>
      <c r="F139" s="85"/>
      <c r="G139" s="220"/>
      <c r="H139" s="220">
        <v>70000</v>
      </c>
      <c r="I139" s="85">
        <v>0</v>
      </c>
      <c r="J139" s="509">
        <f t="shared" si="50"/>
        <v>554373.75</v>
      </c>
      <c r="K139" s="509">
        <v>351394.00675</v>
      </c>
      <c r="L139" s="509">
        <f t="shared" si="51"/>
        <v>202979.74325</v>
      </c>
      <c r="M139" s="511">
        <v>77529.6947786667</v>
      </c>
      <c r="N139" s="510">
        <v>46081.2025986667</v>
      </c>
      <c r="O139" s="511">
        <f t="shared" si="49"/>
        <v>31448.49218</v>
      </c>
      <c r="P139" s="13"/>
    </row>
    <row r="140" ht="20.1" customHeight="1" spans="1:16">
      <c r="A140" s="27">
        <v>7</v>
      </c>
      <c r="B140" s="11" t="s">
        <v>178</v>
      </c>
      <c r="C140" s="12" t="s">
        <v>584</v>
      </c>
      <c r="D140" s="15" t="s">
        <v>253</v>
      </c>
      <c r="E140" s="85">
        <v>390086.5</v>
      </c>
      <c r="F140" s="85"/>
      <c r="G140" s="220"/>
      <c r="H140" s="220">
        <f t="shared" ref="H140:H145" si="52">60000</f>
        <v>60000</v>
      </c>
      <c r="I140" s="85">
        <v>0</v>
      </c>
      <c r="J140" s="509">
        <f t="shared" si="50"/>
        <v>450086.5</v>
      </c>
      <c r="K140" s="509">
        <v>286619.99875</v>
      </c>
      <c r="L140" s="509">
        <f t="shared" si="51"/>
        <v>163466.50125</v>
      </c>
      <c r="M140" s="511">
        <v>58980.8347466667</v>
      </c>
      <c r="N140" s="510">
        <v>35221.9540866667</v>
      </c>
      <c r="O140" s="511">
        <f t="shared" si="49"/>
        <v>23758.88066</v>
      </c>
      <c r="P140" s="13"/>
    </row>
    <row r="141" ht="20.1" customHeight="1" spans="1:16">
      <c r="A141" s="27">
        <v>8</v>
      </c>
      <c r="B141" s="11" t="s">
        <v>244</v>
      </c>
      <c r="C141" s="12" t="s">
        <v>584</v>
      </c>
      <c r="D141" s="15" t="s">
        <v>253</v>
      </c>
      <c r="E141" s="85">
        <v>390086.5</v>
      </c>
      <c r="F141" s="85"/>
      <c r="G141" s="220"/>
      <c r="H141" s="220">
        <f t="shared" si="52"/>
        <v>60000</v>
      </c>
      <c r="I141" s="85">
        <v>0</v>
      </c>
      <c r="J141" s="509">
        <f t="shared" si="50"/>
        <v>450086.5</v>
      </c>
      <c r="K141" s="509">
        <v>286619.99875</v>
      </c>
      <c r="L141" s="509">
        <f t="shared" si="51"/>
        <v>163466.50125</v>
      </c>
      <c r="M141" s="511">
        <v>59091.5460266667</v>
      </c>
      <c r="N141" s="510">
        <v>35318.8264566667</v>
      </c>
      <c r="O141" s="511">
        <f t="shared" si="49"/>
        <v>23772.71957</v>
      </c>
      <c r="P141" s="13"/>
    </row>
    <row r="142" ht="20.1" customHeight="1" spans="1:16">
      <c r="A142" s="27">
        <v>9</v>
      </c>
      <c r="B142" s="11" t="s">
        <v>245</v>
      </c>
      <c r="C142" s="4" t="s">
        <v>585</v>
      </c>
      <c r="D142" s="15" t="s">
        <v>253</v>
      </c>
      <c r="E142" s="85">
        <v>390086.5</v>
      </c>
      <c r="F142" s="85"/>
      <c r="G142" s="220"/>
      <c r="H142" s="220">
        <f t="shared" si="52"/>
        <v>60000</v>
      </c>
      <c r="I142" s="85"/>
      <c r="J142" s="509">
        <f t="shared" si="50"/>
        <v>450086.5</v>
      </c>
      <c r="K142" s="509">
        <v>286619.99875</v>
      </c>
      <c r="L142" s="509">
        <f t="shared" si="51"/>
        <v>163466.50125</v>
      </c>
      <c r="M142" s="511">
        <v>59091.5460266667</v>
      </c>
      <c r="N142" s="510">
        <v>35318.8264566667</v>
      </c>
      <c r="O142" s="511">
        <f t="shared" si="49"/>
        <v>23772.71957</v>
      </c>
      <c r="P142" s="13"/>
    </row>
    <row r="143" ht="20.1" customHeight="1" spans="1:16">
      <c r="A143" s="27">
        <v>10</v>
      </c>
      <c r="B143" s="11" t="s">
        <v>247</v>
      </c>
      <c r="C143" s="12" t="s">
        <v>248</v>
      </c>
      <c r="D143" s="15" t="s">
        <v>62</v>
      </c>
      <c r="E143" s="85">
        <v>377895.166666667</v>
      </c>
      <c r="F143" s="85"/>
      <c r="G143" s="220"/>
      <c r="H143" s="220">
        <f t="shared" si="52"/>
        <v>60000</v>
      </c>
      <c r="I143" s="85"/>
      <c r="J143" s="509">
        <f t="shared" si="50"/>
        <v>437895.166666667</v>
      </c>
      <c r="K143" s="509">
        <v>284536.9985</v>
      </c>
      <c r="L143" s="509">
        <f t="shared" si="51"/>
        <v>153358.168166667</v>
      </c>
      <c r="M143" s="511">
        <v>56938.0689066667</v>
      </c>
      <c r="N143" s="510">
        <v>34968.8824146667</v>
      </c>
      <c r="O143" s="511">
        <f t="shared" si="49"/>
        <v>21969.186492</v>
      </c>
      <c r="P143" s="13"/>
    </row>
    <row r="144" ht="20.1" customHeight="1" spans="1:16">
      <c r="A144" s="27">
        <v>11</v>
      </c>
      <c r="B144" s="11" t="s">
        <v>249</v>
      </c>
      <c r="C144" s="12" t="s">
        <v>250</v>
      </c>
      <c r="D144" s="15" t="s">
        <v>135</v>
      </c>
      <c r="E144" s="85">
        <v>365703.833333333</v>
      </c>
      <c r="F144" s="85"/>
      <c r="G144" s="220"/>
      <c r="H144" s="220">
        <f t="shared" si="52"/>
        <v>60000</v>
      </c>
      <c r="I144" s="85"/>
      <c r="J144" s="509">
        <f t="shared" si="50"/>
        <v>425703.833333333</v>
      </c>
      <c r="K144" s="509">
        <v>272454.074</v>
      </c>
      <c r="L144" s="509">
        <f t="shared" si="51"/>
        <v>153249.759333333</v>
      </c>
      <c r="M144" s="511">
        <v>54681.2915626667</v>
      </c>
      <c r="N144" s="510">
        <v>32848.5634026667</v>
      </c>
      <c r="O144" s="511">
        <f t="shared" si="49"/>
        <v>21832.72816</v>
      </c>
      <c r="P144" s="13"/>
    </row>
    <row r="145" ht="20.1" customHeight="1" spans="1:16">
      <c r="A145" s="27">
        <v>12</v>
      </c>
      <c r="B145" s="11" t="s">
        <v>251</v>
      </c>
      <c r="C145" s="12" t="s">
        <v>252</v>
      </c>
      <c r="D145" s="15" t="s">
        <v>253</v>
      </c>
      <c r="E145" s="85">
        <v>390086.5</v>
      </c>
      <c r="F145" s="85"/>
      <c r="G145" s="220"/>
      <c r="H145" s="220">
        <f t="shared" si="52"/>
        <v>60000</v>
      </c>
      <c r="I145" s="85"/>
      <c r="J145" s="509">
        <f t="shared" si="50"/>
        <v>450086.5</v>
      </c>
      <c r="K145" s="509">
        <v>286619.99875</v>
      </c>
      <c r="L145" s="509">
        <f t="shared" si="51"/>
        <v>163466.50125</v>
      </c>
      <c r="M145" s="511">
        <v>58980.8347466667</v>
      </c>
      <c r="N145" s="510">
        <v>35221.9540866667</v>
      </c>
      <c r="O145" s="511">
        <f t="shared" si="49"/>
        <v>23758.88066</v>
      </c>
      <c r="P145" s="13"/>
    </row>
    <row r="146" ht="20.1" customHeight="1" spans="1:16">
      <c r="A146" s="27">
        <v>13</v>
      </c>
      <c r="B146" s="18" t="s">
        <v>254</v>
      </c>
      <c r="C146" s="4" t="s">
        <v>255</v>
      </c>
      <c r="D146" s="15" t="s">
        <v>65</v>
      </c>
      <c r="E146" s="220">
        <v>353512.5</v>
      </c>
      <c r="F146" s="85"/>
      <c r="G146" s="220"/>
      <c r="H146" s="220">
        <v>60000</v>
      </c>
      <c r="I146" s="85"/>
      <c r="J146" s="509">
        <f t="shared" si="50"/>
        <v>413512.5</v>
      </c>
      <c r="K146" s="509">
        <v>265372.075</v>
      </c>
      <c r="L146" s="509">
        <f t="shared" si="51"/>
        <v>148140.425</v>
      </c>
      <c r="M146" s="511">
        <v>52631.1146666667</v>
      </c>
      <c r="N146" s="510">
        <v>31749.1752666667</v>
      </c>
      <c r="O146" s="511">
        <f t="shared" si="49"/>
        <v>20881.9394</v>
      </c>
      <c r="P146" s="13"/>
    </row>
    <row r="147" ht="20.1" customHeight="1" spans="1:16">
      <c r="A147" s="27">
        <v>14</v>
      </c>
      <c r="B147" s="11" t="s">
        <v>256</v>
      </c>
      <c r="C147" s="4" t="s">
        <v>586</v>
      </c>
      <c r="D147" s="15" t="s">
        <v>265</v>
      </c>
      <c r="E147" s="220">
        <v>308901.5</v>
      </c>
      <c r="F147" s="85"/>
      <c r="G147" s="220"/>
      <c r="H147" s="220">
        <f>60000</f>
        <v>60000</v>
      </c>
      <c r="I147" s="85"/>
      <c r="J147" s="509">
        <f t="shared" si="50"/>
        <v>368901.5</v>
      </c>
      <c r="K147" s="509">
        <v>237734.047</v>
      </c>
      <c r="L147" s="509">
        <f t="shared" si="51"/>
        <v>131167.453</v>
      </c>
      <c r="M147" s="511">
        <v>44990.4825066667</v>
      </c>
      <c r="N147" s="510">
        <v>27105.9865626667</v>
      </c>
      <c r="O147" s="511">
        <f t="shared" si="49"/>
        <v>17884.495944</v>
      </c>
      <c r="P147" s="13"/>
    </row>
    <row r="148" ht="20.1" customHeight="1" spans="1:16">
      <c r="A148" s="27">
        <v>15</v>
      </c>
      <c r="B148" s="11" t="s">
        <v>257</v>
      </c>
      <c r="C148" s="4" t="s">
        <v>586</v>
      </c>
      <c r="D148" s="15" t="s">
        <v>587</v>
      </c>
      <c r="E148" s="220">
        <v>316837.416666667</v>
      </c>
      <c r="F148" s="85"/>
      <c r="G148" s="220"/>
      <c r="H148" s="220">
        <f>60000</f>
        <v>60000</v>
      </c>
      <c r="I148" s="85"/>
      <c r="J148" s="509">
        <f t="shared" si="50"/>
        <v>376837.416666667</v>
      </c>
      <c r="K148" s="509">
        <v>242300.0775</v>
      </c>
      <c r="L148" s="509">
        <f t="shared" si="51"/>
        <v>134537.339166667</v>
      </c>
      <c r="M148" s="511">
        <v>46138.1847266667</v>
      </c>
      <c r="N148" s="510">
        <v>27794.2066266667</v>
      </c>
      <c r="O148" s="511">
        <f t="shared" si="49"/>
        <v>18343.9781</v>
      </c>
      <c r="P148" s="13"/>
    </row>
    <row r="149" ht="20.1" customHeight="1" spans="1:16">
      <c r="A149" s="27">
        <v>16</v>
      </c>
      <c r="B149" s="11" t="s">
        <v>258</v>
      </c>
      <c r="C149" s="4" t="s">
        <v>586</v>
      </c>
      <c r="D149" s="15" t="s">
        <v>587</v>
      </c>
      <c r="E149" s="220">
        <v>316837.416666667</v>
      </c>
      <c r="F149" s="85"/>
      <c r="G149" s="220"/>
      <c r="H149" s="220">
        <f>60000</f>
        <v>60000</v>
      </c>
      <c r="I149" s="85"/>
      <c r="J149" s="509">
        <f t="shared" si="50"/>
        <v>376837.416666667</v>
      </c>
      <c r="K149" s="509">
        <v>242300.0775</v>
      </c>
      <c r="L149" s="509">
        <f t="shared" si="51"/>
        <v>134537.339166667</v>
      </c>
      <c r="M149" s="511">
        <v>46217.0577866667</v>
      </c>
      <c r="N149" s="510">
        <v>27873.0796866667</v>
      </c>
      <c r="O149" s="511">
        <f t="shared" si="49"/>
        <v>18343.9781</v>
      </c>
      <c r="P149" s="13"/>
    </row>
    <row r="150" ht="20.1" customHeight="1" spans="1:16">
      <c r="A150" s="27">
        <v>17</v>
      </c>
      <c r="B150" s="11" t="s">
        <v>259</v>
      </c>
      <c r="C150" s="12" t="s">
        <v>260</v>
      </c>
      <c r="D150" s="15" t="s">
        <v>104</v>
      </c>
      <c r="E150" s="220">
        <v>300965.583333333</v>
      </c>
      <c r="F150" s="85"/>
      <c r="G150" s="220"/>
      <c r="H150" s="220">
        <f>60000</f>
        <v>60000</v>
      </c>
      <c r="I150" s="85"/>
      <c r="J150" s="509">
        <f t="shared" si="50"/>
        <v>360965.583333333</v>
      </c>
      <c r="K150" s="509">
        <v>237734.047</v>
      </c>
      <c r="L150" s="509">
        <f t="shared" si="51"/>
        <v>123231.536333333</v>
      </c>
      <c r="M150" s="511">
        <v>43763.9072266667</v>
      </c>
      <c r="N150" s="510">
        <v>27105.9865626667</v>
      </c>
      <c r="O150" s="511">
        <f t="shared" si="49"/>
        <v>16657.920664</v>
      </c>
      <c r="P150" s="13"/>
    </row>
    <row r="151" ht="20.1" customHeight="1" spans="1:16">
      <c r="A151" s="27">
        <v>18</v>
      </c>
      <c r="B151" s="11" t="s">
        <v>261</v>
      </c>
      <c r="C151" s="12" t="s">
        <v>262</v>
      </c>
      <c r="D151" s="10" t="s">
        <v>80</v>
      </c>
      <c r="E151" s="85">
        <v>263165.333333333</v>
      </c>
      <c r="F151" s="85"/>
      <c r="G151" s="220"/>
      <c r="H151" s="220">
        <f>60000</f>
        <v>60000</v>
      </c>
      <c r="I151" s="85"/>
      <c r="J151" s="509">
        <f t="shared" si="50"/>
        <v>323165.333333333</v>
      </c>
      <c r="K151" s="509">
        <v>209356.04725</v>
      </c>
      <c r="L151" s="509">
        <f t="shared" si="51"/>
        <v>113809.286083333</v>
      </c>
      <c r="M151" s="511">
        <v>37921.5005866667</v>
      </c>
      <c r="N151" s="510">
        <v>22338.4826046667</v>
      </c>
      <c r="O151" s="511">
        <f t="shared" si="49"/>
        <v>15583.017982</v>
      </c>
      <c r="P151" s="13"/>
    </row>
    <row r="152" ht="20.1" customHeight="1" spans="1:16">
      <c r="A152" s="27">
        <v>19</v>
      </c>
      <c r="B152" s="11" t="s">
        <v>263</v>
      </c>
      <c r="C152" s="12" t="s">
        <v>264</v>
      </c>
      <c r="D152" s="15" t="s">
        <v>265</v>
      </c>
      <c r="E152" s="220">
        <v>308901.5</v>
      </c>
      <c r="F152" s="85"/>
      <c r="G152" s="220"/>
      <c r="H152" s="220">
        <f>50000+10000</f>
        <v>60000</v>
      </c>
      <c r="I152" s="85"/>
      <c r="J152" s="509">
        <f t="shared" si="50"/>
        <v>368901.5</v>
      </c>
      <c r="K152" s="509">
        <v>237734.047</v>
      </c>
      <c r="L152" s="509">
        <f t="shared" si="51"/>
        <v>131167.453</v>
      </c>
      <c r="M152" s="511">
        <v>44990.4825066667</v>
      </c>
      <c r="N152" s="510">
        <v>27105.9865626667</v>
      </c>
      <c r="O152" s="511">
        <f t="shared" si="49"/>
        <v>17884.495944</v>
      </c>
      <c r="P152" s="13"/>
    </row>
    <row r="153" ht="20.1" customHeight="1" spans="1:16">
      <c r="A153" s="27">
        <v>20</v>
      </c>
      <c r="B153" s="11" t="s">
        <v>266</v>
      </c>
      <c r="C153" s="12" t="s">
        <v>267</v>
      </c>
      <c r="D153" s="15" t="s">
        <v>75</v>
      </c>
      <c r="E153" s="220">
        <v>270481.666666667</v>
      </c>
      <c r="F153" s="85"/>
      <c r="G153" s="220"/>
      <c r="H153" s="220">
        <f>50000+10000</f>
        <v>60000</v>
      </c>
      <c r="I153" s="85"/>
      <c r="J153" s="509">
        <f t="shared" si="50"/>
        <v>330481.666666667</v>
      </c>
      <c r="K153" s="509">
        <v>213508.01</v>
      </c>
      <c r="L153" s="509">
        <f t="shared" si="51"/>
        <v>116973.656666667</v>
      </c>
      <c r="M153" s="511">
        <v>39052.3130666667</v>
      </c>
      <c r="N153" s="510">
        <v>23036.0123466667</v>
      </c>
      <c r="O153" s="511">
        <f t="shared" si="49"/>
        <v>16016.30072</v>
      </c>
      <c r="P153" s="13"/>
    </row>
    <row r="154" ht="20.1" customHeight="1" spans="1:16">
      <c r="A154" s="27">
        <v>21</v>
      </c>
      <c r="B154" s="11" t="s">
        <v>268</v>
      </c>
      <c r="C154" s="12" t="s">
        <v>269</v>
      </c>
      <c r="D154" s="15" t="s">
        <v>265</v>
      </c>
      <c r="E154" s="220">
        <v>308901.5</v>
      </c>
      <c r="F154" s="85"/>
      <c r="G154" s="220"/>
      <c r="H154" s="220">
        <f>50000+10000</f>
        <v>60000</v>
      </c>
      <c r="I154" s="85"/>
      <c r="J154" s="509">
        <f t="shared" si="50"/>
        <v>368901.5</v>
      </c>
      <c r="K154" s="509">
        <v>237734.047</v>
      </c>
      <c r="L154" s="509">
        <f t="shared" si="51"/>
        <v>131167.453</v>
      </c>
      <c r="M154" s="511">
        <v>44913.6996186667</v>
      </c>
      <c r="N154" s="510">
        <v>27029.2036746667</v>
      </c>
      <c r="O154" s="511">
        <f t="shared" si="49"/>
        <v>17884.495944</v>
      </c>
      <c r="P154" s="13"/>
    </row>
    <row r="155" ht="20.1" customHeight="1" spans="1:16">
      <c r="A155" s="27">
        <v>22</v>
      </c>
      <c r="B155" s="11" t="s">
        <v>270</v>
      </c>
      <c r="C155" s="12" t="s">
        <v>271</v>
      </c>
      <c r="D155" s="15" t="s">
        <v>75</v>
      </c>
      <c r="E155" s="220">
        <v>270481.666666667</v>
      </c>
      <c r="F155" s="85"/>
      <c r="G155" s="220"/>
      <c r="H155" s="220">
        <f>50000+10000</f>
        <v>60000</v>
      </c>
      <c r="I155" s="85"/>
      <c r="J155" s="509">
        <f t="shared" si="50"/>
        <v>330481.666666667</v>
      </c>
      <c r="K155" s="509">
        <v>209356.04725</v>
      </c>
      <c r="L155" s="509">
        <f t="shared" si="51"/>
        <v>121125.619416667</v>
      </c>
      <c r="M155" s="511">
        <v>39052.3130666667</v>
      </c>
      <c r="N155" s="510">
        <v>22338.4826046667</v>
      </c>
      <c r="O155" s="511">
        <f t="shared" si="49"/>
        <v>16713.830462</v>
      </c>
      <c r="P155" s="13"/>
    </row>
    <row r="156" ht="20.1" customHeight="1" spans="1:16">
      <c r="A156" s="27">
        <v>23</v>
      </c>
      <c r="B156" s="18" t="s">
        <v>272</v>
      </c>
      <c r="C156" s="12" t="s">
        <v>273</v>
      </c>
      <c r="D156" s="15" t="s">
        <v>83</v>
      </c>
      <c r="E156" s="220">
        <v>255849</v>
      </c>
      <c r="F156" s="85"/>
      <c r="G156" s="220"/>
      <c r="H156" s="220">
        <f>60000</f>
        <v>60000</v>
      </c>
      <c r="I156" s="4"/>
      <c r="J156" s="509">
        <f t="shared" si="50"/>
        <v>315849</v>
      </c>
      <c r="K156" s="509">
        <v>205204.0845</v>
      </c>
      <c r="L156" s="509">
        <f t="shared" si="51"/>
        <v>110644.9155</v>
      </c>
      <c r="M156" s="511">
        <v>36790.6881066667</v>
      </c>
      <c r="N156" s="510">
        <v>21640.9528626667</v>
      </c>
      <c r="O156" s="511">
        <f t="shared" si="49"/>
        <v>15149.735244</v>
      </c>
      <c r="P156" s="13"/>
    </row>
    <row r="157" ht="20.1" customHeight="1" spans="1:16">
      <c r="A157" s="27">
        <v>24</v>
      </c>
      <c r="B157" s="18" t="s">
        <v>275</v>
      </c>
      <c r="C157" s="12" t="s">
        <v>276</v>
      </c>
      <c r="D157" s="15" t="s">
        <v>92</v>
      </c>
      <c r="E157" s="85">
        <v>224459.75</v>
      </c>
      <c r="F157" s="85"/>
      <c r="G157" s="220"/>
      <c r="H157" s="220">
        <f>50000</f>
        <v>50000</v>
      </c>
      <c r="I157" s="85"/>
      <c r="J157" s="509">
        <f t="shared" si="50"/>
        <v>274459.75</v>
      </c>
      <c r="K157" s="509">
        <v>176816.1</v>
      </c>
      <c r="L157" s="509">
        <f t="shared" si="51"/>
        <v>97643.65</v>
      </c>
      <c r="M157" s="511">
        <v>30259.1656266667</v>
      </c>
      <c r="N157" s="510">
        <v>17042.7138666667</v>
      </c>
      <c r="O157" s="511">
        <f t="shared" si="49"/>
        <v>13216.45176</v>
      </c>
      <c r="P157" s="13"/>
    </row>
    <row r="158" ht="20.1" customHeight="1" spans="1:16">
      <c r="A158" s="27">
        <v>25</v>
      </c>
      <c r="B158" s="18" t="s">
        <v>277</v>
      </c>
      <c r="C158" s="12" t="s">
        <v>278</v>
      </c>
      <c r="D158" s="15" t="s">
        <v>92</v>
      </c>
      <c r="E158" s="85">
        <v>224459.75</v>
      </c>
      <c r="F158" s="85"/>
      <c r="G158" s="220"/>
      <c r="H158" s="220">
        <f>50000</f>
        <v>50000</v>
      </c>
      <c r="I158" s="85"/>
      <c r="J158" s="509">
        <f t="shared" si="50"/>
        <v>274459.75</v>
      </c>
      <c r="K158" s="509">
        <v>176816.1</v>
      </c>
      <c r="L158" s="509">
        <f t="shared" si="51"/>
        <v>97643.65</v>
      </c>
      <c r="M158" s="511">
        <v>30259.1656266667</v>
      </c>
      <c r="N158" s="510">
        <v>17042.7138666667</v>
      </c>
      <c r="O158" s="511">
        <f t="shared" si="49"/>
        <v>13216.45176</v>
      </c>
      <c r="P158" s="13"/>
    </row>
    <row r="159" ht="20.1" customHeight="1" spans="1:16">
      <c r="A159" s="27">
        <v>26</v>
      </c>
      <c r="B159" s="18" t="s">
        <v>279</v>
      </c>
      <c r="C159" s="12" t="s">
        <v>280</v>
      </c>
      <c r="D159" s="15" t="s">
        <v>92</v>
      </c>
      <c r="E159" s="85">
        <v>224459.75</v>
      </c>
      <c r="F159" s="85"/>
      <c r="G159" s="220"/>
      <c r="H159" s="220">
        <f>50000</f>
        <v>50000</v>
      </c>
      <c r="I159" s="85"/>
      <c r="J159" s="509">
        <f t="shared" si="50"/>
        <v>274459.75</v>
      </c>
      <c r="K159" s="509">
        <v>176816.1</v>
      </c>
      <c r="L159" s="509">
        <f t="shared" si="51"/>
        <v>97643.65</v>
      </c>
      <c r="M159" s="511">
        <v>30259.1656266667</v>
      </c>
      <c r="N159" s="510">
        <v>17042.7138666667</v>
      </c>
      <c r="O159" s="511">
        <f t="shared" si="49"/>
        <v>13216.45176</v>
      </c>
      <c r="P159" s="13"/>
    </row>
    <row r="160" ht="20.1" customHeight="1" spans="1:16">
      <c r="A160" s="27">
        <v>27</v>
      </c>
      <c r="B160" s="18" t="s">
        <v>281</v>
      </c>
      <c r="C160" s="12" t="s">
        <v>282</v>
      </c>
      <c r="D160" s="15" t="s">
        <v>171</v>
      </c>
      <c r="E160" s="85">
        <v>230631.916666667</v>
      </c>
      <c r="F160" s="85"/>
      <c r="G160" s="220"/>
      <c r="H160" s="220">
        <f>50000</f>
        <v>50000</v>
      </c>
      <c r="I160" s="85"/>
      <c r="J160" s="509">
        <f t="shared" si="50"/>
        <v>280631.916666667</v>
      </c>
      <c r="K160" s="509">
        <v>180304.068</v>
      </c>
      <c r="L160" s="509">
        <f t="shared" si="51"/>
        <v>100327.848666667</v>
      </c>
      <c r="M160" s="511">
        <v>31213.1357066667</v>
      </c>
      <c r="N160" s="510">
        <v>17572.8850026667</v>
      </c>
      <c r="O160" s="511">
        <f t="shared" si="49"/>
        <v>13640.250704</v>
      </c>
      <c r="P160" s="13"/>
    </row>
    <row r="161" ht="20.1" customHeight="1" spans="1:16">
      <c r="A161" s="27">
        <v>28</v>
      </c>
      <c r="B161" s="18" t="s">
        <v>283</v>
      </c>
      <c r="C161" s="12" t="s">
        <v>278</v>
      </c>
      <c r="D161" s="15" t="s">
        <v>92</v>
      </c>
      <c r="E161" s="85">
        <v>224459.75</v>
      </c>
      <c r="F161" s="85"/>
      <c r="G161" s="220"/>
      <c r="H161" s="220">
        <f>50000</f>
        <v>50000</v>
      </c>
      <c r="I161" s="85"/>
      <c r="J161" s="509">
        <f t="shared" si="50"/>
        <v>274459.75</v>
      </c>
      <c r="K161" s="509">
        <v>176816.1</v>
      </c>
      <c r="L161" s="509">
        <f t="shared" si="51"/>
        <v>97643.65</v>
      </c>
      <c r="M161" s="511">
        <v>30259.1656266667</v>
      </c>
      <c r="N161" s="510">
        <v>17042.7138666667</v>
      </c>
      <c r="O161" s="511">
        <f t="shared" si="49"/>
        <v>13216.45176</v>
      </c>
      <c r="P161" s="13"/>
    </row>
    <row r="162" ht="20.1" customHeight="1" spans="1:16">
      <c r="A162" s="27">
        <v>29</v>
      </c>
      <c r="B162" s="11" t="s">
        <v>287</v>
      </c>
      <c r="C162" s="12" t="s">
        <v>288</v>
      </c>
      <c r="D162" s="15" t="s">
        <v>289</v>
      </c>
      <c r="E162" s="226">
        <v>168598.166666667</v>
      </c>
      <c r="F162" s="220"/>
      <c r="G162" s="220"/>
      <c r="H162" s="220">
        <f>30000</f>
        <v>30000</v>
      </c>
      <c r="I162" s="85">
        <f>4000</f>
        <v>4000</v>
      </c>
      <c r="J162" s="509">
        <f t="shared" si="50"/>
        <v>202598.166666667</v>
      </c>
      <c r="K162" s="509">
        <v>135590.73</v>
      </c>
      <c r="L162" s="509">
        <f t="shared" si="51"/>
        <v>67007.436666667</v>
      </c>
      <c r="M162" s="511">
        <v>18892.9833866667</v>
      </c>
      <c r="N162" s="510">
        <v>10739.3048</v>
      </c>
      <c r="O162" s="511">
        <f t="shared" si="49"/>
        <v>8153.6785866667</v>
      </c>
      <c r="P162" s="13"/>
    </row>
    <row r="163" ht="20.1" customHeight="1" spans="1:16">
      <c r="A163" s="27">
        <v>30</v>
      </c>
      <c r="B163" s="11" t="s">
        <v>290</v>
      </c>
      <c r="C163" s="12" t="s">
        <v>288</v>
      </c>
      <c r="D163" s="15" t="s">
        <v>289</v>
      </c>
      <c r="E163" s="226">
        <v>168598.166666667</v>
      </c>
      <c r="F163" s="220"/>
      <c r="G163" s="220"/>
      <c r="H163" s="220">
        <f>30000</f>
        <v>30000</v>
      </c>
      <c r="I163" s="85">
        <f>7000</f>
        <v>7000</v>
      </c>
      <c r="J163" s="509">
        <f t="shared" si="50"/>
        <v>205598.166666667</v>
      </c>
      <c r="K163" s="509">
        <v>138590.73</v>
      </c>
      <c r="L163" s="509">
        <f t="shared" si="51"/>
        <v>67007.436666667</v>
      </c>
      <c r="M163" s="511">
        <v>19441.1993066667</v>
      </c>
      <c r="N163" s="510">
        <v>11232.4576266667</v>
      </c>
      <c r="O163" s="511">
        <f t="shared" si="49"/>
        <v>8208.74168</v>
      </c>
      <c r="P163" s="13"/>
    </row>
    <row r="164" ht="20.1" customHeight="1" spans="1:16">
      <c r="A164" s="27">
        <v>31</v>
      </c>
      <c r="B164" s="11" t="s">
        <v>291</v>
      </c>
      <c r="C164" s="12" t="s">
        <v>288</v>
      </c>
      <c r="D164" s="15" t="s">
        <v>289</v>
      </c>
      <c r="E164" s="226">
        <v>168598.166666667</v>
      </c>
      <c r="F164" s="220"/>
      <c r="G164" s="220"/>
      <c r="H164" s="220">
        <f>30000</f>
        <v>30000</v>
      </c>
      <c r="I164" s="85">
        <f>4000</f>
        <v>4000</v>
      </c>
      <c r="J164" s="509">
        <f t="shared" si="50"/>
        <v>202598.166666667</v>
      </c>
      <c r="K164" s="509">
        <v>135590.73</v>
      </c>
      <c r="L164" s="509">
        <f t="shared" si="51"/>
        <v>67007.436666667</v>
      </c>
      <c r="M164" s="511">
        <v>18937.1993066667</v>
      </c>
      <c r="N164" s="510">
        <v>10776.4576266667</v>
      </c>
      <c r="O164" s="511">
        <f t="shared" si="49"/>
        <v>8160.74168</v>
      </c>
      <c r="P164" s="13"/>
    </row>
    <row r="165" ht="20.1" customHeight="1" spans="1:16">
      <c r="A165" s="27">
        <v>32</v>
      </c>
      <c r="B165" s="11" t="s">
        <v>292</v>
      </c>
      <c r="C165" s="12" t="s">
        <v>288</v>
      </c>
      <c r="D165" s="15" t="s">
        <v>289</v>
      </c>
      <c r="E165" s="226">
        <v>168598.166666667</v>
      </c>
      <c r="F165" s="220"/>
      <c r="G165" s="220"/>
      <c r="H165" s="220">
        <f>30000</f>
        <v>30000</v>
      </c>
      <c r="I165" s="85">
        <f>4000</f>
        <v>4000</v>
      </c>
      <c r="J165" s="509">
        <f t="shared" si="50"/>
        <v>202598.166666667</v>
      </c>
      <c r="K165" s="509">
        <v>135590.73</v>
      </c>
      <c r="L165" s="509">
        <f t="shared" si="51"/>
        <v>67007.436666667</v>
      </c>
      <c r="M165" s="511">
        <v>18892.9833866667</v>
      </c>
      <c r="N165" s="510">
        <v>10739.3048</v>
      </c>
      <c r="O165" s="511">
        <f t="shared" si="49"/>
        <v>8153.6785866667</v>
      </c>
      <c r="P165" s="13"/>
    </row>
    <row r="166" ht="20.1" customHeight="1" spans="1:16">
      <c r="A166" s="27">
        <v>33</v>
      </c>
      <c r="B166" s="11" t="s">
        <v>293</v>
      </c>
      <c r="C166" s="12" t="s">
        <v>288</v>
      </c>
      <c r="D166" s="15" t="s">
        <v>289</v>
      </c>
      <c r="E166" s="226">
        <v>168598.166666667</v>
      </c>
      <c r="F166" s="220"/>
      <c r="G166" s="220"/>
      <c r="H166" s="220">
        <f>30000</f>
        <v>30000</v>
      </c>
      <c r="I166" s="85">
        <f>4000</f>
        <v>4000</v>
      </c>
      <c r="J166" s="509">
        <f t="shared" si="50"/>
        <v>202598.166666667</v>
      </c>
      <c r="K166" s="509">
        <v>135590.73</v>
      </c>
      <c r="L166" s="509">
        <f t="shared" si="51"/>
        <v>67007.436666667</v>
      </c>
      <c r="M166" s="511">
        <v>18937.1993066667</v>
      </c>
      <c r="N166" s="510">
        <v>10776.4576266667</v>
      </c>
      <c r="O166" s="511">
        <f t="shared" si="49"/>
        <v>8160.74168</v>
      </c>
      <c r="P166" s="13"/>
    </row>
    <row r="167" ht="20.1" customHeight="1" spans="1:16">
      <c r="A167" s="27">
        <v>34</v>
      </c>
      <c r="B167" s="11" t="s">
        <v>294</v>
      </c>
      <c r="C167" s="12" t="s">
        <v>288</v>
      </c>
      <c r="D167" s="15" t="s">
        <v>295</v>
      </c>
      <c r="E167" s="226">
        <v>163336.833333333</v>
      </c>
      <c r="F167" s="220"/>
      <c r="G167" s="220"/>
      <c r="H167" s="220">
        <f>20000+10000</f>
        <v>30000</v>
      </c>
      <c r="I167" s="85">
        <f>7000</f>
        <v>7000</v>
      </c>
      <c r="J167" s="509">
        <f t="shared" si="50"/>
        <v>200336.833333333</v>
      </c>
      <c r="K167" s="509">
        <v>138590.73</v>
      </c>
      <c r="L167" s="509">
        <f t="shared" si="51"/>
        <v>61746.103333333</v>
      </c>
      <c r="M167" s="511">
        <v>18631.68944</v>
      </c>
      <c r="N167" s="510">
        <v>11232.4576266667</v>
      </c>
      <c r="O167" s="511">
        <f t="shared" si="49"/>
        <v>7399.2318133333</v>
      </c>
      <c r="P167" s="13"/>
    </row>
    <row r="168" ht="20.1" customHeight="1" spans="1:16">
      <c r="A168" s="27">
        <v>35</v>
      </c>
      <c r="B168" s="11" t="s">
        <v>296</v>
      </c>
      <c r="C168" s="12" t="s">
        <v>288</v>
      </c>
      <c r="D168" s="15" t="s">
        <v>295</v>
      </c>
      <c r="E168" s="226">
        <v>163336.833333333</v>
      </c>
      <c r="F168" s="220"/>
      <c r="G168" s="220"/>
      <c r="H168" s="220">
        <f t="shared" ref="H168:H172" si="53">20000+10000</f>
        <v>30000</v>
      </c>
      <c r="I168" s="85">
        <f>4000</f>
        <v>4000</v>
      </c>
      <c r="J168" s="509">
        <f t="shared" si="50"/>
        <v>197336.833333333</v>
      </c>
      <c r="K168" s="509">
        <v>135590.73</v>
      </c>
      <c r="L168" s="509">
        <f t="shared" si="51"/>
        <v>61746.103333333</v>
      </c>
      <c r="M168" s="511">
        <v>18175.68944</v>
      </c>
      <c r="N168" s="510">
        <v>10776.4576266667</v>
      </c>
      <c r="O168" s="511">
        <f t="shared" si="49"/>
        <v>7399.2318133333</v>
      </c>
      <c r="P168" s="13"/>
    </row>
    <row r="169" ht="20.1" customHeight="1" spans="1:16">
      <c r="A169" s="27">
        <v>36</v>
      </c>
      <c r="B169" s="14" t="s">
        <v>297</v>
      </c>
      <c r="C169" s="12" t="s">
        <v>288</v>
      </c>
      <c r="D169" s="15" t="s">
        <v>295</v>
      </c>
      <c r="E169" s="226">
        <v>163336.833333333</v>
      </c>
      <c r="F169" s="220"/>
      <c r="G169" s="220"/>
      <c r="H169" s="220">
        <f t="shared" si="53"/>
        <v>30000</v>
      </c>
      <c r="I169" s="85">
        <f>7000</f>
        <v>7000</v>
      </c>
      <c r="J169" s="509">
        <f t="shared" si="50"/>
        <v>200336.833333333</v>
      </c>
      <c r="K169" s="509">
        <v>138590.73</v>
      </c>
      <c r="L169" s="509">
        <f t="shared" si="51"/>
        <v>61746.103333333</v>
      </c>
      <c r="M169" s="511">
        <v>18631.68944</v>
      </c>
      <c r="N169" s="510">
        <v>11232.4576266667</v>
      </c>
      <c r="O169" s="511">
        <f t="shared" si="49"/>
        <v>7399.2318133333</v>
      </c>
      <c r="P169" s="13"/>
    </row>
    <row r="170" ht="20.1" customHeight="1" spans="1:16">
      <c r="A170" s="27">
        <v>37</v>
      </c>
      <c r="B170" s="11" t="s">
        <v>298</v>
      </c>
      <c r="C170" s="12" t="s">
        <v>288</v>
      </c>
      <c r="D170" s="15" t="s">
        <v>295</v>
      </c>
      <c r="E170" s="226">
        <v>163336.833333333</v>
      </c>
      <c r="F170" s="220"/>
      <c r="G170" s="220"/>
      <c r="H170" s="220">
        <f t="shared" si="53"/>
        <v>30000</v>
      </c>
      <c r="I170" s="85">
        <f>4000</f>
        <v>4000</v>
      </c>
      <c r="J170" s="509">
        <f t="shared" si="50"/>
        <v>197336.833333333</v>
      </c>
      <c r="K170" s="509">
        <v>135590.73</v>
      </c>
      <c r="L170" s="509">
        <f t="shared" si="51"/>
        <v>61746.103333333</v>
      </c>
      <c r="M170" s="511">
        <v>18175.68944</v>
      </c>
      <c r="N170" s="510">
        <v>10776.4576266667</v>
      </c>
      <c r="O170" s="511">
        <f t="shared" si="49"/>
        <v>7399.2318133333</v>
      </c>
      <c r="P170" s="13"/>
    </row>
    <row r="171" ht="20.1" customHeight="1" spans="1:16">
      <c r="A171" s="27">
        <v>38</v>
      </c>
      <c r="B171" s="18" t="s">
        <v>299</v>
      </c>
      <c r="C171" s="12" t="s">
        <v>288</v>
      </c>
      <c r="D171" s="15" t="s">
        <v>295</v>
      </c>
      <c r="E171" s="226">
        <v>163336.833333333</v>
      </c>
      <c r="F171" s="220"/>
      <c r="G171" s="220"/>
      <c r="H171" s="220">
        <f t="shared" si="53"/>
        <v>30000</v>
      </c>
      <c r="I171" s="85">
        <f>4000</f>
        <v>4000</v>
      </c>
      <c r="J171" s="509">
        <f t="shared" si="50"/>
        <v>197336.833333333</v>
      </c>
      <c r="K171" s="509">
        <v>135590.73</v>
      </c>
      <c r="L171" s="509">
        <f t="shared" si="51"/>
        <v>61746.103333333</v>
      </c>
      <c r="M171" s="511">
        <v>18175.68944</v>
      </c>
      <c r="N171" s="510">
        <v>10776.4576266667</v>
      </c>
      <c r="O171" s="511">
        <f t="shared" si="49"/>
        <v>7399.2318133333</v>
      </c>
      <c r="P171" s="13"/>
    </row>
    <row r="172" ht="20.1" customHeight="1" spans="1:16">
      <c r="A172" s="27">
        <v>39</v>
      </c>
      <c r="B172" s="18" t="s">
        <v>300</v>
      </c>
      <c r="C172" s="12" t="s">
        <v>288</v>
      </c>
      <c r="D172" s="15" t="s">
        <v>295</v>
      </c>
      <c r="E172" s="226">
        <v>163336.833333333</v>
      </c>
      <c r="F172" s="220"/>
      <c r="G172" s="220"/>
      <c r="H172" s="220">
        <f t="shared" si="53"/>
        <v>30000</v>
      </c>
      <c r="I172" s="85">
        <f t="shared" ref="I172:I177" si="54">7000</f>
        <v>7000</v>
      </c>
      <c r="J172" s="509">
        <f t="shared" si="50"/>
        <v>200336.833333333</v>
      </c>
      <c r="K172" s="509">
        <v>138590.73</v>
      </c>
      <c r="L172" s="509">
        <f t="shared" si="51"/>
        <v>61746.103333333</v>
      </c>
      <c r="M172" s="511">
        <v>18631.68944</v>
      </c>
      <c r="N172" s="510">
        <v>11232.4576266667</v>
      </c>
      <c r="O172" s="511">
        <f t="shared" si="49"/>
        <v>7399.2318133333</v>
      </c>
      <c r="P172" s="13"/>
    </row>
    <row r="173" ht="20.1" customHeight="1" spans="1:16">
      <c r="A173" s="27">
        <v>40</v>
      </c>
      <c r="B173" s="11" t="s">
        <v>301</v>
      </c>
      <c r="C173" s="12" t="s">
        <v>302</v>
      </c>
      <c r="D173" s="15" t="s">
        <v>303</v>
      </c>
      <c r="E173" s="85">
        <v>152814.166666667</v>
      </c>
      <c r="F173" s="220"/>
      <c r="G173" s="220"/>
      <c r="H173" s="220">
        <f>30000</f>
        <v>30000</v>
      </c>
      <c r="I173" s="85">
        <f t="shared" si="54"/>
        <v>7000</v>
      </c>
      <c r="J173" s="509">
        <f t="shared" si="50"/>
        <v>189814.166666667</v>
      </c>
      <c r="K173" s="509">
        <v>122104.99825</v>
      </c>
      <c r="L173" s="509">
        <f t="shared" si="51"/>
        <v>67709.168416667</v>
      </c>
      <c r="M173" s="511">
        <v>17160.1997333333</v>
      </c>
      <c r="N173" s="510">
        <v>9152.59979</v>
      </c>
      <c r="O173" s="511">
        <f t="shared" si="49"/>
        <v>8007.5999433333</v>
      </c>
      <c r="P173" s="13"/>
    </row>
    <row r="174" ht="20.1" customHeight="1" spans="1:16">
      <c r="A174" s="27">
        <v>41</v>
      </c>
      <c r="B174" s="11" t="s">
        <v>304</v>
      </c>
      <c r="C174" s="12" t="s">
        <v>302</v>
      </c>
      <c r="D174" s="15" t="s">
        <v>303</v>
      </c>
      <c r="E174" s="85">
        <v>152814.166666667</v>
      </c>
      <c r="F174" s="220"/>
      <c r="G174" s="220"/>
      <c r="H174" s="220">
        <f>30000</f>
        <v>30000</v>
      </c>
      <c r="I174" s="85">
        <f t="shared" si="54"/>
        <v>7000</v>
      </c>
      <c r="J174" s="509">
        <f t="shared" si="50"/>
        <v>189814.166666667</v>
      </c>
      <c r="K174" s="509">
        <v>122104.99825</v>
      </c>
      <c r="L174" s="509">
        <f t="shared" si="51"/>
        <v>67709.168416667</v>
      </c>
      <c r="M174" s="511">
        <v>17160.1997333333</v>
      </c>
      <c r="N174" s="510">
        <v>9152.59979</v>
      </c>
      <c r="O174" s="511">
        <f t="shared" si="49"/>
        <v>8007.5999433333</v>
      </c>
      <c r="P174" s="13"/>
    </row>
    <row r="175" ht="20.1" customHeight="1" spans="1:16">
      <c r="A175" s="27">
        <v>42</v>
      </c>
      <c r="B175" s="18" t="s">
        <v>305</v>
      </c>
      <c r="C175" s="12" t="s">
        <v>302</v>
      </c>
      <c r="D175" s="15" t="s">
        <v>306</v>
      </c>
      <c r="E175" s="85">
        <v>158075.5</v>
      </c>
      <c r="F175" s="220"/>
      <c r="G175" s="220"/>
      <c r="H175" s="220">
        <f>30000</f>
        <v>30000</v>
      </c>
      <c r="I175" s="85">
        <f t="shared" si="54"/>
        <v>7000</v>
      </c>
      <c r="J175" s="509">
        <f t="shared" si="50"/>
        <v>195075.5</v>
      </c>
      <c r="K175" s="509">
        <v>125035.0345</v>
      </c>
      <c r="L175" s="509">
        <f t="shared" si="51"/>
        <v>70040.4655</v>
      </c>
      <c r="M175" s="511">
        <v>17895.9445866667</v>
      </c>
      <c r="N175" s="510">
        <v>9504.20414</v>
      </c>
      <c r="O175" s="511">
        <f t="shared" si="49"/>
        <v>8391.7404466667</v>
      </c>
      <c r="P175" s="13"/>
    </row>
    <row r="176" ht="20.1" customHeight="1" spans="1:16">
      <c r="A176" s="27">
        <v>43</v>
      </c>
      <c r="B176" s="11" t="s">
        <v>307</v>
      </c>
      <c r="C176" s="12" t="s">
        <v>308</v>
      </c>
      <c r="D176" s="15" t="s">
        <v>588</v>
      </c>
      <c r="E176" s="85">
        <v>94145.75</v>
      </c>
      <c r="F176" s="220"/>
      <c r="G176" s="220"/>
      <c r="H176" s="220">
        <f t="shared" ref="H176:H183" si="55">20000</f>
        <v>20000</v>
      </c>
      <c r="I176" s="85">
        <f t="shared" si="54"/>
        <v>7000</v>
      </c>
      <c r="J176" s="509">
        <f t="shared" si="50"/>
        <v>121145.75</v>
      </c>
      <c r="K176" s="509">
        <v>81803.001</v>
      </c>
      <c r="L176" s="509">
        <f t="shared" si="51"/>
        <v>39342.749</v>
      </c>
      <c r="M176" s="511">
        <v>8133.6908</v>
      </c>
      <c r="N176" s="510">
        <v>4365.33075466667</v>
      </c>
      <c r="O176" s="511">
        <f t="shared" si="49"/>
        <v>3768.36004533333</v>
      </c>
      <c r="P176" s="13"/>
    </row>
    <row r="177" ht="20.1" customHeight="1" spans="1:16">
      <c r="A177" s="27">
        <v>44</v>
      </c>
      <c r="B177" s="11" t="s">
        <v>309</v>
      </c>
      <c r="C177" s="12" t="s">
        <v>310</v>
      </c>
      <c r="D177" s="15" t="s">
        <v>311</v>
      </c>
      <c r="E177" s="85">
        <v>91598</v>
      </c>
      <c r="F177" s="220"/>
      <c r="G177" s="220"/>
      <c r="H177" s="220">
        <f t="shared" si="55"/>
        <v>20000</v>
      </c>
      <c r="I177" s="85">
        <f t="shared" si="54"/>
        <v>7000</v>
      </c>
      <c r="J177" s="509">
        <f t="shared" si="50"/>
        <v>118598</v>
      </c>
      <c r="K177" s="509">
        <v>80237.012</v>
      </c>
      <c r="L177" s="509">
        <f t="shared" si="51"/>
        <v>38360.988</v>
      </c>
      <c r="M177" s="511">
        <v>7852.4192</v>
      </c>
      <c r="N177" s="510">
        <v>4227.52372266667</v>
      </c>
      <c r="O177" s="511">
        <f t="shared" si="49"/>
        <v>3624.89547733333</v>
      </c>
      <c r="P177" s="13"/>
    </row>
    <row r="178" ht="20.1" customHeight="1" spans="1:16">
      <c r="A178" s="27">
        <v>45</v>
      </c>
      <c r="B178" s="11" t="s">
        <v>312</v>
      </c>
      <c r="C178" s="12" t="s">
        <v>310</v>
      </c>
      <c r="D178" s="15" t="s">
        <v>311</v>
      </c>
      <c r="E178" s="85">
        <v>91598</v>
      </c>
      <c r="F178" s="220"/>
      <c r="G178" s="220"/>
      <c r="H178" s="220">
        <f t="shared" si="55"/>
        <v>20000</v>
      </c>
      <c r="I178" s="85">
        <f>4000</f>
        <v>4000</v>
      </c>
      <c r="J178" s="509">
        <f t="shared" si="50"/>
        <v>115598</v>
      </c>
      <c r="K178" s="509">
        <v>77237.012</v>
      </c>
      <c r="L178" s="509">
        <f t="shared" si="51"/>
        <v>38360.988</v>
      </c>
      <c r="M178" s="511">
        <v>7492.4192</v>
      </c>
      <c r="N178" s="510">
        <v>3963.52372266667</v>
      </c>
      <c r="O178" s="511">
        <f t="shared" si="49"/>
        <v>3528.89547733333</v>
      </c>
      <c r="P178" s="13"/>
    </row>
    <row r="179" ht="20.1" customHeight="1" spans="1:16">
      <c r="A179" s="27">
        <v>46</v>
      </c>
      <c r="B179" s="11" t="s">
        <v>313</v>
      </c>
      <c r="C179" s="12" t="s">
        <v>310</v>
      </c>
      <c r="D179" s="15" t="s">
        <v>311</v>
      </c>
      <c r="E179" s="85">
        <v>91598</v>
      </c>
      <c r="F179" s="220"/>
      <c r="G179" s="220"/>
      <c r="H179" s="220">
        <f t="shared" si="55"/>
        <v>20000</v>
      </c>
      <c r="I179" s="85">
        <f>7000</f>
        <v>7000</v>
      </c>
      <c r="J179" s="509">
        <f t="shared" si="50"/>
        <v>118598</v>
      </c>
      <c r="K179" s="509">
        <v>80237.012</v>
      </c>
      <c r="L179" s="509">
        <f t="shared" si="51"/>
        <v>38360.988</v>
      </c>
      <c r="M179" s="511">
        <v>7852.4192</v>
      </c>
      <c r="N179" s="510">
        <v>4227.52372266667</v>
      </c>
      <c r="O179" s="511">
        <f t="shared" si="49"/>
        <v>3624.89547733333</v>
      </c>
      <c r="P179" s="13"/>
    </row>
    <row r="180" ht="20.1" customHeight="1" spans="1:16">
      <c r="A180" s="27">
        <v>47</v>
      </c>
      <c r="B180" s="11" t="s">
        <v>314</v>
      </c>
      <c r="C180" s="12" t="s">
        <v>310</v>
      </c>
      <c r="D180" s="15" t="s">
        <v>311</v>
      </c>
      <c r="E180" s="85">
        <v>91598</v>
      </c>
      <c r="F180" s="220"/>
      <c r="G180" s="220"/>
      <c r="H180" s="220">
        <f t="shared" si="55"/>
        <v>20000</v>
      </c>
      <c r="I180" s="85">
        <f>4000</f>
        <v>4000</v>
      </c>
      <c r="J180" s="509">
        <f t="shared" si="50"/>
        <v>115598</v>
      </c>
      <c r="K180" s="509">
        <v>77237.012</v>
      </c>
      <c r="L180" s="509">
        <f t="shared" si="51"/>
        <v>38360.988</v>
      </c>
      <c r="M180" s="511">
        <v>7492.4192</v>
      </c>
      <c r="N180" s="510">
        <v>3963.52372266667</v>
      </c>
      <c r="O180" s="511">
        <f t="shared" si="49"/>
        <v>3528.89547733333</v>
      </c>
      <c r="P180" s="13"/>
    </row>
    <row r="181" ht="20.1" customHeight="1" spans="1:16">
      <c r="A181" s="27">
        <v>48</v>
      </c>
      <c r="B181" s="11" t="s">
        <v>315</v>
      </c>
      <c r="C181" s="12" t="s">
        <v>310</v>
      </c>
      <c r="D181" s="15" t="s">
        <v>311</v>
      </c>
      <c r="E181" s="85">
        <v>91598</v>
      </c>
      <c r="F181" s="220"/>
      <c r="G181" s="220"/>
      <c r="H181" s="220">
        <f t="shared" si="55"/>
        <v>20000</v>
      </c>
      <c r="I181" s="85">
        <f>7000</f>
        <v>7000</v>
      </c>
      <c r="J181" s="509">
        <f t="shared" si="50"/>
        <v>118598</v>
      </c>
      <c r="K181" s="509">
        <v>80237.012</v>
      </c>
      <c r="L181" s="509">
        <f t="shared" si="51"/>
        <v>38360.988</v>
      </c>
      <c r="M181" s="511">
        <v>7852.4192</v>
      </c>
      <c r="N181" s="510">
        <v>4227.52372266667</v>
      </c>
      <c r="O181" s="511">
        <f t="shared" si="49"/>
        <v>3624.89547733333</v>
      </c>
      <c r="P181" s="13"/>
    </row>
    <row r="182" ht="20.1" customHeight="1" spans="1:16">
      <c r="A182" s="27">
        <v>49</v>
      </c>
      <c r="B182" s="18" t="s">
        <v>316</v>
      </c>
      <c r="C182" s="12" t="s">
        <v>310</v>
      </c>
      <c r="D182" s="15" t="s">
        <v>311</v>
      </c>
      <c r="E182" s="85">
        <v>91598</v>
      </c>
      <c r="F182" s="220"/>
      <c r="G182" s="220"/>
      <c r="H182" s="220">
        <f t="shared" si="55"/>
        <v>20000</v>
      </c>
      <c r="I182" s="85">
        <f>4000</f>
        <v>4000</v>
      </c>
      <c r="J182" s="509">
        <f t="shared" si="50"/>
        <v>115598</v>
      </c>
      <c r="K182" s="509">
        <v>77237.012</v>
      </c>
      <c r="L182" s="509">
        <f t="shared" si="51"/>
        <v>38360.988</v>
      </c>
      <c r="M182" s="511">
        <v>7492.4192</v>
      </c>
      <c r="N182" s="510">
        <v>3963.52372266667</v>
      </c>
      <c r="O182" s="511">
        <f t="shared" si="49"/>
        <v>3528.89547733333</v>
      </c>
      <c r="P182" s="13"/>
    </row>
    <row r="183" ht="20.1" customHeight="1" spans="1:16">
      <c r="A183" s="27">
        <v>50</v>
      </c>
      <c r="B183" s="18" t="s">
        <v>317</v>
      </c>
      <c r="C183" s="12" t="s">
        <v>310</v>
      </c>
      <c r="D183" s="15" t="s">
        <v>311</v>
      </c>
      <c r="E183" s="85">
        <v>91598</v>
      </c>
      <c r="F183" s="220"/>
      <c r="G183" s="220"/>
      <c r="H183" s="220">
        <f t="shared" si="55"/>
        <v>20000</v>
      </c>
      <c r="I183" s="85">
        <f>7000</f>
        <v>7000</v>
      </c>
      <c r="J183" s="509">
        <f t="shared" si="50"/>
        <v>118598</v>
      </c>
      <c r="K183" s="509">
        <v>80237.012</v>
      </c>
      <c r="L183" s="509">
        <f t="shared" si="51"/>
        <v>38360.988</v>
      </c>
      <c r="M183" s="511">
        <v>7852.4192</v>
      </c>
      <c r="N183" s="510">
        <v>4227.52372266667</v>
      </c>
      <c r="O183" s="511">
        <f t="shared" si="49"/>
        <v>3624.89547733333</v>
      </c>
      <c r="P183" s="13"/>
    </row>
    <row r="184" ht="20.1" customHeight="1" spans="1:16">
      <c r="A184" s="27">
        <v>51</v>
      </c>
      <c r="B184" s="11" t="s">
        <v>318</v>
      </c>
      <c r="C184" s="12" t="s">
        <v>308</v>
      </c>
      <c r="D184" s="15" t="s">
        <v>311</v>
      </c>
      <c r="E184" s="85">
        <v>91598</v>
      </c>
      <c r="F184" s="220"/>
      <c r="G184" s="220"/>
      <c r="H184" s="220">
        <v>20000</v>
      </c>
      <c r="I184" s="85">
        <v>7000</v>
      </c>
      <c r="J184" s="509">
        <f t="shared" si="50"/>
        <v>118598</v>
      </c>
      <c r="K184" s="509">
        <v>78671.023</v>
      </c>
      <c r="L184" s="509">
        <f t="shared" si="51"/>
        <v>39926.977</v>
      </c>
      <c r="M184" s="511">
        <v>7852.4192</v>
      </c>
      <c r="N184" s="510">
        <v>4089.71669066667</v>
      </c>
      <c r="O184" s="511">
        <f t="shared" si="49"/>
        <v>3762.70250933333</v>
      </c>
      <c r="P184" s="13"/>
    </row>
    <row r="185" ht="20.1" customHeight="1" spans="1:16">
      <c r="A185" s="27">
        <v>52</v>
      </c>
      <c r="B185" s="11" t="s">
        <v>319</v>
      </c>
      <c r="C185" s="12" t="s">
        <v>308</v>
      </c>
      <c r="D185" s="15" t="s">
        <v>311</v>
      </c>
      <c r="E185" s="85">
        <v>91598</v>
      </c>
      <c r="F185" s="220"/>
      <c r="G185" s="220"/>
      <c r="H185" s="220">
        <v>20000</v>
      </c>
      <c r="I185" s="85">
        <f>7000</f>
        <v>7000</v>
      </c>
      <c r="J185" s="509">
        <f t="shared" si="50"/>
        <v>118598</v>
      </c>
      <c r="K185" s="509">
        <v>80237.012</v>
      </c>
      <c r="L185" s="509">
        <f t="shared" si="51"/>
        <v>38360.988</v>
      </c>
      <c r="M185" s="511">
        <v>7852.4192</v>
      </c>
      <c r="N185" s="510">
        <v>4227.52372266667</v>
      </c>
      <c r="O185" s="511">
        <f t="shared" si="49"/>
        <v>3624.89547733333</v>
      </c>
      <c r="P185" s="13"/>
    </row>
    <row r="186" ht="20.1" customHeight="1" spans="1:16">
      <c r="A186" s="27">
        <v>53</v>
      </c>
      <c r="B186" s="18" t="s">
        <v>320</v>
      </c>
      <c r="C186" s="12" t="s">
        <v>321</v>
      </c>
      <c r="D186" s="15" t="s">
        <v>322</v>
      </c>
      <c r="E186" s="85">
        <v>89050.25</v>
      </c>
      <c r="F186" s="220"/>
      <c r="G186" s="220"/>
      <c r="H186" s="220">
        <f>20000</f>
        <v>20000</v>
      </c>
      <c r="I186" s="85">
        <f>4000+3000</f>
        <v>7000</v>
      </c>
      <c r="J186" s="509">
        <f t="shared" si="50"/>
        <v>116050.25</v>
      </c>
      <c r="K186" s="509">
        <v>78671.023</v>
      </c>
      <c r="L186" s="509">
        <f t="shared" si="51"/>
        <v>37379.227</v>
      </c>
      <c r="M186" s="511">
        <v>7571.1476</v>
      </c>
      <c r="N186" s="510">
        <v>4089.71669066667</v>
      </c>
      <c r="O186" s="511">
        <f t="shared" si="49"/>
        <v>3481.43090933333</v>
      </c>
      <c r="P186" s="13"/>
    </row>
    <row r="187" ht="20.1" customHeight="1" spans="1:16">
      <c r="A187" s="27">
        <v>54</v>
      </c>
      <c r="B187" s="18" t="s">
        <v>325</v>
      </c>
      <c r="C187" s="12" t="s">
        <v>310</v>
      </c>
      <c r="D187" s="15" t="s">
        <v>589</v>
      </c>
      <c r="E187" s="220">
        <v>80926.9166666667</v>
      </c>
      <c r="F187" s="220"/>
      <c r="G187" s="220"/>
      <c r="H187" s="220">
        <f>15000</f>
        <v>15000</v>
      </c>
      <c r="I187" s="85">
        <f>7000</f>
        <v>7000</v>
      </c>
      <c r="J187" s="509">
        <f t="shared" si="50"/>
        <v>102926.916666667</v>
      </c>
      <c r="K187" s="509">
        <v>68675.997025</v>
      </c>
      <c r="L187" s="509">
        <f t="shared" si="51"/>
        <v>34250.9196416667</v>
      </c>
      <c r="M187" s="511">
        <v>6074.3316</v>
      </c>
      <c r="N187" s="510">
        <v>3210.15440486667</v>
      </c>
      <c r="O187" s="511">
        <f t="shared" si="49"/>
        <v>2864.17719513333</v>
      </c>
      <c r="P187" s="13"/>
    </row>
    <row r="188" ht="20.1" customHeight="1" spans="1:16">
      <c r="A188" s="27">
        <v>55</v>
      </c>
      <c r="B188" s="18" t="s">
        <v>326</v>
      </c>
      <c r="C188" s="12" t="s">
        <v>327</v>
      </c>
      <c r="D188" s="15" t="s">
        <v>328</v>
      </c>
      <c r="E188" s="85">
        <v>76540.75</v>
      </c>
      <c r="F188" s="118"/>
      <c r="G188" s="4"/>
      <c r="H188" s="118">
        <v>15000</v>
      </c>
      <c r="I188" s="118">
        <v>4000</v>
      </c>
      <c r="J188" s="509">
        <f t="shared" si="50"/>
        <v>95540.75</v>
      </c>
      <c r="K188" s="509">
        <v>62980.07925</v>
      </c>
      <c r="L188" s="509">
        <f t="shared" si="51"/>
        <v>32560.67075</v>
      </c>
      <c r="M188" s="511">
        <v>5230.0988</v>
      </c>
      <c r="N188" s="510">
        <v>2708.91364066667</v>
      </c>
      <c r="O188" s="511">
        <f t="shared" si="49"/>
        <v>2521.18515933333</v>
      </c>
      <c r="P188" s="13"/>
    </row>
    <row r="189" ht="20.1" customHeight="1" spans="1:16">
      <c r="A189" s="27">
        <v>56</v>
      </c>
      <c r="B189" s="18" t="s">
        <v>329</v>
      </c>
      <c r="C189" s="12" t="s">
        <v>327</v>
      </c>
      <c r="D189" s="15" t="s">
        <v>328</v>
      </c>
      <c r="E189" s="85">
        <v>76540.75</v>
      </c>
      <c r="F189" s="118"/>
      <c r="G189" s="4"/>
      <c r="H189" s="118">
        <v>15000</v>
      </c>
      <c r="I189" s="118">
        <v>4000</v>
      </c>
      <c r="J189" s="509">
        <f t="shared" si="50"/>
        <v>95540.75</v>
      </c>
      <c r="K189" s="509">
        <v>62980.07925</v>
      </c>
      <c r="L189" s="509">
        <f t="shared" si="51"/>
        <v>32560.67075</v>
      </c>
      <c r="M189" s="511">
        <v>5230.0988</v>
      </c>
      <c r="N189" s="510">
        <v>2708.91364066667</v>
      </c>
      <c r="O189" s="511">
        <f t="shared" si="49"/>
        <v>2521.18515933333</v>
      </c>
      <c r="P189" s="13"/>
    </row>
    <row r="190" ht="20.1" customHeight="1" spans="1:16">
      <c r="A190" s="27">
        <v>57</v>
      </c>
      <c r="B190" s="18" t="s">
        <v>330</v>
      </c>
      <c r="C190" s="12" t="s">
        <v>327</v>
      </c>
      <c r="D190" s="15" t="s">
        <v>328</v>
      </c>
      <c r="E190" s="85">
        <v>76540.75</v>
      </c>
      <c r="F190" s="118"/>
      <c r="G190" s="4"/>
      <c r="H190" s="118">
        <v>15000</v>
      </c>
      <c r="I190" s="118">
        <v>4000</v>
      </c>
      <c r="J190" s="509">
        <f t="shared" si="50"/>
        <v>95540.75</v>
      </c>
      <c r="K190" s="509">
        <v>62980.07925</v>
      </c>
      <c r="L190" s="509">
        <f t="shared" si="51"/>
        <v>32560.67075</v>
      </c>
      <c r="M190" s="511">
        <v>5230.0988</v>
      </c>
      <c r="N190" s="510">
        <v>2708.91364066667</v>
      </c>
      <c r="O190" s="511">
        <f t="shared" si="49"/>
        <v>2521.18515933333</v>
      </c>
      <c r="P190" s="13"/>
    </row>
    <row r="191" ht="20.1" customHeight="1" spans="1:16">
      <c r="A191" s="27">
        <v>58</v>
      </c>
      <c r="B191" s="18" t="s">
        <v>331</v>
      </c>
      <c r="C191" s="12" t="s">
        <v>332</v>
      </c>
      <c r="D191" s="15" t="s">
        <v>333</v>
      </c>
      <c r="E191" s="85">
        <v>86502.5</v>
      </c>
      <c r="F191" s="118"/>
      <c r="G191" s="220"/>
      <c r="H191" s="220">
        <f>15000</f>
        <v>15000</v>
      </c>
      <c r="I191" s="85">
        <v>7000</v>
      </c>
      <c r="J191" s="509">
        <f t="shared" si="50"/>
        <v>108502.5</v>
      </c>
      <c r="K191" s="509">
        <v>72103.7495</v>
      </c>
      <c r="L191" s="509">
        <f t="shared" si="51"/>
        <v>36398.7505</v>
      </c>
      <c r="M191" s="511">
        <v>6689.876</v>
      </c>
      <c r="N191" s="510">
        <v>3511.79662266667</v>
      </c>
      <c r="O191" s="511">
        <f t="shared" si="49"/>
        <v>3178.07937733333</v>
      </c>
      <c r="P191" s="13"/>
    </row>
    <row r="192" ht="20.1" customHeight="1" spans="1:16">
      <c r="A192" s="27">
        <v>59</v>
      </c>
      <c r="B192" s="18" t="s">
        <v>334</v>
      </c>
      <c r="C192" s="12" t="s">
        <v>332</v>
      </c>
      <c r="D192" s="15" t="s">
        <v>333</v>
      </c>
      <c r="E192" s="85">
        <v>86502.5</v>
      </c>
      <c r="F192" s="118"/>
      <c r="G192" s="220"/>
      <c r="H192" s="220">
        <f>15000</f>
        <v>15000</v>
      </c>
      <c r="I192" s="85">
        <v>7000</v>
      </c>
      <c r="J192" s="509">
        <f t="shared" si="50"/>
        <v>108502.5</v>
      </c>
      <c r="K192" s="509">
        <v>72103.7495</v>
      </c>
      <c r="L192" s="509">
        <f t="shared" si="51"/>
        <v>36398.7505</v>
      </c>
      <c r="M192" s="511">
        <v>6689.876</v>
      </c>
      <c r="N192" s="510">
        <v>3511.79662266667</v>
      </c>
      <c r="O192" s="511">
        <f t="shared" si="49"/>
        <v>3178.07937733333</v>
      </c>
      <c r="P192" s="13"/>
    </row>
    <row r="193" ht="20.1" customHeight="1" spans="1:16">
      <c r="A193" s="27"/>
      <c r="B193" s="8" t="s">
        <v>96</v>
      </c>
      <c r="C193" s="28" t="s">
        <v>590</v>
      </c>
      <c r="D193" s="29"/>
      <c r="E193" s="93">
        <f>SUM(E134:E192)</f>
        <v>14898686.4166667</v>
      </c>
      <c r="F193" s="93">
        <f t="shared" ref="F193:O193" si="56">SUM(F134:F192)</f>
        <v>0</v>
      </c>
      <c r="G193" s="93">
        <f t="shared" si="56"/>
        <v>0</v>
      </c>
      <c r="H193" s="93">
        <f t="shared" si="56"/>
        <v>2490000</v>
      </c>
      <c r="I193" s="93">
        <f t="shared" si="56"/>
        <v>228000</v>
      </c>
      <c r="J193" s="93">
        <f t="shared" si="56"/>
        <v>17616686.4166667</v>
      </c>
      <c r="K193" s="93">
        <v>11413301.213525</v>
      </c>
      <c r="L193" s="93">
        <f t="shared" si="56"/>
        <v>6203385.20314167</v>
      </c>
      <c r="M193" s="93">
        <f t="shared" si="56"/>
        <v>2121047.87476133</v>
      </c>
      <c r="N193" s="93">
        <v>1265795.4594602</v>
      </c>
      <c r="O193" s="93">
        <f t="shared" si="56"/>
        <v>855252.415301134</v>
      </c>
      <c r="P193" s="13"/>
    </row>
    <row r="194" ht="30.75" customHeight="1" spans="1:16">
      <c r="A194" s="4"/>
      <c r="B194" s="30" t="s">
        <v>336</v>
      </c>
      <c r="C194" s="31">
        <f>C34+C40+C54+C59+C72+C82+C95+C102+C112+C131+C193</f>
        <v>153</v>
      </c>
      <c r="D194" s="32"/>
      <c r="E194" s="227">
        <f>E193+E131+E118+E112+E102+E95+E82+E72+E59+E54+E40+E34</f>
        <v>64242790.417</v>
      </c>
      <c r="F194" s="227">
        <f t="shared" ref="F194:O194" si="57">F193+F131+F118+F112+F102+F95+F82+F72+F59+F54+F40+F34</f>
        <v>0</v>
      </c>
      <c r="G194" s="227">
        <f t="shared" si="57"/>
        <v>7760000</v>
      </c>
      <c r="H194" s="227">
        <f t="shared" si="57"/>
        <v>5090000</v>
      </c>
      <c r="I194" s="227">
        <f t="shared" si="57"/>
        <v>2039337.469105</v>
      </c>
      <c r="J194" s="227">
        <f t="shared" si="57"/>
        <v>79132127.886105</v>
      </c>
      <c r="K194" s="227">
        <f t="shared" si="57"/>
        <v>53058223.956575</v>
      </c>
      <c r="L194" s="526">
        <f t="shared" si="57"/>
        <v>26073903.92953</v>
      </c>
      <c r="M194" s="227">
        <f t="shared" si="57"/>
        <v>11287301.1318695</v>
      </c>
      <c r="N194" s="227">
        <f t="shared" si="57"/>
        <v>7214215.76864559</v>
      </c>
      <c r="O194" s="526">
        <f t="shared" si="57"/>
        <v>4073085.3632239</v>
      </c>
      <c r="P194" s="13"/>
    </row>
    <row r="195" ht="20.1" customHeight="1" spans="2:16">
      <c r="B195" s="33"/>
      <c r="D195" s="34"/>
      <c r="E195" s="34"/>
      <c r="F195" s="34"/>
      <c r="G195" s="228"/>
      <c r="H195" s="228"/>
      <c r="I195" s="228"/>
      <c r="J195" s="228"/>
      <c r="K195" s="228"/>
      <c r="L195" s="228"/>
      <c r="M195" s="228"/>
      <c r="N195" s="228"/>
      <c r="O195" s="228"/>
      <c r="P195" s="35"/>
    </row>
    <row r="196" ht="36.75" customHeight="1" spans="2:15">
      <c r="B196" s="33"/>
      <c r="C196" s="34"/>
      <c r="D196" s="34"/>
      <c r="E196" s="34"/>
      <c r="F196" s="34"/>
      <c r="G196" s="228"/>
      <c r="H196" s="228"/>
      <c r="J196" s="35"/>
      <c r="L196" s="35"/>
      <c r="M196" s="228">
        <f>'May New PAYE '!V189</f>
        <v>11302661.1318695</v>
      </c>
      <c r="N196" s="228"/>
      <c r="O196" s="228"/>
    </row>
    <row r="197" spans="10:13">
      <c r="J197" s="35"/>
      <c r="K197" s="35"/>
      <c r="M197" s="35">
        <f>M194-M196</f>
        <v>-15359.9999999944</v>
      </c>
    </row>
    <row r="198" ht="20.1" customHeight="1" spans="10:10">
      <c r="J198" s="35"/>
    </row>
  </sheetData>
  <mergeCells count="1">
    <mergeCell ref="A1:F1"/>
  </mergeCells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1"/>
  <sheetViews>
    <sheetView topLeftCell="Q64" workbookViewId="0">
      <selection activeCell="W69" sqref="W69"/>
    </sheetView>
  </sheetViews>
  <sheetFormatPr defaultColWidth="9.13636363636364" defaultRowHeight="12.5"/>
  <cols>
    <col min="1" max="1" width="6.85454545454545" style="296" customWidth="1"/>
    <col min="2" max="2" width="39.1363636363636" style="296" customWidth="1"/>
    <col min="3" max="3" width="16.8545454545455" style="296" customWidth="1"/>
    <col min="4" max="4" width="6.70909090909091" style="296" customWidth="1"/>
    <col min="5" max="5" width="13.1363636363636" style="296" customWidth="1"/>
    <col min="6" max="6" width="11.1363636363636" style="296" customWidth="1"/>
    <col min="7" max="7" width="14.4272727272727" style="296" customWidth="1"/>
    <col min="8" max="8" width="5.85454545454545" style="296" customWidth="1"/>
    <col min="9" max="9" width="12.8545454545455" style="296" customWidth="1"/>
    <col min="10" max="10" width="11.5727272727273" style="296" customWidth="1"/>
    <col min="11" max="11" width="6.85454545454545" style="296" customWidth="1"/>
    <col min="12" max="12" width="10.8545454545455" style="296" customWidth="1"/>
    <col min="13" max="13" width="12.5727272727273" style="296" customWidth="1"/>
    <col min="14" max="14" width="11" style="296" customWidth="1"/>
    <col min="15" max="15" width="12.1363636363636" style="296" customWidth="1"/>
    <col min="16" max="16" width="15.4272727272727" style="296" customWidth="1"/>
    <col min="17" max="17" width="16.5727272727273" style="296" customWidth="1"/>
    <col min="18" max="18" width="9.85454545454546" style="296" customWidth="1"/>
    <col min="19" max="19" width="10.5727272727273" style="296" customWidth="1"/>
    <col min="20" max="20" width="11.5727272727273" style="296" customWidth="1"/>
    <col min="21" max="21" width="12.4272727272727" style="296" customWidth="1"/>
    <col min="22" max="22" width="14.5727272727273" style="296" customWidth="1"/>
    <col min="23" max="23" width="9.57272727272727" style="296" customWidth="1"/>
    <col min="24" max="24" width="15.1363636363636" style="296" customWidth="1"/>
    <col min="25" max="25" width="9" style="296" customWidth="1"/>
    <col min="26" max="26" width="14.1363636363636" style="296" customWidth="1"/>
    <col min="27" max="27" width="16.2818181818182" style="296" customWidth="1"/>
    <col min="28" max="28" width="14.7090909090909" style="296" customWidth="1"/>
    <col min="29" max="29" width="27.4272727272727" style="296" customWidth="1"/>
    <col min="30" max="16384" width="9.13636363636364" style="296"/>
  </cols>
  <sheetData>
    <row r="1" ht="13" hidden="1" spans="1:26">
      <c r="A1" s="458" t="s">
        <v>0</v>
      </c>
      <c r="B1" s="458"/>
      <c r="C1" s="458"/>
      <c r="D1" s="458"/>
      <c r="E1" s="458"/>
      <c r="F1" s="458"/>
      <c r="G1" s="458"/>
      <c r="H1" s="458"/>
      <c r="I1" s="458"/>
      <c r="J1" s="458"/>
      <c r="K1" s="458"/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  <c r="Z1" s="475"/>
    </row>
    <row r="2" ht="13" hidden="1" spans="1:26">
      <c r="A2" s="459" t="s">
        <v>443</v>
      </c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  <c r="N2" s="459"/>
      <c r="O2" s="459"/>
      <c r="P2" s="459"/>
      <c r="Q2" s="459"/>
      <c r="R2" s="459"/>
      <c r="S2" s="459"/>
      <c r="T2" s="459"/>
      <c r="U2" s="459"/>
      <c r="V2" s="459"/>
      <c r="W2" s="459"/>
      <c r="X2" s="459"/>
      <c r="Y2" s="459"/>
      <c r="Z2" s="475"/>
    </row>
    <row r="3" ht="13.75" hidden="1" spans="1:26">
      <c r="A3" s="460" t="s">
        <v>444</v>
      </c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75"/>
    </row>
    <row r="4" ht="83.25" customHeight="1" spans="1:28">
      <c r="A4" s="461" t="s">
        <v>445</v>
      </c>
      <c r="B4" s="462" t="s">
        <v>446</v>
      </c>
      <c r="C4" s="463" t="s">
        <v>447</v>
      </c>
      <c r="D4" s="462" t="s">
        <v>448</v>
      </c>
      <c r="E4" s="463" t="s">
        <v>449</v>
      </c>
      <c r="F4" s="463" t="s">
        <v>450</v>
      </c>
      <c r="G4" s="463" t="s">
        <v>451</v>
      </c>
      <c r="H4" s="463" t="s">
        <v>452</v>
      </c>
      <c r="I4" s="463" t="s">
        <v>453</v>
      </c>
      <c r="J4" s="463"/>
      <c r="K4" s="463"/>
      <c r="L4" s="463"/>
      <c r="M4" s="463" t="s">
        <v>454</v>
      </c>
      <c r="N4" s="463" t="s">
        <v>455</v>
      </c>
      <c r="O4" s="463" t="s">
        <v>456</v>
      </c>
      <c r="P4" s="463" t="s">
        <v>457</v>
      </c>
      <c r="Q4" s="463" t="s">
        <v>458</v>
      </c>
      <c r="R4" s="463" t="s">
        <v>459</v>
      </c>
      <c r="S4" s="463" t="s">
        <v>460</v>
      </c>
      <c r="T4" s="463" t="s">
        <v>461</v>
      </c>
      <c r="U4" s="463" t="s">
        <v>462</v>
      </c>
      <c r="V4" s="463" t="s">
        <v>463</v>
      </c>
      <c r="W4" s="463"/>
      <c r="X4" s="463" t="s">
        <v>464</v>
      </c>
      <c r="Y4" s="463" t="s">
        <v>465</v>
      </c>
      <c r="Z4" s="476" t="s">
        <v>466</v>
      </c>
      <c r="AA4" s="477"/>
      <c r="AB4" s="477" t="s">
        <v>518</v>
      </c>
    </row>
    <row r="5" ht="17.5" spans="1:31">
      <c r="A5" s="464">
        <v>1</v>
      </c>
      <c r="B5" s="8" t="s">
        <v>21</v>
      </c>
      <c r="C5" s="465"/>
      <c r="D5" s="466"/>
      <c r="E5" s="467"/>
      <c r="F5" s="467"/>
      <c r="G5" s="467"/>
      <c r="H5" s="467"/>
      <c r="I5" s="467"/>
      <c r="J5" s="467"/>
      <c r="K5" s="467"/>
      <c r="L5" s="467"/>
      <c r="M5" s="467"/>
      <c r="N5" s="467"/>
      <c r="O5" s="467"/>
      <c r="P5" s="467"/>
      <c r="Q5" s="467"/>
      <c r="R5" s="467"/>
      <c r="S5" s="467"/>
      <c r="T5" s="467"/>
      <c r="U5" s="467"/>
      <c r="V5" s="467"/>
      <c r="W5" s="474"/>
      <c r="X5" s="467"/>
      <c r="Y5" s="467"/>
      <c r="Z5" s="478"/>
      <c r="AA5" s="479"/>
      <c r="AB5" s="479"/>
      <c r="AC5" s="479"/>
      <c r="AD5" s="479"/>
      <c r="AE5" s="479"/>
    </row>
    <row r="6" ht="18" spans="1:31">
      <c r="A6" s="464">
        <v>3</v>
      </c>
      <c r="B6" s="11" t="s">
        <v>22</v>
      </c>
      <c r="C6" s="465">
        <v>1934986.167</v>
      </c>
      <c r="D6" s="466">
        <v>12</v>
      </c>
      <c r="E6" s="467">
        <f>C6*D6</f>
        <v>23219834.004</v>
      </c>
      <c r="F6" s="467"/>
      <c r="G6" s="467"/>
      <c r="H6" s="467"/>
      <c r="I6" s="467">
        <f t="shared" ref="I6:I32" si="0">E6-F6-G6-H6</f>
        <v>23219834.004</v>
      </c>
      <c r="J6" s="467">
        <v>200000</v>
      </c>
      <c r="K6" s="467">
        <v>0.2</v>
      </c>
      <c r="L6" s="467">
        <f t="shared" ref="L6:L75" si="1">I6*K6</f>
        <v>4643966.8008</v>
      </c>
      <c r="M6" s="467">
        <f t="shared" ref="M6:M75" si="2">J6+L6</f>
        <v>4843966.8008</v>
      </c>
      <c r="N6" s="467">
        <f t="shared" ref="N6:N32" si="3">F6+G6+H6+M6</f>
        <v>4843966.8008</v>
      </c>
      <c r="O6" s="467">
        <f t="shared" ref="O6:O32" si="4">E6-N6</f>
        <v>18375867.2032</v>
      </c>
      <c r="P6" s="467">
        <f t="shared" ref="P6:P75" si="5">IF(O6&lt;300000,0.07*O6,21000)</f>
        <v>21000</v>
      </c>
      <c r="Q6" s="467">
        <f t="shared" ref="Q6:Q75" si="6">IF((O6-300000)&lt;0,0,IF((O6-300000)&lt;300000,0.11*(O6-300000),33000))</f>
        <v>33000</v>
      </c>
      <c r="R6" s="467">
        <f t="shared" ref="R6:R75" si="7">IF((O6-600000)&lt;0,0,IF((O6-600000)&lt;500000,0.15*(O6-600000),75000))</f>
        <v>75000</v>
      </c>
      <c r="S6" s="467">
        <f t="shared" ref="S6:S75" si="8">IF((O6-1100000)&lt;0,0,IF((O6-1100000)&lt;500000,0.19*(O6-1100000),95000))</f>
        <v>95000</v>
      </c>
      <c r="T6" s="467">
        <f t="shared" ref="T6:T75" si="9">IF((O6-1600000)&lt;0,0,IF((O6-1600000)&lt;1600000,0.21*(O6-1600000),336000))</f>
        <v>336000</v>
      </c>
      <c r="U6" s="467">
        <f t="shared" ref="U6:U73" si="10">24%*(O6-3200000)</f>
        <v>3642208.128768</v>
      </c>
      <c r="V6" s="467">
        <f t="shared" ref="V6:V75" si="11">P6+Q6+R6+S6+T6+U6</f>
        <v>4202208.128768</v>
      </c>
      <c r="W6" s="474">
        <v>12</v>
      </c>
      <c r="X6" s="467">
        <f t="shared" ref="X6:X75" si="12">V6/W6</f>
        <v>350184.010730667</v>
      </c>
      <c r="Y6" s="467"/>
      <c r="Z6" s="478">
        <f t="shared" ref="Z6:Z75" si="13">X6</f>
        <v>350184.010730667</v>
      </c>
      <c r="AA6" s="479">
        <v>201165.835946667</v>
      </c>
      <c r="AB6" s="479">
        <f>Z6-AA6</f>
        <v>149018.174784</v>
      </c>
      <c r="AC6" s="479"/>
      <c r="AD6" s="479"/>
      <c r="AE6" s="479"/>
    </row>
    <row r="7" ht="18" spans="1:31">
      <c r="A7" s="464">
        <v>4</v>
      </c>
      <c r="B7" s="11" t="s">
        <v>25</v>
      </c>
      <c r="C7" s="465">
        <v>852373.166666667</v>
      </c>
      <c r="D7" s="466">
        <v>12</v>
      </c>
      <c r="E7" s="467">
        <f t="shared" ref="E7:E32" si="14">C7*D7</f>
        <v>10228478</v>
      </c>
      <c r="F7" s="467"/>
      <c r="G7" s="467">
        <v>731878.24</v>
      </c>
      <c r="H7" s="467"/>
      <c r="I7" s="467">
        <f t="shared" si="0"/>
        <v>9496599.76</v>
      </c>
      <c r="J7" s="467">
        <v>200000</v>
      </c>
      <c r="K7" s="467">
        <v>0.2</v>
      </c>
      <c r="L7" s="467">
        <f t="shared" si="1"/>
        <v>1899319.952</v>
      </c>
      <c r="M7" s="467">
        <f t="shared" si="2"/>
        <v>2099319.952</v>
      </c>
      <c r="N7" s="467">
        <f t="shared" si="3"/>
        <v>2831198.192</v>
      </c>
      <c r="O7" s="467">
        <f t="shared" si="4"/>
        <v>7397279.808</v>
      </c>
      <c r="P7" s="467">
        <f t="shared" si="5"/>
        <v>21000</v>
      </c>
      <c r="Q7" s="467">
        <f t="shared" si="6"/>
        <v>33000</v>
      </c>
      <c r="R7" s="467">
        <f t="shared" si="7"/>
        <v>75000</v>
      </c>
      <c r="S7" s="467">
        <f t="shared" si="8"/>
        <v>95000</v>
      </c>
      <c r="T7" s="467">
        <f t="shared" si="9"/>
        <v>336000</v>
      </c>
      <c r="U7" s="467">
        <f t="shared" si="10"/>
        <v>1007347.15392</v>
      </c>
      <c r="V7" s="467">
        <f t="shared" si="11"/>
        <v>1567347.15392</v>
      </c>
      <c r="W7" s="474">
        <v>12</v>
      </c>
      <c r="X7" s="467">
        <f t="shared" si="12"/>
        <v>130612.262826667</v>
      </c>
      <c r="Y7" s="467"/>
      <c r="Z7" s="478">
        <f t="shared" si="13"/>
        <v>130612.262826667</v>
      </c>
      <c r="AA7" s="479">
        <v>82627.9514186667</v>
      </c>
      <c r="AB7" s="479">
        <f t="shared" ref="AB7:AB32" si="15">Z7-AA7</f>
        <v>47984.311408</v>
      </c>
      <c r="AC7" s="479"/>
      <c r="AD7" s="479"/>
      <c r="AE7" s="479"/>
    </row>
    <row r="8" ht="18" spans="1:31">
      <c r="A8" s="464">
        <v>5</v>
      </c>
      <c r="B8" s="14" t="s">
        <v>28</v>
      </c>
      <c r="C8" s="465">
        <v>1052373.16666667</v>
      </c>
      <c r="D8" s="466">
        <v>12</v>
      </c>
      <c r="E8" s="467">
        <f t="shared" si="14"/>
        <v>12628478</v>
      </c>
      <c r="F8" s="467"/>
      <c r="G8" s="467">
        <v>0</v>
      </c>
      <c r="H8" s="467"/>
      <c r="I8" s="467">
        <f t="shared" si="0"/>
        <v>12628478</v>
      </c>
      <c r="J8" s="467">
        <v>200000</v>
      </c>
      <c r="K8" s="467">
        <v>0.2</v>
      </c>
      <c r="L8" s="467">
        <f t="shared" si="1"/>
        <v>2525695.60000001</v>
      </c>
      <c r="M8" s="467">
        <f t="shared" si="2"/>
        <v>2725695.60000001</v>
      </c>
      <c r="N8" s="467">
        <f t="shared" si="3"/>
        <v>2725695.60000001</v>
      </c>
      <c r="O8" s="467">
        <f t="shared" si="4"/>
        <v>9902782.40000003</v>
      </c>
      <c r="P8" s="467">
        <f t="shared" si="5"/>
        <v>21000</v>
      </c>
      <c r="Q8" s="467">
        <f t="shared" si="6"/>
        <v>33000</v>
      </c>
      <c r="R8" s="467">
        <f t="shared" si="7"/>
        <v>75000</v>
      </c>
      <c r="S8" s="467">
        <f t="shared" si="8"/>
        <v>95000</v>
      </c>
      <c r="T8" s="467">
        <f t="shared" si="9"/>
        <v>336000</v>
      </c>
      <c r="U8" s="467">
        <f t="shared" si="10"/>
        <v>1608667.77600001</v>
      </c>
      <c r="V8" s="467">
        <f t="shared" si="11"/>
        <v>2168667.77600001</v>
      </c>
      <c r="W8" s="474">
        <v>12</v>
      </c>
      <c r="X8" s="467">
        <f t="shared" si="12"/>
        <v>180722.314666667</v>
      </c>
      <c r="Y8" s="467"/>
      <c r="Z8" s="478">
        <f t="shared" si="13"/>
        <v>180722.314666667</v>
      </c>
      <c r="AA8" s="479">
        <v>121027.951418667</v>
      </c>
      <c r="AB8" s="479">
        <f t="shared" si="15"/>
        <v>59694.3632480003</v>
      </c>
      <c r="AC8" s="479"/>
      <c r="AD8" s="479"/>
      <c r="AE8" s="479"/>
    </row>
    <row r="9" ht="18" spans="1:31">
      <c r="A9" s="464">
        <v>6</v>
      </c>
      <c r="B9" s="11" t="s">
        <v>30</v>
      </c>
      <c r="C9" s="465">
        <v>942373.166666667</v>
      </c>
      <c r="D9" s="466">
        <v>12</v>
      </c>
      <c r="E9" s="467">
        <f t="shared" si="14"/>
        <v>11308478</v>
      </c>
      <c r="F9" s="467">
        <f>'[6]JANUARY 2024'!$V$10*12</f>
        <v>12795.951</v>
      </c>
      <c r="G9" s="467">
        <v>731878.24</v>
      </c>
      <c r="H9" s="467"/>
      <c r="I9" s="467">
        <f t="shared" si="0"/>
        <v>10563803.809</v>
      </c>
      <c r="J9" s="467">
        <v>200000</v>
      </c>
      <c r="K9" s="467">
        <v>0.2</v>
      </c>
      <c r="L9" s="467">
        <f t="shared" si="1"/>
        <v>2112760.7618</v>
      </c>
      <c r="M9" s="467">
        <f t="shared" si="2"/>
        <v>2312760.7618</v>
      </c>
      <c r="N9" s="467">
        <f t="shared" si="3"/>
        <v>3057434.9528</v>
      </c>
      <c r="O9" s="467">
        <f t="shared" si="4"/>
        <v>8251043.0472</v>
      </c>
      <c r="P9" s="467">
        <f t="shared" si="5"/>
        <v>21000</v>
      </c>
      <c r="Q9" s="467">
        <f t="shared" si="6"/>
        <v>33000</v>
      </c>
      <c r="R9" s="467">
        <f t="shared" si="7"/>
        <v>75000</v>
      </c>
      <c r="S9" s="467">
        <f t="shared" si="8"/>
        <v>95000</v>
      </c>
      <c r="T9" s="467">
        <f t="shared" si="9"/>
        <v>336000</v>
      </c>
      <c r="U9" s="467">
        <f t="shared" si="10"/>
        <v>1212250.331328</v>
      </c>
      <c r="V9" s="467">
        <f t="shared" si="11"/>
        <v>1772250.331328</v>
      </c>
      <c r="W9" s="474">
        <v>12</v>
      </c>
      <c r="X9" s="467">
        <f t="shared" si="12"/>
        <v>147687.527610667</v>
      </c>
      <c r="Y9" s="467"/>
      <c r="Z9" s="478">
        <f t="shared" si="13"/>
        <v>147687.527610667</v>
      </c>
      <c r="AA9" s="479">
        <v>99703.2162026667</v>
      </c>
      <c r="AB9" s="479">
        <f t="shared" si="15"/>
        <v>47984.311408</v>
      </c>
      <c r="AC9" s="479"/>
      <c r="AD9" s="479"/>
      <c r="AE9" s="479"/>
    </row>
    <row r="10" ht="18" spans="1:31">
      <c r="A10" s="464">
        <v>7</v>
      </c>
      <c r="B10" s="14" t="s">
        <v>32</v>
      </c>
      <c r="C10" s="465">
        <v>1002373.16666667</v>
      </c>
      <c r="D10" s="466">
        <v>12</v>
      </c>
      <c r="E10" s="467">
        <f t="shared" si="14"/>
        <v>12028478</v>
      </c>
      <c r="F10" s="467">
        <f>'[6]JANUARY 2024'!$V$10*12</f>
        <v>12795.951</v>
      </c>
      <c r="G10" s="467">
        <v>731878.24</v>
      </c>
      <c r="H10" s="467"/>
      <c r="I10" s="467">
        <f t="shared" si="0"/>
        <v>11283803.809</v>
      </c>
      <c r="J10" s="467">
        <v>200000</v>
      </c>
      <c r="K10" s="467">
        <v>0.2</v>
      </c>
      <c r="L10" s="467">
        <f t="shared" si="1"/>
        <v>2256760.76180001</v>
      </c>
      <c r="M10" s="467">
        <f t="shared" si="2"/>
        <v>2456760.76180001</v>
      </c>
      <c r="N10" s="467">
        <f t="shared" si="3"/>
        <v>3201434.95280001</v>
      </c>
      <c r="O10" s="467">
        <f t="shared" si="4"/>
        <v>8827043.04720003</v>
      </c>
      <c r="P10" s="467">
        <f t="shared" si="5"/>
        <v>21000</v>
      </c>
      <c r="Q10" s="467">
        <f t="shared" si="6"/>
        <v>33000</v>
      </c>
      <c r="R10" s="467">
        <f t="shared" si="7"/>
        <v>75000</v>
      </c>
      <c r="S10" s="467">
        <f t="shared" si="8"/>
        <v>95000</v>
      </c>
      <c r="T10" s="467">
        <f t="shared" si="9"/>
        <v>336000</v>
      </c>
      <c r="U10" s="467">
        <f t="shared" si="10"/>
        <v>1350490.33132801</v>
      </c>
      <c r="V10" s="467">
        <f t="shared" si="11"/>
        <v>1910490.33132801</v>
      </c>
      <c r="W10" s="474">
        <v>12</v>
      </c>
      <c r="X10" s="467">
        <f t="shared" si="12"/>
        <v>159207.527610667</v>
      </c>
      <c r="Y10" s="467"/>
      <c r="Z10" s="478">
        <f t="shared" si="13"/>
        <v>159207.527610667</v>
      </c>
      <c r="AA10" s="479">
        <v>111223.216202667</v>
      </c>
      <c r="AB10" s="479">
        <f t="shared" si="15"/>
        <v>47984.3114080003</v>
      </c>
      <c r="AC10" s="479"/>
      <c r="AD10" s="479"/>
      <c r="AE10" s="479"/>
    </row>
    <row r="11" ht="18" spans="1:31">
      <c r="A11" s="464">
        <v>8</v>
      </c>
      <c r="B11" s="18" t="s">
        <v>576</v>
      </c>
      <c r="C11" s="465">
        <v>952373.166666667</v>
      </c>
      <c r="D11" s="466">
        <v>12</v>
      </c>
      <c r="E11" s="467">
        <f t="shared" si="14"/>
        <v>11428478</v>
      </c>
      <c r="F11" s="467"/>
      <c r="G11" s="467">
        <v>0</v>
      </c>
      <c r="H11" s="467"/>
      <c r="I11" s="467">
        <f t="shared" si="0"/>
        <v>11428478</v>
      </c>
      <c r="J11" s="467">
        <v>200000</v>
      </c>
      <c r="K11" s="467">
        <v>0.2</v>
      </c>
      <c r="L11" s="467">
        <f t="shared" si="1"/>
        <v>2285695.6</v>
      </c>
      <c r="M11" s="467">
        <f t="shared" si="2"/>
        <v>2485695.6</v>
      </c>
      <c r="N11" s="467">
        <f t="shared" si="3"/>
        <v>2485695.6</v>
      </c>
      <c r="O11" s="467">
        <f t="shared" si="4"/>
        <v>8942782.4</v>
      </c>
      <c r="P11" s="467">
        <f t="shared" si="5"/>
        <v>21000</v>
      </c>
      <c r="Q11" s="467">
        <f t="shared" si="6"/>
        <v>33000</v>
      </c>
      <c r="R11" s="467">
        <f t="shared" si="7"/>
        <v>75000</v>
      </c>
      <c r="S11" s="467">
        <f t="shared" si="8"/>
        <v>95000</v>
      </c>
      <c r="T11" s="467">
        <f t="shared" si="9"/>
        <v>336000</v>
      </c>
      <c r="U11" s="467">
        <f t="shared" si="10"/>
        <v>1378267.776</v>
      </c>
      <c r="V11" s="467">
        <f t="shared" si="11"/>
        <v>1938267.776</v>
      </c>
      <c r="W11" s="474">
        <v>12</v>
      </c>
      <c r="X11" s="467">
        <f t="shared" si="12"/>
        <v>161522.314666667</v>
      </c>
      <c r="Y11" s="467"/>
      <c r="Z11" s="478">
        <f t="shared" si="13"/>
        <v>161522.314666667</v>
      </c>
      <c r="AA11" s="479">
        <v>101827.951418667</v>
      </c>
      <c r="AB11" s="479">
        <f t="shared" si="15"/>
        <v>59694.3632479997</v>
      </c>
      <c r="AC11" s="479"/>
      <c r="AD11" s="479"/>
      <c r="AE11" s="479"/>
    </row>
    <row r="12" ht="18" spans="1:31">
      <c r="A12" s="464">
        <v>9</v>
      </c>
      <c r="B12" s="11" t="s">
        <v>34</v>
      </c>
      <c r="C12" s="465">
        <v>750675.583333333</v>
      </c>
      <c r="D12" s="466">
        <v>12</v>
      </c>
      <c r="E12" s="467">
        <f t="shared" si="14"/>
        <v>9008107</v>
      </c>
      <c r="F12" s="467">
        <f>'[6]JANUARY 2024'!$V$13*12</f>
        <v>10052.25</v>
      </c>
      <c r="G12" s="467">
        <v>595848.56</v>
      </c>
      <c r="H12" s="467"/>
      <c r="I12" s="467">
        <f t="shared" si="0"/>
        <v>8402206.19</v>
      </c>
      <c r="J12" s="467">
        <v>200000</v>
      </c>
      <c r="K12" s="467">
        <v>0.2</v>
      </c>
      <c r="L12" s="467">
        <f t="shared" si="1"/>
        <v>1680441.238</v>
      </c>
      <c r="M12" s="467">
        <f t="shared" si="2"/>
        <v>1880441.238</v>
      </c>
      <c r="N12" s="467">
        <f t="shared" si="3"/>
        <v>2486342.048</v>
      </c>
      <c r="O12" s="467">
        <f t="shared" si="4"/>
        <v>6521764.952</v>
      </c>
      <c r="P12" s="467">
        <f t="shared" si="5"/>
        <v>21000</v>
      </c>
      <c r="Q12" s="467">
        <f t="shared" si="6"/>
        <v>33000</v>
      </c>
      <c r="R12" s="467">
        <f t="shared" si="7"/>
        <v>75000</v>
      </c>
      <c r="S12" s="467">
        <f t="shared" si="8"/>
        <v>95000</v>
      </c>
      <c r="T12" s="467">
        <f t="shared" si="9"/>
        <v>336000</v>
      </c>
      <c r="U12" s="467">
        <f t="shared" si="10"/>
        <v>797223.588479999</v>
      </c>
      <c r="V12" s="467">
        <f t="shared" si="11"/>
        <v>1357223.58848</v>
      </c>
      <c r="W12" s="474">
        <v>12</v>
      </c>
      <c r="X12" s="467">
        <f t="shared" si="12"/>
        <v>113101.965706667</v>
      </c>
      <c r="Y12" s="467"/>
      <c r="Z12" s="478">
        <f t="shared" si="13"/>
        <v>113101.965706667</v>
      </c>
      <c r="AA12" s="479">
        <v>74036.1031466667</v>
      </c>
      <c r="AB12" s="479">
        <f t="shared" si="15"/>
        <v>39065.8625599999</v>
      </c>
      <c r="AC12" s="479"/>
      <c r="AD12" s="479"/>
      <c r="AE12" s="479"/>
    </row>
    <row r="13" ht="18" spans="1:31">
      <c r="A13" s="464">
        <v>10</v>
      </c>
      <c r="B13" s="11" t="s">
        <v>37</v>
      </c>
      <c r="C13" s="465">
        <v>842118.083333333</v>
      </c>
      <c r="D13" s="466">
        <v>12</v>
      </c>
      <c r="E13" s="467">
        <f t="shared" si="14"/>
        <v>10105417</v>
      </c>
      <c r="F13" s="467">
        <f>'[6]JANUARY 2024'!$V$14*12</f>
        <v>9305.952</v>
      </c>
      <c r="G13" s="467">
        <v>558833.36</v>
      </c>
      <c r="H13" s="467"/>
      <c r="I13" s="467">
        <f t="shared" si="0"/>
        <v>9537277.688</v>
      </c>
      <c r="J13" s="467">
        <v>200000</v>
      </c>
      <c r="K13" s="467">
        <v>0.2</v>
      </c>
      <c r="L13" s="467">
        <f t="shared" si="1"/>
        <v>1907455.5376</v>
      </c>
      <c r="M13" s="467">
        <f t="shared" si="2"/>
        <v>2107455.5376</v>
      </c>
      <c r="N13" s="467">
        <f t="shared" si="3"/>
        <v>2675594.8496</v>
      </c>
      <c r="O13" s="467">
        <f t="shared" si="4"/>
        <v>7429822.1504</v>
      </c>
      <c r="P13" s="467">
        <f t="shared" si="5"/>
        <v>21000</v>
      </c>
      <c r="Q13" s="467">
        <f t="shared" si="6"/>
        <v>33000</v>
      </c>
      <c r="R13" s="467">
        <f t="shared" si="7"/>
        <v>75000</v>
      </c>
      <c r="S13" s="467">
        <f t="shared" si="8"/>
        <v>95000</v>
      </c>
      <c r="T13" s="467">
        <f t="shared" si="9"/>
        <v>336000</v>
      </c>
      <c r="U13" s="467">
        <f t="shared" si="10"/>
        <v>1015157.316096</v>
      </c>
      <c r="V13" s="467">
        <f t="shared" si="11"/>
        <v>1575157.316096</v>
      </c>
      <c r="W13" s="474">
        <v>12</v>
      </c>
      <c r="X13" s="467">
        <f t="shared" si="12"/>
        <v>131263.109674667</v>
      </c>
      <c r="Y13" s="467"/>
      <c r="Z13" s="478">
        <f t="shared" si="13"/>
        <v>131263.109674667</v>
      </c>
      <c r="AA13" s="479">
        <v>94625.7820586667</v>
      </c>
      <c r="AB13" s="479">
        <f t="shared" si="15"/>
        <v>36637.3276159999</v>
      </c>
      <c r="AC13" s="479"/>
      <c r="AD13" s="479"/>
      <c r="AE13" s="479"/>
    </row>
    <row r="14" ht="18" spans="1:31">
      <c r="A14" s="464">
        <v>11</v>
      </c>
      <c r="B14" s="11" t="s">
        <v>40</v>
      </c>
      <c r="C14" s="465">
        <v>554373.75</v>
      </c>
      <c r="D14" s="466">
        <v>12</v>
      </c>
      <c r="E14" s="467">
        <f t="shared" si="14"/>
        <v>6652485</v>
      </c>
      <c r="F14" s="467"/>
      <c r="G14" s="467">
        <v>464998.8</v>
      </c>
      <c r="H14" s="467"/>
      <c r="I14" s="467">
        <f t="shared" si="0"/>
        <v>6187486.2</v>
      </c>
      <c r="J14" s="467">
        <v>200000</v>
      </c>
      <c r="K14" s="467">
        <v>0.2</v>
      </c>
      <c r="L14" s="467">
        <f t="shared" si="1"/>
        <v>1237497.24</v>
      </c>
      <c r="M14" s="467">
        <f t="shared" si="2"/>
        <v>1437497.24</v>
      </c>
      <c r="N14" s="467">
        <f t="shared" si="3"/>
        <v>1902496.04</v>
      </c>
      <c r="O14" s="467">
        <f t="shared" si="4"/>
        <v>4749988.96</v>
      </c>
      <c r="P14" s="467">
        <f t="shared" si="5"/>
        <v>21000</v>
      </c>
      <c r="Q14" s="467">
        <f t="shared" si="6"/>
        <v>33000</v>
      </c>
      <c r="R14" s="467">
        <f t="shared" si="7"/>
        <v>75000</v>
      </c>
      <c r="S14" s="467">
        <f t="shared" si="8"/>
        <v>95000</v>
      </c>
      <c r="T14" s="467">
        <f t="shared" si="9"/>
        <v>336000</v>
      </c>
      <c r="U14" s="467">
        <f t="shared" si="10"/>
        <v>371997.3504</v>
      </c>
      <c r="V14" s="467">
        <f t="shared" si="11"/>
        <v>931997.3504</v>
      </c>
      <c r="W14" s="474">
        <v>12</v>
      </c>
      <c r="X14" s="467">
        <f t="shared" si="12"/>
        <v>77666.4458666667</v>
      </c>
      <c r="Y14" s="467"/>
      <c r="Z14" s="478">
        <f t="shared" si="13"/>
        <v>77666.4458666667</v>
      </c>
      <c r="AA14" s="479">
        <v>44846.6165886667</v>
      </c>
      <c r="AB14" s="479">
        <f t="shared" si="15"/>
        <v>32819.829278</v>
      </c>
      <c r="AC14" s="479"/>
      <c r="AD14" s="479"/>
      <c r="AE14" s="479"/>
    </row>
    <row r="15" ht="18" spans="1:31">
      <c r="A15" s="464">
        <v>12</v>
      </c>
      <c r="B15" s="14" t="s">
        <v>43</v>
      </c>
      <c r="C15" s="465">
        <v>660498</v>
      </c>
      <c r="D15" s="466">
        <v>12</v>
      </c>
      <c r="E15" s="467">
        <f t="shared" si="14"/>
        <v>7925976</v>
      </c>
      <c r="F15" s="467"/>
      <c r="G15" s="468">
        <v>451678.08</v>
      </c>
      <c r="H15" s="467"/>
      <c r="I15" s="467">
        <f t="shared" si="0"/>
        <v>7474297.92</v>
      </c>
      <c r="J15" s="467">
        <v>200000</v>
      </c>
      <c r="K15" s="467">
        <v>0.2</v>
      </c>
      <c r="L15" s="467">
        <f t="shared" si="1"/>
        <v>1494859.584</v>
      </c>
      <c r="M15" s="467">
        <f t="shared" si="2"/>
        <v>1694859.584</v>
      </c>
      <c r="N15" s="467">
        <f t="shared" si="3"/>
        <v>2146537.664</v>
      </c>
      <c r="O15" s="467">
        <f t="shared" si="4"/>
        <v>5779438.336</v>
      </c>
      <c r="P15" s="467">
        <f t="shared" si="5"/>
        <v>21000</v>
      </c>
      <c r="Q15" s="467">
        <f t="shared" si="6"/>
        <v>33000</v>
      </c>
      <c r="R15" s="467">
        <f t="shared" si="7"/>
        <v>75000</v>
      </c>
      <c r="S15" s="467">
        <f t="shared" si="8"/>
        <v>95000</v>
      </c>
      <c r="T15" s="467">
        <f t="shared" si="9"/>
        <v>336000</v>
      </c>
      <c r="U15" s="467">
        <f t="shared" si="10"/>
        <v>619065.20064</v>
      </c>
      <c r="V15" s="467">
        <f t="shared" si="11"/>
        <v>1179065.20064</v>
      </c>
      <c r="W15" s="474">
        <v>12</v>
      </c>
      <c r="X15" s="467">
        <f t="shared" si="12"/>
        <v>98255.4333866667</v>
      </c>
      <c r="Y15" s="467"/>
      <c r="Z15" s="478">
        <f t="shared" si="13"/>
        <v>98255.4333866667</v>
      </c>
      <c r="AA15" s="479">
        <v>46666.6666666667</v>
      </c>
      <c r="AB15" s="479">
        <f t="shared" si="15"/>
        <v>51588.76672</v>
      </c>
      <c r="AC15" s="479"/>
      <c r="AD15" s="479"/>
      <c r="AE15" s="479"/>
    </row>
    <row r="16" ht="18" spans="1:31">
      <c r="A16" s="464">
        <v>13</v>
      </c>
      <c r="B16" s="11" t="s">
        <v>45</v>
      </c>
      <c r="C16" s="465">
        <v>732746.5</v>
      </c>
      <c r="D16" s="466">
        <v>12</v>
      </c>
      <c r="E16" s="467">
        <f t="shared" si="14"/>
        <v>8792958</v>
      </c>
      <c r="F16" s="467"/>
      <c r="G16" s="467">
        <v>425036.64</v>
      </c>
      <c r="H16" s="467"/>
      <c r="I16" s="467">
        <f t="shared" si="0"/>
        <v>8367921.36</v>
      </c>
      <c r="J16" s="467">
        <v>200000</v>
      </c>
      <c r="K16" s="467">
        <v>0.2</v>
      </c>
      <c r="L16" s="467">
        <f t="shared" si="1"/>
        <v>1673584.272</v>
      </c>
      <c r="M16" s="467">
        <f t="shared" si="2"/>
        <v>1873584.272</v>
      </c>
      <c r="N16" s="467">
        <f t="shared" si="3"/>
        <v>2298620.912</v>
      </c>
      <c r="O16" s="467">
        <f t="shared" si="4"/>
        <v>6494337.088</v>
      </c>
      <c r="P16" s="467">
        <f t="shared" si="5"/>
        <v>21000</v>
      </c>
      <c r="Q16" s="467">
        <f t="shared" si="6"/>
        <v>33000</v>
      </c>
      <c r="R16" s="467">
        <f t="shared" si="7"/>
        <v>75000</v>
      </c>
      <c r="S16" s="467">
        <f t="shared" si="8"/>
        <v>95000</v>
      </c>
      <c r="T16" s="467">
        <f t="shared" si="9"/>
        <v>336000</v>
      </c>
      <c r="U16" s="467">
        <f t="shared" si="10"/>
        <v>790640.90112</v>
      </c>
      <c r="V16" s="467">
        <f t="shared" si="11"/>
        <v>1350640.90112</v>
      </c>
      <c r="W16" s="474">
        <v>12</v>
      </c>
      <c r="X16" s="467">
        <f t="shared" si="12"/>
        <v>112553.408426667</v>
      </c>
      <c r="Y16" s="467"/>
      <c r="Z16" s="478">
        <f t="shared" si="13"/>
        <v>112553.408426667</v>
      </c>
      <c r="AA16" s="479">
        <v>46666.6666666667</v>
      </c>
      <c r="AB16" s="479">
        <f t="shared" si="15"/>
        <v>65886.7417599999</v>
      </c>
      <c r="AC16" s="479"/>
      <c r="AD16" s="479"/>
      <c r="AE16" s="479"/>
    </row>
    <row r="17" ht="18" spans="1:31">
      <c r="A17" s="464">
        <v>14</v>
      </c>
      <c r="B17" s="11" t="s">
        <v>48</v>
      </c>
      <c r="C17" s="465">
        <v>511804.916666667</v>
      </c>
      <c r="D17" s="466">
        <v>12</v>
      </c>
      <c r="E17" s="467">
        <f t="shared" si="14"/>
        <v>6141659</v>
      </c>
      <c r="F17" s="467"/>
      <c r="G17" s="467">
        <v>424132.72</v>
      </c>
      <c r="H17" s="467"/>
      <c r="I17" s="467">
        <f t="shared" si="0"/>
        <v>5717526.28</v>
      </c>
      <c r="J17" s="467">
        <v>200000</v>
      </c>
      <c r="K17" s="467">
        <v>0.2</v>
      </c>
      <c r="L17" s="467">
        <f t="shared" si="1"/>
        <v>1143505.256</v>
      </c>
      <c r="M17" s="467">
        <f t="shared" si="2"/>
        <v>1343505.256</v>
      </c>
      <c r="N17" s="467">
        <f t="shared" si="3"/>
        <v>1767637.976</v>
      </c>
      <c r="O17" s="467">
        <f t="shared" si="4"/>
        <v>4374021.024</v>
      </c>
      <c r="P17" s="467">
        <f t="shared" si="5"/>
        <v>21000</v>
      </c>
      <c r="Q17" s="467">
        <f t="shared" si="6"/>
        <v>33000</v>
      </c>
      <c r="R17" s="467">
        <f t="shared" si="7"/>
        <v>75000</v>
      </c>
      <c r="S17" s="467">
        <f t="shared" si="8"/>
        <v>95000</v>
      </c>
      <c r="T17" s="467">
        <f t="shared" si="9"/>
        <v>336000</v>
      </c>
      <c r="U17" s="467">
        <f t="shared" si="10"/>
        <v>281765.045760001</v>
      </c>
      <c r="V17" s="467">
        <f t="shared" si="11"/>
        <v>841765.045760001</v>
      </c>
      <c r="W17" s="474">
        <v>12</v>
      </c>
      <c r="X17" s="467">
        <f t="shared" si="12"/>
        <v>70147.0871466667</v>
      </c>
      <c r="Y17" s="467"/>
      <c r="Z17" s="478">
        <f t="shared" si="13"/>
        <v>70147.0871466667</v>
      </c>
      <c r="AA17" s="479">
        <v>42046.0636866667</v>
      </c>
      <c r="AB17" s="479">
        <f t="shared" si="15"/>
        <v>28101.02346</v>
      </c>
      <c r="AC17" s="479"/>
      <c r="AD17" s="479"/>
      <c r="AE17" s="479"/>
    </row>
    <row r="18" ht="18" spans="1:31">
      <c r="A18" s="464">
        <v>15</v>
      </c>
      <c r="B18" s="11" t="s">
        <v>50</v>
      </c>
      <c r="C18" s="465">
        <v>548915.916666667</v>
      </c>
      <c r="D18" s="466">
        <v>12</v>
      </c>
      <c r="E18" s="467">
        <f t="shared" si="14"/>
        <v>6586991</v>
      </c>
      <c r="F18" s="467"/>
      <c r="G18" s="467">
        <v>411759.28</v>
      </c>
      <c r="H18" s="467"/>
      <c r="I18" s="467">
        <f t="shared" si="0"/>
        <v>6175231.72</v>
      </c>
      <c r="J18" s="467">
        <v>200000</v>
      </c>
      <c r="K18" s="467">
        <v>0.2</v>
      </c>
      <c r="L18" s="467">
        <f t="shared" si="1"/>
        <v>1235046.344</v>
      </c>
      <c r="M18" s="467">
        <f t="shared" si="2"/>
        <v>1435046.344</v>
      </c>
      <c r="N18" s="467">
        <f t="shared" si="3"/>
        <v>1846805.624</v>
      </c>
      <c r="O18" s="467">
        <f t="shared" si="4"/>
        <v>4740185.376</v>
      </c>
      <c r="P18" s="467">
        <f t="shared" si="5"/>
        <v>21000</v>
      </c>
      <c r="Q18" s="467">
        <f t="shared" si="6"/>
        <v>33000</v>
      </c>
      <c r="R18" s="467">
        <f t="shared" si="7"/>
        <v>75000</v>
      </c>
      <c r="S18" s="467">
        <f t="shared" si="8"/>
        <v>95000</v>
      </c>
      <c r="T18" s="467">
        <f t="shared" si="9"/>
        <v>336000</v>
      </c>
      <c r="U18" s="467">
        <f t="shared" si="10"/>
        <v>369644.490240001</v>
      </c>
      <c r="V18" s="467">
        <f t="shared" si="11"/>
        <v>929644.490240001</v>
      </c>
      <c r="W18" s="474">
        <v>12</v>
      </c>
      <c r="X18" s="467">
        <f t="shared" si="12"/>
        <v>77470.3741866667</v>
      </c>
      <c r="Y18" s="467"/>
      <c r="Z18" s="478">
        <f t="shared" si="13"/>
        <v>77470.3741866667</v>
      </c>
      <c r="AA18" s="479">
        <v>46666.6666666667</v>
      </c>
      <c r="AB18" s="479">
        <f t="shared" si="15"/>
        <v>30803.70752</v>
      </c>
      <c r="AC18" s="479"/>
      <c r="AD18" s="479"/>
      <c r="AE18" s="479"/>
    </row>
    <row r="19" ht="18" spans="1:31">
      <c r="A19" s="464">
        <v>16</v>
      </c>
      <c r="B19" s="18" t="s">
        <v>53</v>
      </c>
      <c r="C19" s="465">
        <v>636026.916666667</v>
      </c>
      <c r="D19" s="466">
        <v>12</v>
      </c>
      <c r="E19" s="467">
        <f t="shared" si="14"/>
        <v>7632323</v>
      </c>
      <c r="F19" s="467">
        <f>618.53*12</f>
        <v>7422.36</v>
      </c>
      <c r="G19" s="467">
        <v>399385.84</v>
      </c>
      <c r="H19" s="467"/>
      <c r="I19" s="467">
        <f t="shared" si="0"/>
        <v>7225514.8</v>
      </c>
      <c r="J19" s="467">
        <v>200000</v>
      </c>
      <c r="K19" s="467">
        <v>0.2</v>
      </c>
      <c r="L19" s="467">
        <f t="shared" si="1"/>
        <v>1445102.96</v>
      </c>
      <c r="M19" s="467">
        <f t="shared" si="2"/>
        <v>1645102.96</v>
      </c>
      <c r="N19" s="467">
        <f t="shared" si="3"/>
        <v>2051911.16</v>
      </c>
      <c r="O19" s="467">
        <f t="shared" si="4"/>
        <v>5580411.84</v>
      </c>
      <c r="P19" s="467">
        <f t="shared" si="5"/>
        <v>21000</v>
      </c>
      <c r="Q19" s="467">
        <f t="shared" si="6"/>
        <v>33000</v>
      </c>
      <c r="R19" s="467">
        <f t="shared" si="7"/>
        <v>75000</v>
      </c>
      <c r="S19" s="467">
        <f t="shared" si="8"/>
        <v>95000</v>
      </c>
      <c r="T19" s="467">
        <f t="shared" si="9"/>
        <v>336000</v>
      </c>
      <c r="U19" s="467">
        <f t="shared" si="10"/>
        <v>571298.841600001</v>
      </c>
      <c r="V19" s="467">
        <f t="shared" si="11"/>
        <v>1131298.8416</v>
      </c>
      <c r="W19" s="474">
        <v>12</v>
      </c>
      <c r="X19" s="467">
        <f t="shared" si="12"/>
        <v>94274.9034666667</v>
      </c>
      <c r="Y19" s="467"/>
      <c r="Z19" s="478">
        <f t="shared" si="13"/>
        <v>94274.9034666667</v>
      </c>
      <c r="AA19" s="479">
        <v>46666.6666666667</v>
      </c>
      <c r="AB19" s="479">
        <f t="shared" si="15"/>
        <v>47608.2368</v>
      </c>
      <c r="AC19" s="479"/>
      <c r="AD19" s="479"/>
      <c r="AE19" s="479"/>
    </row>
    <row r="20" ht="18" spans="1:31">
      <c r="A20" s="464">
        <v>17</v>
      </c>
      <c r="B20" s="11" t="s">
        <v>60</v>
      </c>
      <c r="C20" s="465">
        <v>537895.166666667</v>
      </c>
      <c r="D20" s="466">
        <v>12</v>
      </c>
      <c r="E20" s="467">
        <f t="shared" si="14"/>
        <v>6454742</v>
      </c>
      <c r="F20" s="467"/>
      <c r="G20" s="467">
        <v>362779.36</v>
      </c>
      <c r="H20" s="467"/>
      <c r="I20" s="467">
        <f t="shared" si="0"/>
        <v>6091962.64</v>
      </c>
      <c r="J20" s="467">
        <v>200000</v>
      </c>
      <c r="K20" s="467">
        <v>0.2</v>
      </c>
      <c r="L20" s="467">
        <f t="shared" si="1"/>
        <v>1218392.528</v>
      </c>
      <c r="M20" s="467">
        <f t="shared" si="2"/>
        <v>1418392.528</v>
      </c>
      <c r="N20" s="467">
        <f t="shared" si="3"/>
        <v>1781171.888</v>
      </c>
      <c r="O20" s="467">
        <f t="shared" si="4"/>
        <v>4673570.112</v>
      </c>
      <c r="P20" s="467">
        <f t="shared" si="5"/>
        <v>21000</v>
      </c>
      <c r="Q20" s="467">
        <f t="shared" si="6"/>
        <v>33000</v>
      </c>
      <c r="R20" s="467">
        <f t="shared" si="7"/>
        <v>75000</v>
      </c>
      <c r="S20" s="467">
        <f t="shared" si="8"/>
        <v>95000</v>
      </c>
      <c r="T20" s="467">
        <f t="shared" si="9"/>
        <v>336000</v>
      </c>
      <c r="U20" s="467">
        <f t="shared" si="10"/>
        <v>353656.826880001</v>
      </c>
      <c r="V20" s="467">
        <f t="shared" si="11"/>
        <v>913656.826880001</v>
      </c>
      <c r="W20" s="474">
        <v>12</v>
      </c>
      <c r="X20" s="467">
        <f t="shared" si="12"/>
        <v>76138.0689066667</v>
      </c>
      <c r="Y20" s="467"/>
      <c r="Z20" s="478">
        <f t="shared" si="13"/>
        <v>76138.0689066667</v>
      </c>
      <c r="AA20" s="479">
        <v>52497.7703786666</v>
      </c>
      <c r="AB20" s="479">
        <f t="shared" si="15"/>
        <v>23640.2985280001</v>
      </c>
      <c r="AC20" s="479"/>
      <c r="AD20" s="479"/>
      <c r="AE20" s="479"/>
    </row>
    <row r="21" ht="18" spans="1:31">
      <c r="A21" s="464">
        <v>18</v>
      </c>
      <c r="B21" s="14" t="s">
        <v>63</v>
      </c>
      <c r="C21" s="465">
        <v>553512.5</v>
      </c>
      <c r="D21" s="466">
        <v>12</v>
      </c>
      <c r="E21" s="467">
        <f t="shared" si="14"/>
        <v>6642150</v>
      </c>
      <c r="F21" s="467"/>
      <c r="G21" s="467">
        <v>339372</v>
      </c>
      <c r="H21" s="467"/>
      <c r="I21" s="467">
        <f t="shared" si="0"/>
        <v>6302778</v>
      </c>
      <c r="J21" s="467">
        <v>200000</v>
      </c>
      <c r="K21" s="467">
        <v>0.2</v>
      </c>
      <c r="L21" s="467">
        <f t="shared" si="1"/>
        <v>1260555.6</v>
      </c>
      <c r="M21" s="467">
        <f t="shared" si="2"/>
        <v>1460555.6</v>
      </c>
      <c r="N21" s="467">
        <f t="shared" si="3"/>
        <v>1799927.6</v>
      </c>
      <c r="O21" s="467">
        <f t="shared" si="4"/>
        <v>4842222.4</v>
      </c>
      <c r="P21" s="467">
        <f t="shared" si="5"/>
        <v>21000</v>
      </c>
      <c r="Q21" s="467">
        <f t="shared" si="6"/>
        <v>33000</v>
      </c>
      <c r="R21" s="467">
        <f t="shared" si="7"/>
        <v>75000</v>
      </c>
      <c r="S21" s="467">
        <f t="shared" si="8"/>
        <v>95000</v>
      </c>
      <c r="T21" s="467">
        <f t="shared" si="9"/>
        <v>336000</v>
      </c>
      <c r="U21" s="467">
        <f t="shared" si="10"/>
        <v>394133.376</v>
      </c>
      <c r="V21" s="467">
        <f t="shared" si="11"/>
        <v>954133.376</v>
      </c>
      <c r="W21" s="474">
        <v>12</v>
      </c>
      <c r="X21" s="467">
        <f t="shared" si="12"/>
        <v>79511.1146666667</v>
      </c>
      <c r="Y21" s="467"/>
      <c r="Z21" s="478">
        <f t="shared" si="13"/>
        <v>79511.1146666667</v>
      </c>
      <c r="AA21" s="479">
        <v>46666.6666666667</v>
      </c>
      <c r="AB21" s="479">
        <f t="shared" si="15"/>
        <v>32844.448</v>
      </c>
      <c r="AC21" s="479"/>
      <c r="AD21" s="479"/>
      <c r="AE21" s="479"/>
    </row>
    <row r="22" ht="18" spans="1:31">
      <c r="A22" s="464">
        <v>19</v>
      </c>
      <c r="B22" s="11" t="s">
        <v>66</v>
      </c>
      <c r="C22" s="465">
        <v>463512.5</v>
      </c>
      <c r="D22" s="466">
        <v>12</v>
      </c>
      <c r="E22" s="467">
        <f t="shared" si="14"/>
        <v>5562150</v>
      </c>
      <c r="F22" s="467"/>
      <c r="G22" s="467">
        <v>339372</v>
      </c>
      <c r="H22" s="467"/>
      <c r="I22" s="467">
        <f t="shared" si="0"/>
        <v>5222778</v>
      </c>
      <c r="J22" s="467">
        <v>200000</v>
      </c>
      <c r="K22" s="467">
        <v>0.2</v>
      </c>
      <c r="L22" s="467">
        <f t="shared" si="1"/>
        <v>1044555.6</v>
      </c>
      <c r="M22" s="467">
        <f t="shared" si="2"/>
        <v>1244555.6</v>
      </c>
      <c r="N22" s="467">
        <f t="shared" si="3"/>
        <v>1583927.6</v>
      </c>
      <c r="O22" s="467">
        <f t="shared" si="4"/>
        <v>3978222.4</v>
      </c>
      <c r="P22" s="467">
        <f t="shared" si="5"/>
        <v>21000</v>
      </c>
      <c r="Q22" s="467">
        <f t="shared" si="6"/>
        <v>33000</v>
      </c>
      <c r="R22" s="467">
        <f t="shared" si="7"/>
        <v>75000</v>
      </c>
      <c r="S22" s="467">
        <f t="shared" si="8"/>
        <v>95000</v>
      </c>
      <c r="T22" s="467">
        <f t="shared" si="9"/>
        <v>336000</v>
      </c>
      <c r="U22" s="467">
        <f t="shared" si="10"/>
        <v>186773.376</v>
      </c>
      <c r="V22" s="467">
        <f t="shared" si="11"/>
        <v>746773.376</v>
      </c>
      <c r="W22" s="474">
        <v>12</v>
      </c>
      <c r="X22" s="467">
        <f t="shared" si="12"/>
        <v>62231.1146666667</v>
      </c>
      <c r="Y22" s="467"/>
      <c r="Z22" s="478">
        <f t="shared" si="13"/>
        <v>62231.1146666667</v>
      </c>
      <c r="AA22" s="479">
        <v>46666.6666666667</v>
      </c>
      <c r="AB22" s="479">
        <f t="shared" si="15"/>
        <v>15564.448</v>
      </c>
      <c r="AC22" s="479"/>
      <c r="AD22" s="479"/>
      <c r="AE22" s="479"/>
    </row>
    <row r="23" ht="18" spans="1:31">
      <c r="A23" s="464">
        <v>20</v>
      </c>
      <c r="B23" s="14" t="s">
        <v>68</v>
      </c>
      <c r="C23" s="465">
        <v>453029.666666667</v>
      </c>
      <c r="D23" s="466">
        <v>12</v>
      </c>
      <c r="E23" s="467">
        <f t="shared" si="14"/>
        <v>5436356</v>
      </c>
      <c r="F23" s="467"/>
      <c r="G23" s="467">
        <v>281308.48</v>
      </c>
      <c r="H23" s="467"/>
      <c r="I23" s="467">
        <f t="shared" si="0"/>
        <v>5155047.52</v>
      </c>
      <c r="J23" s="467">
        <v>200000</v>
      </c>
      <c r="K23" s="467">
        <v>0.2</v>
      </c>
      <c r="L23" s="467">
        <f t="shared" si="1"/>
        <v>1031009.504</v>
      </c>
      <c r="M23" s="467">
        <f t="shared" si="2"/>
        <v>1231009.504</v>
      </c>
      <c r="N23" s="467">
        <f t="shared" si="3"/>
        <v>1512317.984</v>
      </c>
      <c r="O23" s="467">
        <f t="shared" si="4"/>
        <v>3924038.016</v>
      </c>
      <c r="P23" s="467">
        <f t="shared" si="5"/>
        <v>21000</v>
      </c>
      <c r="Q23" s="467">
        <f t="shared" si="6"/>
        <v>33000</v>
      </c>
      <c r="R23" s="467">
        <f t="shared" si="7"/>
        <v>75000</v>
      </c>
      <c r="S23" s="467">
        <f t="shared" si="8"/>
        <v>95000</v>
      </c>
      <c r="T23" s="467">
        <f t="shared" si="9"/>
        <v>336000</v>
      </c>
      <c r="U23" s="467">
        <f t="shared" si="10"/>
        <v>173769.123840001</v>
      </c>
      <c r="V23" s="467">
        <f t="shared" si="11"/>
        <v>733769.123840001</v>
      </c>
      <c r="W23" s="474">
        <v>12</v>
      </c>
      <c r="X23" s="467">
        <f t="shared" si="12"/>
        <v>61147.4269866667</v>
      </c>
      <c r="Y23" s="467"/>
      <c r="Z23" s="478">
        <f t="shared" si="13"/>
        <v>61147.4269866667</v>
      </c>
      <c r="AA23" s="479">
        <v>42371.8157286667</v>
      </c>
      <c r="AB23" s="479">
        <f t="shared" si="15"/>
        <v>18775.611258</v>
      </c>
      <c r="AC23" s="479"/>
      <c r="AD23" s="479"/>
      <c r="AE23" s="479"/>
    </row>
    <row r="24" ht="18" spans="1:31">
      <c r="A24" s="464">
        <v>21</v>
      </c>
      <c r="B24" s="4" t="s">
        <v>73</v>
      </c>
      <c r="C24" s="465">
        <v>330481.666666667</v>
      </c>
      <c r="D24" s="466">
        <v>12</v>
      </c>
      <c r="E24" s="467">
        <f t="shared" si="14"/>
        <v>3965780</v>
      </c>
      <c r="F24" s="467"/>
      <c r="G24" s="467">
        <v>259662.4</v>
      </c>
      <c r="H24" s="467"/>
      <c r="I24" s="467">
        <f t="shared" si="0"/>
        <v>3706117.6</v>
      </c>
      <c r="J24" s="467">
        <v>200000</v>
      </c>
      <c r="K24" s="467">
        <v>0.2</v>
      </c>
      <c r="L24" s="467">
        <f t="shared" si="1"/>
        <v>741223.520000001</v>
      </c>
      <c r="M24" s="467">
        <f t="shared" si="2"/>
        <v>941223.520000001</v>
      </c>
      <c r="N24" s="467">
        <f t="shared" si="3"/>
        <v>1200885.92</v>
      </c>
      <c r="O24" s="467">
        <f t="shared" si="4"/>
        <v>2764894.08</v>
      </c>
      <c r="P24" s="467">
        <f t="shared" si="5"/>
        <v>21000</v>
      </c>
      <c r="Q24" s="467">
        <f t="shared" si="6"/>
        <v>33000</v>
      </c>
      <c r="R24" s="467">
        <f t="shared" si="7"/>
        <v>75000</v>
      </c>
      <c r="S24" s="467">
        <f t="shared" si="8"/>
        <v>95000</v>
      </c>
      <c r="T24" s="467">
        <f t="shared" si="9"/>
        <v>244627.756800001</v>
      </c>
      <c r="U24" s="467"/>
      <c r="V24" s="467">
        <f t="shared" si="11"/>
        <v>468627.756800001</v>
      </c>
      <c r="W24" s="474">
        <v>12</v>
      </c>
      <c r="X24" s="467">
        <f t="shared" si="12"/>
        <v>39052.3130666667</v>
      </c>
      <c r="Y24" s="467"/>
      <c r="Z24" s="478">
        <f t="shared" si="13"/>
        <v>39052.3130666667</v>
      </c>
      <c r="AA24" s="479">
        <v>23036.0123466667</v>
      </c>
      <c r="AB24" s="479">
        <f t="shared" si="15"/>
        <v>16016.30072</v>
      </c>
      <c r="AC24" s="479"/>
      <c r="AD24" s="479"/>
      <c r="AE24" s="479"/>
    </row>
    <row r="25" ht="18" spans="1:31">
      <c r="A25" s="464">
        <v>22</v>
      </c>
      <c r="B25" s="18" t="s">
        <v>76</v>
      </c>
      <c r="C25" s="465">
        <v>330481.666666667</v>
      </c>
      <c r="D25" s="466">
        <v>12</v>
      </c>
      <c r="E25" s="467">
        <f t="shared" si="14"/>
        <v>3965780</v>
      </c>
      <c r="F25" s="467"/>
      <c r="G25" s="467">
        <v>259662.4</v>
      </c>
      <c r="H25" s="467"/>
      <c r="I25" s="467">
        <f t="shared" si="0"/>
        <v>3706117.6</v>
      </c>
      <c r="J25" s="467">
        <v>200000</v>
      </c>
      <c r="K25" s="467">
        <v>0.2</v>
      </c>
      <c r="L25" s="467">
        <f t="shared" si="1"/>
        <v>741223.520000001</v>
      </c>
      <c r="M25" s="467">
        <f t="shared" si="2"/>
        <v>941223.520000001</v>
      </c>
      <c r="N25" s="467">
        <f t="shared" si="3"/>
        <v>1200885.92</v>
      </c>
      <c r="O25" s="467">
        <f t="shared" si="4"/>
        <v>2764894.08</v>
      </c>
      <c r="P25" s="467">
        <f t="shared" si="5"/>
        <v>21000</v>
      </c>
      <c r="Q25" s="467">
        <f t="shared" si="6"/>
        <v>33000</v>
      </c>
      <c r="R25" s="467">
        <f t="shared" si="7"/>
        <v>75000</v>
      </c>
      <c r="S25" s="467">
        <f t="shared" si="8"/>
        <v>95000</v>
      </c>
      <c r="T25" s="467">
        <f t="shared" si="9"/>
        <v>244627.756800001</v>
      </c>
      <c r="U25" s="467"/>
      <c r="V25" s="467">
        <f t="shared" si="11"/>
        <v>468627.756800001</v>
      </c>
      <c r="W25" s="474">
        <v>12</v>
      </c>
      <c r="X25" s="467">
        <f t="shared" si="12"/>
        <v>39052.3130666667</v>
      </c>
      <c r="Y25" s="467"/>
      <c r="Z25" s="478">
        <f t="shared" si="13"/>
        <v>39052.3130666667</v>
      </c>
      <c r="AA25" s="479">
        <v>23036.0123466667</v>
      </c>
      <c r="AB25" s="479">
        <f t="shared" si="15"/>
        <v>16016.30072</v>
      </c>
      <c r="AC25" s="479"/>
      <c r="AD25" s="479"/>
      <c r="AE25" s="479"/>
    </row>
    <row r="26" ht="18" spans="1:31">
      <c r="A26" s="464">
        <v>23</v>
      </c>
      <c r="B26" s="11" t="s">
        <v>77</v>
      </c>
      <c r="C26" s="465">
        <v>370481.666666667</v>
      </c>
      <c r="D26" s="466">
        <v>12</v>
      </c>
      <c r="E26" s="467">
        <f t="shared" si="14"/>
        <v>4445780</v>
      </c>
      <c r="F26" s="467"/>
      <c r="G26" s="467">
        <v>259662.4</v>
      </c>
      <c r="H26" s="467"/>
      <c r="I26" s="467">
        <f t="shared" si="0"/>
        <v>4186117.6</v>
      </c>
      <c r="J26" s="467">
        <v>200000</v>
      </c>
      <c r="K26" s="467">
        <v>0.2</v>
      </c>
      <c r="L26" s="467">
        <f t="shared" si="1"/>
        <v>837223.520000001</v>
      </c>
      <c r="M26" s="467">
        <f t="shared" si="2"/>
        <v>1037223.52</v>
      </c>
      <c r="N26" s="467">
        <f t="shared" si="3"/>
        <v>1296885.92</v>
      </c>
      <c r="O26" s="467">
        <f t="shared" si="4"/>
        <v>3148894.08</v>
      </c>
      <c r="P26" s="467">
        <f t="shared" si="5"/>
        <v>21000</v>
      </c>
      <c r="Q26" s="467">
        <f t="shared" si="6"/>
        <v>33000</v>
      </c>
      <c r="R26" s="467">
        <f t="shared" si="7"/>
        <v>75000</v>
      </c>
      <c r="S26" s="467">
        <f t="shared" si="8"/>
        <v>95000</v>
      </c>
      <c r="T26" s="467">
        <f t="shared" si="9"/>
        <v>325267.756800001</v>
      </c>
      <c r="U26" s="467"/>
      <c r="V26" s="467">
        <f t="shared" si="11"/>
        <v>549267.756800001</v>
      </c>
      <c r="W26" s="474">
        <v>12</v>
      </c>
      <c r="X26" s="467">
        <f t="shared" si="12"/>
        <v>45772.3130666667</v>
      </c>
      <c r="Y26" s="467"/>
      <c r="Z26" s="478">
        <f t="shared" si="13"/>
        <v>45772.3130666667</v>
      </c>
      <c r="AA26" s="479">
        <v>29756.0123466667</v>
      </c>
      <c r="AB26" s="479">
        <f t="shared" si="15"/>
        <v>16016.30072</v>
      </c>
      <c r="AC26" s="479"/>
      <c r="AD26" s="479"/>
      <c r="AE26" s="479"/>
    </row>
    <row r="27" ht="18" spans="1:31">
      <c r="A27" s="464">
        <v>24</v>
      </c>
      <c r="B27" s="18" t="s">
        <v>78</v>
      </c>
      <c r="C27" s="465">
        <v>323165.333333333</v>
      </c>
      <c r="D27" s="466">
        <v>12</v>
      </c>
      <c r="E27" s="467">
        <f t="shared" si="14"/>
        <v>3877984</v>
      </c>
      <c r="F27" s="467"/>
      <c r="G27" s="467">
        <v>252638.72</v>
      </c>
      <c r="H27" s="467"/>
      <c r="I27" s="467">
        <f t="shared" si="0"/>
        <v>3625345.28</v>
      </c>
      <c r="J27" s="467">
        <v>200000</v>
      </c>
      <c r="K27" s="467">
        <v>0.2</v>
      </c>
      <c r="L27" s="467">
        <f t="shared" ref="L27" si="16">I27*K27</f>
        <v>725069.055999999</v>
      </c>
      <c r="M27" s="467">
        <f t="shared" ref="M27" si="17">J27+L27</f>
        <v>925069.055999999</v>
      </c>
      <c r="N27" s="467">
        <f t="shared" si="3"/>
        <v>1177707.776</v>
      </c>
      <c r="O27" s="467">
        <f t="shared" si="4"/>
        <v>2700276.224</v>
      </c>
      <c r="P27" s="467">
        <f t="shared" ref="P27" si="18">IF(O27&lt;300000,0.07*O27,21000)</f>
        <v>21000</v>
      </c>
      <c r="Q27" s="467">
        <f t="shared" ref="Q27" si="19">IF((O27-300000)&lt;0,0,IF((O27-300000)&lt;300000,0.11*(O27-300000),33000))</f>
        <v>33000</v>
      </c>
      <c r="R27" s="467">
        <f t="shared" ref="R27" si="20">IF((O27-600000)&lt;0,0,IF((O27-600000)&lt;500000,0.15*(O27-600000),75000))</f>
        <v>75000</v>
      </c>
      <c r="S27" s="467">
        <f t="shared" ref="S27" si="21">IF((O27-1100000)&lt;0,0,IF((O27-1100000)&lt;500000,0.19*(O27-1100000),95000))</f>
        <v>95000</v>
      </c>
      <c r="T27" s="467">
        <f t="shared" ref="T27" si="22">IF((O27-1600000)&lt;0,0,IF((O27-1600000)&lt;1600000,0.21*(O27-1600000),336000))</f>
        <v>231058.007039999</v>
      </c>
      <c r="U27" s="467"/>
      <c r="V27" s="467">
        <f t="shared" ref="V27" si="23">P27+Q27+R27+S27+T27+U27</f>
        <v>455058.007039999</v>
      </c>
      <c r="W27" s="474">
        <v>12</v>
      </c>
      <c r="X27" s="467">
        <f t="shared" ref="X27" si="24">V27/W27</f>
        <v>37921.5005866666</v>
      </c>
      <c r="Y27" s="467"/>
      <c r="Z27" s="478">
        <f t="shared" ref="Z27" si="25">X27</f>
        <v>37921.5005866666</v>
      </c>
      <c r="AA27" s="479">
        <v>22338.4826046667</v>
      </c>
      <c r="AB27" s="479">
        <f t="shared" si="15"/>
        <v>15583.0179819999</v>
      </c>
      <c r="AC27" s="479"/>
      <c r="AD27" s="479"/>
      <c r="AE27" s="479"/>
    </row>
    <row r="28" ht="18" spans="1:31">
      <c r="A28" s="464">
        <v>25</v>
      </c>
      <c r="B28" s="18" t="s">
        <v>81</v>
      </c>
      <c r="C28" s="465">
        <v>315849</v>
      </c>
      <c r="D28" s="466">
        <v>12</v>
      </c>
      <c r="E28" s="467">
        <f t="shared" si="14"/>
        <v>3790188</v>
      </c>
      <c r="F28" s="467"/>
      <c r="G28" s="467">
        <v>245615.04</v>
      </c>
      <c r="H28" s="467"/>
      <c r="I28" s="467">
        <f t="shared" si="0"/>
        <v>3544572.96</v>
      </c>
      <c r="J28" s="467">
        <v>200000</v>
      </c>
      <c r="K28" s="467">
        <v>0.2</v>
      </c>
      <c r="L28" s="467">
        <f t="shared" si="1"/>
        <v>708914.592</v>
      </c>
      <c r="M28" s="467">
        <f t="shared" si="2"/>
        <v>908914.592</v>
      </c>
      <c r="N28" s="467">
        <f t="shared" si="3"/>
        <v>1154529.632</v>
      </c>
      <c r="O28" s="467">
        <f t="shared" si="4"/>
        <v>2635658.368</v>
      </c>
      <c r="P28" s="467">
        <f t="shared" si="5"/>
        <v>21000</v>
      </c>
      <c r="Q28" s="467">
        <f t="shared" si="6"/>
        <v>33000</v>
      </c>
      <c r="R28" s="467">
        <f t="shared" si="7"/>
        <v>75000</v>
      </c>
      <c r="S28" s="467">
        <f t="shared" si="8"/>
        <v>95000</v>
      </c>
      <c r="T28" s="467">
        <f t="shared" si="9"/>
        <v>217488.25728</v>
      </c>
      <c r="U28" s="467"/>
      <c r="V28" s="467">
        <f t="shared" si="11"/>
        <v>441488.25728</v>
      </c>
      <c r="W28" s="474">
        <v>12</v>
      </c>
      <c r="X28" s="467">
        <f t="shared" si="12"/>
        <v>36790.6881066667</v>
      </c>
      <c r="Y28" s="467"/>
      <c r="Z28" s="478">
        <f t="shared" si="13"/>
        <v>36790.6881066667</v>
      </c>
      <c r="AA28" s="479">
        <v>21640.9528626667</v>
      </c>
      <c r="AB28" s="479">
        <f t="shared" si="15"/>
        <v>15149.735244</v>
      </c>
      <c r="AC28" s="479"/>
      <c r="AD28" s="479"/>
      <c r="AE28" s="479"/>
    </row>
    <row r="29" ht="18" spans="1:31">
      <c r="A29" s="464">
        <v>26</v>
      </c>
      <c r="B29" s="18" t="s">
        <v>84</v>
      </c>
      <c r="C29" s="465">
        <v>315849</v>
      </c>
      <c r="D29" s="466">
        <v>12</v>
      </c>
      <c r="E29" s="467">
        <f t="shared" si="14"/>
        <v>3790188</v>
      </c>
      <c r="F29" s="467"/>
      <c r="G29" s="467">
        <v>245615.04</v>
      </c>
      <c r="H29" s="467"/>
      <c r="I29" s="467">
        <f t="shared" si="0"/>
        <v>3544572.96</v>
      </c>
      <c r="J29" s="467">
        <v>200000</v>
      </c>
      <c r="K29" s="467">
        <v>0.2</v>
      </c>
      <c r="L29" s="467">
        <f t="shared" si="1"/>
        <v>708914.592</v>
      </c>
      <c r="M29" s="467">
        <f t="shared" si="2"/>
        <v>908914.592</v>
      </c>
      <c r="N29" s="467">
        <f t="shared" si="3"/>
        <v>1154529.632</v>
      </c>
      <c r="O29" s="467">
        <f t="shared" si="4"/>
        <v>2635658.368</v>
      </c>
      <c r="P29" s="467">
        <f t="shared" si="5"/>
        <v>21000</v>
      </c>
      <c r="Q29" s="467">
        <f t="shared" si="6"/>
        <v>33000</v>
      </c>
      <c r="R29" s="467">
        <f t="shared" si="7"/>
        <v>75000</v>
      </c>
      <c r="S29" s="467">
        <f t="shared" si="8"/>
        <v>95000</v>
      </c>
      <c r="T29" s="467">
        <f t="shared" si="9"/>
        <v>217488.25728</v>
      </c>
      <c r="U29" s="467"/>
      <c r="V29" s="467">
        <f t="shared" si="11"/>
        <v>441488.25728</v>
      </c>
      <c r="W29" s="474">
        <v>12</v>
      </c>
      <c r="X29" s="467">
        <f t="shared" si="12"/>
        <v>36790.6881066667</v>
      </c>
      <c r="Y29" s="467"/>
      <c r="Z29" s="478">
        <f t="shared" si="13"/>
        <v>36790.6881066667</v>
      </c>
      <c r="AA29" s="479">
        <v>21640.9528626667</v>
      </c>
      <c r="AB29" s="479">
        <f t="shared" si="15"/>
        <v>15149.735244</v>
      </c>
      <c r="AC29" s="479"/>
      <c r="AD29" s="479"/>
      <c r="AE29" s="479"/>
    </row>
    <row r="30" ht="18" spans="1:31">
      <c r="A30" s="464">
        <v>27</v>
      </c>
      <c r="B30" s="18" t="s">
        <v>85</v>
      </c>
      <c r="C30" s="465">
        <v>330481.666666667</v>
      </c>
      <c r="D30" s="466">
        <v>12</v>
      </c>
      <c r="E30" s="467">
        <f t="shared" si="14"/>
        <v>3965780</v>
      </c>
      <c r="F30" s="467"/>
      <c r="G30" s="467">
        <v>259662.4</v>
      </c>
      <c r="H30" s="467"/>
      <c r="I30" s="467">
        <f t="shared" si="0"/>
        <v>3706117.6</v>
      </c>
      <c r="J30" s="467">
        <v>200000</v>
      </c>
      <c r="K30" s="467">
        <v>0.2</v>
      </c>
      <c r="L30" s="467">
        <f t="shared" si="1"/>
        <v>741223.520000001</v>
      </c>
      <c r="M30" s="467">
        <f t="shared" si="2"/>
        <v>941223.520000001</v>
      </c>
      <c r="N30" s="467">
        <f t="shared" si="3"/>
        <v>1200885.92</v>
      </c>
      <c r="O30" s="467">
        <f t="shared" si="4"/>
        <v>2764894.08</v>
      </c>
      <c r="P30" s="467">
        <f t="shared" si="5"/>
        <v>21000</v>
      </c>
      <c r="Q30" s="467">
        <f t="shared" si="6"/>
        <v>33000</v>
      </c>
      <c r="R30" s="467">
        <f t="shared" si="7"/>
        <v>75000</v>
      </c>
      <c r="S30" s="467">
        <f t="shared" si="8"/>
        <v>95000</v>
      </c>
      <c r="T30" s="467">
        <f t="shared" si="9"/>
        <v>244627.756800001</v>
      </c>
      <c r="U30" s="467"/>
      <c r="V30" s="467">
        <f t="shared" si="11"/>
        <v>468627.756800001</v>
      </c>
      <c r="W30" s="474">
        <v>12</v>
      </c>
      <c r="X30" s="467">
        <f t="shared" si="12"/>
        <v>39052.3130666667</v>
      </c>
      <c r="Y30" s="467"/>
      <c r="Z30" s="478">
        <f t="shared" si="13"/>
        <v>39052.3130666667</v>
      </c>
      <c r="AA30" s="479">
        <v>22338.4826046667</v>
      </c>
      <c r="AB30" s="479">
        <f t="shared" si="15"/>
        <v>16713.830462</v>
      </c>
      <c r="AC30" s="479"/>
      <c r="AD30" s="479"/>
      <c r="AE30" s="479"/>
    </row>
    <row r="31" ht="18" spans="1:31">
      <c r="A31" s="464">
        <v>28</v>
      </c>
      <c r="B31" s="18" t="s">
        <v>88</v>
      </c>
      <c r="C31" s="465">
        <v>280631.916666667</v>
      </c>
      <c r="D31" s="466">
        <v>12</v>
      </c>
      <c r="E31" s="467">
        <f t="shared" si="14"/>
        <v>3367583</v>
      </c>
      <c r="F31" s="467"/>
      <c r="G31" s="468">
        <v>221406.64</v>
      </c>
      <c r="H31" s="467"/>
      <c r="I31" s="467">
        <f t="shared" si="0"/>
        <v>3146176.36</v>
      </c>
      <c r="J31" s="467">
        <v>200000</v>
      </c>
      <c r="K31" s="467">
        <v>0.2</v>
      </c>
      <c r="L31" s="467">
        <f t="shared" si="1"/>
        <v>629235.272000001</v>
      </c>
      <c r="M31" s="467">
        <f t="shared" si="2"/>
        <v>829235.272000001</v>
      </c>
      <c r="N31" s="467">
        <f t="shared" si="3"/>
        <v>1050641.912</v>
      </c>
      <c r="O31" s="467">
        <f t="shared" si="4"/>
        <v>2316941.088</v>
      </c>
      <c r="P31" s="467">
        <f t="shared" si="5"/>
        <v>21000</v>
      </c>
      <c r="Q31" s="467">
        <f t="shared" si="6"/>
        <v>33000</v>
      </c>
      <c r="R31" s="467">
        <f t="shared" si="7"/>
        <v>75000</v>
      </c>
      <c r="S31" s="467">
        <f t="shared" si="8"/>
        <v>95000</v>
      </c>
      <c r="T31" s="467">
        <f t="shared" si="9"/>
        <v>150557.628480001</v>
      </c>
      <c r="U31" s="467"/>
      <c r="V31" s="467">
        <f t="shared" si="11"/>
        <v>374557.628480001</v>
      </c>
      <c r="W31" s="474">
        <v>12</v>
      </c>
      <c r="X31" s="467">
        <f t="shared" si="12"/>
        <v>31213.1357066667</v>
      </c>
      <c r="Y31" s="467"/>
      <c r="Z31" s="478">
        <f t="shared" si="13"/>
        <v>31213.1357066667</v>
      </c>
      <c r="AA31" s="479">
        <v>17572.8850026667</v>
      </c>
      <c r="AB31" s="479">
        <f t="shared" si="15"/>
        <v>13640.250704</v>
      </c>
      <c r="AC31" s="479"/>
      <c r="AD31" s="479"/>
      <c r="AE31" s="479"/>
    </row>
    <row r="32" ht="18" spans="1:31">
      <c r="A32" s="464">
        <v>29</v>
      </c>
      <c r="B32" s="18" t="s">
        <v>90</v>
      </c>
      <c r="C32" s="465">
        <v>274459.75</v>
      </c>
      <c r="D32" s="466">
        <v>12</v>
      </c>
      <c r="E32" s="467">
        <f t="shared" si="14"/>
        <v>3293517</v>
      </c>
      <c r="F32" s="467"/>
      <c r="G32" s="468">
        <f>17956.78*12</f>
        <v>215481.36</v>
      </c>
      <c r="H32" s="467"/>
      <c r="I32" s="467">
        <f t="shared" si="0"/>
        <v>3078035.64</v>
      </c>
      <c r="J32" s="467">
        <v>200000</v>
      </c>
      <c r="K32" s="467">
        <v>0.2</v>
      </c>
      <c r="L32" s="467">
        <f t="shared" si="1"/>
        <v>615607.128</v>
      </c>
      <c r="M32" s="467">
        <f t="shared" si="2"/>
        <v>815607.128</v>
      </c>
      <c r="N32" s="467">
        <f t="shared" si="3"/>
        <v>1031088.488</v>
      </c>
      <c r="O32" s="467">
        <f t="shared" si="4"/>
        <v>2262428.512</v>
      </c>
      <c r="P32" s="467">
        <f t="shared" si="5"/>
        <v>21000</v>
      </c>
      <c r="Q32" s="467">
        <f t="shared" si="6"/>
        <v>33000</v>
      </c>
      <c r="R32" s="467">
        <f t="shared" si="7"/>
        <v>75000</v>
      </c>
      <c r="S32" s="467">
        <f t="shared" si="8"/>
        <v>95000</v>
      </c>
      <c r="T32" s="467">
        <f t="shared" si="9"/>
        <v>139109.98752</v>
      </c>
      <c r="U32" s="467"/>
      <c r="V32" s="467">
        <f t="shared" si="11"/>
        <v>363109.98752</v>
      </c>
      <c r="W32" s="474">
        <v>12</v>
      </c>
      <c r="X32" s="467">
        <f t="shared" si="12"/>
        <v>30259.1656266667</v>
      </c>
      <c r="Y32" s="467"/>
      <c r="Z32" s="478">
        <f t="shared" si="13"/>
        <v>30259.1656266667</v>
      </c>
      <c r="AA32" s="479">
        <v>16512.6821906667</v>
      </c>
      <c r="AB32" s="479">
        <f t="shared" si="15"/>
        <v>13746.483436</v>
      </c>
      <c r="AC32" s="479"/>
      <c r="AD32" s="479"/>
      <c r="AE32" s="479"/>
    </row>
    <row r="33" ht="17.5" spans="1:31">
      <c r="A33" s="464">
        <v>31</v>
      </c>
      <c r="B33" s="22"/>
      <c r="C33" s="469"/>
      <c r="D33" s="466"/>
      <c r="E33" s="467"/>
      <c r="F33" s="470"/>
      <c r="G33" s="470"/>
      <c r="H33" s="470"/>
      <c r="I33" s="467"/>
      <c r="J33" s="467"/>
      <c r="K33" s="467"/>
      <c r="L33" s="467"/>
      <c r="M33" s="467"/>
      <c r="N33" s="467"/>
      <c r="O33" s="467"/>
      <c r="P33" s="467"/>
      <c r="Q33" s="467"/>
      <c r="R33" s="467"/>
      <c r="S33" s="467"/>
      <c r="T33" s="467"/>
      <c r="U33" s="467"/>
      <c r="V33" s="467"/>
      <c r="W33" s="474"/>
      <c r="X33" s="467"/>
      <c r="Y33" s="470"/>
      <c r="Z33" s="478"/>
      <c r="AA33" s="479"/>
      <c r="AB33" s="479"/>
      <c r="AC33" s="479"/>
      <c r="AD33" s="479"/>
      <c r="AE33" s="479"/>
    </row>
    <row r="34" ht="17.5" spans="1:31">
      <c r="A34" s="464">
        <v>32</v>
      </c>
      <c r="B34" s="20" t="s">
        <v>97</v>
      </c>
      <c r="C34" s="467"/>
      <c r="D34" s="466"/>
      <c r="E34" s="467"/>
      <c r="F34" s="470"/>
      <c r="G34" s="470"/>
      <c r="H34" s="470"/>
      <c r="I34" s="467"/>
      <c r="J34" s="467"/>
      <c r="K34" s="467"/>
      <c r="L34" s="467"/>
      <c r="M34" s="467"/>
      <c r="N34" s="467"/>
      <c r="O34" s="467"/>
      <c r="P34" s="467"/>
      <c r="Q34" s="467"/>
      <c r="R34" s="467"/>
      <c r="S34" s="467"/>
      <c r="T34" s="467"/>
      <c r="U34" s="467"/>
      <c r="V34" s="467"/>
      <c r="W34" s="474"/>
      <c r="X34" s="467"/>
      <c r="Y34" s="470"/>
      <c r="Z34" s="478"/>
      <c r="AA34" s="479"/>
      <c r="AB34" s="479"/>
      <c r="AC34" s="479"/>
      <c r="AD34" s="479"/>
      <c r="AE34" s="479"/>
    </row>
    <row r="35" ht="18" spans="1:31">
      <c r="A35" s="464"/>
      <c r="B35" s="18" t="s">
        <v>98</v>
      </c>
      <c r="C35" s="471">
        <v>1535720</v>
      </c>
      <c r="D35" s="467">
        <v>12</v>
      </c>
      <c r="E35" s="467">
        <f>C35*D35</f>
        <v>18428640</v>
      </c>
      <c r="F35" s="467"/>
      <c r="G35" s="468">
        <v>1378291.2</v>
      </c>
      <c r="H35" s="467"/>
      <c r="I35" s="467">
        <f>E35-F35-G35-H35</f>
        <v>17050348.8</v>
      </c>
      <c r="J35" s="467">
        <v>200000</v>
      </c>
      <c r="K35" s="467">
        <v>0.2</v>
      </c>
      <c r="L35" s="467">
        <f>I35*K35</f>
        <v>3410069.76</v>
      </c>
      <c r="M35" s="467">
        <f>J35+L35</f>
        <v>3610069.76</v>
      </c>
      <c r="N35" s="467">
        <f>F35+G35+H35+M35</f>
        <v>4988360.96</v>
      </c>
      <c r="O35" s="467">
        <f>E35-N35</f>
        <v>13440279.04</v>
      </c>
      <c r="P35" s="467">
        <f t="shared" si="5"/>
        <v>21000</v>
      </c>
      <c r="Q35" s="467">
        <f t="shared" ref="Q35:Q37" si="26">IF((O35-300000)&lt;0,0,IF((O35-300000)&lt;300000,0.11*(O35-300000),33000))</f>
        <v>33000</v>
      </c>
      <c r="R35" s="467">
        <f t="shared" ref="R35:R37" si="27">IF((O35-600000)&lt;0,0,IF((O35-600000)&lt;500000,0.15*(O35-600000),75000))</f>
        <v>75000</v>
      </c>
      <c r="S35" s="467">
        <f t="shared" ref="S35:S37" si="28">IF((O35-1100000)&lt;0,0,IF((O35-1100000)&lt;500000,0.19*(O35-1100000),95000))</f>
        <v>95000</v>
      </c>
      <c r="T35" s="467">
        <f t="shared" ref="T35:T37" si="29">IF((O35-1600000)&lt;0,0,IF((O35-1600000)&lt;1600000,0.21*(O35-1600000),336000))</f>
        <v>336000</v>
      </c>
      <c r="U35" s="467">
        <f t="shared" si="10"/>
        <v>2457666.9696</v>
      </c>
      <c r="V35" s="467">
        <f>P35+Q35+R35+S35+T35+U35</f>
        <v>3017666.9696</v>
      </c>
      <c r="W35" s="467">
        <v>12</v>
      </c>
      <c r="X35" s="467">
        <f>V35/W35</f>
        <v>251472.247466667</v>
      </c>
      <c r="Y35" s="467"/>
      <c r="Z35" s="478">
        <f>X35</f>
        <v>251472.247466667</v>
      </c>
      <c r="AA35" s="467">
        <v>161106.806858667</v>
      </c>
      <c r="AB35" s="467">
        <f>Z35-AA35</f>
        <v>90365.4406079996</v>
      </c>
      <c r="AC35" s="479"/>
      <c r="AD35" s="479"/>
      <c r="AE35" s="479"/>
    </row>
    <row r="36" ht="18" spans="1:31">
      <c r="A36" s="464"/>
      <c r="B36" s="18" t="s">
        <v>101</v>
      </c>
      <c r="C36" s="467">
        <v>353029.666666667</v>
      </c>
      <c r="D36" s="466">
        <v>12</v>
      </c>
      <c r="E36" s="467">
        <f>C36*D36</f>
        <v>4236356</v>
      </c>
      <c r="F36" s="467"/>
      <c r="G36" s="468">
        <v>281308.48</v>
      </c>
      <c r="H36" s="467"/>
      <c r="I36" s="467">
        <f>E36-F36-G36-H36</f>
        <v>3955047.52</v>
      </c>
      <c r="J36" s="467">
        <v>200000</v>
      </c>
      <c r="K36" s="467">
        <v>0.2</v>
      </c>
      <c r="L36" s="467">
        <f>I36*K36</f>
        <v>791009.504000001</v>
      </c>
      <c r="M36" s="467">
        <f>J36+L36</f>
        <v>991009.504000001</v>
      </c>
      <c r="N36" s="467">
        <f>F36+G36+H36+M36</f>
        <v>1272317.984</v>
      </c>
      <c r="O36" s="467">
        <f>E36-N36</f>
        <v>2964038.016</v>
      </c>
      <c r="P36" s="467">
        <f t="shared" si="5"/>
        <v>21000</v>
      </c>
      <c r="Q36" s="467">
        <f t="shared" si="26"/>
        <v>33000</v>
      </c>
      <c r="R36" s="467">
        <f t="shared" si="27"/>
        <v>75000</v>
      </c>
      <c r="S36" s="467">
        <f t="shared" si="28"/>
        <v>95000</v>
      </c>
      <c r="T36" s="467">
        <f t="shared" si="29"/>
        <v>286447.983360001</v>
      </c>
      <c r="U36" s="467"/>
      <c r="V36" s="467">
        <f>P36+Q36+R36+S36+T36+U36</f>
        <v>510447.983360001</v>
      </c>
      <c r="W36" s="467">
        <v>12</v>
      </c>
      <c r="X36" s="467">
        <f>V36/W36</f>
        <v>42537.3319466667</v>
      </c>
      <c r="Y36" s="467"/>
      <c r="Z36" s="478">
        <f>X36</f>
        <v>42537.3319466667</v>
      </c>
      <c r="AA36" s="479">
        <v>17042.7138666667</v>
      </c>
      <c r="AB36" s="467">
        <f t="shared" ref="AB36:AB37" si="30">Z36-AA36</f>
        <v>25494.61808</v>
      </c>
      <c r="AC36" s="479"/>
      <c r="AD36" s="479"/>
      <c r="AE36" s="479"/>
    </row>
    <row r="37" ht="18" spans="1:31">
      <c r="A37" s="464">
        <v>33</v>
      </c>
      <c r="B37" s="11" t="s">
        <v>103</v>
      </c>
      <c r="C37" s="465">
        <v>360965.583333333</v>
      </c>
      <c r="D37" s="466">
        <v>12</v>
      </c>
      <c r="E37" s="467">
        <f>C37*D37</f>
        <v>4331587</v>
      </c>
      <c r="F37" s="467"/>
      <c r="G37" s="468">
        <v>288926.96</v>
      </c>
      <c r="H37" s="467"/>
      <c r="I37" s="467">
        <f>E37-F37-G37-H37</f>
        <v>4042660.04</v>
      </c>
      <c r="J37" s="467">
        <v>200000</v>
      </c>
      <c r="K37" s="467">
        <v>0.2</v>
      </c>
      <c r="L37" s="467">
        <f>I37*K37</f>
        <v>808532.007999999</v>
      </c>
      <c r="M37" s="467">
        <f>J37+L37</f>
        <v>1008532.008</v>
      </c>
      <c r="N37" s="467">
        <f>F37+G37+H37+M37</f>
        <v>1297458.968</v>
      </c>
      <c r="O37" s="467">
        <f>E37-N37</f>
        <v>3034128.032</v>
      </c>
      <c r="P37" s="467">
        <f t="shared" si="5"/>
        <v>21000</v>
      </c>
      <c r="Q37" s="467">
        <f t="shared" si="26"/>
        <v>33000</v>
      </c>
      <c r="R37" s="467">
        <f t="shared" si="27"/>
        <v>75000</v>
      </c>
      <c r="S37" s="467">
        <f t="shared" si="28"/>
        <v>95000</v>
      </c>
      <c r="T37" s="467">
        <f t="shared" si="29"/>
        <v>301166.886719999</v>
      </c>
      <c r="U37" s="467"/>
      <c r="V37" s="467">
        <f>P37+Q37+R37+S37+T37+U37</f>
        <v>525166.886719999</v>
      </c>
      <c r="W37" s="467">
        <v>12</v>
      </c>
      <c r="X37" s="467">
        <f>V37/W37</f>
        <v>43763.9072266666</v>
      </c>
      <c r="Y37" s="467"/>
      <c r="Z37" s="478">
        <f>X37</f>
        <v>43763.9072266666</v>
      </c>
      <c r="AA37" s="479">
        <v>26339.0784066667</v>
      </c>
      <c r="AB37" s="467">
        <f t="shared" si="30"/>
        <v>17424.8288199999</v>
      </c>
      <c r="AC37" s="479"/>
      <c r="AD37" s="479"/>
      <c r="AE37" s="479"/>
    </row>
    <row r="38" ht="18" spans="1:31">
      <c r="A38" s="464"/>
      <c r="B38" s="14"/>
      <c r="C38" s="469"/>
      <c r="D38" s="466"/>
      <c r="E38" s="467"/>
      <c r="F38" s="470"/>
      <c r="G38" s="470">
        <v>0</v>
      </c>
      <c r="H38" s="470"/>
      <c r="I38" s="467"/>
      <c r="J38" s="467"/>
      <c r="K38" s="467"/>
      <c r="L38" s="467"/>
      <c r="M38" s="467"/>
      <c r="N38" s="467"/>
      <c r="O38" s="467"/>
      <c r="P38" s="467"/>
      <c r="Q38" s="467"/>
      <c r="R38" s="467"/>
      <c r="S38" s="467"/>
      <c r="T38" s="467"/>
      <c r="U38" s="467"/>
      <c r="V38" s="467"/>
      <c r="W38" s="474"/>
      <c r="X38" s="467"/>
      <c r="Y38" s="470"/>
      <c r="Z38" s="478"/>
      <c r="AA38" s="479"/>
      <c r="AB38" s="479"/>
      <c r="AC38" s="479"/>
      <c r="AD38" s="479"/>
      <c r="AE38" s="479"/>
    </row>
    <row r="39" ht="17.5" spans="1:31">
      <c r="A39" s="464"/>
      <c r="B39" s="23" t="s">
        <v>107</v>
      </c>
      <c r="C39" s="467"/>
      <c r="D39" s="466"/>
      <c r="E39" s="467"/>
      <c r="F39" s="470"/>
      <c r="G39" s="470">
        <v>0</v>
      </c>
      <c r="H39" s="470"/>
      <c r="I39" s="467"/>
      <c r="J39" s="467"/>
      <c r="K39" s="467"/>
      <c r="L39" s="467"/>
      <c r="M39" s="467"/>
      <c r="N39" s="467"/>
      <c r="O39" s="467"/>
      <c r="P39" s="467"/>
      <c r="Q39" s="467"/>
      <c r="R39" s="467"/>
      <c r="S39" s="467"/>
      <c r="T39" s="467"/>
      <c r="U39" s="467"/>
      <c r="V39" s="467"/>
      <c r="W39" s="474"/>
      <c r="X39" s="467"/>
      <c r="Y39" s="470"/>
      <c r="Z39" s="478"/>
      <c r="AA39" s="479"/>
      <c r="AB39" s="479"/>
      <c r="AC39" s="479"/>
      <c r="AD39" s="479"/>
      <c r="AE39" s="479"/>
    </row>
    <row r="40" ht="36" spans="1:31">
      <c r="A40" s="464">
        <v>35</v>
      </c>
      <c r="B40" s="11" t="s">
        <v>501</v>
      </c>
      <c r="C40" s="465">
        <v>1635720</v>
      </c>
      <c r="D40" s="466">
        <v>12</v>
      </c>
      <c r="E40" s="467">
        <f>C40*D40</f>
        <v>19628640</v>
      </c>
      <c r="F40" s="467"/>
      <c r="G40" s="468">
        <v>1378291.2</v>
      </c>
      <c r="H40" s="467"/>
      <c r="I40" s="467">
        <f t="shared" ref="I40:I50" si="31">E40-F40-G40-H40</f>
        <v>18250348.8</v>
      </c>
      <c r="J40" s="467">
        <v>200000</v>
      </c>
      <c r="K40" s="467">
        <v>0.2</v>
      </c>
      <c r="L40" s="467">
        <f>I40*K40</f>
        <v>3650069.76</v>
      </c>
      <c r="M40" s="467">
        <f>J40+L40</f>
        <v>3850069.76</v>
      </c>
      <c r="N40" s="467">
        <f t="shared" ref="N40:N50" si="32">F40+G40+H40+M40</f>
        <v>5228360.96</v>
      </c>
      <c r="O40" s="467">
        <f t="shared" ref="O40:O50" si="33">E40-N40</f>
        <v>14400279.04</v>
      </c>
      <c r="P40" s="467">
        <f>IF(O40&lt;300000,0.07*O40,21000)</f>
        <v>21000</v>
      </c>
      <c r="Q40" s="467">
        <f>IF((O40-300000)&lt;0,0,IF((O40-300000)&lt;300000,0.11*(O40-300000),33000))</f>
        <v>33000</v>
      </c>
      <c r="R40" s="467">
        <f>IF((O40-600000)&lt;0,0,IF((O40-600000)&lt;500000,0.15*(O40-600000),75000))</f>
        <v>75000</v>
      </c>
      <c r="S40" s="467">
        <f>IF((O40-1100000)&lt;0,0,IF((O40-1100000)&lt;500000,0.19*(O40-1100000),95000))</f>
        <v>95000</v>
      </c>
      <c r="T40" s="467">
        <f>IF((O40-1600000)&lt;0,0,IF((O40-1600000)&lt;1600000,0.21*(O40-1600000),336000))</f>
        <v>336000</v>
      </c>
      <c r="U40" s="467">
        <f>0.24*(O40-3200000)</f>
        <v>2688066.9696</v>
      </c>
      <c r="V40" s="467">
        <f>P40+Q40+R40+S40+T40+U40</f>
        <v>3248066.9696</v>
      </c>
      <c r="W40" s="474">
        <v>12</v>
      </c>
      <c r="X40" s="467">
        <f>V40/W40</f>
        <v>270672.247466667</v>
      </c>
      <c r="Y40" s="467"/>
      <c r="Z40" s="478">
        <f>X40</f>
        <v>270672.247466667</v>
      </c>
      <c r="AA40" s="479">
        <v>180306.806858667</v>
      </c>
      <c r="AB40" s="479">
        <f>Z40-AA40</f>
        <v>90365.4406079996</v>
      </c>
      <c r="AC40" s="479"/>
      <c r="AD40" s="479"/>
      <c r="AE40" s="479"/>
    </row>
    <row r="41" ht="18" spans="1:31">
      <c r="A41" s="464">
        <v>36</v>
      </c>
      <c r="B41" s="11" t="s">
        <v>491</v>
      </c>
      <c r="C41" s="467">
        <v>780675.583333333</v>
      </c>
      <c r="D41" s="466">
        <v>12</v>
      </c>
      <c r="E41" s="467">
        <f t="shared" ref="E41:E50" si="34">C41*D41</f>
        <v>9368107</v>
      </c>
      <c r="F41" s="470"/>
      <c r="G41" s="468">
        <v>595848.56</v>
      </c>
      <c r="H41" s="470"/>
      <c r="I41" s="467">
        <f t="shared" si="31"/>
        <v>8772258.44</v>
      </c>
      <c r="J41" s="467">
        <v>200000</v>
      </c>
      <c r="K41" s="467">
        <v>0.2</v>
      </c>
      <c r="L41" s="467">
        <f t="shared" si="1"/>
        <v>1754451.688</v>
      </c>
      <c r="M41" s="467">
        <f t="shared" si="2"/>
        <v>1954451.688</v>
      </c>
      <c r="N41" s="467">
        <f t="shared" si="32"/>
        <v>2550300.248</v>
      </c>
      <c r="O41" s="467">
        <f t="shared" si="33"/>
        <v>6817806.752</v>
      </c>
      <c r="P41" s="467">
        <f t="shared" si="5"/>
        <v>21000</v>
      </c>
      <c r="Q41" s="467">
        <f t="shared" si="6"/>
        <v>33000</v>
      </c>
      <c r="R41" s="467">
        <f t="shared" si="7"/>
        <v>75000</v>
      </c>
      <c r="S41" s="467">
        <f t="shared" si="8"/>
        <v>95000</v>
      </c>
      <c r="T41" s="467">
        <f t="shared" si="9"/>
        <v>336000</v>
      </c>
      <c r="U41" s="467">
        <f t="shared" si="10"/>
        <v>868273.620479999</v>
      </c>
      <c r="V41" s="467">
        <f t="shared" si="11"/>
        <v>1428273.62048</v>
      </c>
      <c r="W41" s="474">
        <v>12</v>
      </c>
      <c r="X41" s="467">
        <f t="shared" si="12"/>
        <v>119022.801706667</v>
      </c>
      <c r="Y41" s="470"/>
      <c r="Z41" s="478">
        <f t="shared" si="13"/>
        <v>119022.801706667</v>
      </c>
      <c r="AA41" s="479">
        <v>79956.9391466667</v>
      </c>
      <c r="AB41" s="479">
        <f t="shared" ref="AB41:AB50" si="35">Z41-AA41</f>
        <v>39065.8625599999</v>
      </c>
      <c r="AC41" s="479"/>
      <c r="AD41" s="479"/>
      <c r="AE41" s="479"/>
    </row>
    <row r="42" ht="18" spans="1:31">
      <c r="A42" s="464">
        <v>37</v>
      </c>
      <c r="B42" s="11" t="s">
        <v>108</v>
      </c>
      <c r="C42" s="467">
        <v>919203.583333333</v>
      </c>
      <c r="D42" s="466">
        <v>12</v>
      </c>
      <c r="E42" s="467">
        <f t="shared" si="34"/>
        <v>11030443</v>
      </c>
      <c r="F42" s="470"/>
      <c r="G42" s="468">
        <v>709635.44</v>
      </c>
      <c r="H42" s="470"/>
      <c r="I42" s="467">
        <f t="shared" si="31"/>
        <v>10320807.56</v>
      </c>
      <c r="J42" s="467">
        <v>200000</v>
      </c>
      <c r="K42" s="467">
        <v>0.2</v>
      </c>
      <c r="L42" s="467">
        <f t="shared" si="1"/>
        <v>2064161.512</v>
      </c>
      <c r="M42" s="467">
        <f t="shared" si="2"/>
        <v>2264161.512</v>
      </c>
      <c r="N42" s="467">
        <f t="shared" si="32"/>
        <v>2973796.952</v>
      </c>
      <c r="O42" s="467">
        <f t="shared" si="33"/>
        <v>8056646.048</v>
      </c>
      <c r="P42" s="467">
        <f t="shared" si="5"/>
        <v>21000</v>
      </c>
      <c r="Q42" s="467">
        <f t="shared" si="6"/>
        <v>33000</v>
      </c>
      <c r="R42" s="467">
        <f t="shared" si="7"/>
        <v>75000</v>
      </c>
      <c r="S42" s="467">
        <f t="shared" si="8"/>
        <v>95000</v>
      </c>
      <c r="T42" s="467">
        <f t="shared" si="9"/>
        <v>336000</v>
      </c>
      <c r="U42" s="467">
        <f t="shared" si="10"/>
        <v>1165595.05152</v>
      </c>
      <c r="V42" s="467">
        <f t="shared" si="11"/>
        <v>1725595.05152</v>
      </c>
      <c r="W42" s="474">
        <v>12</v>
      </c>
      <c r="X42" s="467">
        <f t="shared" si="12"/>
        <v>143799.587626667</v>
      </c>
      <c r="Y42" s="470"/>
      <c r="Z42" s="478">
        <f t="shared" si="13"/>
        <v>143799.587626667</v>
      </c>
      <c r="AA42" s="479">
        <v>97273.5138506667</v>
      </c>
      <c r="AB42" s="479">
        <f t="shared" si="35"/>
        <v>46526.0737759999</v>
      </c>
      <c r="AC42" s="479"/>
      <c r="AD42" s="479"/>
      <c r="AE42" s="479"/>
    </row>
    <row r="43" ht="18" spans="1:31">
      <c r="A43" s="464">
        <v>38</v>
      </c>
      <c r="B43" s="11" t="s">
        <v>111</v>
      </c>
      <c r="C43" s="467">
        <v>780675.583333333</v>
      </c>
      <c r="D43" s="466">
        <v>12</v>
      </c>
      <c r="E43" s="467">
        <f t="shared" si="34"/>
        <v>9368107</v>
      </c>
      <c r="F43" s="470"/>
      <c r="G43" s="468">
        <v>595848.56</v>
      </c>
      <c r="H43" s="470"/>
      <c r="I43" s="467">
        <f t="shared" si="31"/>
        <v>8772258.44</v>
      </c>
      <c r="J43" s="467">
        <v>200000</v>
      </c>
      <c r="K43" s="467">
        <v>0.2</v>
      </c>
      <c r="L43" s="467">
        <f t="shared" si="1"/>
        <v>1754451.688</v>
      </c>
      <c r="M43" s="467">
        <f t="shared" si="2"/>
        <v>1954451.688</v>
      </c>
      <c r="N43" s="467">
        <f t="shared" si="32"/>
        <v>2550300.248</v>
      </c>
      <c r="O43" s="467">
        <f t="shared" si="33"/>
        <v>6817806.752</v>
      </c>
      <c r="P43" s="467">
        <f t="shared" si="5"/>
        <v>21000</v>
      </c>
      <c r="Q43" s="467">
        <f t="shared" si="6"/>
        <v>33000</v>
      </c>
      <c r="R43" s="467">
        <f t="shared" si="7"/>
        <v>75000</v>
      </c>
      <c r="S43" s="467">
        <f t="shared" si="8"/>
        <v>95000</v>
      </c>
      <c r="T43" s="467">
        <f t="shared" si="9"/>
        <v>336000</v>
      </c>
      <c r="U43" s="467">
        <f t="shared" si="10"/>
        <v>868273.620479999</v>
      </c>
      <c r="V43" s="467">
        <f t="shared" si="11"/>
        <v>1428273.62048</v>
      </c>
      <c r="W43" s="474">
        <v>12</v>
      </c>
      <c r="X43" s="467">
        <f t="shared" si="12"/>
        <v>119022.801706667</v>
      </c>
      <c r="Y43" s="470"/>
      <c r="Z43" s="478">
        <f t="shared" si="13"/>
        <v>119022.801706667</v>
      </c>
      <c r="AA43" s="479">
        <v>79956.9391466667</v>
      </c>
      <c r="AB43" s="479">
        <f t="shared" si="35"/>
        <v>39065.8625599999</v>
      </c>
      <c r="AC43" s="479"/>
      <c r="AD43" s="479"/>
      <c r="AE43" s="479"/>
    </row>
    <row r="44" ht="18" spans="1:31">
      <c r="A44" s="464">
        <v>39</v>
      </c>
      <c r="B44" s="11" t="s">
        <v>113</v>
      </c>
      <c r="C44" s="467">
        <v>780675.583333333</v>
      </c>
      <c r="D44" s="466">
        <v>12</v>
      </c>
      <c r="E44" s="467">
        <f t="shared" si="34"/>
        <v>9368107</v>
      </c>
      <c r="F44" s="467">
        <f>'[6]JANUARY 2024'!$V$47*12</f>
        <v>10052.25</v>
      </c>
      <c r="G44" s="468">
        <v>595848.56</v>
      </c>
      <c r="H44" s="470"/>
      <c r="I44" s="467">
        <f t="shared" si="31"/>
        <v>8762206.19</v>
      </c>
      <c r="J44" s="467">
        <v>200000</v>
      </c>
      <c r="K44" s="467">
        <v>0.2</v>
      </c>
      <c r="L44" s="467">
        <f t="shared" si="1"/>
        <v>1752441.238</v>
      </c>
      <c r="M44" s="467">
        <f t="shared" si="2"/>
        <v>1952441.238</v>
      </c>
      <c r="N44" s="467">
        <f t="shared" si="32"/>
        <v>2558342.048</v>
      </c>
      <c r="O44" s="467">
        <f t="shared" si="33"/>
        <v>6809764.952</v>
      </c>
      <c r="P44" s="467">
        <f t="shared" si="5"/>
        <v>21000</v>
      </c>
      <c r="Q44" s="467">
        <f t="shared" si="6"/>
        <v>33000</v>
      </c>
      <c r="R44" s="467">
        <f t="shared" si="7"/>
        <v>75000</v>
      </c>
      <c r="S44" s="467">
        <f t="shared" si="8"/>
        <v>95000</v>
      </c>
      <c r="T44" s="467">
        <f t="shared" si="9"/>
        <v>336000</v>
      </c>
      <c r="U44" s="467">
        <f t="shared" si="10"/>
        <v>866343.588479999</v>
      </c>
      <c r="V44" s="467">
        <f t="shared" si="11"/>
        <v>1426343.58848</v>
      </c>
      <c r="W44" s="474">
        <v>12</v>
      </c>
      <c r="X44" s="467">
        <f t="shared" si="12"/>
        <v>118861.965706667</v>
      </c>
      <c r="Y44" s="470"/>
      <c r="Z44" s="478">
        <f t="shared" si="13"/>
        <v>118861.965706667</v>
      </c>
      <c r="AA44" s="479">
        <v>79796.1031466666</v>
      </c>
      <c r="AB44" s="479">
        <f t="shared" si="35"/>
        <v>39065.86256</v>
      </c>
      <c r="AC44" s="479"/>
      <c r="AD44" s="479"/>
      <c r="AE44" s="479"/>
    </row>
    <row r="45" ht="18" spans="1:31">
      <c r="A45" s="464">
        <v>40</v>
      </c>
      <c r="B45" s="11" t="s">
        <v>114</v>
      </c>
      <c r="C45" s="467">
        <v>742118.083333333</v>
      </c>
      <c r="D45" s="466">
        <v>12</v>
      </c>
      <c r="E45" s="467">
        <f t="shared" si="34"/>
        <v>8905417</v>
      </c>
      <c r="F45" s="467"/>
      <c r="G45" s="468">
        <v>558833.36</v>
      </c>
      <c r="H45" s="470"/>
      <c r="I45" s="467">
        <f t="shared" si="31"/>
        <v>8346583.64</v>
      </c>
      <c r="J45" s="467">
        <v>200000</v>
      </c>
      <c r="K45" s="467">
        <v>0.2</v>
      </c>
      <c r="L45" s="467">
        <f t="shared" si="1"/>
        <v>1669316.728</v>
      </c>
      <c r="M45" s="467">
        <f t="shared" si="2"/>
        <v>1869316.728</v>
      </c>
      <c r="N45" s="467">
        <f t="shared" si="32"/>
        <v>2428150.088</v>
      </c>
      <c r="O45" s="467">
        <f t="shared" si="33"/>
        <v>6477266.912</v>
      </c>
      <c r="P45" s="467">
        <f t="shared" si="5"/>
        <v>21000</v>
      </c>
      <c r="Q45" s="467">
        <f t="shared" si="6"/>
        <v>33000</v>
      </c>
      <c r="R45" s="467">
        <f t="shared" si="7"/>
        <v>75000</v>
      </c>
      <c r="S45" s="467">
        <f t="shared" si="8"/>
        <v>95000</v>
      </c>
      <c r="T45" s="467">
        <f t="shared" si="9"/>
        <v>336000</v>
      </c>
      <c r="U45" s="467">
        <f t="shared" si="10"/>
        <v>786544.058879999</v>
      </c>
      <c r="V45" s="467">
        <f t="shared" si="11"/>
        <v>1346544.05888</v>
      </c>
      <c r="W45" s="474">
        <v>12</v>
      </c>
      <c r="X45" s="467">
        <f t="shared" si="12"/>
        <v>112212.004906667</v>
      </c>
      <c r="Y45" s="470"/>
      <c r="Z45" s="478">
        <f t="shared" si="13"/>
        <v>112212.004906667</v>
      </c>
      <c r="AA45" s="479">
        <v>75572.9156906667</v>
      </c>
      <c r="AB45" s="479">
        <f t="shared" si="35"/>
        <v>36639.0892159999</v>
      </c>
      <c r="AC45" s="479"/>
      <c r="AD45" s="479"/>
      <c r="AE45" s="479"/>
    </row>
    <row r="46" ht="18" spans="1:31">
      <c r="A46" s="464">
        <v>41</v>
      </c>
      <c r="B46" s="14" t="s">
        <v>115</v>
      </c>
      <c r="C46" s="467">
        <v>610498</v>
      </c>
      <c r="D46" s="466">
        <v>12</v>
      </c>
      <c r="E46" s="467">
        <f t="shared" si="34"/>
        <v>7325976</v>
      </c>
      <c r="F46" s="467"/>
      <c r="G46" s="468">
        <v>451678.08</v>
      </c>
      <c r="H46" s="470"/>
      <c r="I46" s="467">
        <f t="shared" si="31"/>
        <v>6874297.92</v>
      </c>
      <c r="J46" s="467">
        <v>200000</v>
      </c>
      <c r="K46" s="467">
        <v>0.2</v>
      </c>
      <c r="L46" s="467">
        <f t="shared" si="1"/>
        <v>1374859.584</v>
      </c>
      <c r="M46" s="467">
        <f t="shared" si="2"/>
        <v>1574859.584</v>
      </c>
      <c r="N46" s="467">
        <f t="shared" si="32"/>
        <v>2026537.664</v>
      </c>
      <c r="O46" s="467">
        <f t="shared" si="33"/>
        <v>5299438.336</v>
      </c>
      <c r="P46" s="467">
        <f t="shared" si="5"/>
        <v>21000</v>
      </c>
      <c r="Q46" s="467">
        <f t="shared" si="6"/>
        <v>33000</v>
      </c>
      <c r="R46" s="467">
        <f t="shared" si="7"/>
        <v>75000</v>
      </c>
      <c r="S46" s="467">
        <f t="shared" si="8"/>
        <v>95000</v>
      </c>
      <c r="T46" s="467">
        <f t="shared" si="9"/>
        <v>336000</v>
      </c>
      <c r="U46" s="467">
        <f t="shared" si="10"/>
        <v>503865.20064</v>
      </c>
      <c r="V46" s="467">
        <f t="shared" si="11"/>
        <v>1063865.20064</v>
      </c>
      <c r="W46" s="474">
        <v>12</v>
      </c>
      <c r="X46" s="467">
        <f t="shared" si="12"/>
        <v>88655.4333866667</v>
      </c>
      <c r="Y46" s="470"/>
      <c r="Z46" s="478">
        <f t="shared" si="13"/>
        <v>88655.4333866667</v>
      </c>
      <c r="AA46" s="479">
        <v>58026.6094346667</v>
      </c>
      <c r="AB46" s="479">
        <f t="shared" si="35"/>
        <v>30628.823952</v>
      </c>
      <c r="AC46" s="479"/>
      <c r="AD46" s="479"/>
      <c r="AE46" s="479"/>
    </row>
    <row r="47" ht="18" spans="1:31">
      <c r="A47" s="464">
        <v>42</v>
      </c>
      <c r="B47" s="11" t="s">
        <v>116</v>
      </c>
      <c r="C47" s="467">
        <v>400965.583333333</v>
      </c>
      <c r="D47" s="466">
        <v>12</v>
      </c>
      <c r="E47" s="467">
        <f t="shared" si="34"/>
        <v>4811587</v>
      </c>
      <c r="F47" s="467"/>
      <c r="G47" s="468">
        <v>288926.96</v>
      </c>
      <c r="H47" s="470"/>
      <c r="I47" s="467">
        <f t="shared" si="31"/>
        <v>4522660.04</v>
      </c>
      <c r="J47" s="467">
        <v>200000</v>
      </c>
      <c r="K47" s="467">
        <v>0.2</v>
      </c>
      <c r="L47" s="467">
        <f t="shared" si="1"/>
        <v>904532.007999999</v>
      </c>
      <c r="M47" s="467">
        <f t="shared" si="2"/>
        <v>1104532.008</v>
      </c>
      <c r="N47" s="467">
        <f t="shared" si="32"/>
        <v>1393458.968</v>
      </c>
      <c r="O47" s="467">
        <f t="shared" si="33"/>
        <v>3418128.032</v>
      </c>
      <c r="P47" s="467">
        <f t="shared" si="5"/>
        <v>21000</v>
      </c>
      <c r="Q47" s="467">
        <f t="shared" si="6"/>
        <v>33000</v>
      </c>
      <c r="R47" s="467">
        <f t="shared" si="7"/>
        <v>75000</v>
      </c>
      <c r="S47" s="467">
        <f t="shared" si="8"/>
        <v>95000</v>
      </c>
      <c r="T47" s="467">
        <f t="shared" si="9"/>
        <v>336000</v>
      </c>
      <c r="U47" s="467">
        <f t="shared" si="10"/>
        <v>52350.7276799992</v>
      </c>
      <c r="V47" s="467">
        <f t="shared" si="11"/>
        <v>612350.727679999</v>
      </c>
      <c r="W47" s="474">
        <v>12</v>
      </c>
      <c r="X47" s="467">
        <f t="shared" si="12"/>
        <v>51029.2273066666</v>
      </c>
      <c r="Y47" s="470"/>
      <c r="Z47" s="478">
        <f t="shared" si="13"/>
        <v>51029.2273066666</v>
      </c>
      <c r="AA47" s="479">
        <v>33059.0784066667</v>
      </c>
      <c r="AB47" s="479">
        <f t="shared" si="35"/>
        <v>17970.1488999999</v>
      </c>
      <c r="AC47" s="479"/>
      <c r="AD47" s="479"/>
      <c r="AE47" s="479"/>
    </row>
    <row r="48" ht="18" spans="1:31">
      <c r="A48" s="464">
        <v>43</v>
      </c>
      <c r="B48" s="11" t="s">
        <v>118</v>
      </c>
      <c r="C48" s="467">
        <v>363165.333333333</v>
      </c>
      <c r="D48" s="466">
        <v>12</v>
      </c>
      <c r="E48" s="467">
        <f t="shared" si="34"/>
        <v>4357984</v>
      </c>
      <c r="F48" s="467"/>
      <c r="G48" s="468">
        <v>252638.72</v>
      </c>
      <c r="H48" s="470"/>
      <c r="I48" s="467">
        <f t="shared" si="31"/>
        <v>4105345.28</v>
      </c>
      <c r="J48" s="467">
        <v>200000</v>
      </c>
      <c r="K48" s="467">
        <v>0.2</v>
      </c>
      <c r="L48" s="467">
        <f t="shared" si="1"/>
        <v>821069.055999999</v>
      </c>
      <c r="M48" s="467">
        <f t="shared" si="2"/>
        <v>1021069.056</v>
      </c>
      <c r="N48" s="467">
        <f t="shared" si="32"/>
        <v>1273707.776</v>
      </c>
      <c r="O48" s="467">
        <f t="shared" si="33"/>
        <v>3084276.224</v>
      </c>
      <c r="P48" s="467">
        <f t="shared" si="5"/>
        <v>21000</v>
      </c>
      <c r="Q48" s="467">
        <f t="shared" si="6"/>
        <v>33000</v>
      </c>
      <c r="R48" s="467">
        <f t="shared" si="7"/>
        <v>75000</v>
      </c>
      <c r="S48" s="467">
        <f t="shared" si="8"/>
        <v>95000</v>
      </c>
      <c r="T48" s="467">
        <f t="shared" si="9"/>
        <v>311698.007039999</v>
      </c>
      <c r="U48" s="467"/>
      <c r="V48" s="467">
        <f t="shared" si="11"/>
        <v>535698.007039999</v>
      </c>
      <c r="W48" s="474">
        <v>12</v>
      </c>
      <c r="X48" s="467">
        <f t="shared" si="12"/>
        <v>44641.5005866666</v>
      </c>
      <c r="Y48" s="470"/>
      <c r="Z48" s="478">
        <f t="shared" si="13"/>
        <v>44641.5005866666</v>
      </c>
      <c r="AA48" s="479">
        <v>29058.4826046667</v>
      </c>
      <c r="AB48" s="479">
        <f t="shared" si="35"/>
        <v>15583.0179819999</v>
      </c>
      <c r="AC48" s="479"/>
      <c r="AD48" s="479"/>
      <c r="AE48" s="479"/>
    </row>
    <row r="49" ht="18" spans="1:31">
      <c r="A49" s="464">
        <v>44</v>
      </c>
      <c r="B49" s="11" t="s">
        <v>580</v>
      </c>
      <c r="C49" s="467">
        <v>363165.333333333</v>
      </c>
      <c r="D49" s="466">
        <v>12</v>
      </c>
      <c r="E49" s="467">
        <f t="shared" si="34"/>
        <v>4357984</v>
      </c>
      <c r="F49" s="467"/>
      <c r="G49" s="468">
        <v>252638.72</v>
      </c>
      <c r="H49" s="470"/>
      <c r="I49" s="467">
        <f t="shared" si="31"/>
        <v>4105345.28</v>
      </c>
      <c r="J49" s="467">
        <v>200000</v>
      </c>
      <c r="K49" s="467">
        <v>0.2</v>
      </c>
      <c r="L49" s="467">
        <f t="shared" si="1"/>
        <v>821069.055999999</v>
      </c>
      <c r="M49" s="467">
        <f t="shared" si="2"/>
        <v>1021069.056</v>
      </c>
      <c r="N49" s="467">
        <f t="shared" si="32"/>
        <v>1273707.776</v>
      </c>
      <c r="O49" s="467">
        <f t="shared" si="33"/>
        <v>3084276.224</v>
      </c>
      <c r="P49" s="467">
        <f t="shared" si="5"/>
        <v>21000</v>
      </c>
      <c r="Q49" s="467">
        <f t="shared" si="6"/>
        <v>33000</v>
      </c>
      <c r="R49" s="467">
        <f t="shared" si="7"/>
        <v>75000</v>
      </c>
      <c r="S49" s="467">
        <f t="shared" si="8"/>
        <v>95000</v>
      </c>
      <c r="T49" s="467">
        <f t="shared" si="9"/>
        <v>311698.007039999</v>
      </c>
      <c r="U49" s="467"/>
      <c r="V49" s="467">
        <f t="shared" si="11"/>
        <v>535698.007039999</v>
      </c>
      <c r="W49" s="474">
        <v>12</v>
      </c>
      <c r="X49" s="467">
        <f t="shared" si="12"/>
        <v>44641.5005866666</v>
      </c>
      <c r="Y49" s="470"/>
      <c r="Z49" s="478">
        <f t="shared" si="13"/>
        <v>44641.5005866666</v>
      </c>
      <c r="AA49" s="479">
        <v>28360.9528626667</v>
      </c>
      <c r="AB49" s="479">
        <f t="shared" si="35"/>
        <v>16280.5477239999</v>
      </c>
      <c r="AC49" s="479"/>
      <c r="AD49" s="479"/>
      <c r="AE49" s="479"/>
    </row>
    <row r="50" ht="18" spans="1:31">
      <c r="A50" s="464">
        <v>45</v>
      </c>
      <c r="B50" s="11" t="s">
        <v>119</v>
      </c>
      <c r="C50" s="467">
        <v>363165.333333333</v>
      </c>
      <c r="D50" s="466">
        <v>12</v>
      </c>
      <c r="E50" s="467">
        <f t="shared" si="34"/>
        <v>4357984</v>
      </c>
      <c r="F50" s="467"/>
      <c r="G50" s="468">
        <v>252638.72</v>
      </c>
      <c r="H50" s="470"/>
      <c r="I50" s="467">
        <f t="shared" si="31"/>
        <v>4105345.28</v>
      </c>
      <c r="J50" s="467">
        <v>200000</v>
      </c>
      <c r="K50" s="467">
        <v>0.2</v>
      </c>
      <c r="L50" s="467">
        <f t="shared" si="1"/>
        <v>821069.055999999</v>
      </c>
      <c r="M50" s="467">
        <f t="shared" si="2"/>
        <v>1021069.056</v>
      </c>
      <c r="N50" s="467">
        <f t="shared" si="32"/>
        <v>1273707.776</v>
      </c>
      <c r="O50" s="467">
        <f t="shared" si="33"/>
        <v>3084276.224</v>
      </c>
      <c r="P50" s="467">
        <f t="shared" si="5"/>
        <v>21000</v>
      </c>
      <c r="Q50" s="467">
        <f t="shared" si="6"/>
        <v>33000</v>
      </c>
      <c r="R50" s="467">
        <f t="shared" si="7"/>
        <v>75000</v>
      </c>
      <c r="S50" s="467">
        <f t="shared" si="8"/>
        <v>95000</v>
      </c>
      <c r="T50" s="467">
        <f t="shared" si="9"/>
        <v>311698.007039999</v>
      </c>
      <c r="U50" s="467"/>
      <c r="V50" s="467">
        <f t="shared" si="11"/>
        <v>535698.007039999</v>
      </c>
      <c r="W50" s="474">
        <v>12</v>
      </c>
      <c r="X50" s="467">
        <f t="shared" si="12"/>
        <v>44641.5005866666</v>
      </c>
      <c r="Y50" s="470"/>
      <c r="Z50" s="478">
        <f t="shared" si="13"/>
        <v>44641.5005866666</v>
      </c>
      <c r="AA50" s="479">
        <v>29058.4826046667</v>
      </c>
      <c r="AB50" s="479">
        <f t="shared" si="35"/>
        <v>15583.0179819999</v>
      </c>
      <c r="AC50" s="479"/>
      <c r="AD50" s="479"/>
      <c r="AE50" s="479"/>
    </row>
    <row r="51" ht="17.5" spans="1:31">
      <c r="A51" s="464"/>
      <c r="B51" s="22"/>
      <c r="C51" s="472"/>
      <c r="D51" s="466"/>
      <c r="E51" s="467"/>
      <c r="F51" s="467"/>
      <c r="G51" s="470"/>
      <c r="H51" s="470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7"/>
      <c r="U51" s="467"/>
      <c r="V51" s="467"/>
      <c r="W51" s="474"/>
      <c r="X51" s="467"/>
      <c r="Y51" s="470"/>
      <c r="Z51" s="478"/>
      <c r="AA51" s="479"/>
      <c r="AB51" s="479"/>
      <c r="AC51" s="479"/>
      <c r="AD51" s="479"/>
      <c r="AE51" s="479"/>
    </row>
    <row r="52" ht="17.5" spans="1:31">
      <c r="A52" s="464"/>
      <c r="B52" s="20" t="s">
        <v>120</v>
      </c>
      <c r="C52" s="467"/>
      <c r="D52" s="466"/>
      <c r="E52" s="467"/>
      <c r="F52" s="467"/>
      <c r="G52" s="470"/>
      <c r="H52" s="470"/>
      <c r="I52" s="467"/>
      <c r="J52" s="467"/>
      <c r="K52" s="467"/>
      <c r="L52" s="467"/>
      <c r="M52" s="467"/>
      <c r="N52" s="467"/>
      <c r="O52" s="467"/>
      <c r="P52" s="467"/>
      <c r="Q52" s="467"/>
      <c r="R52" s="467"/>
      <c r="S52" s="467"/>
      <c r="T52" s="467"/>
      <c r="U52" s="467"/>
      <c r="V52" s="467"/>
      <c r="W52" s="474"/>
      <c r="X52" s="467"/>
      <c r="Y52" s="470"/>
      <c r="Z52" s="478"/>
      <c r="AA52" s="479"/>
      <c r="AB52" s="479"/>
      <c r="AC52" s="479"/>
      <c r="AD52" s="479"/>
      <c r="AE52" s="479"/>
    </row>
    <row r="53" ht="18" spans="1:31">
      <c r="A53" s="464">
        <v>47</v>
      </c>
      <c r="B53" s="11" t="s">
        <v>121</v>
      </c>
      <c r="C53" s="467">
        <v>1635720</v>
      </c>
      <c r="D53" s="466">
        <v>12</v>
      </c>
      <c r="E53" s="467">
        <f>C53*D53</f>
        <v>19628640</v>
      </c>
      <c r="F53" s="467"/>
      <c r="G53" s="468">
        <v>1378291.2</v>
      </c>
      <c r="H53" s="470"/>
      <c r="I53" s="467">
        <f>E53-F53-G53-H53</f>
        <v>18250348.8</v>
      </c>
      <c r="J53" s="467">
        <v>200000</v>
      </c>
      <c r="K53" s="467">
        <v>0.2</v>
      </c>
      <c r="L53" s="467">
        <f t="shared" si="1"/>
        <v>3650069.76</v>
      </c>
      <c r="M53" s="467">
        <f t="shared" si="2"/>
        <v>3850069.76</v>
      </c>
      <c r="N53" s="467">
        <f>F53+G53+H53+M53</f>
        <v>5228360.96</v>
      </c>
      <c r="O53" s="467">
        <f>E53-N53</f>
        <v>14400279.04</v>
      </c>
      <c r="P53" s="467">
        <f t="shared" si="5"/>
        <v>21000</v>
      </c>
      <c r="Q53" s="467">
        <f t="shared" si="6"/>
        <v>33000</v>
      </c>
      <c r="R53" s="467">
        <f t="shared" si="7"/>
        <v>75000</v>
      </c>
      <c r="S53" s="467">
        <f t="shared" si="8"/>
        <v>95000</v>
      </c>
      <c r="T53" s="467">
        <f t="shared" si="9"/>
        <v>336000</v>
      </c>
      <c r="U53" s="467">
        <f t="shared" si="10"/>
        <v>2688066.9696</v>
      </c>
      <c r="V53" s="467">
        <f t="shared" si="11"/>
        <v>3248066.9696</v>
      </c>
      <c r="W53" s="474">
        <v>12</v>
      </c>
      <c r="X53" s="467">
        <f t="shared" si="12"/>
        <v>270672.247466667</v>
      </c>
      <c r="Y53" s="470"/>
      <c r="Z53" s="478">
        <f t="shared" si="13"/>
        <v>270672.247466667</v>
      </c>
      <c r="AA53" s="479">
        <v>180306.806858667</v>
      </c>
      <c r="AB53" s="479">
        <f>Z53-AA53</f>
        <v>90365.4406079996</v>
      </c>
      <c r="AC53" s="479"/>
      <c r="AD53" s="479"/>
      <c r="AE53" s="479"/>
    </row>
    <row r="54" ht="18" spans="1:31">
      <c r="A54" s="464">
        <v>48</v>
      </c>
      <c r="B54" s="11" t="s">
        <v>123</v>
      </c>
      <c r="C54" s="467">
        <v>700675.583333333</v>
      </c>
      <c r="D54" s="466">
        <v>12</v>
      </c>
      <c r="E54" s="467">
        <f>C54*D54</f>
        <v>8408107</v>
      </c>
      <c r="F54" s="467"/>
      <c r="G54" s="467">
        <v>595848.56</v>
      </c>
      <c r="H54" s="470"/>
      <c r="I54" s="467">
        <f>E54-F54-G54-H54</f>
        <v>7812258.44</v>
      </c>
      <c r="J54" s="467">
        <v>200000</v>
      </c>
      <c r="K54" s="467">
        <v>0.2</v>
      </c>
      <c r="L54" s="467">
        <f t="shared" si="1"/>
        <v>1562451.688</v>
      </c>
      <c r="M54" s="467">
        <f t="shared" si="2"/>
        <v>1762451.688</v>
      </c>
      <c r="N54" s="467">
        <f>F54+G54+H54+M54</f>
        <v>2358300.248</v>
      </c>
      <c r="O54" s="467">
        <f>E54-N54</f>
        <v>6049806.752</v>
      </c>
      <c r="P54" s="467">
        <f t="shared" si="5"/>
        <v>21000</v>
      </c>
      <c r="Q54" s="467">
        <f t="shared" si="6"/>
        <v>33000</v>
      </c>
      <c r="R54" s="467">
        <f t="shared" si="7"/>
        <v>75000</v>
      </c>
      <c r="S54" s="467">
        <f t="shared" si="8"/>
        <v>95000</v>
      </c>
      <c r="T54" s="467">
        <f t="shared" si="9"/>
        <v>336000</v>
      </c>
      <c r="U54" s="467">
        <f t="shared" si="10"/>
        <v>683953.620479999</v>
      </c>
      <c r="V54" s="467">
        <f t="shared" si="11"/>
        <v>1243953.62048</v>
      </c>
      <c r="W54" s="474">
        <v>12</v>
      </c>
      <c r="X54" s="467">
        <f t="shared" si="12"/>
        <v>103662.801706667</v>
      </c>
      <c r="Y54" s="470"/>
      <c r="Z54" s="478">
        <f t="shared" si="13"/>
        <v>103662.801706667</v>
      </c>
      <c r="AA54" s="479">
        <v>64596.9391466667</v>
      </c>
      <c r="AB54" s="479">
        <f>Z54-AA54</f>
        <v>39065.8625599999</v>
      </c>
      <c r="AC54" s="479"/>
      <c r="AD54" s="479"/>
      <c r="AE54" s="479"/>
    </row>
    <row r="55" ht="17.5" spans="1:31">
      <c r="A55" s="464"/>
      <c r="B55" s="20"/>
      <c r="C55" s="467"/>
      <c r="D55" s="466"/>
      <c r="E55" s="467"/>
      <c r="F55" s="467"/>
      <c r="G55" s="470">
        <v>0</v>
      </c>
      <c r="H55" s="470"/>
      <c r="I55" s="467"/>
      <c r="J55" s="467"/>
      <c r="K55" s="467"/>
      <c r="L55" s="467"/>
      <c r="M55" s="467"/>
      <c r="N55" s="467"/>
      <c r="O55" s="467"/>
      <c r="P55" s="467"/>
      <c r="Q55" s="467"/>
      <c r="R55" s="467"/>
      <c r="S55" s="467"/>
      <c r="T55" s="467"/>
      <c r="U55" s="467"/>
      <c r="V55" s="467"/>
      <c r="W55" s="474"/>
      <c r="X55" s="467"/>
      <c r="Y55" s="470"/>
      <c r="Z55" s="478"/>
      <c r="AA55" s="479"/>
      <c r="AB55" s="479"/>
      <c r="AC55" s="479"/>
      <c r="AD55" s="479"/>
      <c r="AE55" s="479"/>
    </row>
    <row r="56" ht="35" spans="1:31">
      <c r="A56" s="464">
        <v>49</v>
      </c>
      <c r="B56" s="20" t="s">
        <v>126</v>
      </c>
      <c r="C56" s="467"/>
      <c r="D56" s="466"/>
      <c r="E56" s="467"/>
      <c r="F56" s="467"/>
      <c r="G56" s="470">
        <v>0</v>
      </c>
      <c r="H56" s="470"/>
      <c r="I56" s="467"/>
      <c r="J56" s="467"/>
      <c r="K56" s="467"/>
      <c r="L56" s="467"/>
      <c r="M56" s="467"/>
      <c r="N56" s="467"/>
      <c r="O56" s="467"/>
      <c r="P56" s="467"/>
      <c r="Q56" s="467"/>
      <c r="R56" s="467"/>
      <c r="S56" s="467"/>
      <c r="T56" s="467"/>
      <c r="U56" s="467"/>
      <c r="V56" s="467"/>
      <c r="W56" s="474"/>
      <c r="X56" s="467"/>
      <c r="Y56" s="470"/>
      <c r="Z56" s="478"/>
      <c r="AA56" s="479"/>
      <c r="AB56" s="479"/>
      <c r="AC56" s="479"/>
      <c r="AD56" s="479"/>
      <c r="AE56" s="479"/>
    </row>
    <row r="57" ht="18" spans="1:31">
      <c r="A57" s="464">
        <v>50</v>
      </c>
      <c r="B57" s="11" t="s">
        <v>127</v>
      </c>
      <c r="C57" s="467">
        <v>1635720</v>
      </c>
      <c r="D57" s="466">
        <v>12</v>
      </c>
      <c r="E57" s="467">
        <f>C57*D57</f>
        <v>19628640</v>
      </c>
      <c r="F57" s="467"/>
      <c r="G57" s="468">
        <v>0</v>
      </c>
      <c r="H57" s="470"/>
      <c r="I57" s="467">
        <f t="shared" ref="I57:I66" si="36">E57-F57-G57-H57</f>
        <v>19628640</v>
      </c>
      <c r="J57" s="467">
        <v>200000</v>
      </c>
      <c r="K57" s="467">
        <v>0.2</v>
      </c>
      <c r="L57" s="467">
        <f t="shared" si="1"/>
        <v>3925728</v>
      </c>
      <c r="M57" s="467">
        <f t="shared" si="2"/>
        <v>4125728</v>
      </c>
      <c r="N57" s="467">
        <f t="shared" ref="N57:N66" si="37">F57+G57+H57+M57</f>
        <v>4125728</v>
      </c>
      <c r="O57" s="467">
        <f t="shared" ref="O57:O66" si="38">E57-N57</f>
        <v>15502912</v>
      </c>
      <c r="P57" s="467">
        <f t="shared" si="5"/>
        <v>21000</v>
      </c>
      <c r="Q57" s="467">
        <f t="shared" si="6"/>
        <v>33000</v>
      </c>
      <c r="R57" s="467">
        <f t="shared" si="7"/>
        <v>75000</v>
      </c>
      <c r="S57" s="467">
        <f t="shared" si="8"/>
        <v>95000</v>
      </c>
      <c r="T57" s="467">
        <f t="shared" si="9"/>
        <v>336000</v>
      </c>
      <c r="U57" s="467">
        <f t="shared" si="10"/>
        <v>2952698.88</v>
      </c>
      <c r="V57" s="467">
        <f t="shared" si="11"/>
        <v>3512698.88</v>
      </c>
      <c r="W57" s="474">
        <v>12</v>
      </c>
      <c r="X57" s="467">
        <f t="shared" si="12"/>
        <v>292724.906666667</v>
      </c>
      <c r="Y57" s="470"/>
      <c r="Z57" s="478">
        <f t="shared" si="13"/>
        <v>292724.906666667</v>
      </c>
      <c r="AA57" s="479">
        <v>180306.806858667</v>
      </c>
      <c r="AB57" s="479">
        <f>Z57-AA57</f>
        <v>112418.099808</v>
      </c>
      <c r="AC57" s="479"/>
      <c r="AD57" s="479"/>
      <c r="AE57" s="479"/>
    </row>
    <row r="58" ht="23.25" customHeight="1" spans="1:31">
      <c r="A58" s="464">
        <v>51</v>
      </c>
      <c r="B58" s="351" t="s">
        <v>129</v>
      </c>
      <c r="C58" s="467">
        <v>761396.833333333</v>
      </c>
      <c r="D58" s="466">
        <v>12</v>
      </c>
      <c r="E58" s="467">
        <f t="shared" ref="E58:E66" si="39">C58*D58</f>
        <v>9136762</v>
      </c>
      <c r="F58" s="467"/>
      <c r="G58" s="473">
        <f>48111.7466666667*12</f>
        <v>577340.96</v>
      </c>
      <c r="H58" s="470"/>
      <c r="I58" s="467">
        <f t="shared" si="36"/>
        <v>8559421.04</v>
      </c>
      <c r="J58" s="467">
        <v>200000</v>
      </c>
      <c r="K58" s="467">
        <v>0.2</v>
      </c>
      <c r="L58" s="467">
        <f t="shared" si="1"/>
        <v>1711884.208</v>
      </c>
      <c r="M58" s="467">
        <f t="shared" si="2"/>
        <v>1911884.208</v>
      </c>
      <c r="N58" s="467">
        <f t="shared" si="37"/>
        <v>2489225.168</v>
      </c>
      <c r="O58" s="467">
        <f t="shared" si="38"/>
        <v>6647536.832</v>
      </c>
      <c r="P58" s="467">
        <f t="shared" si="5"/>
        <v>21000</v>
      </c>
      <c r="Q58" s="467">
        <f t="shared" si="6"/>
        <v>33000</v>
      </c>
      <c r="R58" s="467">
        <f t="shared" si="7"/>
        <v>75000</v>
      </c>
      <c r="S58" s="467">
        <f t="shared" si="8"/>
        <v>95000</v>
      </c>
      <c r="T58" s="467">
        <f t="shared" si="9"/>
        <v>336000</v>
      </c>
      <c r="U58" s="467">
        <f t="shared" si="10"/>
        <v>827408.839679999</v>
      </c>
      <c r="V58" s="467">
        <f t="shared" si="11"/>
        <v>1387408.83968</v>
      </c>
      <c r="W58" s="474">
        <v>12</v>
      </c>
      <c r="X58" s="467">
        <f t="shared" si="12"/>
        <v>115617.403306667</v>
      </c>
      <c r="Y58" s="470"/>
      <c r="Z58" s="478">
        <f t="shared" si="13"/>
        <v>115617.403306667</v>
      </c>
      <c r="AA58" s="479">
        <v>77764.9802666667</v>
      </c>
      <c r="AB58" s="479">
        <f t="shared" ref="AB58:AB66" si="40">Z58-AA58</f>
        <v>37852.4230399999</v>
      </c>
      <c r="AC58" s="479"/>
      <c r="AD58" s="479"/>
      <c r="AE58" s="479"/>
    </row>
    <row r="59" ht="18" spans="1:31">
      <c r="A59" s="464">
        <v>52</v>
      </c>
      <c r="B59" s="11" t="s">
        <v>132</v>
      </c>
      <c r="C59" s="467">
        <v>582746.5</v>
      </c>
      <c r="D59" s="466">
        <v>12</v>
      </c>
      <c r="E59" s="467">
        <f t="shared" si="39"/>
        <v>6992958</v>
      </c>
      <c r="F59" s="467"/>
      <c r="G59" s="468">
        <v>425036.64</v>
      </c>
      <c r="H59" s="470"/>
      <c r="I59" s="467">
        <f t="shared" si="36"/>
        <v>6567921.36</v>
      </c>
      <c r="J59" s="467">
        <v>200000</v>
      </c>
      <c r="K59" s="467">
        <v>0.2</v>
      </c>
      <c r="L59" s="467">
        <f t="shared" si="1"/>
        <v>1313584.272</v>
      </c>
      <c r="M59" s="467">
        <f t="shared" si="2"/>
        <v>1513584.272</v>
      </c>
      <c r="N59" s="467">
        <f t="shared" si="37"/>
        <v>1938620.912</v>
      </c>
      <c r="O59" s="467">
        <f t="shared" si="38"/>
        <v>5054337.088</v>
      </c>
      <c r="P59" s="467">
        <f t="shared" si="5"/>
        <v>21000</v>
      </c>
      <c r="Q59" s="467">
        <f t="shared" si="6"/>
        <v>33000</v>
      </c>
      <c r="R59" s="467">
        <f t="shared" si="7"/>
        <v>75000</v>
      </c>
      <c r="S59" s="467">
        <f t="shared" si="8"/>
        <v>95000</v>
      </c>
      <c r="T59" s="467">
        <f t="shared" si="9"/>
        <v>336000</v>
      </c>
      <c r="U59" s="467">
        <f t="shared" si="10"/>
        <v>445040.90112</v>
      </c>
      <c r="V59" s="467">
        <f t="shared" si="11"/>
        <v>1005040.90112</v>
      </c>
      <c r="W59" s="474">
        <v>12</v>
      </c>
      <c r="X59" s="467">
        <f t="shared" si="12"/>
        <v>83753.4084266666</v>
      </c>
      <c r="Y59" s="470"/>
      <c r="Z59" s="478">
        <f t="shared" si="13"/>
        <v>83753.4084266666</v>
      </c>
      <c r="AA59" s="479">
        <v>54931.2492266667</v>
      </c>
      <c r="AB59" s="479">
        <f t="shared" si="40"/>
        <v>28822.1591999999</v>
      </c>
      <c r="AC59" s="479"/>
      <c r="AD59" s="479"/>
      <c r="AE59" s="479"/>
    </row>
    <row r="60" ht="18" spans="1:31">
      <c r="A60" s="464">
        <v>53</v>
      </c>
      <c r="B60" s="18" t="s">
        <v>486</v>
      </c>
      <c r="C60" s="467">
        <v>548915.916666667</v>
      </c>
      <c r="D60" s="466">
        <v>12</v>
      </c>
      <c r="E60" s="467">
        <f t="shared" si="39"/>
        <v>6586991</v>
      </c>
      <c r="F60" s="467"/>
      <c r="G60" s="468">
        <v>411759.28</v>
      </c>
      <c r="H60" s="470"/>
      <c r="I60" s="467">
        <f t="shared" si="36"/>
        <v>6175231.72</v>
      </c>
      <c r="J60" s="467">
        <v>200000</v>
      </c>
      <c r="K60" s="467">
        <v>0.2</v>
      </c>
      <c r="L60" s="467">
        <f t="shared" si="1"/>
        <v>1235046.344</v>
      </c>
      <c r="M60" s="467">
        <f t="shared" si="2"/>
        <v>1435046.344</v>
      </c>
      <c r="N60" s="467">
        <f t="shared" si="37"/>
        <v>1846805.624</v>
      </c>
      <c r="O60" s="467">
        <f t="shared" si="38"/>
        <v>4740185.376</v>
      </c>
      <c r="P60" s="467">
        <f t="shared" si="5"/>
        <v>21000</v>
      </c>
      <c r="Q60" s="467">
        <f t="shared" si="6"/>
        <v>33000</v>
      </c>
      <c r="R60" s="467">
        <f t="shared" si="7"/>
        <v>75000</v>
      </c>
      <c r="S60" s="467">
        <f t="shared" si="8"/>
        <v>95000</v>
      </c>
      <c r="T60" s="467">
        <f t="shared" si="9"/>
        <v>336000</v>
      </c>
      <c r="U60" s="467">
        <f t="shared" si="10"/>
        <v>369644.490240001</v>
      </c>
      <c r="V60" s="467">
        <f t="shared" si="11"/>
        <v>929644.490240001</v>
      </c>
      <c r="W60" s="474">
        <v>12</v>
      </c>
      <c r="X60" s="467">
        <f t="shared" si="12"/>
        <v>77470.3741866667</v>
      </c>
      <c r="Y60" s="470"/>
      <c r="Z60" s="478">
        <f t="shared" si="13"/>
        <v>77470.3741866667</v>
      </c>
      <c r="AA60" s="479">
        <v>49548.7761866667</v>
      </c>
      <c r="AB60" s="479">
        <f t="shared" si="40"/>
        <v>27921.598</v>
      </c>
      <c r="AC60" s="479"/>
      <c r="AD60" s="479"/>
      <c r="AE60" s="479"/>
    </row>
    <row r="61" ht="18" spans="1:31">
      <c r="A61" s="464">
        <v>54</v>
      </c>
      <c r="B61" s="14" t="s">
        <v>519</v>
      </c>
      <c r="C61" s="467">
        <v>624373.75</v>
      </c>
      <c r="D61" s="466">
        <v>12</v>
      </c>
      <c r="E61" s="467">
        <f t="shared" si="39"/>
        <v>7492485</v>
      </c>
      <c r="F61" s="467"/>
      <c r="G61" s="468">
        <v>464998.8</v>
      </c>
      <c r="H61" s="470"/>
      <c r="I61" s="467">
        <f t="shared" si="36"/>
        <v>7027486.2</v>
      </c>
      <c r="J61" s="467">
        <v>200000</v>
      </c>
      <c r="K61" s="467">
        <v>0.2</v>
      </c>
      <c r="L61" s="467">
        <f t="shared" si="1"/>
        <v>1405497.24</v>
      </c>
      <c r="M61" s="467">
        <f t="shared" si="2"/>
        <v>1605497.24</v>
      </c>
      <c r="N61" s="467">
        <f t="shared" si="37"/>
        <v>2070496.04</v>
      </c>
      <c r="O61" s="467">
        <f t="shared" si="38"/>
        <v>5421988.96</v>
      </c>
      <c r="P61" s="467">
        <f t="shared" si="5"/>
        <v>21000</v>
      </c>
      <c r="Q61" s="467">
        <f t="shared" si="6"/>
        <v>33000</v>
      </c>
      <c r="R61" s="467">
        <f t="shared" si="7"/>
        <v>75000</v>
      </c>
      <c r="S61" s="467">
        <f t="shared" si="8"/>
        <v>95000</v>
      </c>
      <c r="T61" s="467">
        <f t="shared" si="9"/>
        <v>336000</v>
      </c>
      <c r="U61" s="467">
        <f t="shared" si="10"/>
        <v>533277.3504</v>
      </c>
      <c r="V61" s="467">
        <f t="shared" si="11"/>
        <v>1093277.3504</v>
      </c>
      <c r="W61" s="474">
        <v>12</v>
      </c>
      <c r="X61" s="467">
        <f t="shared" si="12"/>
        <v>91106.4458666667</v>
      </c>
      <c r="Y61" s="470"/>
      <c r="Z61" s="478">
        <f t="shared" si="13"/>
        <v>91106.4458666667</v>
      </c>
      <c r="AA61" s="479">
        <v>46666.6666666667</v>
      </c>
      <c r="AB61" s="479">
        <f t="shared" si="40"/>
        <v>44439.7792</v>
      </c>
      <c r="AC61" s="479"/>
      <c r="AD61" s="479"/>
      <c r="AE61" s="479"/>
    </row>
    <row r="62" ht="18" spans="1:31">
      <c r="A62" s="464">
        <v>55</v>
      </c>
      <c r="B62" s="11" t="s">
        <v>134</v>
      </c>
      <c r="C62" s="467">
        <v>475703.833333333</v>
      </c>
      <c r="D62" s="466">
        <v>12</v>
      </c>
      <c r="E62" s="467">
        <f t="shared" si="39"/>
        <v>5708446</v>
      </c>
      <c r="F62" s="467"/>
      <c r="G62" s="468">
        <v>351075.68</v>
      </c>
      <c r="H62" s="470"/>
      <c r="I62" s="467">
        <f t="shared" si="36"/>
        <v>5357370.32</v>
      </c>
      <c r="J62" s="467">
        <v>200000</v>
      </c>
      <c r="K62" s="467">
        <v>0.2</v>
      </c>
      <c r="L62" s="467">
        <f t="shared" si="1"/>
        <v>1071474.064</v>
      </c>
      <c r="M62" s="467">
        <f t="shared" si="2"/>
        <v>1271474.064</v>
      </c>
      <c r="N62" s="467">
        <f t="shared" si="37"/>
        <v>1622549.744</v>
      </c>
      <c r="O62" s="467">
        <f t="shared" si="38"/>
        <v>4085896.256</v>
      </c>
      <c r="P62" s="467">
        <f t="shared" si="5"/>
        <v>21000</v>
      </c>
      <c r="Q62" s="467">
        <f t="shared" si="6"/>
        <v>33000</v>
      </c>
      <c r="R62" s="467">
        <f t="shared" si="7"/>
        <v>75000</v>
      </c>
      <c r="S62" s="467">
        <f t="shared" si="8"/>
        <v>95000</v>
      </c>
      <c r="T62" s="467">
        <f t="shared" si="9"/>
        <v>336000</v>
      </c>
      <c r="U62" s="467">
        <f t="shared" si="10"/>
        <v>212615.101439999</v>
      </c>
      <c r="V62" s="467">
        <f t="shared" si="11"/>
        <v>772615.101439999</v>
      </c>
      <c r="W62" s="474">
        <v>12</v>
      </c>
      <c r="X62" s="467">
        <f t="shared" si="12"/>
        <v>64384.5917866666</v>
      </c>
      <c r="Y62" s="470"/>
      <c r="Z62" s="478">
        <f t="shared" si="13"/>
        <v>64384.5917866666</v>
      </c>
      <c r="AA62" s="479">
        <v>41338.9510986667</v>
      </c>
      <c r="AB62" s="479">
        <f t="shared" si="40"/>
        <v>23045.6406879999</v>
      </c>
      <c r="AC62" s="479"/>
      <c r="AD62" s="479"/>
      <c r="AE62" s="479"/>
    </row>
    <row r="63" ht="18" spans="1:31">
      <c r="A63" s="464">
        <v>56</v>
      </c>
      <c r="B63" s="11" t="s">
        <v>136</v>
      </c>
      <c r="C63" s="467">
        <v>475703.833333333</v>
      </c>
      <c r="D63" s="466">
        <v>12</v>
      </c>
      <c r="E63" s="467">
        <f t="shared" si="39"/>
        <v>5708446</v>
      </c>
      <c r="F63" s="467"/>
      <c r="G63" s="468">
        <v>351075.68</v>
      </c>
      <c r="H63" s="470"/>
      <c r="I63" s="467">
        <f t="shared" si="36"/>
        <v>5357370.32</v>
      </c>
      <c r="J63" s="467">
        <v>200000</v>
      </c>
      <c r="K63" s="467">
        <v>0.2</v>
      </c>
      <c r="L63" s="467">
        <f t="shared" si="1"/>
        <v>1071474.064</v>
      </c>
      <c r="M63" s="467">
        <f t="shared" si="2"/>
        <v>1271474.064</v>
      </c>
      <c r="N63" s="467">
        <f t="shared" si="37"/>
        <v>1622549.744</v>
      </c>
      <c r="O63" s="467">
        <f t="shared" si="38"/>
        <v>4085896.256</v>
      </c>
      <c r="P63" s="467">
        <f t="shared" si="5"/>
        <v>21000</v>
      </c>
      <c r="Q63" s="467">
        <f t="shared" si="6"/>
        <v>33000</v>
      </c>
      <c r="R63" s="467">
        <f t="shared" si="7"/>
        <v>75000</v>
      </c>
      <c r="S63" s="467">
        <f t="shared" si="8"/>
        <v>95000</v>
      </c>
      <c r="T63" s="467">
        <f t="shared" si="9"/>
        <v>336000</v>
      </c>
      <c r="U63" s="467">
        <f t="shared" si="10"/>
        <v>212615.101439999</v>
      </c>
      <c r="V63" s="467">
        <f t="shared" si="11"/>
        <v>772615.101439999</v>
      </c>
      <c r="W63" s="474">
        <v>12</v>
      </c>
      <c r="X63" s="467">
        <f t="shared" si="12"/>
        <v>64384.5917866666</v>
      </c>
      <c r="Y63" s="470"/>
      <c r="Z63" s="478">
        <f t="shared" si="13"/>
        <v>64384.5917866666</v>
      </c>
      <c r="AA63" s="479">
        <v>41338.9510986667</v>
      </c>
      <c r="AB63" s="479">
        <f t="shared" si="40"/>
        <v>23045.6406879999</v>
      </c>
      <c r="AC63" s="479"/>
      <c r="AD63" s="479"/>
      <c r="AE63" s="479"/>
    </row>
    <row r="64" ht="18" spans="1:31">
      <c r="A64" s="464">
        <v>57</v>
      </c>
      <c r="B64" s="11" t="s">
        <v>137</v>
      </c>
      <c r="C64" s="467">
        <v>475703.833333333</v>
      </c>
      <c r="D64" s="466">
        <v>12</v>
      </c>
      <c r="E64" s="467">
        <f t="shared" si="39"/>
        <v>5708446</v>
      </c>
      <c r="F64" s="467"/>
      <c r="G64" s="468">
        <v>351075.68</v>
      </c>
      <c r="H64" s="470"/>
      <c r="I64" s="467">
        <f t="shared" si="36"/>
        <v>5357370.32</v>
      </c>
      <c r="J64" s="467">
        <v>200000</v>
      </c>
      <c r="K64" s="467">
        <v>0.2</v>
      </c>
      <c r="L64" s="467">
        <f t="shared" si="1"/>
        <v>1071474.064</v>
      </c>
      <c r="M64" s="467">
        <f t="shared" si="2"/>
        <v>1271474.064</v>
      </c>
      <c r="N64" s="467">
        <f t="shared" si="37"/>
        <v>1622549.744</v>
      </c>
      <c r="O64" s="467">
        <f t="shared" si="38"/>
        <v>4085896.256</v>
      </c>
      <c r="P64" s="467">
        <f t="shared" si="5"/>
        <v>21000</v>
      </c>
      <c r="Q64" s="467">
        <f t="shared" si="6"/>
        <v>33000</v>
      </c>
      <c r="R64" s="467">
        <f t="shared" si="7"/>
        <v>75000</v>
      </c>
      <c r="S64" s="467">
        <f t="shared" si="8"/>
        <v>95000</v>
      </c>
      <c r="T64" s="467">
        <f t="shared" si="9"/>
        <v>336000</v>
      </c>
      <c r="U64" s="467">
        <f t="shared" si="10"/>
        <v>212615.101439999</v>
      </c>
      <c r="V64" s="467">
        <f t="shared" si="11"/>
        <v>772615.101439999</v>
      </c>
      <c r="W64" s="474">
        <v>12</v>
      </c>
      <c r="X64" s="467">
        <f t="shared" si="12"/>
        <v>64384.5917866666</v>
      </c>
      <c r="Y64" s="470"/>
      <c r="Z64" s="478">
        <f t="shared" si="13"/>
        <v>64384.5917866666</v>
      </c>
      <c r="AA64" s="479">
        <v>41338.9510986667</v>
      </c>
      <c r="AB64" s="479">
        <f t="shared" si="40"/>
        <v>23045.6406879999</v>
      </c>
      <c r="AC64" s="479"/>
      <c r="AD64" s="479"/>
      <c r="AE64" s="479"/>
    </row>
    <row r="65" ht="18" spans="1:31">
      <c r="A65" s="464">
        <v>58</v>
      </c>
      <c r="B65" s="11" t="s">
        <v>138</v>
      </c>
      <c r="C65" s="467">
        <v>487895.166666667</v>
      </c>
      <c r="D65" s="466">
        <v>12</v>
      </c>
      <c r="E65" s="467">
        <f t="shared" si="39"/>
        <v>5854742</v>
      </c>
      <c r="F65" s="467"/>
      <c r="G65" s="468">
        <v>362779.36</v>
      </c>
      <c r="H65" s="470"/>
      <c r="I65" s="467">
        <f t="shared" si="36"/>
        <v>5491962.64</v>
      </c>
      <c r="J65" s="467">
        <v>200000</v>
      </c>
      <c r="K65" s="467">
        <v>0.2</v>
      </c>
      <c r="L65" s="467">
        <f t="shared" si="1"/>
        <v>1098392.528</v>
      </c>
      <c r="M65" s="467">
        <f t="shared" si="2"/>
        <v>1298392.528</v>
      </c>
      <c r="N65" s="467">
        <f t="shared" si="37"/>
        <v>1661171.888</v>
      </c>
      <c r="O65" s="467">
        <f t="shared" si="38"/>
        <v>4193570.112</v>
      </c>
      <c r="P65" s="467">
        <f t="shared" si="5"/>
        <v>21000</v>
      </c>
      <c r="Q65" s="467">
        <f t="shared" si="6"/>
        <v>33000</v>
      </c>
      <c r="R65" s="467">
        <f t="shared" si="7"/>
        <v>75000</v>
      </c>
      <c r="S65" s="467">
        <f t="shared" si="8"/>
        <v>95000</v>
      </c>
      <c r="T65" s="467">
        <f t="shared" si="9"/>
        <v>336000</v>
      </c>
      <c r="U65" s="467">
        <f t="shared" si="10"/>
        <v>238456.826880001</v>
      </c>
      <c r="V65" s="467">
        <f t="shared" si="11"/>
        <v>798456.826880001</v>
      </c>
      <c r="W65" s="474">
        <v>12</v>
      </c>
      <c r="X65" s="467">
        <f t="shared" si="12"/>
        <v>66538.0689066667</v>
      </c>
      <c r="Y65" s="470"/>
      <c r="Z65" s="478">
        <f t="shared" si="13"/>
        <v>66538.0689066667</v>
      </c>
      <c r="AA65" s="479">
        <v>43368.8824146667</v>
      </c>
      <c r="AB65" s="479">
        <f t="shared" si="40"/>
        <v>23169.186492</v>
      </c>
      <c r="AC65" s="479"/>
      <c r="AD65" s="479"/>
      <c r="AE65" s="479"/>
    </row>
    <row r="66" ht="18" spans="1:31">
      <c r="A66" s="464">
        <v>59</v>
      </c>
      <c r="B66" s="11" t="s">
        <v>140</v>
      </c>
      <c r="C66" s="467">
        <v>400965.583333333</v>
      </c>
      <c r="D66" s="466">
        <v>12</v>
      </c>
      <c r="E66" s="467">
        <f t="shared" si="39"/>
        <v>4811587</v>
      </c>
      <c r="F66" s="467"/>
      <c r="G66" s="472">
        <v>288926.96</v>
      </c>
      <c r="H66" s="470"/>
      <c r="I66" s="467">
        <f t="shared" si="36"/>
        <v>4522660.04</v>
      </c>
      <c r="J66" s="467">
        <v>200000</v>
      </c>
      <c r="K66" s="467">
        <v>0.2</v>
      </c>
      <c r="L66" s="467">
        <f t="shared" si="1"/>
        <v>904532.007999999</v>
      </c>
      <c r="M66" s="467">
        <f t="shared" si="2"/>
        <v>1104532.008</v>
      </c>
      <c r="N66" s="467">
        <f t="shared" si="37"/>
        <v>1393458.968</v>
      </c>
      <c r="O66" s="467">
        <f t="shared" si="38"/>
        <v>3418128.032</v>
      </c>
      <c r="P66" s="467">
        <f t="shared" si="5"/>
        <v>21000</v>
      </c>
      <c r="Q66" s="467">
        <f t="shared" si="6"/>
        <v>33000</v>
      </c>
      <c r="R66" s="467">
        <f t="shared" si="7"/>
        <v>75000</v>
      </c>
      <c r="S66" s="467">
        <f t="shared" si="8"/>
        <v>95000</v>
      </c>
      <c r="T66" s="467">
        <f t="shared" si="9"/>
        <v>336000</v>
      </c>
      <c r="U66" s="467">
        <f t="shared" si="10"/>
        <v>52350.7276799992</v>
      </c>
      <c r="V66" s="467">
        <f t="shared" si="11"/>
        <v>612350.727679999</v>
      </c>
      <c r="W66" s="474">
        <v>12</v>
      </c>
      <c r="X66" s="467">
        <f t="shared" si="12"/>
        <v>51029.2273066666</v>
      </c>
      <c r="Y66" s="470"/>
      <c r="Z66" s="478">
        <f t="shared" si="13"/>
        <v>51029.2273066666</v>
      </c>
      <c r="AA66" s="479">
        <v>33825.9865626667</v>
      </c>
      <c r="AB66" s="479">
        <f t="shared" si="40"/>
        <v>17203.2407439999</v>
      </c>
      <c r="AC66" s="479"/>
      <c r="AD66" s="479"/>
      <c r="AE66" s="479"/>
    </row>
    <row r="67" ht="17.5" spans="1:31">
      <c r="A67" s="464">
        <v>60</v>
      </c>
      <c r="B67" s="20"/>
      <c r="C67" s="467"/>
      <c r="D67" s="466"/>
      <c r="E67" s="467"/>
      <c r="F67" s="467"/>
      <c r="G67" s="470"/>
      <c r="H67" s="470"/>
      <c r="I67" s="467"/>
      <c r="J67" s="467"/>
      <c r="K67" s="467"/>
      <c r="L67" s="467"/>
      <c r="M67" s="467"/>
      <c r="N67" s="467"/>
      <c r="O67" s="467"/>
      <c r="P67" s="467"/>
      <c r="Q67" s="467"/>
      <c r="R67" s="467"/>
      <c r="S67" s="467"/>
      <c r="T67" s="467"/>
      <c r="U67" s="467"/>
      <c r="V67" s="467"/>
      <c r="W67" s="474"/>
      <c r="X67" s="467"/>
      <c r="Y67" s="470"/>
      <c r="Z67" s="478"/>
      <c r="AA67" s="479"/>
      <c r="AB67" s="479"/>
      <c r="AC67" s="479"/>
      <c r="AD67" s="479"/>
      <c r="AE67" s="479"/>
    </row>
    <row r="68" ht="17.5" spans="1:31">
      <c r="A68" s="464">
        <v>61</v>
      </c>
      <c r="B68" s="22"/>
      <c r="C68" s="467"/>
      <c r="D68" s="466"/>
      <c r="E68" s="467"/>
      <c r="F68" s="467"/>
      <c r="G68" s="470"/>
      <c r="H68" s="470"/>
      <c r="I68" s="467"/>
      <c r="J68" s="467"/>
      <c r="K68" s="467"/>
      <c r="L68" s="467"/>
      <c r="M68" s="467"/>
      <c r="N68" s="467"/>
      <c r="O68" s="467"/>
      <c r="P68" s="467"/>
      <c r="Q68" s="467"/>
      <c r="R68" s="467"/>
      <c r="S68" s="467"/>
      <c r="T68" s="467"/>
      <c r="U68" s="467"/>
      <c r="V68" s="467"/>
      <c r="W68" s="474"/>
      <c r="X68" s="467"/>
      <c r="Y68" s="470"/>
      <c r="Z68" s="478"/>
      <c r="AA68" s="479"/>
      <c r="AB68" s="479"/>
      <c r="AC68" s="479"/>
      <c r="AD68" s="479"/>
      <c r="AE68" s="479"/>
    </row>
    <row r="69" ht="17.5" spans="1:31">
      <c r="A69" s="464"/>
      <c r="B69" s="20" t="s">
        <v>141</v>
      </c>
      <c r="C69" s="467"/>
      <c r="D69" s="466"/>
      <c r="E69" s="467"/>
      <c r="F69" s="467"/>
      <c r="G69" s="470"/>
      <c r="H69" s="470"/>
      <c r="I69" s="467"/>
      <c r="J69" s="467"/>
      <c r="K69" s="467"/>
      <c r="L69" s="467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74"/>
      <c r="X69" s="467"/>
      <c r="Y69" s="470"/>
      <c r="Z69" s="478"/>
      <c r="AA69" s="479"/>
      <c r="AB69" s="479"/>
      <c r="AC69" s="479"/>
      <c r="AD69" s="479"/>
      <c r="AE69" s="479"/>
    </row>
    <row r="70" ht="18" spans="1:31">
      <c r="A70" s="464"/>
      <c r="B70" s="11" t="s">
        <v>142</v>
      </c>
      <c r="C70" s="467">
        <v>1635720</v>
      </c>
      <c r="D70" s="466">
        <v>12</v>
      </c>
      <c r="E70" s="467">
        <f>C70*D70</f>
        <v>19628640</v>
      </c>
      <c r="F70" s="467"/>
      <c r="G70" s="468">
        <v>1378291.2</v>
      </c>
      <c r="H70" s="470"/>
      <c r="I70" s="467">
        <f t="shared" ref="I70:I76" si="41">E70-F70-G70-H70</f>
        <v>18250348.8</v>
      </c>
      <c r="J70" s="467">
        <v>200000</v>
      </c>
      <c r="K70" s="467">
        <v>0.2</v>
      </c>
      <c r="L70" s="467">
        <f t="shared" ref="L70" si="42">I70*K70</f>
        <v>3650069.76</v>
      </c>
      <c r="M70" s="467">
        <f t="shared" ref="M70" si="43">J70+L70</f>
        <v>3850069.76</v>
      </c>
      <c r="N70" s="467">
        <f t="shared" ref="N70:N76" si="44">F70+G70+H70+M70</f>
        <v>5228360.96</v>
      </c>
      <c r="O70" s="467">
        <f t="shared" ref="O70:O76" si="45">E70-N70</f>
        <v>14400279.04</v>
      </c>
      <c r="P70" s="467">
        <f t="shared" ref="P70" si="46">IF(O70&lt;300000,0.07*O70,21000)</f>
        <v>21000</v>
      </c>
      <c r="Q70" s="467">
        <f t="shared" ref="Q70" si="47">IF((O70-300000)&lt;0,0,IF((O70-300000)&lt;300000,0.11*(O70-300000),33000))</f>
        <v>33000</v>
      </c>
      <c r="R70" s="467">
        <f t="shared" ref="R70" si="48">IF((O70-600000)&lt;0,0,IF((O70-600000)&lt;500000,0.15*(O70-600000),75000))</f>
        <v>75000</v>
      </c>
      <c r="S70" s="467">
        <f t="shared" ref="S70" si="49">IF((O70-1100000)&lt;0,0,IF((O70-1100000)&lt;500000,0.19*(O70-1100000),95000))</f>
        <v>95000</v>
      </c>
      <c r="T70" s="467">
        <f t="shared" ref="T70" si="50">IF((O70-1600000)&lt;0,0,IF((O70-1600000)&lt;1600000,0.21*(O70-1600000),336000))</f>
        <v>336000</v>
      </c>
      <c r="U70" s="467">
        <f t="shared" ref="U70" si="51">24%*(O70-3200000)</f>
        <v>2688066.9696</v>
      </c>
      <c r="V70" s="467">
        <f t="shared" ref="V70" si="52">P70+Q70+R70+S70+T70+U70</f>
        <v>3248066.9696</v>
      </c>
      <c r="W70" s="474">
        <v>12</v>
      </c>
      <c r="X70" s="467">
        <f t="shared" ref="X70" si="53">V70/W70</f>
        <v>270672.247466667</v>
      </c>
      <c r="Y70" s="470"/>
      <c r="Z70" s="478">
        <f t="shared" ref="Z70" si="54">X70</f>
        <v>270672.247466667</v>
      </c>
      <c r="AA70" s="479">
        <v>180306.806858667</v>
      </c>
      <c r="AB70" s="479">
        <f>Z70-AA70</f>
        <v>90365.4406079996</v>
      </c>
      <c r="AC70" s="479"/>
      <c r="AD70" s="479"/>
      <c r="AE70" s="479"/>
    </row>
    <row r="71" ht="18" spans="1:31">
      <c r="A71" s="464">
        <v>62</v>
      </c>
      <c r="B71" s="14" t="s">
        <v>520</v>
      </c>
      <c r="C71" s="467">
        <v>761396.833333333</v>
      </c>
      <c r="D71" s="466">
        <v>12</v>
      </c>
      <c r="E71" s="467">
        <f t="shared" ref="E71:E76" si="55">C71*D71</f>
        <v>9136762</v>
      </c>
      <c r="F71" s="467"/>
      <c r="G71" s="468">
        <v>0</v>
      </c>
      <c r="H71" s="470"/>
      <c r="I71" s="467">
        <f t="shared" si="41"/>
        <v>9136762</v>
      </c>
      <c r="J71" s="467">
        <v>200000</v>
      </c>
      <c r="K71" s="467">
        <v>0.2</v>
      </c>
      <c r="L71" s="467">
        <f t="shared" si="1"/>
        <v>1827352.4</v>
      </c>
      <c r="M71" s="467">
        <f t="shared" si="2"/>
        <v>2027352.4</v>
      </c>
      <c r="N71" s="467">
        <f t="shared" si="44"/>
        <v>2027352.4</v>
      </c>
      <c r="O71" s="467">
        <f t="shared" si="45"/>
        <v>7109409.6</v>
      </c>
      <c r="P71" s="467">
        <f t="shared" si="5"/>
        <v>21000</v>
      </c>
      <c r="Q71" s="467">
        <f t="shared" si="6"/>
        <v>33000</v>
      </c>
      <c r="R71" s="467">
        <f t="shared" si="7"/>
        <v>75000</v>
      </c>
      <c r="S71" s="467">
        <f t="shared" si="8"/>
        <v>95000</v>
      </c>
      <c r="T71" s="467">
        <f t="shared" si="9"/>
        <v>336000</v>
      </c>
      <c r="U71" s="467">
        <f t="shared" si="10"/>
        <v>938258.303999999</v>
      </c>
      <c r="V71" s="467">
        <f t="shared" si="11"/>
        <v>1498258.304</v>
      </c>
      <c r="W71" s="474">
        <v>12</v>
      </c>
      <c r="X71" s="467">
        <f t="shared" si="12"/>
        <v>124854.858666667</v>
      </c>
      <c r="Y71" s="470"/>
      <c r="Z71" s="478">
        <f t="shared" si="13"/>
        <v>124854.858666667</v>
      </c>
      <c r="AA71" s="479">
        <v>77764.9802666667</v>
      </c>
      <c r="AB71" s="479">
        <f t="shared" ref="AB71:AB76" si="56">Z71-AA71</f>
        <v>47089.8783999999</v>
      </c>
      <c r="AC71" s="479"/>
      <c r="AD71" s="479"/>
      <c r="AE71" s="479"/>
    </row>
    <row r="72" ht="36" spans="1:31">
      <c r="A72" s="464">
        <v>63</v>
      </c>
      <c r="B72" s="18" t="s">
        <v>521</v>
      </c>
      <c r="C72" s="467">
        <f>700675.583333333+80000</f>
        <v>780675.583333333</v>
      </c>
      <c r="D72" s="466">
        <v>12</v>
      </c>
      <c r="E72" s="467">
        <f t="shared" si="55"/>
        <v>9368107</v>
      </c>
      <c r="F72" s="467"/>
      <c r="G72" s="468">
        <v>0</v>
      </c>
      <c r="H72" s="470"/>
      <c r="I72" s="467">
        <f t="shared" si="41"/>
        <v>9368107</v>
      </c>
      <c r="J72" s="467">
        <v>200000</v>
      </c>
      <c r="K72" s="467">
        <v>0.2</v>
      </c>
      <c r="L72" s="467">
        <f t="shared" si="1"/>
        <v>1873621.4</v>
      </c>
      <c r="M72" s="467">
        <f t="shared" si="2"/>
        <v>2073621.4</v>
      </c>
      <c r="N72" s="467">
        <f t="shared" si="44"/>
        <v>2073621.4</v>
      </c>
      <c r="O72" s="467">
        <f t="shared" si="45"/>
        <v>7294485.6</v>
      </c>
      <c r="P72" s="467">
        <f t="shared" si="5"/>
        <v>21000</v>
      </c>
      <c r="Q72" s="467">
        <f t="shared" si="6"/>
        <v>33000</v>
      </c>
      <c r="R72" s="467">
        <f t="shared" si="7"/>
        <v>75000</v>
      </c>
      <c r="S72" s="467">
        <f t="shared" si="8"/>
        <v>95000</v>
      </c>
      <c r="T72" s="467">
        <f t="shared" si="9"/>
        <v>336000</v>
      </c>
      <c r="U72" s="467">
        <f t="shared" si="10"/>
        <v>982676.543999999</v>
      </c>
      <c r="V72" s="467">
        <f t="shared" si="11"/>
        <v>1542676.544</v>
      </c>
      <c r="W72" s="474">
        <v>12</v>
      </c>
      <c r="X72" s="467">
        <f t="shared" si="12"/>
        <v>128556.378666667</v>
      </c>
      <c r="Y72" s="470"/>
      <c r="Z72" s="478">
        <f t="shared" si="13"/>
        <v>128556.378666667</v>
      </c>
      <c r="AA72" s="479">
        <v>64596.9391466667</v>
      </c>
      <c r="AB72" s="479">
        <f t="shared" si="56"/>
        <v>63959.4395199999</v>
      </c>
      <c r="AC72" s="479"/>
      <c r="AD72" s="479"/>
      <c r="AE72" s="479"/>
    </row>
    <row r="73" ht="18" spans="1:31">
      <c r="A73" s="464">
        <v>64</v>
      </c>
      <c r="B73" s="11" t="s">
        <v>146</v>
      </c>
      <c r="C73" s="467">
        <v>596622.25</v>
      </c>
      <c r="D73" s="466">
        <v>12</v>
      </c>
      <c r="E73" s="467">
        <f t="shared" si="55"/>
        <v>7159467</v>
      </c>
      <c r="F73" s="467">
        <f>'[6]JANUARY 2024'!$V$78*12</f>
        <v>8019.795</v>
      </c>
      <c r="G73" s="468">
        <v>438357.36</v>
      </c>
      <c r="H73" s="470"/>
      <c r="I73" s="467">
        <f t="shared" si="41"/>
        <v>6713089.845</v>
      </c>
      <c r="J73" s="467">
        <v>200000</v>
      </c>
      <c r="K73" s="467">
        <v>0.2</v>
      </c>
      <c r="L73" s="467">
        <f t="shared" si="1"/>
        <v>1342617.969</v>
      </c>
      <c r="M73" s="467">
        <f t="shared" si="2"/>
        <v>1542617.969</v>
      </c>
      <c r="N73" s="467">
        <f t="shared" si="44"/>
        <v>1988995.124</v>
      </c>
      <c r="O73" s="467">
        <f t="shared" si="45"/>
        <v>5170471.876</v>
      </c>
      <c r="P73" s="467">
        <f t="shared" si="5"/>
        <v>21000</v>
      </c>
      <c r="Q73" s="467">
        <f t="shared" si="6"/>
        <v>33000</v>
      </c>
      <c r="R73" s="467">
        <f t="shared" si="7"/>
        <v>75000</v>
      </c>
      <c r="S73" s="467">
        <f t="shared" si="8"/>
        <v>95000</v>
      </c>
      <c r="T73" s="467">
        <f t="shared" si="9"/>
        <v>336000</v>
      </c>
      <c r="U73" s="467">
        <f t="shared" si="10"/>
        <v>472913.25024</v>
      </c>
      <c r="V73" s="467">
        <f t="shared" si="11"/>
        <v>1032913.25024</v>
      </c>
      <c r="W73" s="474">
        <v>12</v>
      </c>
      <c r="X73" s="467">
        <f t="shared" si="12"/>
        <v>86076.1041866667</v>
      </c>
      <c r="Y73" s="470"/>
      <c r="Z73" s="478">
        <f t="shared" si="13"/>
        <v>86076.1041866667</v>
      </c>
      <c r="AA73" s="479">
        <v>56350.5861866667</v>
      </c>
      <c r="AB73" s="479">
        <f t="shared" si="56"/>
        <v>29725.518</v>
      </c>
      <c r="AC73" s="479"/>
      <c r="AD73" s="479"/>
      <c r="AE73" s="479"/>
    </row>
    <row r="74" ht="18" spans="1:31">
      <c r="A74" s="464">
        <v>65</v>
      </c>
      <c r="B74" s="11" t="s">
        <v>149</v>
      </c>
      <c r="C74" s="467">
        <v>408901.5</v>
      </c>
      <c r="D74" s="466">
        <v>12</v>
      </c>
      <c r="E74" s="467">
        <f t="shared" si="55"/>
        <v>4906818</v>
      </c>
      <c r="F74" s="467"/>
      <c r="G74" s="468">
        <v>296545.44</v>
      </c>
      <c r="H74" s="470"/>
      <c r="I74" s="467">
        <f t="shared" si="41"/>
        <v>4610272.56</v>
      </c>
      <c r="J74" s="467">
        <v>200000</v>
      </c>
      <c r="K74" s="467">
        <v>0.2</v>
      </c>
      <c r="L74" s="467">
        <f t="shared" si="1"/>
        <v>922054.512</v>
      </c>
      <c r="M74" s="467">
        <f t="shared" si="2"/>
        <v>1122054.512</v>
      </c>
      <c r="N74" s="467">
        <f t="shared" si="44"/>
        <v>1418599.952</v>
      </c>
      <c r="O74" s="467">
        <f t="shared" si="45"/>
        <v>3488218.048</v>
      </c>
      <c r="P74" s="467">
        <f t="shared" si="5"/>
        <v>21000</v>
      </c>
      <c r="Q74" s="467">
        <f t="shared" si="6"/>
        <v>33000</v>
      </c>
      <c r="R74" s="467">
        <f t="shared" si="7"/>
        <v>75000</v>
      </c>
      <c r="S74" s="467">
        <f t="shared" si="8"/>
        <v>95000</v>
      </c>
      <c r="T74" s="467">
        <f t="shared" si="9"/>
        <v>336000</v>
      </c>
      <c r="U74" s="467">
        <f>0.24*(O74-3200000)</f>
        <v>69172.33152</v>
      </c>
      <c r="V74" s="467">
        <f t="shared" si="11"/>
        <v>629172.33152</v>
      </c>
      <c r="W74" s="474">
        <v>12</v>
      </c>
      <c r="X74" s="467">
        <f t="shared" si="12"/>
        <v>52431.0276266667</v>
      </c>
      <c r="Y74" s="470"/>
      <c r="Z74" s="478">
        <f t="shared" si="13"/>
        <v>52431.0276266667</v>
      </c>
      <c r="AA74" s="479">
        <v>17507.5489666667</v>
      </c>
      <c r="AB74" s="479">
        <f t="shared" si="56"/>
        <v>34923.47866</v>
      </c>
      <c r="AC74" s="479"/>
      <c r="AD74" s="479"/>
      <c r="AE74" s="479"/>
    </row>
    <row r="75" ht="24.75" customHeight="1" spans="1:31">
      <c r="A75" s="464"/>
      <c r="B75" s="11" t="s">
        <v>151</v>
      </c>
      <c r="C75" s="467">
        <v>363165.333333333</v>
      </c>
      <c r="D75" s="466">
        <v>12</v>
      </c>
      <c r="E75" s="467">
        <f t="shared" si="55"/>
        <v>4357984</v>
      </c>
      <c r="F75" s="467"/>
      <c r="G75" s="468">
        <v>252638.72</v>
      </c>
      <c r="H75" s="470"/>
      <c r="I75" s="467">
        <f t="shared" si="41"/>
        <v>4105345.28</v>
      </c>
      <c r="J75" s="467">
        <v>200000</v>
      </c>
      <c r="K75" s="467">
        <v>0.2</v>
      </c>
      <c r="L75" s="467">
        <f t="shared" si="1"/>
        <v>821069.055999999</v>
      </c>
      <c r="M75" s="467">
        <f t="shared" si="2"/>
        <v>1021069.056</v>
      </c>
      <c r="N75" s="467">
        <f t="shared" si="44"/>
        <v>1273707.776</v>
      </c>
      <c r="O75" s="467">
        <f t="shared" si="45"/>
        <v>3084276.224</v>
      </c>
      <c r="P75" s="467">
        <f t="shared" si="5"/>
        <v>21000</v>
      </c>
      <c r="Q75" s="467">
        <f t="shared" si="6"/>
        <v>33000</v>
      </c>
      <c r="R75" s="467">
        <f t="shared" si="7"/>
        <v>75000</v>
      </c>
      <c r="S75" s="467">
        <f t="shared" si="8"/>
        <v>95000</v>
      </c>
      <c r="T75" s="467">
        <f t="shared" si="9"/>
        <v>311698.007039999</v>
      </c>
      <c r="U75" s="467"/>
      <c r="V75" s="467">
        <f t="shared" si="11"/>
        <v>535698.007039999</v>
      </c>
      <c r="W75" s="474">
        <v>12</v>
      </c>
      <c r="X75" s="467">
        <f t="shared" si="12"/>
        <v>44641.5005866666</v>
      </c>
      <c r="Y75" s="470"/>
      <c r="Z75" s="478">
        <f t="shared" si="13"/>
        <v>44641.5005866666</v>
      </c>
      <c r="AA75" s="479">
        <v>29058.4826046667</v>
      </c>
      <c r="AB75" s="479">
        <f t="shared" si="56"/>
        <v>15583.0179819999</v>
      </c>
      <c r="AC75" s="479"/>
      <c r="AD75" s="479"/>
      <c r="AE75" s="479"/>
    </row>
    <row r="76" ht="18" spans="1:31">
      <c r="A76" s="464"/>
      <c r="B76" s="11" t="s">
        <v>153</v>
      </c>
      <c r="C76" s="467">
        <v>324459.75</v>
      </c>
      <c r="D76" s="466">
        <v>12</v>
      </c>
      <c r="E76" s="467">
        <f t="shared" si="55"/>
        <v>3893517</v>
      </c>
      <c r="F76" s="467"/>
      <c r="G76" s="468">
        <v>215481.36</v>
      </c>
      <c r="H76" s="470"/>
      <c r="I76" s="467">
        <f t="shared" si="41"/>
        <v>3678035.64</v>
      </c>
      <c r="J76" s="467">
        <v>200000</v>
      </c>
      <c r="K76" s="467">
        <v>0.2</v>
      </c>
      <c r="L76" s="467">
        <f t="shared" ref="L76" si="57">I76*K76</f>
        <v>735607.128</v>
      </c>
      <c r="M76" s="467">
        <f t="shared" ref="M76" si="58">J76+L76</f>
        <v>935607.128</v>
      </c>
      <c r="N76" s="467">
        <f t="shared" si="44"/>
        <v>1151088.488</v>
      </c>
      <c r="O76" s="467">
        <f t="shared" si="45"/>
        <v>2742428.512</v>
      </c>
      <c r="P76" s="467">
        <f t="shared" ref="P76" si="59">IF(O76&lt;300000,0.07*O76,21000)</f>
        <v>21000</v>
      </c>
      <c r="Q76" s="467">
        <f t="shared" ref="Q76" si="60">IF((O76-300000)&lt;0,0,IF((O76-300000)&lt;300000,0.11*(O76-300000),33000))</f>
        <v>33000</v>
      </c>
      <c r="R76" s="467">
        <f t="shared" ref="R76" si="61">IF((O76-600000)&lt;0,0,IF((O76-600000)&lt;500000,0.15*(O76-600000),75000))</f>
        <v>75000</v>
      </c>
      <c r="S76" s="467">
        <f t="shared" ref="S76" si="62">IF((O76-1100000)&lt;0,0,IF((O76-1100000)&lt;500000,0.19*(O76-1100000),95000))</f>
        <v>95000</v>
      </c>
      <c r="T76" s="467">
        <f t="shared" ref="T76" si="63">IF((O76-1600000)&lt;0,0,IF((O76-1600000)&lt;1600000,0.21*(O76-1600000),336000))</f>
        <v>239909.98752</v>
      </c>
      <c r="U76" s="467"/>
      <c r="V76" s="467">
        <f t="shared" ref="V76" si="64">P76+Q76+R76+S76+T76+U76</f>
        <v>463909.98752</v>
      </c>
      <c r="W76" s="474">
        <v>12</v>
      </c>
      <c r="X76" s="467">
        <f t="shared" ref="X76" si="65">V76/W76</f>
        <v>38659.1656266667</v>
      </c>
      <c r="Y76" s="470"/>
      <c r="Z76" s="478">
        <f t="shared" ref="Z76" si="66">X76</f>
        <v>38659.1656266667</v>
      </c>
      <c r="AA76" s="479">
        <v>24751.1704626667</v>
      </c>
      <c r="AB76" s="479">
        <f t="shared" si="56"/>
        <v>13907.995164</v>
      </c>
      <c r="AC76" s="479"/>
      <c r="AD76" s="479"/>
      <c r="AE76" s="479"/>
    </row>
    <row r="77" ht="17.5" spans="1:31">
      <c r="A77" s="464"/>
      <c r="B77" s="20" t="s">
        <v>96</v>
      </c>
      <c r="C77" s="467"/>
      <c r="D77" s="466"/>
      <c r="E77" s="467"/>
      <c r="F77" s="467"/>
      <c r="G77" s="470"/>
      <c r="H77" s="470"/>
      <c r="I77" s="467"/>
      <c r="J77" s="467"/>
      <c r="K77" s="467"/>
      <c r="L77" s="467"/>
      <c r="M77" s="467"/>
      <c r="N77" s="467"/>
      <c r="O77" s="467"/>
      <c r="P77" s="467"/>
      <c r="Q77" s="467"/>
      <c r="R77" s="467"/>
      <c r="S77" s="467"/>
      <c r="T77" s="467"/>
      <c r="U77" s="467"/>
      <c r="V77" s="467"/>
      <c r="W77" s="474"/>
      <c r="X77" s="467"/>
      <c r="Y77" s="470"/>
      <c r="Z77" s="478"/>
      <c r="AA77" s="479"/>
      <c r="AB77" s="479"/>
      <c r="AC77" s="479"/>
      <c r="AD77" s="479"/>
      <c r="AE77" s="479"/>
    </row>
    <row r="78" ht="17.5" spans="1:31">
      <c r="A78" s="464">
        <v>66</v>
      </c>
      <c r="B78" s="20"/>
      <c r="C78" s="467"/>
      <c r="D78" s="466"/>
      <c r="E78" s="467"/>
      <c r="F78" s="467"/>
      <c r="G78" s="470"/>
      <c r="H78" s="470"/>
      <c r="I78" s="467"/>
      <c r="J78" s="467"/>
      <c r="K78" s="467"/>
      <c r="L78" s="467"/>
      <c r="M78" s="467"/>
      <c r="N78" s="467"/>
      <c r="O78" s="467"/>
      <c r="P78" s="467"/>
      <c r="Q78" s="467"/>
      <c r="R78" s="467"/>
      <c r="S78" s="467"/>
      <c r="T78" s="467"/>
      <c r="U78" s="467"/>
      <c r="V78" s="467"/>
      <c r="W78" s="474"/>
      <c r="X78" s="467"/>
      <c r="Y78" s="470"/>
      <c r="Z78" s="478"/>
      <c r="AA78" s="479"/>
      <c r="AB78" s="479"/>
      <c r="AC78" s="479"/>
      <c r="AD78" s="479"/>
      <c r="AE78" s="479"/>
    </row>
    <row r="79" ht="35" spans="1:31">
      <c r="A79" s="464">
        <v>67</v>
      </c>
      <c r="B79" s="20" t="s">
        <v>155</v>
      </c>
      <c r="C79" s="467"/>
      <c r="Z79" s="481"/>
      <c r="AB79" s="296" t="s">
        <v>522</v>
      </c>
      <c r="AC79" s="479"/>
      <c r="AD79" s="479"/>
      <c r="AE79" s="479"/>
    </row>
    <row r="80" ht="18" spans="1:31">
      <c r="A80" s="464">
        <v>68</v>
      </c>
      <c r="B80" s="11" t="s">
        <v>156</v>
      </c>
      <c r="C80" s="467">
        <v>880675.583333333</v>
      </c>
      <c r="D80" s="466">
        <v>12</v>
      </c>
      <c r="E80" s="467">
        <f>C80*D80</f>
        <v>10568107</v>
      </c>
      <c r="F80" s="467"/>
      <c r="G80" s="468">
        <v>595848.56</v>
      </c>
      <c r="H80" s="470"/>
      <c r="I80" s="467">
        <f t="shared" ref="I80:I89" si="67">E80-F80-G80-H80</f>
        <v>9972258.44</v>
      </c>
      <c r="J80" s="467">
        <v>200000</v>
      </c>
      <c r="K80" s="467">
        <v>0.2</v>
      </c>
      <c r="L80" s="467">
        <f t="shared" ref="L80:L89" si="68">I80*K80</f>
        <v>1994451.688</v>
      </c>
      <c r="M80" s="467">
        <f t="shared" ref="M80:M89" si="69">J80+L80</f>
        <v>2194451.688</v>
      </c>
      <c r="N80" s="467">
        <f t="shared" ref="N80:N89" si="70">F80+G80+H80+M80</f>
        <v>2790300.248</v>
      </c>
      <c r="O80" s="467">
        <f t="shared" ref="O80:O89" si="71">E80-N80</f>
        <v>7777806.752</v>
      </c>
      <c r="P80" s="467">
        <f t="shared" ref="P80:P89" si="72">IF(O80&lt;300000,0.07*O80,21000)</f>
        <v>21000</v>
      </c>
      <c r="Q80" s="467">
        <f t="shared" ref="Q80:Q89" si="73">IF((O80-300000)&lt;0,0,IF((O80-300000)&lt;300000,0.11*(O80-300000),33000))</f>
        <v>33000</v>
      </c>
      <c r="R80" s="467">
        <f t="shared" ref="R80:R89" si="74">IF((O80-600000)&lt;0,0,IF((O80-600000)&lt;500000,0.15*(O80-600000),75000))</f>
        <v>75000</v>
      </c>
      <c r="S80" s="467">
        <f t="shared" ref="S80:S89" si="75">IF((O80-1100000)&lt;0,0,IF((O80-1100000)&lt;500000,0.19*(O80-1100000),95000))</f>
        <v>95000</v>
      </c>
      <c r="T80" s="467">
        <f t="shared" ref="T80:T89" si="76">IF((O80-1600000)&lt;0,0,IF((O80-1600000)&lt;1600000,0.21*(O80-1600000),336000))</f>
        <v>336000</v>
      </c>
      <c r="U80" s="467">
        <f t="shared" ref="U80:U88" si="77">24%*(O80-3200000)</f>
        <v>1098673.62048</v>
      </c>
      <c r="V80" s="467">
        <f t="shared" ref="V80:V89" si="78">P80+Q80+R80+S80+T80+U80</f>
        <v>1658673.62048</v>
      </c>
      <c r="W80" s="474">
        <v>12</v>
      </c>
      <c r="X80" s="467">
        <f t="shared" ref="X80:X89" si="79">V80/W80</f>
        <v>138222.801706667</v>
      </c>
      <c r="Y80" s="470"/>
      <c r="Z80" s="478">
        <f t="shared" ref="Z80:Z89" si="80">X80</f>
        <v>138222.801706667</v>
      </c>
      <c r="AA80" s="467">
        <v>99156.9391466667</v>
      </c>
      <c r="AB80" s="479">
        <f>Z80-AA80</f>
        <v>39065.8625599999</v>
      </c>
      <c r="AC80" s="479" t="s">
        <v>156</v>
      </c>
      <c r="AD80" s="479"/>
      <c r="AE80" s="479"/>
    </row>
    <row r="81" ht="18" spans="1:31">
      <c r="A81" s="464">
        <v>69</v>
      </c>
      <c r="B81" s="11" t="s">
        <v>157</v>
      </c>
      <c r="C81" s="467">
        <v>780675.583333333</v>
      </c>
      <c r="D81" s="466">
        <v>12</v>
      </c>
      <c r="E81" s="467">
        <f t="shared" ref="E81:E87" si="81">C81*D81</f>
        <v>9368107</v>
      </c>
      <c r="F81" s="467">
        <f>'[6]JANUARY 2024'!$V$86*12</f>
        <v>10052.25</v>
      </c>
      <c r="G81" s="468">
        <v>595848.56</v>
      </c>
      <c r="H81" s="470"/>
      <c r="I81" s="467">
        <f t="shared" si="67"/>
        <v>8762206.19</v>
      </c>
      <c r="J81" s="467">
        <v>200000</v>
      </c>
      <c r="K81" s="467">
        <v>0.2</v>
      </c>
      <c r="L81" s="467">
        <f t="shared" si="68"/>
        <v>1752441.238</v>
      </c>
      <c r="M81" s="467">
        <f t="shared" si="69"/>
        <v>1952441.238</v>
      </c>
      <c r="N81" s="467">
        <f t="shared" si="70"/>
        <v>2558342.048</v>
      </c>
      <c r="O81" s="467">
        <f t="shared" si="71"/>
        <v>6809764.952</v>
      </c>
      <c r="P81" s="467">
        <f t="shared" si="72"/>
        <v>21000</v>
      </c>
      <c r="Q81" s="467">
        <f t="shared" si="73"/>
        <v>33000</v>
      </c>
      <c r="R81" s="467">
        <f t="shared" si="74"/>
        <v>75000</v>
      </c>
      <c r="S81" s="467">
        <f t="shared" si="75"/>
        <v>95000</v>
      </c>
      <c r="T81" s="467">
        <f t="shared" si="76"/>
        <v>336000</v>
      </c>
      <c r="U81" s="467">
        <f t="shared" si="77"/>
        <v>866343.588479999</v>
      </c>
      <c r="V81" s="467">
        <f t="shared" si="78"/>
        <v>1426343.58848</v>
      </c>
      <c r="W81" s="474">
        <v>12</v>
      </c>
      <c r="X81" s="467">
        <f t="shared" si="79"/>
        <v>118861.965706667</v>
      </c>
      <c r="Y81" s="470"/>
      <c r="Z81" s="478">
        <f t="shared" si="80"/>
        <v>118861.965706667</v>
      </c>
      <c r="AA81" s="467">
        <v>98996.1031466667</v>
      </c>
      <c r="AB81" s="479">
        <f t="shared" ref="AB81:AB87" si="82">Z81-AA81</f>
        <v>19865.8625599999</v>
      </c>
      <c r="AC81" s="479" t="s">
        <v>157</v>
      </c>
      <c r="AD81" s="479"/>
      <c r="AE81" s="479"/>
    </row>
    <row r="82" ht="36" spans="1:31">
      <c r="A82" s="464">
        <v>70</v>
      </c>
      <c r="B82" s="11" t="s">
        <v>158</v>
      </c>
      <c r="C82" s="467">
        <v>742118.083333333</v>
      </c>
      <c r="D82" s="466">
        <v>12</v>
      </c>
      <c r="E82" s="467">
        <f t="shared" si="81"/>
        <v>8905417</v>
      </c>
      <c r="F82" s="467"/>
      <c r="G82" s="468">
        <v>558833.36</v>
      </c>
      <c r="H82" s="470"/>
      <c r="I82" s="467">
        <f t="shared" si="67"/>
        <v>8346583.64</v>
      </c>
      <c r="J82" s="467">
        <v>200000</v>
      </c>
      <c r="K82" s="467">
        <v>0.2</v>
      </c>
      <c r="L82" s="467">
        <f t="shared" si="68"/>
        <v>1669316.728</v>
      </c>
      <c r="M82" s="467">
        <f t="shared" si="69"/>
        <v>1869316.728</v>
      </c>
      <c r="N82" s="467">
        <f t="shared" si="70"/>
        <v>2428150.088</v>
      </c>
      <c r="O82" s="467">
        <f t="shared" si="71"/>
        <v>6477266.912</v>
      </c>
      <c r="P82" s="467">
        <f t="shared" si="72"/>
        <v>21000</v>
      </c>
      <c r="Q82" s="467">
        <f t="shared" si="73"/>
        <v>33000</v>
      </c>
      <c r="R82" s="467">
        <f t="shared" si="74"/>
        <v>75000</v>
      </c>
      <c r="S82" s="467">
        <f t="shared" si="75"/>
        <v>95000</v>
      </c>
      <c r="T82" s="467">
        <f t="shared" si="76"/>
        <v>336000</v>
      </c>
      <c r="U82" s="467">
        <f t="shared" si="77"/>
        <v>786544.058879999</v>
      </c>
      <c r="V82" s="467">
        <f t="shared" si="78"/>
        <v>1346544.05888</v>
      </c>
      <c r="W82" s="474">
        <v>12</v>
      </c>
      <c r="X82" s="467">
        <f t="shared" si="79"/>
        <v>112212.004906667</v>
      </c>
      <c r="Y82" s="470"/>
      <c r="Z82" s="478">
        <f t="shared" si="80"/>
        <v>112212.004906667</v>
      </c>
      <c r="AA82" s="467">
        <v>79956.9391466667</v>
      </c>
      <c r="AB82" s="479">
        <f t="shared" si="82"/>
        <v>32255.0657599999</v>
      </c>
      <c r="AC82" s="479" t="s">
        <v>158</v>
      </c>
      <c r="AD82" s="479"/>
      <c r="AE82" s="479"/>
    </row>
    <row r="83" ht="18" spans="1:31">
      <c r="A83" s="464">
        <v>71</v>
      </c>
      <c r="B83" s="11" t="s">
        <v>159</v>
      </c>
      <c r="C83" s="467">
        <v>561804.916666667</v>
      </c>
      <c r="D83" s="466">
        <v>12</v>
      </c>
      <c r="E83" s="467">
        <f t="shared" si="81"/>
        <v>6741659</v>
      </c>
      <c r="F83" s="467"/>
      <c r="G83" s="468">
        <v>424132.72</v>
      </c>
      <c r="H83" s="470"/>
      <c r="I83" s="467">
        <f t="shared" si="67"/>
        <v>6317526.28</v>
      </c>
      <c r="J83" s="467">
        <v>200000</v>
      </c>
      <c r="K83" s="467">
        <v>0.2</v>
      </c>
      <c r="L83" s="467">
        <f t="shared" si="68"/>
        <v>1263505.256</v>
      </c>
      <c r="M83" s="467">
        <f t="shared" si="69"/>
        <v>1463505.256</v>
      </c>
      <c r="N83" s="467">
        <f t="shared" si="70"/>
        <v>1887637.976</v>
      </c>
      <c r="O83" s="467">
        <f t="shared" si="71"/>
        <v>4854021.024</v>
      </c>
      <c r="P83" s="467">
        <f t="shared" si="72"/>
        <v>21000</v>
      </c>
      <c r="Q83" s="467">
        <f t="shared" si="73"/>
        <v>33000</v>
      </c>
      <c r="R83" s="467">
        <f t="shared" si="74"/>
        <v>75000</v>
      </c>
      <c r="S83" s="467">
        <f t="shared" si="75"/>
        <v>95000</v>
      </c>
      <c r="T83" s="467">
        <f t="shared" si="76"/>
        <v>336000</v>
      </c>
      <c r="U83" s="467">
        <f t="shared" si="77"/>
        <v>396965.045760001</v>
      </c>
      <c r="V83" s="467">
        <f t="shared" si="78"/>
        <v>956965.045760001</v>
      </c>
      <c r="W83" s="474">
        <v>12</v>
      </c>
      <c r="X83" s="467">
        <f t="shared" si="79"/>
        <v>79747.0871466667</v>
      </c>
      <c r="Y83" s="470"/>
      <c r="Z83" s="478">
        <f t="shared" si="80"/>
        <v>79747.0871466667</v>
      </c>
      <c r="AA83" s="467">
        <v>75574.6772906667</v>
      </c>
      <c r="AB83" s="479">
        <f t="shared" si="82"/>
        <v>4172.40985600003</v>
      </c>
      <c r="AC83" s="479" t="s">
        <v>159</v>
      </c>
      <c r="AD83" s="479"/>
      <c r="AE83" s="479"/>
    </row>
    <row r="84" ht="18" spans="1:31">
      <c r="A84" s="464">
        <v>72</v>
      </c>
      <c r="B84" s="11" t="s">
        <v>160</v>
      </c>
      <c r="C84" s="467">
        <v>548915.916666667</v>
      </c>
      <c r="D84" s="466">
        <v>12</v>
      </c>
      <c r="E84" s="467">
        <f t="shared" si="81"/>
        <v>6586991</v>
      </c>
      <c r="F84" s="467"/>
      <c r="G84" s="468">
        <v>411759.28</v>
      </c>
      <c r="H84" s="470"/>
      <c r="I84" s="467">
        <f t="shared" si="67"/>
        <v>6175231.72</v>
      </c>
      <c r="J84" s="467">
        <v>200000</v>
      </c>
      <c r="K84" s="467">
        <v>0.2</v>
      </c>
      <c r="L84" s="467">
        <f t="shared" si="68"/>
        <v>1235046.344</v>
      </c>
      <c r="M84" s="467">
        <f t="shared" si="69"/>
        <v>1435046.344</v>
      </c>
      <c r="N84" s="467">
        <f t="shared" si="70"/>
        <v>1846805.624</v>
      </c>
      <c r="O84" s="467">
        <f t="shared" si="71"/>
        <v>4740185.376</v>
      </c>
      <c r="P84" s="467">
        <f t="shared" si="72"/>
        <v>21000</v>
      </c>
      <c r="Q84" s="467">
        <f t="shared" si="73"/>
        <v>33000</v>
      </c>
      <c r="R84" s="467">
        <f t="shared" si="74"/>
        <v>75000</v>
      </c>
      <c r="S84" s="467">
        <f t="shared" si="75"/>
        <v>95000</v>
      </c>
      <c r="T84" s="467">
        <f t="shared" si="76"/>
        <v>336000</v>
      </c>
      <c r="U84" s="467">
        <f t="shared" si="77"/>
        <v>369644.490240001</v>
      </c>
      <c r="V84" s="467">
        <f t="shared" si="78"/>
        <v>929644.490240001</v>
      </c>
      <c r="W84" s="474">
        <v>12</v>
      </c>
      <c r="X84" s="467">
        <f t="shared" si="79"/>
        <v>77470.3741866667</v>
      </c>
      <c r="Y84" s="470"/>
      <c r="Z84" s="478">
        <f t="shared" si="80"/>
        <v>77470.3741866667</v>
      </c>
      <c r="AA84" s="467">
        <v>50985.9775466667</v>
      </c>
      <c r="AB84" s="479">
        <f t="shared" si="82"/>
        <v>26484.39664</v>
      </c>
      <c r="AC84" s="479" t="s">
        <v>160</v>
      </c>
      <c r="AD84" s="479"/>
      <c r="AE84" s="479"/>
    </row>
    <row r="85" ht="36" spans="1:31">
      <c r="A85" s="464">
        <v>73</v>
      </c>
      <c r="B85" s="11" t="s">
        <v>161</v>
      </c>
      <c r="C85" s="467">
        <v>568870.75</v>
      </c>
      <c r="D85" s="466">
        <v>12</v>
      </c>
      <c r="E85" s="467">
        <f t="shared" si="81"/>
        <v>6826449</v>
      </c>
      <c r="F85" s="467"/>
      <c r="G85" s="468">
        <v>411715.92</v>
      </c>
      <c r="H85" s="470"/>
      <c r="I85" s="467">
        <f t="shared" si="67"/>
        <v>6414733.08</v>
      </c>
      <c r="J85" s="467">
        <v>200000</v>
      </c>
      <c r="K85" s="467">
        <v>0.2</v>
      </c>
      <c r="L85" s="467">
        <f t="shared" si="68"/>
        <v>1282946.616</v>
      </c>
      <c r="M85" s="467">
        <f t="shared" si="69"/>
        <v>1482946.616</v>
      </c>
      <c r="N85" s="467">
        <f t="shared" si="70"/>
        <v>1894662.536</v>
      </c>
      <c r="O85" s="467">
        <f t="shared" si="71"/>
        <v>4931786.464</v>
      </c>
      <c r="P85" s="467">
        <f t="shared" si="72"/>
        <v>21000</v>
      </c>
      <c r="Q85" s="467">
        <f t="shared" si="73"/>
        <v>33000</v>
      </c>
      <c r="R85" s="467">
        <f t="shared" si="74"/>
        <v>75000</v>
      </c>
      <c r="S85" s="467">
        <f t="shared" si="75"/>
        <v>95000</v>
      </c>
      <c r="T85" s="467">
        <f t="shared" si="76"/>
        <v>336000</v>
      </c>
      <c r="U85" s="467">
        <f t="shared" si="77"/>
        <v>415628.75136</v>
      </c>
      <c r="V85" s="467">
        <f t="shared" si="78"/>
        <v>975628.75136</v>
      </c>
      <c r="W85" s="474">
        <v>12</v>
      </c>
      <c r="X85" s="467">
        <f t="shared" si="79"/>
        <v>81302.3959466667</v>
      </c>
      <c r="Y85" s="470"/>
      <c r="Z85" s="467">
        <f t="shared" si="80"/>
        <v>81302.3959466667</v>
      </c>
      <c r="AA85" s="478">
        <v>49548.7761866667</v>
      </c>
      <c r="AB85" s="479">
        <f t="shared" si="82"/>
        <v>31753.61976</v>
      </c>
      <c r="AC85" s="479" t="s">
        <v>161</v>
      </c>
      <c r="AD85" s="479"/>
      <c r="AE85" s="479"/>
    </row>
    <row r="86" ht="18" spans="1:31">
      <c r="A86" s="464">
        <v>74</v>
      </c>
      <c r="B86" s="11" t="s">
        <v>163</v>
      </c>
      <c r="C86" s="467">
        <v>475703.833333333</v>
      </c>
      <c r="D86" s="466">
        <v>12</v>
      </c>
      <c r="E86" s="467">
        <f t="shared" si="81"/>
        <v>5708446</v>
      </c>
      <c r="F86" s="467"/>
      <c r="G86" s="473">
        <f>29256.3066666667*12</f>
        <v>351075.68</v>
      </c>
      <c r="H86" s="470"/>
      <c r="I86" s="467">
        <f t="shared" si="67"/>
        <v>5357370.32</v>
      </c>
      <c r="J86" s="467">
        <v>200000</v>
      </c>
      <c r="K86" s="467">
        <v>0.2</v>
      </c>
      <c r="L86" s="467">
        <f t="shared" si="68"/>
        <v>1071474.064</v>
      </c>
      <c r="M86" s="467">
        <f t="shared" si="69"/>
        <v>1271474.064</v>
      </c>
      <c r="N86" s="467">
        <f t="shared" si="70"/>
        <v>1622549.744</v>
      </c>
      <c r="O86" s="467">
        <f t="shared" si="71"/>
        <v>4085896.256</v>
      </c>
      <c r="P86" s="467">
        <f t="shared" si="72"/>
        <v>21000</v>
      </c>
      <c r="Q86" s="467">
        <f t="shared" si="73"/>
        <v>33000</v>
      </c>
      <c r="R86" s="467">
        <f t="shared" si="74"/>
        <v>75000</v>
      </c>
      <c r="S86" s="467">
        <f t="shared" si="75"/>
        <v>95000</v>
      </c>
      <c r="T86" s="467">
        <f t="shared" si="76"/>
        <v>336000</v>
      </c>
      <c r="U86" s="467">
        <f t="shared" si="77"/>
        <v>212615.101439999</v>
      </c>
      <c r="V86" s="467">
        <f t="shared" si="78"/>
        <v>772615.101439999</v>
      </c>
      <c r="W86" s="474">
        <v>12</v>
      </c>
      <c r="X86" s="467">
        <f t="shared" si="79"/>
        <v>64384.5917866666</v>
      </c>
      <c r="Y86" s="470"/>
      <c r="Z86" s="478">
        <f t="shared" si="80"/>
        <v>64384.5917866666</v>
      </c>
      <c r="AA86" s="467">
        <v>53384.0535626667</v>
      </c>
      <c r="AB86" s="479">
        <f t="shared" si="82"/>
        <v>11000.5382239999</v>
      </c>
      <c r="AC86" s="479" t="s">
        <v>163</v>
      </c>
      <c r="AD86" s="479"/>
      <c r="AE86" s="479"/>
    </row>
    <row r="87" ht="24" customHeight="1" spans="1:31">
      <c r="A87" s="464">
        <v>75</v>
      </c>
      <c r="B87" s="11" t="s">
        <v>164</v>
      </c>
      <c r="C87" s="467">
        <v>510248.916666667</v>
      </c>
      <c r="D87" s="466">
        <v>12</v>
      </c>
      <c r="E87" s="467">
        <f t="shared" si="81"/>
        <v>6122987</v>
      </c>
      <c r="F87" s="467">
        <f>'[6]JANUARY 2024'!$V$92*12</f>
        <v>6922.497</v>
      </c>
      <c r="G87" s="468">
        <v>374638.96</v>
      </c>
      <c r="H87" s="470"/>
      <c r="I87" s="467">
        <f t="shared" si="67"/>
        <v>5741425.543</v>
      </c>
      <c r="J87" s="467">
        <v>200000</v>
      </c>
      <c r="K87" s="467">
        <v>0.2</v>
      </c>
      <c r="L87" s="467">
        <f t="shared" si="68"/>
        <v>1148285.1086</v>
      </c>
      <c r="M87" s="467">
        <f t="shared" si="69"/>
        <v>1348285.1086</v>
      </c>
      <c r="N87" s="467">
        <f t="shared" si="70"/>
        <v>1729846.5656</v>
      </c>
      <c r="O87" s="467">
        <f t="shared" si="71"/>
        <v>4393140.4344</v>
      </c>
      <c r="P87" s="467">
        <f t="shared" si="72"/>
        <v>21000</v>
      </c>
      <c r="Q87" s="467">
        <f t="shared" si="73"/>
        <v>33000</v>
      </c>
      <c r="R87" s="467">
        <f t="shared" si="74"/>
        <v>75000</v>
      </c>
      <c r="S87" s="467">
        <f t="shared" si="75"/>
        <v>95000</v>
      </c>
      <c r="T87" s="467">
        <f t="shared" si="76"/>
        <v>336000</v>
      </c>
      <c r="U87" s="467">
        <f t="shared" si="77"/>
        <v>286353.704256001</v>
      </c>
      <c r="V87" s="467">
        <f t="shared" si="78"/>
        <v>846353.704256001</v>
      </c>
      <c r="W87" s="474">
        <v>12</v>
      </c>
      <c r="X87" s="467">
        <f t="shared" si="79"/>
        <v>70529.4753546667</v>
      </c>
      <c r="Y87" s="470"/>
      <c r="Z87" s="467">
        <f t="shared" si="80"/>
        <v>70529.4753546667</v>
      </c>
      <c r="AA87" s="482">
        <v>41242.0361406667</v>
      </c>
      <c r="AB87" s="479">
        <f t="shared" si="82"/>
        <v>29287.439214</v>
      </c>
      <c r="AC87" s="479" t="s">
        <v>164</v>
      </c>
      <c r="AD87" s="479"/>
      <c r="AE87" s="479"/>
    </row>
    <row r="88" ht="18" spans="1:31">
      <c r="A88" s="464">
        <v>76</v>
      </c>
      <c r="B88" s="11" t="s">
        <v>167</v>
      </c>
      <c r="C88" s="467">
        <v>400965.583333333</v>
      </c>
      <c r="D88" s="466">
        <v>12</v>
      </c>
      <c r="E88" s="467">
        <f t="shared" ref="E88:E89" si="83">C88*D88</f>
        <v>4811587</v>
      </c>
      <c r="F88" s="467"/>
      <c r="G88" s="468">
        <v>288926.96</v>
      </c>
      <c r="H88" s="470"/>
      <c r="I88" s="467">
        <f t="shared" si="67"/>
        <v>4522660.04</v>
      </c>
      <c r="J88" s="467">
        <v>200000</v>
      </c>
      <c r="K88" s="467">
        <v>0.2</v>
      </c>
      <c r="L88" s="467">
        <f t="shared" si="68"/>
        <v>904532.007999999</v>
      </c>
      <c r="M88" s="467">
        <f t="shared" si="69"/>
        <v>1104532.008</v>
      </c>
      <c r="N88" s="467">
        <f t="shared" si="70"/>
        <v>1393458.968</v>
      </c>
      <c r="O88" s="467">
        <f t="shared" si="71"/>
        <v>3418128.032</v>
      </c>
      <c r="P88" s="467">
        <f t="shared" si="72"/>
        <v>21000</v>
      </c>
      <c r="Q88" s="467">
        <f t="shared" si="73"/>
        <v>33000</v>
      </c>
      <c r="R88" s="467">
        <f t="shared" si="74"/>
        <v>75000</v>
      </c>
      <c r="S88" s="467">
        <f t="shared" si="75"/>
        <v>95000</v>
      </c>
      <c r="T88" s="467">
        <f t="shared" si="76"/>
        <v>336000</v>
      </c>
      <c r="U88" s="467">
        <f t="shared" si="77"/>
        <v>52350.7276799992</v>
      </c>
      <c r="V88" s="467">
        <f t="shared" si="78"/>
        <v>612350.727679999</v>
      </c>
      <c r="W88" s="474">
        <v>12</v>
      </c>
      <c r="X88" s="467">
        <f t="shared" si="79"/>
        <v>51029.2273066666</v>
      </c>
      <c r="Y88" s="470"/>
      <c r="Z88" s="478">
        <f t="shared" si="80"/>
        <v>51029.2273066666</v>
      </c>
      <c r="AA88" s="467">
        <v>45414.4562526667</v>
      </c>
      <c r="AB88" s="479">
        <f t="shared" ref="AB88:AB89" si="84">Z88-AA88</f>
        <v>5614.7710539999</v>
      </c>
      <c r="AC88" s="479" t="s">
        <v>167</v>
      </c>
      <c r="AD88" s="479"/>
      <c r="AE88" s="479"/>
    </row>
    <row r="89" ht="18" spans="1:31">
      <c r="A89" s="464"/>
      <c r="B89" s="11" t="s">
        <v>169</v>
      </c>
      <c r="C89" s="467">
        <v>330631.916666667</v>
      </c>
      <c r="D89" s="466">
        <v>12</v>
      </c>
      <c r="E89" s="467">
        <f t="shared" si="83"/>
        <v>3967583</v>
      </c>
      <c r="F89" s="467"/>
      <c r="G89" s="468">
        <v>221406.64</v>
      </c>
      <c r="H89" s="470"/>
      <c r="I89" s="467">
        <f t="shared" si="67"/>
        <v>3746176.36</v>
      </c>
      <c r="J89" s="467">
        <v>200000</v>
      </c>
      <c r="K89" s="467">
        <v>0.2</v>
      </c>
      <c r="L89" s="467">
        <f t="shared" si="68"/>
        <v>749235.272000001</v>
      </c>
      <c r="M89" s="467">
        <f t="shared" si="69"/>
        <v>949235.272000001</v>
      </c>
      <c r="N89" s="467">
        <f t="shared" si="70"/>
        <v>1170641.912</v>
      </c>
      <c r="O89" s="467">
        <f t="shared" si="71"/>
        <v>2796941.088</v>
      </c>
      <c r="P89" s="467">
        <f t="shared" si="72"/>
        <v>21000</v>
      </c>
      <c r="Q89" s="467">
        <f t="shared" si="73"/>
        <v>33000</v>
      </c>
      <c r="R89" s="467">
        <f t="shared" si="74"/>
        <v>75000</v>
      </c>
      <c r="S89" s="467">
        <f t="shared" si="75"/>
        <v>95000</v>
      </c>
      <c r="T89" s="467">
        <f t="shared" si="76"/>
        <v>251357.628480001</v>
      </c>
      <c r="U89" s="467"/>
      <c r="V89" s="467">
        <f t="shared" si="78"/>
        <v>475357.628480001</v>
      </c>
      <c r="W89" s="474">
        <v>12</v>
      </c>
      <c r="X89" s="467">
        <f t="shared" si="79"/>
        <v>39613.1357066667</v>
      </c>
      <c r="Y89" s="470"/>
      <c r="Z89" s="478">
        <f t="shared" si="80"/>
        <v>39613.1357066667</v>
      </c>
      <c r="AA89" s="467">
        <v>33825.9865626667</v>
      </c>
      <c r="AB89" s="479">
        <f t="shared" si="84"/>
        <v>5787.14914400001</v>
      </c>
      <c r="AC89" s="479" t="s">
        <v>169</v>
      </c>
      <c r="AD89" s="479"/>
      <c r="AE89" s="479"/>
    </row>
    <row r="90" ht="17.5" spans="1:31">
      <c r="A90" s="464"/>
      <c r="B90" s="20"/>
      <c r="C90" s="467"/>
      <c r="D90" s="466"/>
      <c r="E90" s="467"/>
      <c r="F90" s="467"/>
      <c r="G90" s="470"/>
      <c r="H90" s="470"/>
      <c r="I90" s="467"/>
      <c r="J90" s="467"/>
      <c r="K90" s="467"/>
      <c r="L90" s="467"/>
      <c r="M90" s="467"/>
      <c r="N90" s="467"/>
      <c r="O90" s="467"/>
      <c r="P90" s="467"/>
      <c r="Q90" s="467"/>
      <c r="R90" s="467"/>
      <c r="S90" s="467"/>
      <c r="T90" s="467"/>
      <c r="U90" s="467"/>
      <c r="V90" s="467"/>
      <c r="W90" s="474"/>
      <c r="X90" s="467"/>
      <c r="Y90" s="470"/>
      <c r="Z90" s="478"/>
      <c r="AA90" s="479"/>
      <c r="AB90" s="479"/>
      <c r="AC90" s="479"/>
      <c r="AD90" s="479"/>
      <c r="AE90" s="479"/>
    </row>
    <row r="91" ht="17.5" spans="1:31">
      <c r="A91" s="464"/>
      <c r="B91" s="22"/>
      <c r="C91" s="467"/>
      <c r="D91" s="466"/>
      <c r="E91" s="467"/>
      <c r="F91" s="467"/>
      <c r="G91" s="470"/>
      <c r="H91" s="470"/>
      <c r="I91" s="467"/>
      <c r="J91" s="467"/>
      <c r="K91" s="467"/>
      <c r="L91" s="467"/>
      <c r="M91" s="467"/>
      <c r="N91" s="467"/>
      <c r="O91" s="467"/>
      <c r="P91" s="467"/>
      <c r="Q91" s="467"/>
      <c r="R91" s="467"/>
      <c r="S91" s="467"/>
      <c r="T91" s="467"/>
      <c r="U91" s="467"/>
      <c r="V91" s="467"/>
      <c r="W91" s="474"/>
      <c r="X91" s="467"/>
      <c r="Y91" s="470"/>
      <c r="Z91" s="478"/>
      <c r="AA91" s="479"/>
      <c r="AB91" s="479"/>
      <c r="AC91" s="479"/>
      <c r="AD91" s="479"/>
      <c r="AE91" s="479"/>
    </row>
    <row r="92" ht="17.5" spans="1:31">
      <c r="A92" s="464">
        <v>78</v>
      </c>
      <c r="B92" s="20" t="s">
        <v>172</v>
      </c>
      <c r="C92" s="467"/>
      <c r="Z92" s="481"/>
      <c r="AC92" s="479"/>
      <c r="AD92" s="479"/>
      <c r="AE92" s="479"/>
    </row>
    <row r="93" ht="18" spans="1:31">
      <c r="A93" s="464">
        <v>79</v>
      </c>
      <c r="B93" s="14" t="s">
        <v>173</v>
      </c>
      <c r="C93" s="467">
        <v>852373.166666667</v>
      </c>
      <c r="D93" s="466">
        <v>12</v>
      </c>
      <c r="E93" s="467">
        <f>C93*D93</f>
        <v>10228478</v>
      </c>
      <c r="F93" s="467">
        <f>'[6]JANUARY 2024'!$V$98*12</f>
        <v>12795.951</v>
      </c>
      <c r="G93" s="468">
        <v>731878.24</v>
      </c>
      <c r="H93" s="470"/>
      <c r="I93" s="467">
        <f>E93-F93-G93-H93</f>
        <v>9483803.809</v>
      </c>
      <c r="J93" s="467">
        <v>200000</v>
      </c>
      <c r="K93" s="467">
        <v>0.2</v>
      </c>
      <c r="L93" s="467">
        <f>I93*K93</f>
        <v>1896760.7618</v>
      </c>
      <c r="M93" s="467">
        <f>J93+L93</f>
        <v>2096760.7618</v>
      </c>
      <c r="N93" s="467">
        <f>F93+G93+H93+M93</f>
        <v>2841434.9528</v>
      </c>
      <c r="O93" s="467">
        <f>E93-N93</f>
        <v>7387043.0472</v>
      </c>
      <c r="P93" s="467">
        <f>IF(O93&lt;300000,0.07*O93,21000)</f>
        <v>21000</v>
      </c>
      <c r="Q93" s="467">
        <f>IF((O93-300000)&lt;0,0,IF((O93-300000)&lt;300000,0.11*(O93-300000),33000))</f>
        <v>33000</v>
      </c>
      <c r="R93" s="467">
        <f>IF((O93-600000)&lt;0,0,IF((O93-600000)&lt;500000,0.15*(O93-600000),75000))</f>
        <v>75000</v>
      </c>
      <c r="S93" s="467">
        <f>IF((O93-1100000)&lt;0,0,IF((O93-1100000)&lt;500000,0.19*(O93-1100000),95000))</f>
        <v>95000</v>
      </c>
      <c r="T93" s="467">
        <f>IF((O93-1600000)&lt;0,0,IF((O93-1600000)&lt;1600000,0.21*(O93-1600000),336000))</f>
        <v>336000</v>
      </c>
      <c r="U93" s="467">
        <f>24%*(O93-3200000)</f>
        <v>1004890.331328</v>
      </c>
      <c r="V93" s="467">
        <f>P93+Q93+R93+S93+T93+U93</f>
        <v>1564890.331328</v>
      </c>
      <c r="W93" s="474">
        <v>12</v>
      </c>
      <c r="X93" s="467">
        <f>V93/W93</f>
        <v>130407.527610667</v>
      </c>
      <c r="Y93" s="470"/>
      <c r="Z93" s="478">
        <f>X93</f>
        <v>130407.527610667</v>
      </c>
      <c r="AA93" s="479">
        <v>82423.2162026667</v>
      </c>
      <c r="AB93" s="479">
        <f>Z93-AA93</f>
        <v>47984.311408</v>
      </c>
      <c r="AC93" s="479" t="s">
        <v>173</v>
      </c>
      <c r="AD93" s="479"/>
      <c r="AE93" s="479"/>
    </row>
    <row r="94" ht="18" spans="1:31">
      <c r="A94" s="464">
        <v>80</v>
      </c>
      <c r="B94" s="11" t="s">
        <v>176</v>
      </c>
      <c r="C94" s="467">
        <v>526622.25</v>
      </c>
      <c r="D94" s="466">
        <v>12</v>
      </c>
      <c r="E94" s="467">
        <f t="shared" ref="E94:E96" si="85">C94*D94</f>
        <v>6319467</v>
      </c>
      <c r="F94" s="467"/>
      <c r="G94" s="468">
        <v>438357.36</v>
      </c>
      <c r="H94" s="470"/>
      <c r="I94" s="467">
        <f>E94-F94-G94-H94</f>
        <v>5881109.64</v>
      </c>
      <c r="J94" s="467">
        <v>200000</v>
      </c>
      <c r="K94" s="467">
        <v>0.2</v>
      </c>
      <c r="L94" s="467">
        <f>I94*K94</f>
        <v>1176221.928</v>
      </c>
      <c r="M94" s="467">
        <f>J94+L94</f>
        <v>1376221.928</v>
      </c>
      <c r="N94" s="467">
        <f>F94+G94+H94+M94</f>
        <v>1814579.288</v>
      </c>
      <c r="O94" s="467">
        <f>E94-N94</f>
        <v>4504887.712</v>
      </c>
      <c r="P94" s="467">
        <f>IF(O94&lt;300000,0.07*O94,21000)</f>
        <v>21000</v>
      </c>
      <c r="Q94" s="467">
        <f>IF((O94-300000)&lt;0,0,IF((O94-300000)&lt;300000,0.11*(O94-300000),33000))</f>
        <v>33000</v>
      </c>
      <c r="R94" s="467">
        <f>IF((O94-600000)&lt;0,0,IF((O94-600000)&lt;500000,0.15*(O94-600000),75000))</f>
        <v>75000</v>
      </c>
      <c r="S94" s="467">
        <f>IF((O94-1100000)&lt;0,0,IF((O94-1100000)&lt;500000,0.19*(O94-1100000),95000))</f>
        <v>95000</v>
      </c>
      <c r="T94" s="467">
        <f>IF((O94-1600000)&lt;0,0,IF((O94-1600000)&lt;1600000,0.21*(O94-1600000),336000))</f>
        <v>336000</v>
      </c>
      <c r="U94" s="467">
        <f t="shared" ref="U94:U95" si="86">24%*(O94-3200000)</f>
        <v>313173.05088</v>
      </c>
      <c r="V94" s="467">
        <f>P94+Q94+R94+S94+T94+U94</f>
        <v>873173.05088</v>
      </c>
      <c r="W94" s="474">
        <v>12</v>
      </c>
      <c r="X94" s="467">
        <f>V94/W94</f>
        <v>72764.4209066667</v>
      </c>
      <c r="Y94" s="470"/>
      <c r="Z94" s="478">
        <f>X94</f>
        <v>72764.4209066667</v>
      </c>
      <c r="AA94" s="479">
        <v>82627.9514186667</v>
      </c>
      <c r="AB94" s="479">
        <f t="shared" ref="AB94:AB96" si="87">Z94-AA94</f>
        <v>-9863.53051200004</v>
      </c>
      <c r="AC94" s="479" t="s">
        <v>176</v>
      </c>
      <c r="AD94" s="479"/>
      <c r="AE94" s="479"/>
    </row>
    <row r="95" ht="18" spans="1:31">
      <c r="A95" s="464">
        <v>81</v>
      </c>
      <c r="B95" s="11" t="s">
        <v>180</v>
      </c>
      <c r="C95" s="467">
        <v>437895.166666667</v>
      </c>
      <c r="D95" s="466">
        <v>12</v>
      </c>
      <c r="E95" s="467">
        <f t="shared" si="85"/>
        <v>5254742</v>
      </c>
      <c r="F95" s="467"/>
      <c r="G95" s="468">
        <v>362779.36</v>
      </c>
      <c r="H95" s="470"/>
      <c r="I95" s="467">
        <f>E95-F95-G95-H95</f>
        <v>4891962.64</v>
      </c>
      <c r="J95" s="467">
        <v>200000</v>
      </c>
      <c r="K95" s="467">
        <v>0.2</v>
      </c>
      <c r="L95" s="467">
        <f>I95*K95</f>
        <v>978392.528000001</v>
      </c>
      <c r="M95" s="467">
        <f>J95+L95</f>
        <v>1178392.528</v>
      </c>
      <c r="N95" s="467">
        <f>F95+G95+H95+M95</f>
        <v>1541171.888</v>
      </c>
      <c r="O95" s="467">
        <f>E95-N95</f>
        <v>3713570.112</v>
      </c>
      <c r="P95" s="467">
        <f>IF(O95&lt;300000,0.07*O95,21000)</f>
        <v>21000</v>
      </c>
      <c r="Q95" s="467">
        <f>IF((O95-300000)&lt;0,0,IF((O95-300000)&lt;300000,0.11*(O95-300000),33000))</f>
        <v>33000</v>
      </c>
      <c r="R95" s="467">
        <f>IF((O95-600000)&lt;0,0,IF((O95-600000)&lt;500000,0.15*(O95-600000),75000))</f>
        <v>75000</v>
      </c>
      <c r="S95" s="467">
        <f>IF((O95-1100000)&lt;0,0,IF((O95-1100000)&lt;500000,0.19*(O95-1100000),95000))</f>
        <v>95000</v>
      </c>
      <c r="T95" s="467">
        <f>IF((O95-1600000)&lt;0,0,IF((O95-1600000)&lt;1600000,0.21*(O95-1600000),336000))</f>
        <v>336000</v>
      </c>
      <c r="U95" s="467">
        <f t="shared" si="86"/>
        <v>123256.826880001</v>
      </c>
      <c r="V95" s="467">
        <f>P95+Q95+R95+S95+T95+U95</f>
        <v>683256.826880001</v>
      </c>
      <c r="W95" s="474">
        <v>12</v>
      </c>
      <c r="X95" s="467">
        <f>V95/W95</f>
        <v>56938.0689066667</v>
      </c>
      <c r="Y95" s="470"/>
      <c r="Z95" s="478">
        <f>X95</f>
        <v>56938.0689066667</v>
      </c>
      <c r="AA95" s="479">
        <v>43492.3733766667</v>
      </c>
      <c r="AB95" s="479">
        <f t="shared" si="87"/>
        <v>13445.69553</v>
      </c>
      <c r="AC95" s="479" t="s">
        <v>180</v>
      </c>
      <c r="AD95" s="479"/>
      <c r="AE95" s="479"/>
    </row>
    <row r="96" ht="18" spans="1:31">
      <c r="A96" s="464"/>
      <c r="B96" s="11" t="s">
        <v>182</v>
      </c>
      <c r="C96" s="467">
        <v>360965.583333333</v>
      </c>
      <c r="D96" s="466">
        <v>12</v>
      </c>
      <c r="E96" s="467">
        <f t="shared" si="85"/>
        <v>4331587</v>
      </c>
      <c r="F96" s="467"/>
      <c r="G96" s="468">
        <v>288926.96</v>
      </c>
      <c r="H96" s="470"/>
      <c r="I96" s="467">
        <f>E96-F96-G96-H96</f>
        <v>4042660.04</v>
      </c>
      <c r="J96" s="467">
        <v>200000</v>
      </c>
      <c r="K96" s="467">
        <v>0.2</v>
      </c>
      <c r="L96" s="467">
        <f>I96*K96</f>
        <v>808532.007999999</v>
      </c>
      <c r="M96" s="467">
        <f>J96+L96</f>
        <v>1008532.008</v>
      </c>
      <c r="N96" s="467">
        <f>F96+G96+H96+M96</f>
        <v>1297458.968</v>
      </c>
      <c r="O96" s="467">
        <f>E96-N96</f>
        <v>3034128.032</v>
      </c>
      <c r="P96" s="467">
        <f>IF(O96&lt;300000,0.07*O96,21000)</f>
        <v>21000</v>
      </c>
      <c r="Q96" s="467">
        <f>IF((O96-300000)&lt;0,0,IF((O96-300000)&lt;300000,0.11*(O96-300000),33000))</f>
        <v>33000</v>
      </c>
      <c r="R96" s="467">
        <f>IF((O96-600000)&lt;0,0,IF((O96-600000)&lt;500000,0.15*(O96-600000),75000))</f>
        <v>75000</v>
      </c>
      <c r="S96" s="467">
        <f>IF((O96-1100000)&lt;0,0,IF((O96-1100000)&lt;500000,0.19*(O96-1100000),95000))</f>
        <v>95000</v>
      </c>
      <c r="T96" s="467">
        <f>IF((O96-1600000)&lt;0,0,IF((O96-1600000)&lt;1600000,0.21*(O96-1600000),336000))</f>
        <v>301166.886719999</v>
      </c>
      <c r="U96" s="467"/>
      <c r="V96" s="467">
        <f>P96+Q96+R96+S96+T96+U96</f>
        <v>525166.886719999</v>
      </c>
      <c r="W96" s="474">
        <v>12</v>
      </c>
      <c r="X96" s="467">
        <f>V96/W96</f>
        <v>43763.9072266666</v>
      </c>
      <c r="Y96" s="470"/>
      <c r="Z96" s="478">
        <f>X96</f>
        <v>43763.9072266666</v>
      </c>
      <c r="AA96" s="479">
        <v>34968.8824146667</v>
      </c>
      <c r="AB96" s="479">
        <f t="shared" si="87"/>
        <v>8795.02481199991</v>
      </c>
      <c r="AC96" s="479" t="s">
        <v>182</v>
      </c>
      <c r="AD96" s="479"/>
      <c r="AE96" s="479"/>
    </row>
    <row r="97" ht="17.5" spans="1:31">
      <c r="A97" s="464"/>
      <c r="B97" s="20" t="s">
        <v>96</v>
      </c>
      <c r="C97" s="467"/>
      <c r="D97" s="466"/>
      <c r="E97" s="467"/>
      <c r="F97" s="467"/>
      <c r="G97" s="470">
        <v>0</v>
      </c>
      <c r="H97" s="470"/>
      <c r="I97" s="467"/>
      <c r="J97" s="467"/>
      <c r="K97" s="467"/>
      <c r="L97" s="467"/>
      <c r="M97" s="467"/>
      <c r="N97" s="467"/>
      <c r="O97" s="467"/>
      <c r="P97" s="467"/>
      <c r="Q97" s="467"/>
      <c r="R97" s="467"/>
      <c r="S97" s="467"/>
      <c r="T97" s="467"/>
      <c r="U97" s="467"/>
      <c r="V97" s="467"/>
      <c r="W97" s="474"/>
      <c r="X97" s="467"/>
      <c r="Y97" s="470"/>
      <c r="Z97" s="478"/>
      <c r="AA97" s="479"/>
      <c r="AB97" s="479"/>
      <c r="AC97" s="479"/>
      <c r="AD97" s="479"/>
      <c r="AE97" s="479"/>
    </row>
    <row r="98" ht="17.5" spans="1:31">
      <c r="A98" s="464">
        <v>83</v>
      </c>
      <c r="B98" s="22"/>
      <c r="C98" s="467"/>
      <c r="G98" s="296">
        <v>0</v>
      </c>
      <c r="Z98" s="481"/>
      <c r="AC98" s="479"/>
      <c r="AD98" s="479"/>
      <c r="AE98" s="479"/>
    </row>
    <row r="99" ht="35" spans="1:31">
      <c r="A99" s="464">
        <v>84</v>
      </c>
      <c r="B99" s="20" t="s">
        <v>184</v>
      </c>
      <c r="C99" s="467"/>
      <c r="G99" s="296">
        <v>0</v>
      </c>
      <c r="Z99" s="481"/>
      <c r="AB99" s="296" t="s">
        <v>518</v>
      </c>
      <c r="AC99" s="479"/>
      <c r="AD99" s="479"/>
      <c r="AE99" s="479"/>
    </row>
    <row r="100" ht="18" spans="1:31">
      <c r="A100" s="464">
        <v>85</v>
      </c>
      <c r="B100" s="11" t="s">
        <v>185</v>
      </c>
      <c r="C100" s="467">
        <v>1635720</v>
      </c>
      <c r="D100" s="466">
        <v>12</v>
      </c>
      <c r="E100" s="467">
        <f>C100*D100</f>
        <v>19628640</v>
      </c>
      <c r="F100" s="467"/>
      <c r="G100" s="468">
        <v>1378291.2</v>
      </c>
      <c r="H100" s="470"/>
      <c r="I100" s="467">
        <f t="shared" ref="I100:I105" si="88">E100-F100-G100-H100</f>
        <v>18250348.8</v>
      </c>
      <c r="J100" s="467">
        <v>200000</v>
      </c>
      <c r="K100" s="467">
        <v>0.2</v>
      </c>
      <c r="L100" s="467">
        <f t="shared" ref="L100:L106" si="89">I100*K100</f>
        <v>3650069.76</v>
      </c>
      <c r="M100" s="467">
        <f t="shared" ref="M100:M106" si="90">J100+L100</f>
        <v>3850069.76</v>
      </c>
      <c r="N100" s="467">
        <f t="shared" ref="N100:N105" si="91">F100+G100+H100+M100</f>
        <v>5228360.96</v>
      </c>
      <c r="O100" s="467">
        <f t="shared" ref="O100:O106" si="92">E100-N100</f>
        <v>14400279.04</v>
      </c>
      <c r="P100" s="467">
        <f t="shared" ref="P100:P106" si="93">IF(O100&lt;300000,0.07*O100,21000)</f>
        <v>21000</v>
      </c>
      <c r="Q100" s="467">
        <f t="shared" ref="Q100:Q106" si="94">IF((O100-300000)&lt;0,0,IF((O100-300000)&lt;300000,0.11*(O100-300000),33000))</f>
        <v>33000</v>
      </c>
      <c r="R100" s="467">
        <f t="shared" ref="R100:R106" si="95">IF((O100-600000)&lt;0,0,IF((O100-600000)&lt;500000,0.15*(O100-600000),75000))</f>
        <v>75000</v>
      </c>
      <c r="S100" s="467">
        <f t="shared" ref="S100:S106" si="96">IF((O100-1100000)&lt;0,0,IF((O100-1100000)&lt;500000,0.19*(O100-1100000),95000))</f>
        <v>95000</v>
      </c>
      <c r="T100" s="467">
        <f t="shared" ref="T100:T106" si="97">IF((O100-1600000)&lt;0,0,IF((O100-1600000)&lt;1600000,0.21*(O100-1600000),336000))</f>
        <v>336000</v>
      </c>
      <c r="U100" s="467">
        <f>24%*(O100-3200000)</f>
        <v>2688066.9696</v>
      </c>
      <c r="V100" s="467">
        <f t="shared" ref="V100:V106" si="98">P100+Q100+R100+S100+T100+U100</f>
        <v>3248066.9696</v>
      </c>
      <c r="W100" s="474">
        <v>12</v>
      </c>
      <c r="X100" s="467">
        <f t="shared" ref="X100:X106" si="99">V100/W100</f>
        <v>270672.247466667</v>
      </c>
      <c r="Y100" s="470"/>
      <c r="Z100" s="478">
        <f t="shared" ref="Z100:Z106" si="100">X100</f>
        <v>270672.247466667</v>
      </c>
      <c r="AA100" s="479">
        <v>180306.806858667</v>
      </c>
      <c r="AB100" s="479">
        <f>Z100-AA100</f>
        <v>90365.4406079996</v>
      </c>
      <c r="AC100" s="479" t="s">
        <v>185</v>
      </c>
      <c r="AD100" s="479"/>
      <c r="AE100" s="479"/>
    </row>
    <row r="101" ht="18" spans="1:31">
      <c r="A101" s="464">
        <v>86</v>
      </c>
      <c r="B101" s="11" t="s">
        <v>187</v>
      </c>
      <c r="C101" s="467">
        <v>942373.166666667</v>
      </c>
      <c r="D101" s="466">
        <v>12</v>
      </c>
      <c r="E101" s="467">
        <f t="shared" ref="E101:E106" si="101">C101*D101</f>
        <v>11308478</v>
      </c>
      <c r="F101" s="467">
        <f>'[6]JANUARY 2024'!$V$106*12</f>
        <v>12795.951</v>
      </c>
      <c r="G101" s="468">
        <v>731878.24</v>
      </c>
      <c r="H101" s="470"/>
      <c r="I101" s="467">
        <f t="shared" si="88"/>
        <v>10563803.809</v>
      </c>
      <c r="J101" s="467">
        <v>200000</v>
      </c>
      <c r="K101" s="467">
        <v>0.2</v>
      </c>
      <c r="L101" s="467">
        <f t="shared" si="89"/>
        <v>2112760.7618</v>
      </c>
      <c r="M101" s="467">
        <f t="shared" si="90"/>
        <v>2312760.7618</v>
      </c>
      <c r="N101" s="467">
        <f t="shared" si="91"/>
        <v>3057434.9528</v>
      </c>
      <c r="O101" s="467">
        <f t="shared" si="92"/>
        <v>8251043.0472</v>
      </c>
      <c r="P101" s="467">
        <f t="shared" si="93"/>
        <v>21000</v>
      </c>
      <c r="Q101" s="467">
        <f t="shared" si="94"/>
        <v>33000</v>
      </c>
      <c r="R101" s="467">
        <f t="shared" si="95"/>
        <v>75000</v>
      </c>
      <c r="S101" s="467">
        <f t="shared" si="96"/>
        <v>95000</v>
      </c>
      <c r="T101" s="467">
        <f t="shared" si="97"/>
        <v>336000</v>
      </c>
      <c r="U101" s="467">
        <f>24%*(O101-3200000)</f>
        <v>1212250.331328</v>
      </c>
      <c r="V101" s="467">
        <f t="shared" si="98"/>
        <v>1772250.331328</v>
      </c>
      <c r="W101" s="474">
        <v>12</v>
      </c>
      <c r="X101" s="467">
        <f t="shared" si="99"/>
        <v>147687.527610667</v>
      </c>
      <c r="Y101" s="470"/>
      <c r="Z101" s="478">
        <f t="shared" si="100"/>
        <v>147687.527610667</v>
      </c>
      <c r="AA101" s="479">
        <v>99703.2162026667</v>
      </c>
      <c r="AB101" s="479">
        <f t="shared" ref="AB101:AB106" si="102">Z101-AA101</f>
        <v>47984.311408</v>
      </c>
      <c r="AC101" s="479" t="s">
        <v>187</v>
      </c>
      <c r="AD101" s="479"/>
      <c r="AE101" s="479"/>
    </row>
    <row r="102" ht="18" spans="1:31">
      <c r="A102" s="464">
        <v>87</v>
      </c>
      <c r="B102" s="11" t="s">
        <v>190</v>
      </c>
      <c r="C102" s="467">
        <v>603237.855191667</v>
      </c>
      <c r="D102" s="466">
        <v>12</v>
      </c>
      <c r="E102" s="467">
        <f t="shared" si="101"/>
        <v>7238854.2623</v>
      </c>
      <c r="F102" s="467">
        <f>'[6]JANUARY 2024'!$V$107*12</f>
        <v>7901.79</v>
      </c>
      <c r="G102" s="468">
        <v>424132.72</v>
      </c>
      <c r="H102" s="470"/>
      <c r="I102" s="467">
        <f t="shared" si="88"/>
        <v>6806819.7523</v>
      </c>
      <c r="J102" s="467">
        <v>200000</v>
      </c>
      <c r="K102" s="467">
        <v>0.2</v>
      </c>
      <c r="L102" s="467">
        <f t="shared" si="89"/>
        <v>1361363.95046</v>
      </c>
      <c r="M102" s="467">
        <f t="shared" si="90"/>
        <v>1561363.95046</v>
      </c>
      <c r="N102" s="467">
        <f t="shared" si="91"/>
        <v>1993398.46046</v>
      </c>
      <c r="O102" s="467">
        <f t="shared" si="92"/>
        <v>5245455.80184</v>
      </c>
      <c r="P102" s="467">
        <f t="shared" si="93"/>
        <v>21000</v>
      </c>
      <c r="Q102" s="467">
        <f t="shared" si="94"/>
        <v>33000</v>
      </c>
      <c r="R102" s="467">
        <f t="shared" si="95"/>
        <v>75000</v>
      </c>
      <c r="S102" s="467">
        <f t="shared" si="96"/>
        <v>95000</v>
      </c>
      <c r="T102" s="467">
        <f t="shared" si="97"/>
        <v>336000</v>
      </c>
      <c r="U102" s="467">
        <f>24%*(O102-3200000)</f>
        <v>490909.392441601</v>
      </c>
      <c r="V102" s="467">
        <f t="shared" si="98"/>
        <v>1050909.3924416</v>
      </c>
      <c r="W102" s="474">
        <v>12</v>
      </c>
      <c r="X102" s="467">
        <f t="shared" si="99"/>
        <v>87575.7827034667</v>
      </c>
      <c r="Y102" s="470"/>
      <c r="Z102" s="478">
        <f t="shared" si="100"/>
        <v>87575.7827034667</v>
      </c>
      <c r="AA102" s="479">
        <v>180180.378218667</v>
      </c>
      <c r="AB102" s="479">
        <f t="shared" si="102"/>
        <v>-92604.5955152003</v>
      </c>
      <c r="AC102" s="479" t="s">
        <v>190</v>
      </c>
      <c r="AD102" s="479"/>
      <c r="AE102" s="479"/>
    </row>
    <row r="103" ht="18" spans="1:31">
      <c r="A103" s="464">
        <v>88</v>
      </c>
      <c r="B103" s="11" t="s">
        <v>193</v>
      </c>
      <c r="C103" s="467">
        <v>601625.033321667</v>
      </c>
      <c r="D103" s="466">
        <v>12</v>
      </c>
      <c r="E103" s="467">
        <f t="shared" si="101"/>
        <v>7219500.39986</v>
      </c>
      <c r="F103" s="467"/>
      <c r="G103" s="468">
        <v>424132.72</v>
      </c>
      <c r="H103" s="470"/>
      <c r="I103" s="467">
        <f t="shared" si="88"/>
        <v>6795367.67986</v>
      </c>
      <c r="J103" s="467">
        <v>200000</v>
      </c>
      <c r="K103" s="467">
        <v>0.2</v>
      </c>
      <c r="L103" s="467">
        <f t="shared" si="89"/>
        <v>1359073.535972</v>
      </c>
      <c r="M103" s="467">
        <f t="shared" si="90"/>
        <v>1559073.535972</v>
      </c>
      <c r="N103" s="467">
        <f t="shared" si="91"/>
        <v>1983206.255972</v>
      </c>
      <c r="O103" s="467">
        <f t="shared" si="92"/>
        <v>5236294.143888</v>
      </c>
      <c r="P103" s="467">
        <f t="shared" si="93"/>
        <v>21000</v>
      </c>
      <c r="Q103" s="467">
        <f t="shared" si="94"/>
        <v>33000</v>
      </c>
      <c r="R103" s="467">
        <f t="shared" si="95"/>
        <v>75000</v>
      </c>
      <c r="S103" s="467">
        <f t="shared" si="96"/>
        <v>95000</v>
      </c>
      <c r="T103" s="467">
        <f t="shared" si="97"/>
        <v>336000</v>
      </c>
      <c r="U103" s="467">
        <f>0.24*(O103-3200000)</f>
        <v>488710.594533121</v>
      </c>
      <c r="V103" s="467">
        <f t="shared" si="98"/>
        <v>1048710.59453312</v>
      </c>
      <c r="W103" s="474">
        <v>12</v>
      </c>
      <c r="X103" s="467">
        <f t="shared" si="99"/>
        <v>87392.5495444267</v>
      </c>
      <c r="Y103" s="470"/>
      <c r="Z103" s="478">
        <f t="shared" si="100"/>
        <v>87392.5495444267</v>
      </c>
      <c r="AA103" s="479">
        <v>99907.9514186667</v>
      </c>
      <c r="AB103" s="479">
        <f t="shared" si="102"/>
        <v>-12515.40187424</v>
      </c>
      <c r="AC103" s="479" t="s">
        <v>193</v>
      </c>
      <c r="AD103" s="479"/>
      <c r="AE103" s="479"/>
    </row>
    <row r="104" ht="18" spans="1:31">
      <c r="A104" s="464">
        <v>89</v>
      </c>
      <c r="B104" s="11" t="s">
        <v>194</v>
      </c>
      <c r="C104" s="467">
        <v>374481.864146667</v>
      </c>
      <c r="D104" s="466">
        <v>12</v>
      </c>
      <c r="E104" s="467">
        <f t="shared" si="101"/>
        <v>4493782.36976</v>
      </c>
      <c r="F104" s="467"/>
      <c r="G104" s="468">
        <v>239182.48</v>
      </c>
      <c r="H104" s="470"/>
      <c r="I104" s="467">
        <f t="shared" si="88"/>
        <v>4254599.88976</v>
      </c>
      <c r="J104" s="467">
        <v>200000</v>
      </c>
      <c r="K104" s="467">
        <v>0.2</v>
      </c>
      <c r="L104" s="467">
        <f t="shared" si="89"/>
        <v>850919.977952001</v>
      </c>
      <c r="M104" s="467">
        <f t="shared" si="90"/>
        <v>1050919.977952</v>
      </c>
      <c r="N104" s="467">
        <f t="shared" si="91"/>
        <v>1290102.457952</v>
      </c>
      <c r="O104" s="467">
        <f t="shared" si="92"/>
        <v>3203679.911808</v>
      </c>
      <c r="P104" s="467">
        <f t="shared" si="93"/>
        <v>21000</v>
      </c>
      <c r="Q104" s="467">
        <f t="shared" si="94"/>
        <v>33000</v>
      </c>
      <c r="R104" s="467">
        <f t="shared" si="95"/>
        <v>75000</v>
      </c>
      <c r="S104" s="467">
        <f t="shared" si="96"/>
        <v>95000</v>
      </c>
      <c r="T104" s="467">
        <f t="shared" si="97"/>
        <v>336000</v>
      </c>
      <c r="U104" s="467">
        <f>0.24*(O104-3200000)</f>
        <v>883.178833920769</v>
      </c>
      <c r="V104" s="467">
        <f t="shared" si="98"/>
        <v>560883.178833921</v>
      </c>
      <c r="W104" s="474">
        <v>12</v>
      </c>
      <c r="X104" s="467">
        <f t="shared" si="99"/>
        <v>46740.2649028267</v>
      </c>
      <c r="Y104" s="470"/>
      <c r="Z104" s="478">
        <f t="shared" si="100"/>
        <v>46740.2649028267</v>
      </c>
      <c r="AA104" s="479">
        <v>58941.1017434667</v>
      </c>
      <c r="AB104" s="479">
        <f t="shared" si="102"/>
        <v>-12200.83684064</v>
      </c>
      <c r="AC104" s="479" t="s">
        <v>194</v>
      </c>
      <c r="AD104" s="479"/>
      <c r="AE104" s="479"/>
    </row>
    <row r="105" ht="36" spans="1:31">
      <c r="A105" s="464"/>
      <c r="B105" s="18" t="s">
        <v>197</v>
      </c>
      <c r="C105" s="467">
        <v>367926.021</v>
      </c>
      <c r="D105" s="466">
        <v>12</v>
      </c>
      <c r="E105" s="467">
        <f t="shared" si="101"/>
        <v>4415112.252</v>
      </c>
      <c r="F105" s="467"/>
      <c r="G105" s="468">
        <v>233257.2</v>
      </c>
      <c r="H105" s="470"/>
      <c r="I105" s="467">
        <f t="shared" si="88"/>
        <v>4181855.052</v>
      </c>
      <c r="J105" s="467">
        <v>200000</v>
      </c>
      <c r="K105" s="467">
        <v>0.2</v>
      </c>
      <c r="L105" s="467">
        <f t="shared" si="89"/>
        <v>836371.0104</v>
      </c>
      <c r="M105" s="467">
        <f t="shared" si="90"/>
        <v>1036371.0104</v>
      </c>
      <c r="N105" s="467">
        <f t="shared" si="91"/>
        <v>1269628.2104</v>
      </c>
      <c r="O105" s="467">
        <f t="shared" si="92"/>
        <v>3145484.0416</v>
      </c>
      <c r="P105" s="467">
        <f t="shared" si="93"/>
        <v>21000</v>
      </c>
      <c r="Q105" s="467">
        <f t="shared" si="94"/>
        <v>33000</v>
      </c>
      <c r="R105" s="467">
        <f t="shared" si="95"/>
        <v>75000</v>
      </c>
      <c r="S105" s="467">
        <f t="shared" si="96"/>
        <v>95000</v>
      </c>
      <c r="T105" s="467">
        <f t="shared" si="97"/>
        <v>324551.648736</v>
      </c>
      <c r="U105" s="467"/>
      <c r="V105" s="467">
        <f t="shared" si="98"/>
        <v>548551.648736</v>
      </c>
      <c r="W105" s="474">
        <v>12</v>
      </c>
      <c r="X105" s="467">
        <f t="shared" si="99"/>
        <v>45712.6373946667</v>
      </c>
      <c r="Y105" s="470"/>
      <c r="Z105" s="478">
        <f t="shared" si="100"/>
        <v>45712.6373946667</v>
      </c>
      <c r="AA105" s="479">
        <v>58631.4399444267</v>
      </c>
      <c r="AB105" s="479">
        <f t="shared" si="102"/>
        <v>-12918.80254976</v>
      </c>
      <c r="AC105" s="479" t="s">
        <v>197</v>
      </c>
      <c r="AD105" s="479"/>
      <c r="AE105" s="479"/>
    </row>
    <row r="106" ht="18" spans="1:31">
      <c r="A106" s="464"/>
      <c r="B106" s="18" t="s">
        <v>199</v>
      </c>
      <c r="C106" s="467">
        <v>355198.112111667</v>
      </c>
      <c r="D106" s="466">
        <v>12</v>
      </c>
      <c r="E106" s="467">
        <f t="shared" si="101"/>
        <v>4262377.34534</v>
      </c>
      <c r="G106" s="468">
        <v>221406.64</v>
      </c>
      <c r="H106" s="470"/>
      <c r="I106" s="467">
        <f>E106-F107-G106-H106</f>
        <v>4040970.70534</v>
      </c>
      <c r="J106" s="467">
        <v>200000</v>
      </c>
      <c r="K106" s="467">
        <v>0.2</v>
      </c>
      <c r="L106" s="467">
        <f t="shared" si="89"/>
        <v>808194.141068001</v>
      </c>
      <c r="M106" s="467">
        <f t="shared" si="90"/>
        <v>1008194.141068</v>
      </c>
      <c r="N106" s="467">
        <f>F107+G106+H106+M106</f>
        <v>1229600.781068</v>
      </c>
      <c r="O106" s="467">
        <f t="shared" si="92"/>
        <v>3032776.564272</v>
      </c>
      <c r="P106" s="467">
        <f t="shared" si="93"/>
        <v>21000</v>
      </c>
      <c r="Q106" s="467">
        <f t="shared" si="94"/>
        <v>33000</v>
      </c>
      <c r="R106" s="467">
        <f t="shared" si="95"/>
        <v>75000</v>
      </c>
      <c r="S106" s="467">
        <f t="shared" si="96"/>
        <v>95000</v>
      </c>
      <c r="T106" s="467">
        <f t="shared" si="97"/>
        <v>300883.078497121</v>
      </c>
      <c r="U106" s="467"/>
      <c r="V106" s="467">
        <f t="shared" si="98"/>
        <v>524883.078497121</v>
      </c>
      <c r="W106" s="474">
        <v>12</v>
      </c>
      <c r="X106" s="467">
        <f t="shared" si="99"/>
        <v>43740.2565414267</v>
      </c>
      <c r="Y106" s="470"/>
      <c r="Z106" s="478">
        <f t="shared" si="100"/>
        <v>43740.2565414267</v>
      </c>
      <c r="AA106" s="479">
        <v>31871.3352033067</v>
      </c>
      <c r="AB106" s="479">
        <f t="shared" si="102"/>
        <v>11868.92133812</v>
      </c>
      <c r="AC106" s="479" t="s">
        <v>199</v>
      </c>
      <c r="AD106" s="479"/>
      <c r="AE106" s="479"/>
    </row>
    <row r="107" ht="17.5" spans="1:31">
      <c r="A107" s="464"/>
      <c r="B107" s="20" t="s">
        <v>96</v>
      </c>
      <c r="C107" s="467"/>
      <c r="D107" s="466"/>
      <c r="E107" s="467"/>
      <c r="F107" s="467"/>
      <c r="G107" s="468"/>
      <c r="H107" s="470"/>
      <c r="I107" s="467"/>
      <c r="J107" s="467"/>
      <c r="K107" s="467"/>
      <c r="L107" s="467"/>
      <c r="M107" s="467"/>
      <c r="N107" s="467"/>
      <c r="O107" s="467"/>
      <c r="P107" s="467"/>
      <c r="Q107" s="467"/>
      <c r="R107" s="467"/>
      <c r="S107" s="467"/>
      <c r="T107" s="467"/>
      <c r="U107" s="467"/>
      <c r="V107" s="467"/>
      <c r="W107" s="474"/>
      <c r="X107" s="467"/>
      <c r="Y107" s="470"/>
      <c r="Z107" s="478"/>
      <c r="AA107" s="479"/>
      <c r="AB107" s="479"/>
      <c r="AC107" s="479"/>
      <c r="AD107" s="479"/>
      <c r="AE107" s="479"/>
    </row>
    <row r="108" ht="17.5" spans="1:31">
      <c r="A108" s="464">
        <v>90</v>
      </c>
      <c r="B108" s="20"/>
      <c r="C108" s="467"/>
      <c r="G108" s="468"/>
      <c r="U108" s="467"/>
      <c r="Z108" s="481"/>
      <c r="AC108" s="479"/>
      <c r="AD108" s="479"/>
      <c r="AE108" s="479"/>
    </row>
    <row r="109" ht="35" spans="1:31">
      <c r="A109" s="464">
        <v>91</v>
      </c>
      <c r="B109" s="20" t="s">
        <v>200</v>
      </c>
      <c r="C109" s="467"/>
      <c r="G109" s="468"/>
      <c r="U109" s="467"/>
      <c r="Z109" s="481"/>
      <c r="AC109" s="479"/>
      <c r="AD109" s="479"/>
      <c r="AE109" s="479"/>
    </row>
    <row r="110" ht="36" spans="1:31">
      <c r="A110" s="464">
        <v>92</v>
      </c>
      <c r="B110" s="14" t="s">
        <v>201</v>
      </c>
      <c r="C110" s="467">
        <v>761396.833333333</v>
      </c>
      <c r="D110" s="466">
        <v>12</v>
      </c>
      <c r="E110" s="467">
        <f>C110*D110</f>
        <v>9136762</v>
      </c>
      <c r="F110" s="467">
        <f>'[6]JANUARY 2024'!$V$115*12</f>
        <v>9678.96</v>
      </c>
      <c r="G110" s="468">
        <v>577340.96</v>
      </c>
      <c r="H110" s="470"/>
      <c r="I110" s="467">
        <f>E110-F110-G110-H110</f>
        <v>8549742.07999999</v>
      </c>
      <c r="J110" s="467">
        <v>200000</v>
      </c>
      <c r="K110" s="467">
        <v>0.2</v>
      </c>
      <c r="L110" s="467">
        <f>I110*K110</f>
        <v>1709948.416</v>
      </c>
      <c r="M110" s="467">
        <f>J110+L110</f>
        <v>1909948.416</v>
      </c>
      <c r="N110" s="467">
        <f>F110+G110+H110+M110</f>
        <v>2496968.336</v>
      </c>
      <c r="O110" s="467">
        <f>E110-N110</f>
        <v>6639793.664</v>
      </c>
      <c r="P110" s="467">
        <f>IF(O110&lt;300000,0.07*O110,21000)</f>
        <v>21000</v>
      </c>
      <c r="Q110" s="467">
        <f>IF((O110-300000)&lt;0,0,IF((O110-300000)&lt;300000,0.11*(O110-300000),33000))</f>
        <v>33000</v>
      </c>
      <c r="R110" s="467">
        <f>IF((O110-600000)&lt;0,0,IF((O110-600000)&lt;500000,0.15*(O110-600000),75000))</f>
        <v>75000</v>
      </c>
      <c r="S110" s="467">
        <f>IF((O110-1100000)&lt;0,0,IF((O110-1100000)&lt;500000,0.19*(O110-1100000),95000))</f>
        <v>95000</v>
      </c>
      <c r="T110" s="467">
        <f>IF((O110-1600000)&lt;0,0,IF((O110-1600000)&lt;1600000,0.21*(O110-1600000),336000))</f>
        <v>336000</v>
      </c>
      <c r="U110" s="467">
        <f t="shared" ref="U110:U141" si="103">0.24*(O110-3200000)</f>
        <v>825550.479359999</v>
      </c>
      <c r="V110" s="467">
        <f>P110+Q110+R110+S110+T110+U110</f>
        <v>1385550.47936</v>
      </c>
      <c r="W110" s="474">
        <v>12</v>
      </c>
      <c r="X110" s="467">
        <f>V110/W110</f>
        <v>115462.539946667</v>
      </c>
      <c r="Y110" s="470"/>
      <c r="Z110" s="478">
        <f>X110</f>
        <v>115462.539946667</v>
      </c>
      <c r="AA110" s="479">
        <v>77610.1169066667</v>
      </c>
      <c r="AB110" s="479">
        <f>Z110-AA110</f>
        <v>37852.4230399999</v>
      </c>
      <c r="AC110" s="479"/>
      <c r="AD110" s="479"/>
      <c r="AE110" s="479"/>
    </row>
    <row r="111" ht="18" spans="1:31">
      <c r="A111" s="464">
        <v>93</v>
      </c>
      <c r="B111" s="11" t="s">
        <v>202</v>
      </c>
      <c r="C111" s="467">
        <v>487895.166666667</v>
      </c>
      <c r="D111" s="466">
        <v>12</v>
      </c>
      <c r="E111" s="467">
        <f t="shared" ref="E111:E112" si="104">C111*D111</f>
        <v>5854742</v>
      </c>
      <c r="F111" s="467"/>
      <c r="G111" s="468">
        <v>362779.36</v>
      </c>
      <c r="H111" s="470"/>
      <c r="I111" s="467">
        <f>E111-F111-G111-H111</f>
        <v>5491962.64</v>
      </c>
      <c r="J111" s="467">
        <v>200000</v>
      </c>
      <c r="K111" s="467">
        <v>0.2</v>
      </c>
      <c r="L111" s="467">
        <f>I111*K111</f>
        <v>1098392.528</v>
      </c>
      <c r="M111" s="467">
        <f>J111+L111</f>
        <v>1298392.528</v>
      </c>
      <c r="N111" s="467">
        <f>F111+G111+H111+M111</f>
        <v>1661171.888</v>
      </c>
      <c r="O111" s="467">
        <f>E111-N111</f>
        <v>4193570.112</v>
      </c>
      <c r="P111" s="467">
        <f>IF(O111&lt;300000,0.07*O111,21000)</f>
        <v>21000</v>
      </c>
      <c r="Q111" s="467">
        <f>IF((O111-300000)&lt;0,0,IF((O111-300000)&lt;300000,0.11*(O111-300000),33000))</f>
        <v>33000</v>
      </c>
      <c r="R111" s="467">
        <f>IF((O111-600000)&lt;0,0,IF((O111-600000)&lt;500000,0.15*(O111-600000),75000))</f>
        <v>75000</v>
      </c>
      <c r="S111" s="467">
        <f>IF((O111-1100000)&lt;0,0,IF((O111-1100000)&lt;500000,0.19*(O111-1100000),95000))</f>
        <v>95000</v>
      </c>
      <c r="T111" s="467">
        <f>IF((O111-1600000)&lt;0,0,IF((O111-1600000)&lt;1600000,0.21*(O111-1600000),336000))</f>
        <v>336000</v>
      </c>
      <c r="U111" s="467">
        <f t="shared" si="103"/>
        <v>238456.826880001</v>
      </c>
      <c r="V111" s="467">
        <f>P111+Q111+R111+S111+T111+U111</f>
        <v>798456.826880001</v>
      </c>
      <c r="W111" s="474">
        <v>12</v>
      </c>
      <c r="X111" s="467">
        <f>V111/W111</f>
        <v>66538.0689066667</v>
      </c>
      <c r="Y111" s="470"/>
      <c r="Z111" s="478">
        <f>X111</f>
        <v>66538.0689066667</v>
      </c>
      <c r="AA111" s="479">
        <v>43368.8824146667</v>
      </c>
      <c r="AB111" s="479">
        <f t="shared" ref="AB111:AB112" si="105">Z111-AA111</f>
        <v>23169.186492</v>
      </c>
      <c r="AC111" s="479"/>
      <c r="AD111" s="479"/>
      <c r="AE111" s="479"/>
    </row>
    <row r="112" ht="18" spans="1:31">
      <c r="A112" s="464">
        <v>94</v>
      </c>
      <c r="B112" s="11" t="s">
        <v>204</v>
      </c>
      <c r="C112" s="473">
        <v>450086.5</v>
      </c>
      <c r="D112" s="466">
        <v>12</v>
      </c>
      <c r="E112" s="467">
        <f t="shared" si="104"/>
        <v>5401038</v>
      </c>
      <c r="F112" s="467">
        <f>'[6]JANUARY 2024'!$V$117*12</f>
        <v>6919.455</v>
      </c>
      <c r="G112" s="468">
        <v>374483.04</v>
      </c>
      <c r="H112" s="470"/>
      <c r="I112" s="467">
        <f>E112-F112-G112-H112</f>
        <v>5019635.505</v>
      </c>
      <c r="J112" s="467">
        <v>200000</v>
      </c>
      <c r="K112" s="467">
        <v>0.2</v>
      </c>
      <c r="L112" s="467">
        <f>I112*K112</f>
        <v>1003927.101</v>
      </c>
      <c r="M112" s="467">
        <f>J112+L112</f>
        <v>1203927.101</v>
      </c>
      <c r="N112" s="467">
        <f>F112+G112+H112+M112</f>
        <v>1585329.596</v>
      </c>
      <c r="O112" s="467">
        <f>E112-N112</f>
        <v>3815708.404</v>
      </c>
      <c r="P112" s="467">
        <f>IF(O112&lt;300000,0.07*O112,21000)</f>
        <v>21000</v>
      </c>
      <c r="Q112" s="467">
        <f>IF((O112-300000)&lt;0,0,IF((O112-300000)&lt;300000,0.11*(O112-300000),33000))</f>
        <v>33000</v>
      </c>
      <c r="R112" s="467">
        <f>IF((O112-600000)&lt;0,0,IF((O112-600000)&lt;500000,0.15*(O112-600000),75000))</f>
        <v>75000</v>
      </c>
      <c r="S112" s="467">
        <f>IF((O112-1100000)&lt;0,0,IF((O112-1100000)&lt;500000,0.19*(O112-1100000),95000))</f>
        <v>95000</v>
      </c>
      <c r="T112" s="467">
        <f>IF((O112-1600000)&lt;0,0,IF((O112-1600000)&lt;1600000,0.21*(O112-1600000),336000))</f>
        <v>336000</v>
      </c>
      <c r="U112" s="467">
        <f t="shared" si="103"/>
        <v>147770.01696</v>
      </c>
      <c r="V112" s="467">
        <f>P112+Q112+R112+S112+T112+U112</f>
        <v>707770.01696</v>
      </c>
      <c r="W112" s="474">
        <v>12</v>
      </c>
      <c r="X112" s="467">
        <f>V112/W112</f>
        <v>58980.8347466667</v>
      </c>
      <c r="Y112" s="470"/>
      <c r="Z112" s="478">
        <f>X112</f>
        <v>58980.8347466667</v>
      </c>
      <c r="AA112" s="479">
        <v>35221.9540866667</v>
      </c>
      <c r="AB112" s="479">
        <f t="shared" si="105"/>
        <v>23758.88066</v>
      </c>
      <c r="AC112" s="479"/>
      <c r="AD112" s="479"/>
      <c r="AE112" s="479"/>
    </row>
    <row r="113" ht="17.5" spans="1:31">
      <c r="A113" s="464">
        <v>95</v>
      </c>
      <c r="B113" s="20"/>
      <c r="C113" s="467"/>
      <c r="D113" s="466"/>
      <c r="E113" s="467"/>
      <c r="F113" s="467"/>
      <c r="G113" s="470"/>
      <c r="H113" s="470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  <c r="U113" s="467"/>
      <c r="V113" s="467"/>
      <c r="W113" s="474"/>
      <c r="X113" s="467"/>
      <c r="Y113" s="470"/>
      <c r="Z113" s="478"/>
      <c r="AA113" s="479"/>
      <c r="AB113" s="479"/>
      <c r="AC113" s="479"/>
      <c r="AD113" s="479"/>
      <c r="AE113" s="479"/>
    </row>
    <row r="114" ht="17.5" spans="1:31">
      <c r="A114" s="464">
        <v>96</v>
      </c>
      <c r="B114" s="22"/>
      <c r="C114" s="467"/>
      <c r="U114" s="480"/>
      <c r="Z114" s="481"/>
      <c r="AC114" s="479"/>
      <c r="AD114" s="479"/>
      <c r="AE114" s="479"/>
    </row>
    <row r="115" ht="17.5" spans="1:31">
      <c r="A115" s="464">
        <v>97</v>
      </c>
      <c r="B115" s="20" t="s">
        <v>213</v>
      </c>
      <c r="C115" s="467"/>
      <c r="U115" s="480"/>
      <c r="Z115" s="481"/>
      <c r="AC115" s="479"/>
      <c r="AD115" s="479"/>
      <c r="AE115" s="479"/>
    </row>
    <row r="116" ht="18" spans="1:31">
      <c r="A116" s="464">
        <v>98</v>
      </c>
      <c r="B116" s="11" t="s">
        <v>214</v>
      </c>
      <c r="C116" s="467">
        <v>1635720</v>
      </c>
      <c r="D116" s="466">
        <v>12</v>
      </c>
      <c r="E116" s="467">
        <f>C116*D116</f>
        <v>19628640</v>
      </c>
      <c r="F116" s="467">
        <f>2043.5005*12</f>
        <v>24522.006</v>
      </c>
      <c r="G116" s="468">
        <v>1378291.2</v>
      </c>
      <c r="H116" s="470"/>
      <c r="I116" s="467">
        <f t="shared" ref="I116:I125" si="106">E116-F116-G116-H116</f>
        <v>18225826.794</v>
      </c>
      <c r="J116" s="467">
        <v>200000</v>
      </c>
      <c r="K116" s="467">
        <v>0.2</v>
      </c>
      <c r="L116" s="467">
        <f>I116*K116</f>
        <v>3645165.3588</v>
      </c>
      <c r="M116" s="467">
        <f>J116+L116</f>
        <v>3845165.3588</v>
      </c>
      <c r="N116" s="467">
        <f t="shared" ref="N116:N125" si="107">F116+G116+H116+M116</f>
        <v>5247978.5648</v>
      </c>
      <c r="O116" s="467">
        <f t="shared" ref="O116:O125" si="108">E116-N116</f>
        <v>14380661.4352</v>
      </c>
      <c r="P116" s="467">
        <f>IF(O116&lt;300000,0.07*O116,21000)</f>
        <v>21000</v>
      </c>
      <c r="Q116" s="467">
        <f>IF((O116-300000)&lt;0,0,IF((O116-300000)&lt;300000,0.11*(O116-300000),33000))</f>
        <v>33000</v>
      </c>
      <c r="R116" s="467">
        <f>IF((O116-600000)&lt;0,0,IF((O116-600000)&lt;500000,0.15*(O116-600000),75000))</f>
        <v>75000</v>
      </c>
      <c r="S116" s="467">
        <f>IF((O116-1100000)&lt;0,0,IF((O116-1100000)&lt;500000,0.19*(O116-1100000),95000))</f>
        <v>95000</v>
      </c>
      <c r="T116" s="467">
        <f>IF((O116-1600000)&lt;0,0,IF((O116-1600000)&lt;1600000,0.21*(O116-1600000),336000))</f>
        <v>336000</v>
      </c>
      <c r="U116" s="467">
        <f t="shared" si="103"/>
        <v>2683358.744448</v>
      </c>
      <c r="V116" s="467">
        <f>P116+Q116+R116+S116+T116+U116</f>
        <v>3243358.744448</v>
      </c>
      <c r="W116" s="474">
        <v>12</v>
      </c>
      <c r="X116" s="467">
        <f>V116/W116</f>
        <v>270279.895370667</v>
      </c>
      <c r="Y116" s="470"/>
      <c r="Z116" s="478">
        <f>X116</f>
        <v>270279.895370667</v>
      </c>
      <c r="AA116" s="479">
        <v>179914.454762667</v>
      </c>
      <c r="AB116" s="479">
        <f>Z116-AA116</f>
        <v>90365.4406079997</v>
      </c>
      <c r="AC116" s="479"/>
      <c r="AD116" s="479"/>
      <c r="AE116" s="479"/>
    </row>
    <row r="117" ht="18" spans="1:31">
      <c r="A117" s="464">
        <v>99</v>
      </c>
      <c r="B117" s="11" t="s">
        <v>216</v>
      </c>
      <c r="C117" s="467">
        <v>929203.583333333</v>
      </c>
      <c r="D117" s="466">
        <v>12</v>
      </c>
      <c r="E117" s="467">
        <f t="shared" ref="E117:E125" si="109">C117*D117</f>
        <v>11150443</v>
      </c>
      <c r="F117" s="467">
        <f>1028.94225*12</f>
        <v>12347.307</v>
      </c>
      <c r="G117" s="468">
        <v>709635.44</v>
      </c>
      <c r="H117" s="470"/>
      <c r="I117" s="467">
        <f t="shared" si="106"/>
        <v>10428460.253</v>
      </c>
      <c r="J117" s="467">
        <v>200000</v>
      </c>
      <c r="K117" s="467">
        <v>0.2</v>
      </c>
      <c r="L117" s="467">
        <f>I117*K117</f>
        <v>2085692.0506</v>
      </c>
      <c r="M117" s="467">
        <f>J117+L117</f>
        <v>2285692.0506</v>
      </c>
      <c r="N117" s="467">
        <f t="shared" si="107"/>
        <v>3007674.7976</v>
      </c>
      <c r="O117" s="467">
        <f t="shared" si="108"/>
        <v>8142768.2024</v>
      </c>
      <c r="P117" s="467">
        <f>IF(O117&lt;300000,0.07*O117,21000)</f>
        <v>21000</v>
      </c>
      <c r="Q117" s="467">
        <f>IF((O117-300000)&lt;0,0,IF((O117-300000)&lt;300000,0.11*(O117-300000),33000))</f>
        <v>33000</v>
      </c>
      <c r="R117" s="467">
        <f>IF((O117-600000)&lt;0,0,IF((O117-600000)&lt;500000,0.15*(O117-600000),75000))</f>
        <v>75000</v>
      </c>
      <c r="S117" s="467">
        <f>IF((O117-1100000)&lt;0,0,IF((O117-1100000)&lt;500000,0.19*(O117-1100000),95000))</f>
        <v>95000</v>
      </c>
      <c r="T117" s="467">
        <f>IF((O117-1600000)&lt;0,0,IF((O117-1600000)&lt;1600000,0.21*(O117-1600000),336000))</f>
        <v>336000</v>
      </c>
      <c r="U117" s="467">
        <f t="shared" si="103"/>
        <v>1186264.368576</v>
      </c>
      <c r="V117" s="467">
        <f>P117+Q117+R117+S117+T117+U117</f>
        <v>1746264.368576</v>
      </c>
      <c r="W117" s="474">
        <v>12</v>
      </c>
      <c r="X117" s="467">
        <f>V117/W117</f>
        <v>145522.030714667</v>
      </c>
      <c r="Y117" s="470"/>
      <c r="Z117" s="478">
        <f>X117</f>
        <v>145522.030714667</v>
      </c>
      <c r="AA117" s="479">
        <v>98995.9569386667</v>
      </c>
      <c r="AB117" s="479">
        <f t="shared" ref="AB117:AB125" si="110">Z117-AA117</f>
        <v>46526.0737759999</v>
      </c>
      <c r="AC117" s="479"/>
      <c r="AD117" s="479"/>
      <c r="AE117" s="479"/>
    </row>
    <row r="118" ht="18" spans="1:31">
      <c r="A118" s="464"/>
      <c r="B118" s="14" t="s">
        <v>218</v>
      </c>
      <c r="C118" s="467">
        <v>830675.583333333</v>
      </c>
      <c r="D118" s="466">
        <v>12</v>
      </c>
      <c r="E118" s="467">
        <f t="shared" si="109"/>
        <v>9968107</v>
      </c>
      <c r="F118" s="467">
        <f>837.6875*12</f>
        <v>10052.25</v>
      </c>
      <c r="G118" s="468">
        <v>595848.56</v>
      </c>
      <c r="H118" s="470"/>
      <c r="I118" s="467">
        <f t="shared" si="106"/>
        <v>9362206.19</v>
      </c>
      <c r="J118" s="467">
        <v>200000</v>
      </c>
      <c r="K118" s="467">
        <v>0.2</v>
      </c>
      <c r="L118" s="467">
        <f>I118*K118</f>
        <v>1872441.238</v>
      </c>
      <c r="M118" s="467">
        <f>J118+L118</f>
        <v>2072441.238</v>
      </c>
      <c r="N118" s="467">
        <f t="shared" si="107"/>
        <v>2678342.048</v>
      </c>
      <c r="O118" s="467">
        <f t="shared" si="108"/>
        <v>7289764.952</v>
      </c>
      <c r="P118" s="467">
        <f>IF(O118&lt;300000,0.07*O118,21000)</f>
        <v>21000</v>
      </c>
      <c r="Q118" s="467">
        <f>IF((O118-300000)&lt;0,0,IF((O118-300000)&lt;300000,0.11*(O118-300000),33000))</f>
        <v>33000</v>
      </c>
      <c r="R118" s="467">
        <f>IF((O118-600000)&lt;0,0,IF((O118-600000)&lt;500000,0.15*(O118-600000),75000))</f>
        <v>75000</v>
      </c>
      <c r="S118" s="467">
        <f>IF((O118-1100000)&lt;0,0,IF((O118-1100000)&lt;500000,0.19*(O118-1100000),95000))</f>
        <v>95000</v>
      </c>
      <c r="T118" s="467">
        <f>IF((O118-1600000)&lt;0,0,IF((O118-1600000)&lt;1600000,0.21*(O118-1600000),336000))</f>
        <v>336000</v>
      </c>
      <c r="U118" s="467">
        <f t="shared" si="103"/>
        <v>981543.588479999</v>
      </c>
      <c r="V118" s="467">
        <f>P118+Q118+R118+S118+T118+U118</f>
        <v>1541543.58848</v>
      </c>
      <c r="W118" s="474">
        <v>12</v>
      </c>
      <c r="X118" s="467">
        <f>V118/W118</f>
        <v>128461.965706667</v>
      </c>
      <c r="Y118" s="470"/>
      <c r="Z118" s="478">
        <f>X118</f>
        <v>128461.965706667</v>
      </c>
      <c r="AA118" s="479">
        <v>89396.1031466666</v>
      </c>
      <c r="AB118" s="479">
        <f t="shared" si="110"/>
        <v>39065.86256</v>
      </c>
      <c r="AC118" s="479"/>
      <c r="AD118" s="479"/>
      <c r="AE118" s="479"/>
    </row>
    <row r="119" ht="18" spans="1:31">
      <c r="A119" s="464"/>
      <c r="B119" s="14" t="s">
        <v>523</v>
      </c>
      <c r="C119" s="467">
        <v>662118.083333333</v>
      </c>
      <c r="D119" s="466">
        <v>12</v>
      </c>
      <c r="E119" s="467">
        <f t="shared" si="109"/>
        <v>7945417</v>
      </c>
      <c r="F119" s="467"/>
      <c r="G119" s="468">
        <v>0</v>
      </c>
      <c r="H119" s="470"/>
      <c r="I119" s="467">
        <f t="shared" si="106"/>
        <v>7945417</v>
      </c>
      <c r="J119" s="467">
        <v>200000</v>
      </c>
      <c r="K119" s="467">
        <v>0.2</v>
      </c>
      <c r="L119" s="467">
        <f>I119*K119</f>
        <v>1589083.4</v>
      </c>
      <c r="M119" s="467">
        <f>J119+L119</f>
        <v>1789083.4</v>
      </c>
      <c r="N119" s="467">
        <f t="shared" si="107"/>
        <v>1789083.4</v>
      </c>
      <c r="O119" s="467">
        <f t="shared" si="108"/>
        <v>6156333.6</v>
      </c>
      <c r="P119" s="467">
        <f>IF(O119&lt;300000,0.07*O119,21000)</f>
        <v>21000</v>
      </c>
      <c r="Q119" s="467">
        <f>IF((O119-300000)&lt;0,0,IF((O119-300000)&lt;300000,0.11*(O119-300000),33000))</f>
        <v>33000</v>
      </c>
      <c r="R119" s="467">
        <f>IF((O119-600000)&lt;0,0,IF((O119-600000)&lt;500000,0.15*(O119-600000),75000))</f>
        <v>75000</v>
      </c>
      <c r="S119" s="467">
        <f>IF((O119-1100000)&lt;0,0,IF((O119-1100000)&lt;500000,0.19*(O119-1100000),95000))</f>
        <v>95000</v>
      </c>
      <c r="T119" s="467">
        <f>IF((O119-1600000)&lt;0,0,IF((O119-1600000)&lt;1600000,0.21*(O119-1600000),336000))</f>
        <v>336000</v>
      </c>
      <c r="U119" s="467">
        <f t="shared" si="103"/>
        <v>709520.063999999</v>
      </c>
      <c r="V119" s="467">
        <f>P119+Q119+R119+S119+T119+U119</f>
        <v>1269520.064</v>
      </c>
      <c r="W119" s="474">
        <v>12</v>
      </c>
      <c r="X119" s="467">
        <f>V119/W119</f>
        <v>105793.338666667</v>
      </c>
      <c r="Y119" s="470"/>
      <c r="Z119" s="478">
        <f>X119</f>
        <v>105793.338666667</v>
      </c>
      <c r="AA119" s="479">
        <v>60214.6772906667</v>
      </c>
      <c r="AB119" s="479">
        <f t="shared" si="110"/>
        <v>45578.6613759999</v>
      </c>
      <c r="AC119" s="479"/>
      <c r="AD119" s="479"/>
      <c r="AE119" s="479"/>
    </row>
    <row r="120" ht="18" spans="1:31">
      <c r="A120" s="464">
        <v>101</v>
      </c>
      <c r="B120" s="11" t="s">
        <v>220</v>
      </c>
      <c r="C120" s="467">
        <v>540498</v>
      </c>
      <c r="D120" s="466">
        <v>12</v>
      </c>
      <c r="E120" s="467">
        <f t="shared" si="109"/>
        <v>6485976</v>
      </c>
      <c r="F120" s="467"/>
      <c r="G120" s="468">
        <v>451678.08</v>
      </c>
      <c r="H120" s="470"/>
      <c r="I120" s="467">
        <f t="shared" si="106"/>
        <v>6034297.92</v>
      </c>
      <c r="J120" s="467">
        <v>200000</v>
      </c>
      <c r="K120" s="467">
        <v>0.2</v>
      </c>
      <c r="L120" s="467">
        <f t="shared" ref="L120:L125" si="111">I120*K120</f>
        <v>1206859.584</v>
      </c>
      <c r="M120" s="467">
        <f t="shared" ref="M120:M125" si="112">J120+L120</f>
        <v>1406859.584</v>
      </c>
      <c r="N120" s="467">
        <f t="shared" si="107"/>
        <v>1858537.664</v>
      </c>
      <c r="O120" s="467">
        <f t="shared" si="108"/>
        <v>4627438.336</v>
      </c>
      <c r="P120" s="467">
        <f t="shared" ref="P120:P125" si="113">IF(O120&lt;300000,0.07*O120,21000)</f>
        <v>21000</v>
      </c>
      <c r="Q120" s="467">
        <f t="shared" ref="Q120:Q125" si="114">IF((O120-300000)&lt;0,0,IF((O120-300000)&lt;300000,0.11*(O120-300000),33000))</f>
        <v>33000</v>
      </c>
      <c r="R120" s="467">
        <f t="shared" ref="R120:R125" si="115">IF((O120-600000)&lt;0,0,IF((O120-600000)&lt;500000,0.15*(O120-600000),75000))</f>
        <v>75000</v>
      </c>
      <c r="S120" s="467">
        <f t="shared" ref="S120:S125" si="116">IF((O120-1100000)&lt;0,0,IF((O120-1100000)&lt;500000,0.19*(O120-1100000),95000))</f>
        <v>95000</v>
      </c>
      <c r="T120" s="467">
        <f t="shared" ref="T120:T125" si="117">IF((O120-1600000)&lt;0,0,IF((O120-1600000)&lt;1600000,0.21*(O120-1600000),336000))</f>
        <v>336000</v>
      </c>
      <c r="U120" s="467">
        <f t="shared" si="103"/>
        <v>342585.20064</v>
      </c>
      <c r="V120" s="467">
        <f t="shared" ref="V120:V125" si="118">P120+Q120+R120+S120+T120+U120</f>
        <v>902585.20064</v>
      </c>
      <c r="W120" s="474">
        <v>12</v>
      </c>
      <c r="X120" s="467">
        <f t="shared" ref="X120:X125" si="119">V120/W120</f>
        <v>75215.4333866667</v>
      </c>
      <c r="Y120" s="470"/>
      <c r="Z120" s="478">
        <f t="shared" ref="Z120:Z125" si="120">X120</f>
        <v>75215.4333866667</v>
      </c>
      <c r="AA120" s="479">
        <v>44846.6165886667</v>
      </c>
      <c r="AB120" s="479">
        <f t="shared" si="110"/>
        <v>30368.816798</v>
      </c>
      <c r="AC120" s="479"/>
      <c r="AD120" s="479"/>
      <c r="AE120" s="479"/>
    </row>
    <row r="121" ht="18" spans="1:31">
      <c r="A121" s="464">
        <v>103</v>
      </c>
      <c r="B121" s="11" t="s">
        <v>223</v>
      </c>
      <c r="C121" s="467">
        <v>512746.5</v>
      </c>
      <c r="D121" s="466">
        <v>12</v>
      </c>
      <c r="E121" s="467">
        <f t="shared" si="109"/>
        <v>6152958</v>
      </c>
      <c r="F121" s="473">
        <f>646.3525*12</f>
        <v>7756.23</v>
      </c>
      <c r="G121" s="468">
        <v>425036.64</v>
      </c>
      <c r="H121" s="470"/>
      <c r="I121" s="467">
        <f t="shared" si="106"/>
        <v>5720165.13</v>
      </c>
      <c r="J121" s="467">
        <v>200000</v>
      </c>
      <c r="K121" s="467">
        <v>0.2</v>
      </c>
      <c r="L121" s="467">
        <f t="shared" si="111"/>
        <v>1144033.026</v>
      </c>
      <c r="M121" s="467">
        <f t="shared" si="112"/>
        <v>1344033.026</v>
      </c>
      <c r="N121" s="467">
        <f t="shared" si="107"/>
        <v>1776825.896</v>
      </c>
      <c r="O121" s="467">
        <f t="shared" si="108"/>
        <v>4376132.104</v>
      </c>
      <c r="P121" s="467">
        <f t="shared" si="113"/>
        <v>21000</v>
      </c>
      <c r="Q121" s="467">
        <f t="shared" si="114"/>
        <v>33000</v>
      </c>
      <c r="R121" s="467">
        <f t="shared" si="115"/>
        <v>75000</v>
      </c>
      <c r="S121" s="467">
        <f t="shared" si="116"/>
        <v>95000</v>
      </c>
      <c r="T121" s="467">
        <f t="shared" si="117"/>
        <v>336000</v>
      </c>
      <c r="U121" s="467">
        <f t="shared" si="103"/>
        <v>282271.70496</v>
      </c>
      <c r="V121" s="467">
        <f t="shared" si="118"/>
        <v>842271.70496</v>
      </c>
      <c r="W121" s="474">
        <v>12</v>
      </c>
      <c r="X121" s="467">
        <f t="shared" si="119"/>
        <v>70189.3087466667</v>
      </c>
      <c r="Y121" s="470"/>
      <c r="Z121" s="478">
        <f t="shared" si="120"/>
        <v>70189.3087466667</v>
      </c>
      <c r="AA121" s="479">
        <v>42029.5891866667</v>
      </c>
      <c r="AB121" s="479">
        <f t="shared" si="110"/>
        <v>28159.71956</v>
      </c>
      <c r="AC121" s="479"/>
      <c r="AD121" s="479"/>
      <c r="AE121" s="479"/>
    </row>
    <row r="122" ht="18" spans="1:31">
      <c r="A122" s="464">
        <v>105</v>
      </c>
      <c r="B122" s="11" t="s">
        <v>225</v>
      </c>
      <c r="C122" s="467">
        <v>526622.25</v>
      </c>
      <c r="D122" s="466">
        <v>12</v>
      </c>
      <c r="E122" s="467">
        <f t="shared" si="109"/>
        <v>6319467</v>
      </c>
      <c r="F122" s="473">
        <f>668.31625*12</f>
        <v>8019.795</v>
      </c>
      <c r="G122" s="468">
        <v>438357.36</v>
      </c>
      <c r="H122" s="470"/>
      <c r="I122" s="467">
        <f t="shared" si="106"/>
        <v>5873089.845</v>
      </c>
      <c r="J122" s="467">
        <v>200000</v>
      </c>
      <c r="K122" s="467">
        <v>0.2</v>
      </c>
      <c r="L122" s="467">
        <f t="shared" si="111"/>
        <v>1174617.969</v>
      </c>
      <c r="M122" s="467">
        <f t="shared" si="112"/>
        <v>1374617.969</v>
      </c>
      <c r="N122" s="467">
        <f t="shared" si="107"/>
        <v>1820995.124</v>
      </c>
      <c r="O122" s="467">
        <f t="shared" si="108"/>
        <v>4498471.876</v>
      </c>
      <c r="P122" s="467">
        <f t="shared" si="113"/>
        <v>21000</v>
      </c>
      <c r="Q122" s="467">
        <f t="shared" si="114"/>
        <v>33000</v>
      </c>
      <c r="R122" s="467">
        <f t="shared" si="115"/>
        <v>75000</v>
      </c>
      <c r="S122" s="467">
        <f t="shared" si="116"/>
        <v>95000</v>
      </c>
      <c r="T122" s="467">
        <f t="shared" si="117"/>
        <v>336000</v>
      </c>
      <c r="U122" s="467">
        <f t="shared" si="103"/>
        <v>311633.25024</v>
      </c>
      <c r="V122" s="467">
        <f t="shared" si="118"/>
        <v>871633.25024</v>
      </c>
      <c r="W122" s="474">
        <v>12</v>
      </c>
      <c r="X122" s="467">
        <f t="shared" si="119"/>
        <v>72636.1041866667</v>
      </c>
      <c r="Y122" s="470"/>
      <c r="Z122" s="478">
        <f t="shared" si="120"/>
        <v>72636.1041866667</v>
      </c>
      <c r="AA122" s="479">
        <v>43380.0962466667</v>
      </c>
      <c r="AB122" s="479">
        <f t="shared" si="110"/>
        <v>29256.00794</v>
      </c>
      <c r="AC122" s="479"/>
      <c r="AD122" s="479"/>
      <c r="AE122" s="479"/>
    </row>
    <row r="123" ht="18" spans="1:31">
      <c r="A123" s="464">
        <v>106</v>
      </c>
      <c r="B123" s="11" t="s">
        <v>226</v>
      </c>
      <c r="C123" s="467">
        <v>330481.666666667</v>
      </c>
      <c r="D123" s="466">
        <v>12</v>
      </c>
      <c r="E123" s="467">
        <f t="shared" si="109"/>
        <v>3965780</v>
      </c>
      <c r="F123" s="467"/>
      <c r="G123" s="468">
        <v>259662.4</v>
      </c>
      <c r="H123" s="470"/>
      <c r="I123" s="467">
        <f t="shared" si="106"/>
        <v>3706117.6</v>
      </c>
      <c r="J123" s="467">
        <v>200000</v>
      </c>
      <c r="K123" s="467">
        <v>0.2</v>
      </c>
      <c r="L123" s="467">
        <f t="shared" si="111"/>
        <v>741223.520000001</v>
      </c>
      <c r="M123" s="467">
        <f t="shared" si="112"/>
        <v>941223.520000001</v>
      </c>
      <c r="N123" s="467">
        <f t="shared" si="107"/>
        <v>1200885.92</v>
      </c>
      <c r="O123" s="467">
        <f t="shared" si="108"/>
        <v>2764894.08</v>
      </c>
      <c r="P123" s="467">
        <f t="shared" si="113"/>
        <v>21000</v>
      </c>
      <c r="Q123" s="467">
        <f t="shared" si="114"/>
        <v>33000</v>
      </c>
      <c r="R123" s="467">
        <f t="shared" si="115"/>
        <v>75000</v>
      </c>
      <c r="S123" s="467">
        <f t="shared" si="116"/>
        <v>95000</v>
      </c>
      <c r="T123" s="467">
        <f t="shared" si="117"/>
        <v>244627.756800001</v>
      </c>
      <c r="U123" s="467"/>
      <c r="V123" s="467">
        <f t="shared" si="118"/>
        <v>468627.756800001</v>
      </c>
      <c r="W123" s="474">
        <v>12</v>
      </c>
      <c r="X123" s="467">
        <f t="shared" si="119"/>
        <v>39052.3130666667</v>
      </c>
      <c r="Y123" s="470"/>
      <c r="Z123" s="478">
        <f t="shared" si="120"/>
        <v>39052.3130666667</v>
      </c>
      <c r="AA123" s="479">
        <v>23036.0123466667</v>
      </c>
      <c r="AB123" s="479">
        <f t="shared" si="110"/>
        <v>16016.30072</v>
      </c>
      <c r="AC123" s="479"/>
      <c r="AD123" s="479"/>
      <c r="AE123" s="479"/>
    </row>
    <row r="124" ht="18" spans="1:31">
      <c r="A124" s="464">
        <v>107</v>
      </c>
      <c r="B124" s="18" t="s">
        <v>228</v>
      </c>
      <c r="C124" s="467">
        <v>274459.75</v>
      </c>
      <c r="D124" s="466">
        <v>12</v>
      </c>
      <c r="E124" s="467">
        <f t="shared" si="109"/>
        <v>3293517</v>
      </c>
      <c r="F124" s="467"/>
      <c r="G124" s="468">
        <v>215481.36</v>
      </c>
      <c r="H124" s="470"/>
      <c r="I124" s="467">
        <f t="shared" si="106"/>
        <v>3078035.64</v>
      </c>
      <c r="J124" s="467">
        <v>200000</v>
      </c>
      <c r="K124" s="467">
        <v>0.2</v>
      </c>
      <c r="L124" s="467">
        <f t="shared" si="111"/>
        <v>615607.128</v>
      </c>
      <c r="M124" s="467">
        <f t="shared" si="112"/>
        <v>815607.128</v>
      </c>
      <c r="N124" s="467">
        <f t="shared" si="107"/>
        <v>1031088.488</v>
      </c>
      <c r="O124" s="467">
        <f t="shared" si="108"/>
        <v>2262428.512</v>
      </c>
      <c r="P124" s="467">
        <f t="shared" si="113"/>
        <v>21000</v>
      </c>
      <c r="Q124" s="467">
        <f t="shared" si="114"/>
        <v>33000</v>
      </c>
      <c r="R124" s="467">
        <f t="shared" si="115"/>
        <v>75000</v>
      </c>
      <c r="S124" s="467">
        <f t="shared" si="116"/>
        <v>95000</v>
      </c>
      <c r="T124" s="467">
        <f t="shared" si="117"/>
        <v>139109.98752</v>
      </c>
      <c r="U124" s="467"/>
      <c r="V124" s="467">
        <f t="shared" si="118"/>
        <v>363109.98752</v>
      </c>
      <c r="W124" s="474">
        <v>12</v>
      </c>
      <c r="X124" s="467">
        <f t="shared" si="119"/>
        <v>30259.1656266667</v>
      </c>
      <c r="Y124" s="470"/>
      <c r="Z124" s="478">
        <f t="shared" si="120"/>
        <v>30259.1656266667</v>
      </c>
      <c r="AA124" s="479">
        <v>17042.7138666667</v>
      </c>
      <c r="AB124" s="479">
        <f t="shared" si="110"/>
        <v>13216.45176</v>
      </c>
      <c r="AC124" s="479"/>
      <c r="AD124" s="479"/>
      <c r="AE124" s="479"/>
    </row>
    <row r="125" ht="18" spans="1:31">
      <c r="A125" s="464">
        <v>108</v>
      </c>
      <c r="B125" s="18" t="s">
        <v>230</v>
      </c>
      <c r="C125" s="467">
        <v>274459.75</v>
      </c>
      <c r="D125" s="466">
        <v>12</v>
      </c>
      <c r="E125" s="467">
        <f t="shared" si="109"/>
        <v>3293517</v>
      </c>
      <c r="F125" s="467"/>
      <c r="G125" s="468">
        <v>215481.36</v>
      </c>
      <c r="H125" s="470"/>
      <c r="I125" s="467">
        <f t="shared" si="106"/>
        <v>3078035.64</v>
      </c>
      <c r="J125" s="467">
        <v>200000</v>
      </c>
      <c r="K125" s="467">
        <v>0.2</v>
      </c>
      <c r="L125" s="467">
        <f t="shared" si="111"/>
        <v>615607.128</v>
      </c>
      <c r="M125" s="467">
        <f t="shared" si="112"/>
        <v>815607.128</v>
      </c>
      <c r="N125" s="467">
        <f t="shared" si="107"/>
        <v>1031088.488</v>
      </c>
      <c r="O125" s="467">
        <f t="shared" si="108"/>
        <v>2262428.512</v>
      </c>
      <c r="P125" s="467">
        <f t="shared" si="113"/>
        <v>21000</v>
      </c>
      <c r="Q125" s="467">
        <f t="shared" si="114"/>
        <v>33000</v>
      </c>
      <c r="R125" s="467">
        <f t="shared" si="115"/>
        <v>75000</v>
      </c>
      <c r="S125" s="467">
        <f t="shared" si="116"/>
        <v>95000</v>
      </c>
      <c r="T125" s="467">
        <f t="shared" si="117"/>
        <v>139109.98752</v>
      </c>
      <c r="U125" s="467"/>
      <c r="V125" s="467">
        <f t="shared" si="118"/>
        <v>363109.98752</v>
      </c>
      <c r="W125" s="474">
        <v>12</v>
      </c>
      <c r="X125" s="467">
        <f t="shared" si="119"/>
        <v>30259.1656266667</v>
      </c>
      <c r="Y125" s="470"/>
      <c r="Z125" s="478">
        <f t="shared" si="120"/>
        <v>30259.1656266667</v>
      </c>
      <c r="AA125" s="479">
        <v>17042.7138666667</v>
      </c>
      <c r="AB125" s="479">
        <f t="shared" si="110"/>
        <v>13216.45176</v>
      </c>
      <c r="AC125" s="479"/>
      <c r="AD125" s="479"/>
      <c r="AE125" s="479"/>
    </row>
    <row r="126" ht="17.5" spans="1:31">
      <c r="A126" s="464">
        <v>109</v>
      </c>
      <c r="B126" s="20" t="s">
        <v>96</v>
      </c>
      <c r="C126" s="467"/>
      <c r="D126" s="466"/>
      <c r="E126" s="467"/>
      <c r="F126" s="467"/>
      <c r="G126" s="470"/>
      <c r="H126" s="470"/>
      <c r="I126" s="467"/>
      <c r="J126" s="467"/>
      <c r="K126" s="467"/>
      <c r="L126" s="467"/>
      <c r="M126" s="467"/>
      <c r="N126" s="467"/>
      <c r="O126" s="467"/>
      <c r="P126" s="467"/>
      <c r="Q126" s="467"/>
      <c r="R126" s="467"/>
      <c r="S126" s="467"/>
      <c r="T126" s="467"/>
      <c r="U126" s="467"/>
      <c r="V126" s="467"/>
      <c r="W126" s="474"/>
      <c r="X126" s="467"/>
      <c r="Y126" s="470"/>
      <c r="Z126" s="478"/>
      <c r="AA126" s="479"/>
      <c r="AB126" s="479"/>
      <c r="AC126" s="479"/>
      <c r="AD126" s="479"/>
      <c r="AE126" s="479"/>
    </row>
    <row r="127" ht="17.5" spans="1:31">
      <c r="A127" s="464">
        <v>110</v>
      </c>
      <c r="B127" s="22"/>
      <c r="C127" s="467"/>
      <c r="U127" s="480"/>
      <c r="Z127" s="481"/>
      <c r="AC127" s="479"/>
      <c r="AD127" s="479"/>
      <c r="AE127" s="479"/>
    </row>
    <row r="128" ht="17.5" spans="1:31">
      <c r="A128" s="464">
        <v>111</v>
      </c>
      <c r="B128" s="20" t="s">
        <v>234</v>
      </c>
      <c r="C128" s="467"/>
      <c r="U128" s="480"/>
      <c r="Z128" s="481"/>
      <c r="AC128" s="479"/>
      <c r="AD128" s="479"/>
      <c r="AE128" s="479"/>
    </row>
    <row r="129" ht="18" spans="1:31">
      <c r="A129" s="464">
        <v>112</v>
      </c>
      <c r="B129" s="11" t="s">
        <v>235</v>
      </c>
      <c r="C129" s="467">
        <v>1535720</v>
      </c>
      <c r="D129" s="466">
        <v>12</v>
      </c>
      <c r="E129" s="467">
        <f>C129*D129</f>
        <v>18428640</v>
      </c>
      <c r="F129" s="467"/>
      <c r="G129" s="468">
        <v>1378291.2</v>
      </c>
      <c r="H129" s="470"/>
      <c r="I129" s="467">
        <f t="shared" ref="I129:I187" si="121">E129-F129-G129-H129</f>
        <v>17050348.8</v>
      </c>
      <c r="J129" s="467">
        <v>200000</v>
      </c>
      <c r="K129" s="467">
        <v>0.2</v>
      </c>
      <c r="L129" s="467">
        <f t="shared" ref="L129:L187" si="122">I129*K129</f>
        <v>3410069.76</v>
      </c>
      <c r="M129" s="467">
        <f t="shared" ref="M129:M187" si="123">J129+L129</f>
        <v>3610069.76</v>
      </c>
      <c r="N129" s="467">
        <f t="shared" ref="N129:N187" si="124">F129+G129+H129+M129</f>
        <v>4988360.96</v>
      </c>
      <c r="O129" s="467">
        <f t="shared" ref="O129:O187" si="125">E129-N129</f>
        <v>13440279.04</v>
      </c>
      <c r="P129" s="467">
        <f t="shared" ref="P129:P187" si="126">IF(O129&lt;300000,0.07*O129,21000)</f>
        <v>21000</v>
      </c>
      <c r="Q129" s="467">
        <f t="shared" ref="Q129:Q187" si="127">IF((O129-300000)&lt;0,0,IF((O129-300000)&lt;300000,0.11*(O129-300000),33000))</f>
        <v>33000</v>
      </c>
      <c r="R129" s="467">
        <f t="shared" ref="R129:R187" si="128">IF((O129-600000)&lt;0,0,IF((O129-600000)&lt;500000,0.15*(O129-600000),75000))</f>
        <v>75000</v>
      </c>
      <c r="S129" s="467">
        <f t="shared" ref="S129:S187" si="129">IF((O129-1100000)&lt;0,0,IF((O129-1100000)&lt;500000,0.19*(O129-1100000),95000))</f>
        <v>95000</v>
      </c>
      <c r="T129" s="467">
        <f t="shared" ref="T129:T187" si="130">IF((O129-1600000)&lt;0,0,IF((O129-1600000)&lt;1600000,0.21*(O129-1600000),336000))</f>
        <v>336000</v>
      </c>
      <c r="U129" s="467">
        <f t="shared" si="103"/>
        <v>2457666.9696</v>
      </c>
      <c r="V129" s="467">
        <f>P129+Q129+R129+S129+T129+U129</f>
        <v>3017666.9696</v>
      </c>
      <c r="W129" s="474">
        <v>12</v>
      </c>
      <c r="X129" s="467">
        <f t="shared" ref="X129:X187" si="131">V129/W129</f>
        <v>251472.247466667</v>
      </c>
      <c r="Y129" s="470"/>
      <c r="Z129" s="478">
        <f t="shared" ref="Z129:Z187" si="132">X129</f>
        <v>251472.247466667</v>
      </c>
      <c r="AA129" s="479">
        <v>161106.806858667</v>
      </c>
      <c r="AB129" s="479">
        <f>Z129-AA129</f>
        <v>90365.4406079996</v>
      </c>
      <c r="AC129" s="479"/>
      <c r="AD129" s="479"/>
      <c r="AE129" s="479"/>
    </row>
    <row r="130" ht="18" spans="1:31">
      <c r="A130" s="464">
        <v>113</v>
      </c>
      <c r="B130" s="11" t="s">
        <v>524</v>
      </c>
      <c r="C130" s="467">
        <v>852373.166666667</v>
      </c>
      <c r="D130" s="466">
        <v>12</v>
      </c>
      <c r="E130" s="467">
        <f t="shared" ref="E130:E187" si="133">C130*D130</f>
        <v>10228478</v>
      </c>
      <c r="F130" s="467"/>
      <c r="G130" s="468">
        <v>0</v>
      </c>
      <c r="H130" s="470"/>
      <c r="I130" s="467">
        <f t="shared" si="121"/>
        <v>10228478</v>
      </c>
      <c r="J130" s="467">
        <v>200000</v>
      </c>
      <c r="K130" s="467">
        <v>0.2</v>
      </c>
      <c r="L130" s="467">
        <f t="shared" si="122"/>
        <v>2045695.6</v>
      </c>
      <c r="M130" s="467">
        <f t="shared" si="123"/>
        <v>2245695.6</v>
      </c>
      <c r="N130" s="467">
        <f t="shared" si="124"/>
        <v>2245695.6</v>
      </c>
      <c r="O130" s="467">
        <f t="shared" si="125"/>
        <v>7982782.4</v>
      </c>
      <c r="P130" s="467">
        <f t="shared" si="126"/>
        <v>21000</v>
      </c>
      <c r="Q130" s="467">
        <f t="shared" si="127"/>
        <v>33000</v>
      </c>
      <c r="R130" s="467">
        <f t="shared" si="128"/>
        <v>75000</v>
      </c>
      <c r="S130" s="467">
        <f t="shared" si="129"/>
        <v>95000</v>
      </c>
      <c r="T130" s="467">
        <f t="shared" si="130"/>
        <v>336000</v>
      </c>
      <c r="U130" s="467">
        <f t="shared" si="103"/>
        <v>1147867.776</v>
      </c>
      <c r="V130" s="467">
        <f>P130+Q130+R130+S130+T130+U130</f>
        <v>1707867.776</v>
      </c>
      <c r="W130" s="474">
        <v>12</v>
      </c>
      <c r="X130" s="467">
        <f t="shared" si="131"/>
        <v>142322.314666667</v>
      </c>
      <c r="Y130" s="470"/>
      <c r="Z130" s="478">
        <f t="shared" si="132"/>
        <v>142322.314666667</v>
      </c>
      <c r="AA130" s="479">
        <v>82627.9514186667</v>
      </c>
      <c r="AB130" s="479">
        <f t="shared" ref="AB130:AB187" si="134">Z130-AA130</f>
        <v>59694.363248</v>
      </c>
      <c r="AC130" s="479"/>
      <c r="AD130" s="479"/>
      <c r="AE130" s="479"/>
    </row>
    <row r="131" ht="18" spans="1:31">
      <c r="A131" s="464">
        <v>114</v>
      </c>
      <c r="B131" s="14" t="s">
        <v>237</v>
      </c>
      <c r="C131" s="467">
        <v>902373.166666667</v>
      </c>
      <c r="D131" s="466">
        <v>12</v>
      </c>
      <c r="E131" s="467">
        <f t="shared" si="133"/>
        <v>10828478</v>
      </c>
      <c r="F131" s="467">
        <f>1066.32925*12</f>
        <v>12795.951</v>
      </c>
      <c r="G131" s="468">
        <v>731878.24</v>
      </c>
      <c r="H131" s="470"/>
      <c r="I131" s="467">
        <f t="shared" si="121"/>
        <v>10083803.809</v>
      </c>
      <c r="J131" s="467">
        <v>200000</v>
      </c>
      <c r="K131" s="467">
        <v>0.2</v>
      </c>
      <c r="L131" s="467">
        <f t="shared" si="122"/>
        <v>2016760.7618</v>
      </c>
      <c r="M131" s="467">
        <f t="shared" si="123"/>
        <v>2216760.7618</v>
      </c>
      <c r="N131" s="467">
        <f t="shared" si="124"/>
        <v>2961434.9528</v>
      </c>
      <c r="O131" s="467">
        <f t="shared" si="125"/>
        <v>7867043.0472</v>
      </c>
      <c r="P131" s="467">
        <f t="shared" si="126"/>
        <v>21000</v>
      </c>
      <c r="Q131" s="467">
        <f t="shared" si="127"/>
        <v>33000</v>
      </c>
      <c r="R131" s="467">
        <f t="shared" si="128"/>
        <v>75000</v>
      </c>
      <c r="S131" s="467">
        <f t="shared" si="129"/>
        <v>95000</v>
      </c>
      <c r="T131" s="467">
        <f t="shared" si="130"/>
        <v>336000</v>
      </c>
      <c r="U131" s="467">
        <f t="shared" si="103"/>
        <v>1120090.331328</v>
      </c>
      <c r="V131" s="467">
        <f>P131+Q131+R131+S131+T131+U131</f>
        <v>1680090.331328</v>
      </c>
      <c r="W131" s="474">
        <v>12</v>
      </c>
      <c r="X131" s="467">
        <f t="shared" si="131"/>
        <v>140007.527610667</v>
      </c>
      <c r="Y131" s="470"/>
      <c r="Z131" s="478">
        <f t="shared" si="132"/>
        <v>140007.527610667</v>
      </c>
      <c r="AA131" s="479">
        <v>92023.2162026667</v>
      </c>
      <c r="AB131" s="479">
        <f t="shared" si="134"/>
        <v>47984.311408</v>
      </c>
      <c r="AC131" s="479"/>
      <c r="AD131" s="479"/>
      <c r="AE131" s="479"/>
    </row>
    <row r="132" ht="18" spans="1:31">
      <c r="A132" s="464">
        <v>115</v>
      </c>
      <c r="B132" s="11" t="s">
        <v>239</v>
      </c>
      <c r="C132" s="467">
        <v>554373.75</v>
      </c>
      <c r="D132" s="466">
        <v>12</v>
      </c>
      <c r="E132" s="467">
        <f t="shared" si="133"/>
        <v>6652485</v>
      </c>
      <c r="F132" s="467">
        <f>712.24525*12</f>
        <v>8546.943</v>
      </c>
      <c r="G132" s="468">
        <v>464998.8</v>
      </c>
      <c r="H132" s="470"/>
      <c r="I132" s="467">
        <f t="shared" si="121"/>
        <v>6178939.257</v>
      </c>
      <c r="J132" s="467">
        <v>200000</v>
      </c>
      <c r="K132" s="467">
        <v>0.2</v>
      </c>
      <c r="L132" s="467">
        <f t="shared" si="122"/>
        <v>1235787.8514</v>
      </c>
      <c r="M132" s="467">
        <f t="shared" si="123"/>
        <v>1435787.8514</v>
      </c>
      <c r="N132" s="467">
        <f t="shared" si="124"/>
        <v>1909333.5944</v>
      </c>
      <c r="O132" s="467">
        <f t="shared" si="125"/>
        <v>4743151.4056</v>
      </c>
      <c r="P132" s="467">
        <f t="shared" si="126"/>
        <v>21000</v>
      </c>
      <c r="Q132" s="467">
        <f t="shared" si="127"/>
        <v>33000</v>
      </c>
      <c r="R132" s="467">
        <f t="shared" si="128"/>
        <v>75000</v>
      </c>
      <c r="S132" s="467">
        <f t="shared" si="129"/>
        <v>95000</v>
      </c>
      <c r="T132" s="467">
        <f t="shared" si="130"/>
        <v>336000</v>
      </c>
      <c r="U132" s="467">
        <f t="shared" si="103"/>
        <v>370356.337344</v>
      </c>
      <c r="V132" s="467">
        <f t="shared" ref="V132:V187" si="135">P132+Q132+R132+S132+T132+U132</f>
        <v>930356.337344</v>
      </c>
      <c r="W132" s="474">
        <v>12</v>
      </c>
      <c r="X132" s="467">
        <f t="shared" si="131"/>
        <v>77529.6947786667</v>
      </c>
      <c r="Y132" s="470"/>
      <c r="Z132" s="478">
        <f t="shared" si="132"/>
        <v>77529.6947786667</v>
      </c>
      <c r="AA132" s="479">
        <v>46081.2025986667</v>
      </c>
      <c r="AB132" s="479">
        <f t="shared" si="134"/>
        <v>31448.49218</v>
      </c>
      <c r="AC132" s="479"/>
      <c r="AD132" s="479"/>
      <c r="AE132" s="479"/>
    </row>
    <row r="133" ht="18" spans="1:31">
      <c r="A133" s="464">
        <v>116</v>
      </c>
      <c r="B133" s="11" t="s">
        <v>241</v>
      </c>
      <c r="C133" s="467">
        <v>554373.75</v>
      </c>
      <c r="D133" s="466">
        <v>12</v>
      </c>
      <c r="E133" s="467">
        <f t="shared" si="133"/>
        <v>6652485</v>
      </c>
      <c r="F133" s="467">
        <f>712.24525*12</f>
        <v>8546.943</v>
      </c>
      <c r="G133" s="468">
        <v>464998.8</v>
      </c>
      <c r="H133" s="470"/>
      <c r="I133" s="467">
        <f t="shared" si="121"/>
        <v>6178939.257</v>
      </c>
      <c r="J133" s="467">
        <v>200000</v>
      </c>
      <c r="K133" s="467">
        <v>0.2</v>
      </c>
      <c r="L133" s="467">
        <f t="shared" si="122"/>
        <v>1235787.8514</v>
      </c>
      <c r="M133" s="467">
        <f t="shared" si="123"/>
        <v>1435787.8514</v>
      </c>
      <c r="N133" s="467">
        <f t="shared" si="124"/>
        <v>1909333.5944</v>
      </c>
      <c r="O133" s="467">
        <f t="shared" si="125"/>
        <v>4743151.4056</v>
      </c>
      <c r="P133" s="467">
        <f t="shared" si="126"/>
        <v>21000</v>
      </c>
      <c r="Q133" s="467">
        <f t="shared" si="127"/>
        <v>33000</v>
      </c>
      <c r="R133" s="467">
        <f t="shared" si="128"/>
        <v>75000</v>
      </c>
      <c r="S133" s="467">
        <f t="shared" si="129"/>
        <v>95000</v>
      </c>
      <c r="T133" s="467">
        <f t="shared" si="130"/>
        <v>336000</v>
      </c>
      <c r="U133" s="467">
        <f t="shared" si="103"/>
        <v>370356.337344</v>
      </c>
      <c r="V133" s="467">
        <f t="shared" si="135"/>
        <v>930356.337344</v>
      </c>
      <c r="W133" s="474">
        <v>12</v>
      </c>
      <c r="X133" s="467">
        <f t="shared" si="131"/>
        <v>77529.6947786667</v>
      </c>
      <c r="Y133" s="470"/>
      <c r="Z133" s="478">
        <f t="shared" si="132"/>
        <v>77529.6947786667</v>
      </c>
      <c r="AA133" s="479">
        <v>46081.2025986667</v>
      </c>
      <c r="AB133" s="479">
        <f t="shared" si="134"/>
        <v>31448.49218</v>
      </c>
      <c r="AC133" s="479"/>
      <c r="AD133" s="479"/>
      <c r="AE133" s="479"/>
    </row>
    <row r="134" ht="18" spans="1:31">
      <c r="A134" s="464">
        <v>117</v>
      </c>
      <c r="B134" s="11" t="s">
        <v>243</v>
      </c>
      <c r="C134" s="467">
        <v>554373.75</v>
      </c>
      <c r="D134" s="466">
        <v>12</v>
      </c>
      <c r="E134" s="467">
        <f t="shared" si="133"/>
        <v>6652485</v>
      </c>
      <c r="F134" s="467">
        <f>712.24525*12</f>
        <v>8546.943</v>
      </c>
      <c r="G134" s="468">
        <v>464998.8</v>
      </c>
      <c r="H134" s="470"/>
      <c r="I134" s="467">
        <f t="shared" si="121"/>
        <v>6178939.257</v>
      </c>
      <c r="J134" s="467">
        <v>200000</v>
      </c>
      <c r="K134" s="467">
        <v>0.2</v>
      </c>
      <c r="L134" s="467">
        <f t="shared" si="122"/>
        <v>1235787.8514</v>
      </c>
      <c r="M134" s="467">
        <f t="shared" si="123"/>
        <v>1435787.8514</v>
      </c>
      <c r="N134" s="467">
        <f t="shared" si="124"/>
        <v>1909333.5944</v>
      </c>
      <c r="O134" s="467">
        <f t="shared" si="125"/>
        <v>4743151.4056</v>
      </c>
      <c r="P134" s="467">
        <f t="shared" si="126"/>
        <v>21000</v>
      </c>
      <c r="Q134" s="467">
        <f t="shared" si="127"/>
        <v>33000</v>
      </c>
      <c r="R134" s="467">
        <f t="shared" si="128"/>
        <v>75000</v>
      </c>
      <c r="S134" s="467">
        <f t="shared" si="129"/>
        <v>95000</v>
      </c>
      <c r="T134" s="467">
        <f t="shared" si="130"/>
        <v>336000</v>
      </c>
      <c r="U134" s="467">
        <f t="shared" si="103"/>
        <v>370356.337344</v>
      </c>
      <c r="V134" s="467">
        <f t="shared" si="135"/>
        <v>930356.337344</v>
      </c>
      <c r="W134" s="474">
        <v>12</v>
      </c>
      <c r="X134" s="467">
        <f t="shared" si="131"/>
        <v>77529.6947786667</v>
      </c>
      <c r="Y134" s="470"/>
      <c r="Z134" s="478">
        <f t="shared" si="132"/>
        <v>77529.6947786667</v>
      </c>
      <c r="AA134" s="479">
        <v>46081.2025986667</v>
      </c>
      <c r="AB134" s="479">
        <f t="shared" si="134"/>
        <v>31448.49218</v>
      </c>
      <c r="AC134" s="479"/>
      <c r="AD134" s="479"/>
      <c r="AE134" s="479"/>
    </row>
    <row r="135" ht="18" spans="1:31">
      <c r="A135" s="464">
        <v>118</v>
      </c>
      <c r="B135" s="11" t="s">
        <v>178</v>
      </c>
      <c r="C135" s="467">
        <v>450086.5</v>
      </c>
      <c r="D135" s="466">
        <v>12</v>
      </c>
      <c r="E135" s="467">
        <f t="shared" si="133"/>
        <v>5401038</v>
      </c>
      <c r="F135" s="467">
        <f>576.62125*12</f>
        <v>6919.455</v>
      </c>
      <c r="G135" s="468">
        <v>374483.04</v>
      </c>
      <c r="H135" s="470"/>
      <c r="I135" s="467">
        <f t="shared" si="121"/>
        <v>5019635.505</v>
      </c>
      <c r="J135" s="467">
        <v>200000</v>
      </c>
      <c r="K135" s="467">
        <v>0.2</v>
      </c>
      <c r="L135" s="467">
        <f t="shared" si="122"/>
        <v>1003927.101</v>
      </c>
      <c r="M135" s="467">
        <f t="shared" si="123"/>
        <v>1203927.101</v>
      </c>
      <c r="N135" s="467">
        <f t="shared" si="124"/>
        <v>1585329.596</v>
      </c>
      <c r="O135" s="467">
        <f t="shared" si="125"/>
        <v>3815708.404</v>
      </c>
      <c r="P135" s="467">
        <f t="shared" si="126"/>
        <v>21000</v>
      </c>
      <c r="Q135" s="467">
        <f t="shared" si="127"/>
        <v>33000</v>
      </c>
      <c r="R135" s="467">
        <f t="shared" si="128"/>
        <v>75000</v>
      </c>
      <c r="S135" s="467">
        <f t="shared" si="129"/>
        <v>95000</v>
      </c>
      <c r="T135" s="467">
        <f t="shared" si="130"/>
        <v>336000</v>
      </c>
      <c r="U135" s="467">
        <f t="shared" si="103"/>
        <v>147770.01696</v>
      </c>
      <c r="V135" s="467">
        <f t="shared" si="135"/>
        <v>707770.01696</v>
      </c>
      <c r="W135" s="474">
        <v>12</v>
      </c>
      <c r="X135" s="467">
        <f t="shared" si="131"/>
        <v>58980.8347466667</v>
      </c>
      <c r="Y135" s="470"/>
      <c r="Z135" s="478">
        <f t="shared" si="132"/>
        <v>58980.8347466667</v>
      </c>
      <c r="AA135" s="479">
        <v>35221.9540866667</v>
      </c>
      <c r="AB135" s="479">
        <f t="shared" si="134"/>
        <v>23758.88066</v>
      </c>
      <c r="AC135" s="479"/>
      <c r="AD135" s="479"/>
      <c r="AE135" s="479"/>
    </row>
    <row r="136" ht="18" spans="1:31">
      <c r="A136" s="464">
        <v>119</v>
      </c>
      <c r="B136" s="11" t="s">
        <v>244</v>
      </c>
      <c r="C136" s="467">
        <v>450086.5</v>
      </c>
      <c r="D136" s="466">
        <v>12</v>
      </c>
      <c r="E136" s="467">
        <f t="shared" si="133"/>
        <v>5401038</v>
      </c>
      <c r="F136" s="467"/>
      <c r="G136" s="468">
        <v>374483.04</v>
      </c>
      <c r="H136" s="470"/>
      <c r="I136" s="467">
        <f t="shared" si="121"/>
        <v>5026554.96</v>
      </c>
      <c r="J136" s="467">
        <v>200000</v>
      </c>
      <c r="K136" s="467">
        <v>0.2</v>
      </c>
      <c r="L136" s="467">
        <f t="shared" si="122"/>
        <v>1005310.992</v>
      </c>
      <c r="M136" s="467">
        <f t="shared" si="123"/>
        <v>1205310.992</v>
      </c>
      <c r="N136" s="467">
        <f t="shared" si="124"/>
        <v>1579794.032</v>
      </c>
      <c r="O136" s="467">
        <f t="shared" si="125"/>
        <v>3821243.968</v>
      </c>
      <c r="P136" s="467">
        <f t="shared" si="126"/>
        <v>21000</v>
      </c>
      <c r="Q136" s="467">
        <f t="shared" si="127"/>
        <v>33000</v>
      </c>
      <c r="R136" s="467">
        <f t="shared" si="128"/>
        <v>75000</v>
      </c>
      <c r="S136" s="467">
        <f t="shared" si="129"/>
        <v>95000</v>
      </c>
      <c r="T136" s="467">
        <f t="shared" si="130"/>
        <v>336000</v>
      </c>
      <c r="U136" s="467">
        <f t="shared" si="103"/>
        <v>149098.55232</v>
      </c>
      <c r="V136" s="467">
        <f t="shared" si="135"/>
        <v>709098.55232</v>
      </c>
      <c r="W136" s="474">
        <v>12</v>
      </c>
      <c r="X136" s="467">
        <f t="shared" si="131"/>
        <v>59091.5460266667</v>
      </c>
      <c r="Y136" s="470"/>
      <c r="Z136" s="478">
        <f t="shared" si="132"/>
        <v>59091.5460266667</v>
      </c>
      <c r="AA136" s="479">
        <v>35318.8264566667</v>
      </c>
      <c r="AB136" s="479">
        <f t="shared" si="134"/>
        <v>23772.71957</v>
      </c>
      <c r="AC136" s="479"/>
      <c r="AD136" s="479"/>
      <c r="AE136" s="479"/>
    </row>
    <row r="137" ht="18" spans="1:31">
      <c r="A137" s="464">
        <v>120</v>
      </c>
      <c r="B137" s="11" t="s">
        <v>245</v>
      </c>
      <c r="C137" s="467">
        <v>450086.5</v>
      </c>
      <c r="D137" s="466">
        <v>12</v>
      </c>
      <c r="E137" s="467">
        <f t="shared" si="133"/>
        <v>5401038</v>
      </c>
      <c r="F137" s="467"/>
      <c r="G137" s="468">
        <v>374483.04</v>
      </c>
      <c r="H137" s="470"/>
      <c r="I137" s="467">
        <f t="shared" si="121"/>
        <v>5026554.96</v>
      </c>
      <c r="J137" s="467">
        <v>200000</v>
      </c>
      <c r="K137" s="467">
        <v>0.2</v>
      </c>
      <c r="L137" s="467">
        <f t="shared" si="122"/>
        <v>1005310.992</v>
      </c>
      <c r="M137" s="467">
        <f t="shared" si="123"/>
        <v>1205310.992</v>
      </c>
      <c r="N137" s="467">
        <f t="shared" si="124"/>
        <v>1579794.032</v>
      </c>
      <c r="O137" s="467">
        <f t="shared" si="125"/>
        <v>3821243.968</v>
      </c>
      <c r="P137" s="467">
        <f t="shared" si="126"/>
        <v>21000</v>
      </c>
      <c r="Q137" s="467">
        <f t="shared" si="127"/>
        <v>33000</v>
      </c>
      <c r="R137" s="467">
        <f t="shared" si="128"/>
        <v>75000</v>
      </c>
      <c r="S137" s="467">
        <f t="shared" si="129"/>
        <v>95000</v>
      </c>
      <c r="T137" s="467">
        <f t="shared" si="130"/>
        <v>336000</v>
      </c>
      <c r="U137" s="467">
        <f t="shared" si="103"/>
        <v>149098.55232</v>
      </c>
      <c r="V137" s="467">
        <f t="shared" si="135"/>
        <v>709098.55232</v>
      </c>
      <c r="W137" s="474">
        <v>12</v>
      </c>
      <c r="X137" s="467">
        <f t="shared" si="131"/>
        <v>59091.5460266667</v>
      </c>
      <c r="Y137" s="470"/>
      <c r="Z137" s="478">
        <f t="shared" si="132"/>
        <v>59091.5460266667</v>
      </c>
      <c r="AA137" s="479">
        <v>35318.8264566667</v>
      </c>
      <c r="AB137" s="479">
        <f t="shared" si="134"/>
        <v>23772.71957</v>
      </c>
      <c r="AC137" s="479"/>
      <c r="AD137" s="479"/>
      <c r="AE137" s="479"/>
    </row>
    <row r="138" ht="18" spans="1:31">
      <c r="A138" s="464">
        <v>121</v>
      </c>
      <c r="B138" s="11" t="s">
        <v>247</v>
      </c>
      <c r="C138" s="467">
        <v>437895.166666667</v>
      </c>
      <c r="D138" s="466">
        <v>12</v>
      </c>
      <c r="E138" s="467">
        <f t="shared" si="133"/>
        <v>5254742</v>
      </c>
      <c r="F138" s="467"/>
      <c r="G138" s="468">
        <v>362779.36</v>
      </c>
      <c r="H138" s="470"/>
      <c r="I138" s="467">
        <f t="shared" si="121"/>
        <v>4891962.64</v>
      </c>
      <c r="J138" s="467">
        <v>200000</v>
      </c>
      <c r="K138" s="467">
        <v>0.2</v>
      </c>
      <c r="L138" s="467">
        <f t="shared" si="122"/>
        <v>978392.528000001</v>
      </c>
      <c r="M138" s="467">
        <f t="shared" si="123"/>
        <v>1178392.528</v>
      </c>
      <c r="N138" s="467">
        <f t="shared" si="124"/>
        <v>1541171.888</v>
      </c>
      <c r="O138" s="467">
        <f t="shared" si="125"/>
        <v>3713570.112</v>
      </c>
      <c r="P138" s="467">
        <f t="shared" si="126"/>
        <v>21000</v>
      </c>
      <c r="Q138" s="467">
        <f t="shared" si="127"/>
        <v>33000</v>
      </c>
      <c r="R138" s="467">
        <f t="shared" si="128"/>
        <v>75000</v>
      </c>
      <c r="S138" s="467">
        <f t="shared" si="129"/>
        <v>95000</v>
      </c>
      <c r="T138" s="467">
        <f t="shared" si="130"/>
        <v>336000</v>
      </c>
      <c r="U138" s="467">
        <f t="shared" si="103"/>
        <v>123256.826880001</v>
      </c>
      <c r="V138" s="467">
        <f t="shared" si="135"/>
        <v>683256.826880001</v>
      </c>
      <c r="W138" s="474">
        <v>12</v>
      </c>
      <c r="X138" s="467">
        <f t="shared" si="131"/>
        <v>56938.0689066667</v>
      </c>
      <c r="Y138" s="470"/>
      <c r="Z138" s="478">
        <f t="shared" si="132"/>
        <v>56938.0689066667</v>
      </c>
      <c r="AA138" s="479">
        <v>34968.8824146667</v>
      </c>
      <c r="AB138" s="479">
        <f t="shared" si="134"/>
        <v>21969.186492</v>
      </c>
      <c r="AC138" s="479"/>
      <c r="AD138" s="479"/>
      <c r="AE138" s="479"/>
    </row>
    <row r="139" ht="18" spans="1:31">
      <c r="A139" s="464">
        <v>122</v>
      </c>
      <c r="B139" s="11" t="s">
        <v>249</v>
      </c>
      <c r="C139" s="467">
        <v>425703.833333333</v>
      </c>
      <c r="D139" s="466">
        <v>12</v>
      </c>
      <c r="E139" s="467">
        <f t="shared" si="133"/>
        <v>5108446</v>
      </c>
      <c r="F139" s="467">
        <f>538.022*12</f>
        <v>6456.264</v>
      </c>
      <c r="G139" s="468">
        <v>351075.68</v>
      </c>
      <c r="H139" s="470"/>
      <c r="I139" s="467">
        <f t="shared" si="121"/>
        <v>4750914.056</v>
      </c>
      <c r="J139" s="467">
        <v>200000</v>
      </c>
      <c r="K139" s="467">
        <v>0.2</v>
      </c>
      <c r="L139" s="467">
        <f t="shared" si="122"/>
        <v>950182.811199999</v>
      </c>
      <c r="M139" s="467">
        <f t="shared" si="123"/>
        <v>1150182.8112</v>
      </c>
      <c r="N139" s="467">
        <f t="shared" si="124"/>
        <v>1507714.7552</v>
      </c>
      <c r="O139" s="467">
        <f t="shared" si="125"/>
        <v>3600731.2448</v>
      </c>
      <c r="P139" s="467">
        <f t="shared" si="126"/>
        <v>21000</v>
      </c>
      <c r="Q139" s="467">
        <f t="shared" si="127"/>
        <v>33000</v>
      </c>
      <c r="R139" s="467">
        <f t="shared" si="128"/>
        <v>75000</v>
      </c>
      <c r="S139" s="467">
        <f t="shared" si="129"/>
        <v>95000</v>
      </c>
      <c r="T139" s="467">
        <f t="shared" si="130"/>
        <v>336000</v>
      </c>
      <c r="U139" s="467">
        <f t="shared" si="103"/>
        <v>96175.4987519992</v>
      </c>
      <c r="V139" s="467">
        <f t="shared" si="135"/>
        <v>656175.498751999</v>
      </c>
      <c r="W139" s="474">
        <v>12</v>
      </c>
      <c r="X139" s="467">
        <f t="shared" si="131"/>
        <v>54681.2915626666</v>
      </c>
      <c r="Y139" s="470"/>
      <c r="Z139" s="478">
        <f t="shared" si="132"/>
        <v>54681.2915626666</v>
      </c>
      <c r="AA139" s="479">
        <v>32848.5634026667</v>
      </c>
      <c r="AB139" s="479">
        <f t="shared" si="134"/>
        <v>21832.7281599999</v>
      </c>
      <c r="AC139" s="479"/>
      <c r="AD139" s="479"/>
      <c r="AE139" s="479"/>
    </row>
    <row r="140" ht="18" spans="1:31">
      <c r="A140" s="464">
        <v>123</v>
      </c>
      <c r="B140" s="11" t="s">
        <v>251</v>
      </c>
      <c r="C140" s="467">
        <v>450086.5</v>
      </c>
      <c r="D140" s="466">
        <v>12</v>
      </c>
      <c r="E140" s="467">
        <f t="shared" si="133"/>
        <v>5401038</v>
      </c>
      <c r="F140" s="467">
        <f>576.62125*12</f>
        <v>6919.455</v>
      </c>
      <c r="G140" s="468">
        <v>374483.04</v>
      </c>
      <c r="H140" s="470"/>
      <c r="I140" s="467">
        <f t="shared" si="121"/>
        <v>5019635.505</v>
      </c>
      <c r="J140" s="467">
        <v>200000</v>
      </c>
      <c r="K140" s="467">
        <v>0.2</v>
      </c>
      <c r="L140" s="467">
        <f t="shared" si="122"/>
        <v>1003927.101</v>
      </c>
      <c r="M140" s="467">
        <f t="shared" si="123"/>
        <v>1203927.101</v>
      </c>
      <c r="N140" s="467">
        <f t="shared" si="124"/>
        <v>1585329.596</v>
      </c>
      <c r="O140" s="467">
        <f t="shared" si="125"/>
        <v>3815708.404</v>
      </c>
      <c r="P140" s="467">
        <f t="shared" si="126"/>
        <v>21000</v>
      </c>
      <c r="Q140" s="467">
        <f t="shared" si="127"/>
        <v>33000</v>
      </c>
      <c r="R140" s="467">
        <f t="shared" si="128"/>
        <v>75000</v>
      </c>
      <c r="S140" s="467">
        <f t="shared" si="129"/>
        <v>95000</v>
      </c>
      <c r="T140" s="467">
        <f t="shared" si="130"/>
        <v>336000</v>
      </c>
      <c r="U140" s="467">
        <f t="shared" si="103"/>
        <v>147770.01696</v>
      </c>
      <c r="V140" s="467">
        <f t="shared" si="135"/>
        <v>707770.01696</v>
      </c>
      <c r="W140" s="474">
        <v>12</v>
      </c>
      <c r="X140" s="467">
        <f t="shared" si="131"/>
        <v>58980.8347466667</v>
      </c>
      <c r="Y140" s="470"/>
      <c r="Z140" s="478">
        <f t="shared" si="132"/>
        <v>58980.8347466667</v>
      </c>
      <c r="AA140" s="479">
        <v>35221.9540866667</v>
      </c>
      <c r="AB140" s="479">
        <f t="shared" si="134"/>
        <v>23758.88066</v>
      </c>
      <c r="AC140" s="479"/>
      <c r="AD140" s="479"/>
      <c r="AE140" s="479"/>
    </row>
    <row r="141" ht="18" spans="1:31">
      <c r="A141" s="464">
        <v>124</v>
      </c>
      <c r="B141" s="18" t="s">
        <v>254</v>
      </c>
      <c r="C141" s="467">
        <v>413512.5</v>
      </c>
      <c r="D141" s="466">
        <v>12</v>
      </c>
      <c r="E141" s="467">
        <f t="shared" si="133"/>
        <v>4962150</v>
      </c>
      <c r="F141" s="467">
        <v>0</v>
      </c>
      <c r="G141" s="468">
        <v>339372</v>
      </c>
      <c r="H141" s="470"/>
      <c r="I141" s="467">
        <f t="shared" si="121"/>
        <v>4622778</v>
      </c>
      <c r="J141" s="467">
        <v>200000</v>
      </c>
      <c r="K141" s="467">
        <v>0.2</v>
      </c>
      <c r="L141" s="467">
        <f t="shared" si="122"/>
        <v>924555.6</v>
      </c>
      <c r="M141" s="467">
        <f t="shared" si="123"/>
        <v>1124555.6</v>
      </c>
      <c r="N141" s="467">
        <f t="shared" si="124"/>
        <v>1463927.6</v>
      </c>
      <c r="O141" s="467">
        <f t="shared" si="125"/>
        <v>3498222.4</v>
      </c>
      <c r="P141" s="467">
        <f t="shared" si="126"/>
        <v>21000</v>
      </c>
      <c r="Q141" s="467">
        <f t="shared" si="127"/>
        <v>33000</v>
      </c>
      <c r="R141" s="467">
        <f t="shared" si="128"/>
        <v>75000</v>
      </c>
      <c r="S141" s="467">
        <f t="shared" si="129"/>
        <v>95000</v>
      </c>
      <c r="T141" s="467">
        <f t="shared" si="130"/>
        <v>336000</v>
      </c>
      <c r="U141" s="467">
        <f t="shared" si="103"/>
        <v>71573.376</v>
      </c>
      <c r="V141" s="467">
        <f t="shared" si="135"/>
        <v>631573.376</v>
      </c>
      <c r="W141" s="474">
        <v>12</v>
      </c>
      <c r="X141" s="467">
        <f t="shared" si="131"/>
        <v>52631.1146666667</v>
      </c>
      <c r="Y141" s="470"/>
      <c r="Z141" s="478">
        <f t="shared" si="132"/>
        <v>52631.1146666667</v>
      </c>
      <c r="AA141" s="479">
        <v>31749.1752666667</v>
      </c>
      <c r="AB141" s="479">
        <f t="shared" si="134"/>
        <v>20881.9394</v>
      </c>
      <c r="AC141" s="479"/>
      <c r="AD141" s="479"/>
      <c r="AE141" s="479"/>
    </row>
    <row r="142" ht="18" spans="1:31">
      <c r="A142" s="464">
        <v>125</v>
      </c>
      <c r="B142" s="11" t="s">
        <v>256</v>
      </c>
      <c r="C142" s="467">
        <v>368901.5</v>
      </c>
      <c r="D142" s="466">
        <v>12</v>
      </c>
      <c r="E142" s="467">
        <f t="shared" si="133"/>
        <v>4426818</v>
      </c>
      <c r="F142" s="467"/>
      <c r="G142" s="468">
        <v>296545.44</v>
      </c>
      <c r="H142" s="470"/>
      <c r="I142" s="467">
        <f t="shared" si="121"/>
        <v>4130272.56</v>
      </c>
      <c r="J142" s="467">
        <v>200000</v>
      </c>
      <c r="K142" s="467">
        <v>0.2</v>
      </c>
      <c r="L142" s="467">
        <f t="shared" si="122"/>
        <v>826054.512</v>
      </c>
      <c r="M142" s="467">
        <f t="shared" si="123"/>
        <v>1026054.512</v>
      </c>
      <c r="N142" s="467">
        <f t="shared" si="124"/>
        <v>1322599.952</v>
      </c>
      <c r="O142" s="467">
        <f t="shared" si="125"/>
        <v>3104218.048</v>
      </c>
      <c r="P142" s="467">
        <f t="shared" si="126"/>
        <v>21000</v>
      </c>
      <c r="Q142" s="467">
        <f t="shared" si="127"/>
        <v>33000</v>
      </c>
      <c r="R142" s="467">
        <f t="shared" si="128"/>
        <v>75000</v>
      </c>
      <c r="S142" s="467">
        <f t="shared" si="129"/>
        <v>95000</v>
      </c>
      <c r="T142" s="467">
        <f t="shared" si="130"/>
        <v>315885.79008</v>
      </c>
      <c r="U142" s="467"/>
      <c r="V142" s="467">
        <f t="shared" si="135"/>
        <v>539885.79008</v>
      </c>
      <c r="W142" s="474">
        <v>12</v>
      </c>
      <c r="X142" s="467">
        <f t="shared" si="131"/>
        <v>44990.4825066667</v>
      </c>
      <c r="Y142" s="470"/>
      <c r="Z142" s="478">
        <f t="shared" si="132"/>
        <v>44990.4825066667</v>
      </c>
      <c r="AA142" s="479">
        <v>27105.9865626667</v>
      </c>
      <c r="AB142" s="479">
        <f t="shared" si="134"/>
        <v>17884.495944</v>
      </c>
      <c r="AC142" s="479"/>
      <c r="AD142" s="479"/>
      <c r="AE142" s="479"/>
    </row>
    <row r="143" ht="18" spans="1:31">
      <c r="A143" s="464">
        <v>126</v>
      </c>
      <c r="B143" s="11" t="s">
        <v>257</v>
      </c>
      <c r="C143" s="467">
        <v>376837.416666667</v>
      </c>
      <c r="D143" s="466">
        <v>12</v>
      </c>
      <c r="E143" s="467">
        <f t="shared" si="133"/>
        <v>4522049</v>
      </c>
      <c r="F143" s="467">
        <f>469.4825*12</f>
        <v>5633.79</v>
      </c>
      <c r="G143" s="468">
        <v>304163.92</v>
      </c>
      <c r="H143" s="470"/>
      <c r="I143" s="467">
        <f t="shared" si="121"/>
        <v>4212251.29</v>
      </c>
      <c r="J143" s="467">
        <v>200000</v>
      </c>
      <c r="K143" s="467">
        <v>0.2</v>
      </c>
      <c r="L143" s="467">
        <f t="shared" si="122"/>
        <v>842450.258000001</v>
      </c>
      <c r="M143" s="467">
        <f t="shared" si="123"/>
        <v>1042450.258</v>
      </c>
      <c r="N143" s="467">
        <f t="shared" si="124"/>
        <v>1352247.968</v>
      </c>
      <c r="O143" s="467">
        <f t="shared" si="125"/>
        <v>3169801.032</v>
      </c>
      <c r="P143" s="467">
        <f t="shared" si="126"/>
        <v>21000</v>
      </c>
      <c r="Q143" s="467">
        <f t="shared" si="127"/>
        <v>33000</v>
      </c>
      <c r="R143" s="467">
        <f t="shared" si="128"/>
        <v>75000</v>
      </c>
      <c r="S143" s="467">
        <f t="shared" si="129"/>
        <v>95000</v>
      </c>
      <c r="T143" s="467">
        <f t="shared" si="130"/>
        <v>329658.216720001</v>
      </c>
      <c r="U143" s="467"/>
      <c r="V143" s="467">
        <f t="shared" si="135"/>
        <v>553658.216720001</v>
      </c>
      <c r="W143" s="474">
        <v>12</v>
      </c>
      <c r="X143" s="467">
        <f t="shared" si="131"/>
        <v>46138.1847266667</v>
      </c>
      <c r="Y143" s="470"/>
      <c r="Z143" s="478">
        <f t="shared" si="132"/>
        <v>46138.1847266667</v>
      </c>
      <c r="AA143" s="479">
        <v>27794.2066266667</v>
      </c>
      <c r="AB143" s="479">
        <f t="shared" si="134"/>
        <v>18343.9781</v>
      </c>
      <c r="AC143" s="479"/>
      <c r="AD143" s="479"/>
      <c r="AE143" s="479"/>
    </row>
    <row r="144" ht="18" spans="1:31">
      <c r="A144" s="464">
        <v>127</v>
      </c>
      <c r="B144" s="11" t="s">
        <v>258</v>
      </c>
      <c r="C144" s="467">
        <v>376837.416666667</v>
      </c>
      <c r="D144" s="466">
        <v>12</v>
      </c>
      <c r="E144" s="467">
        <f t="shared" si="133"/>
        <v>4522049</v>
      </c>
      <c r="F144" s="467"/>
      <c r="G144" s="468">
        <v>304163.92</v>
      </c>
      <c r="H144" s="470"/>
      <c r="I144" s="467">
        <f t="shared" si="121"/>
        <v>4217885.08</v>
      </c>
      <c r="J144" s="467">
        <v>200000</v>
      </c>
      <c r="K144" s="467">
        <v>0.2</v>
      </c>
      <c r="L144" s="467">
        <f t="shared" si="122"/>
        <v>843577.016000001</v>
      </c>
      <c r="M144" s="467">
        <f t="shared" si="123"/>
        <v>1043577.016</v>
      </c>
      <c r="N144" s="467">
        <f t="shared" si="124"/>
        <v>1347740.936</v>
      </c>
      <c r="O144" s="467">
        <f t="shared" si="125"/>
        <v>3174308.064</v>
      </c>
      <c r="P144" s="467">
        <f t="shared" si="126"/>
        <v>21000</v>
      </c>
      <c r="Q144" s="467">
        <f t="shared" si="127"/>
        <v>33000</v>
      </c>
      <c r="R144" s="467">
        <f t="shared" si="128"/>
        <v>75000</v>
      </c>
      <c r="S144" s="467">
        <f t="shared" si="129"/>
        <v>95000</v>
      </c>
      <c r="T144" s="467">
        <f t="shared" si="130"/>
        <v>330604.693440001</v>
      </c>
      <c r="U144" s="467"/>
      <c r="V144" s="467">
        <f t="shared" si="135"/>
        <v>554604.693440001</v>
      </c>
      <c r="W144" s="474">
        <v>12</v>
      </c>
      <c r="X144" s="467">
        <f t="shared" si="131"/>
        <v>46217.0577866667</v>
      </c>
      <c r="Y144" s="470"/>
      <c r="Z144" s="478">
        <f t="shared" si="132"/>
        <v>46217.0577866667</v>
      </c>
      <c r="AA144" s="479">
        <v>27873.0796866667</v>
      </c>
      <c r="AB144" s="479">
        <f t="shared" si="134"/>
        <v>18343.9781</v>
      </c>
      <c r="AC144" s="479"/>
      <c r="AD144" s="479"/>
      <c r="AE144" s="479"/>
    </row>
    <row r="145" ht="18" spans="1:31">
      <c r="A145" s="464">
        <v>128</v>
      </c>
      <c r="B145" s="11" t="s">
        <v>259</v>
      </c>
      <c r="C145" s="467">
        <v>360965.583333333</v>
      </c>
      <c r="D145" s="466">
        <v>12</v>
      </c>
      <c r="E145" s="467">
        <f t="shared" si="133"/>
        <v>4331587</v>
      </c>
      <c r="F145" s="467"/>
      <c r="G145" s="468">
        <v>288926.96</v>
      </c>
      <c r="H145" s="470"/>
      <c r="I145" s="467">
        <f t="shared" si="121"/>
        <v>4042660.04</v>
      </c>
      <c r="J145" s="467">
        <v>200000</v>
      </c>
      <c r="K145" s="467">
        <v>0.2</v>
      </c>
      <c r="L145" s="467">
        <f t="shared" si="122"/>
        <v>808532.007999999</v>
      </c>
      <c r="M145" s="467">
        <f t="shared" si="123"/>
        <v>1008532.008</v>
      </c>
      <c r="N145" s="467">
        <f t="shared" si="124"/>
        <v>1297458.968</v>
      </c>
      <c r="O145" s="467">
        <f t="shared" si="125"/>
        <v>3034128.032</v>
      </c>
      <c r="P145" s="467">
        <f t="shared" si="126"/>
        <v>21000</v>
      </c>
      <c r="Q145" s="467">
        <f t="shared" si="127"/>
        <v>33000</v>
      </c>
      <c r="R145" s="467">
        <f t="shared" si="128"/>
        <v>75000</v>
      </c>
      <c r="S145" s="467">
        <f t="shared" si="129"/>
        <v>95000</v>
      </c>
      <c r="T145" s="467">
        <f t="shared" si="130"/>
        <v>301166.886719999</v>
      </c>
      <c r="U145" s="467"/>
      <c r="V145" s="467">
        <f t="shared" si="135"/>
        <v>525166.886719999</v>
      </c>
      <c r="W145" s="474">
        <v>12</v>
      </c>
      <c r="X145" s="467">
        <f t="shared" si="131"/>
        <v>43763.9072266666</v>
      </c>
      <c r="Y145" s="470"/>
      <c r="Z145" s="478">
        <f t="shared" si="132"/>
        <v>43763.9072266666</v>
      </c>
      <c r="AA145" s="479">
        <v>27105.9865626667</v>
      </c>
      <c r="AB145" s="479">
        <f t="shared" si="134"/>
        <v>16657.9206639999</v>
      </c>
      <c r="AC145" s="479"/>
      <c r="AD145" s="479"/>
      <c r="AE145" s="479"/>
    </row>
    <row r="146" ht="36" spans="1:31">
      <c r="A146" s="464">
        <v>129</v>
      </c>
      <c r="B146" s="11" t="s">
        <v>261</v>
      </c>
      <c r="C146" s="467">
        <v>323165.333333333</v>
      </c>
      <c r="D146" s="466">
        <v>12</v>
      </c>
      <c r="E146" s="467">
        <f t="shared" si="133"/>
        <v>3877984</v>
      </c>
      <c r="F146" s="467"/>
      <c r="G146" s="468">
        <v>252638.72</v>
      </c>
      <c r="H146" s="470"/>
      <c r="I146" s="467">
        <f t="shared" si="121"/>
        <v>3625345.28</v>
      </c>
      <c r="J146" s="467">
        <v>200000</v>
      </c>
      <c r="K146" s="467">
        <v>0.2</v>
      </c>
      <c r="L146" s="467">
        <f t="shared" si="122"/>
        <v>725069.055999999</v>
      </c>
      <c r="M146" s="467">
        <f t="shared" si="123"/>
        <v>925069.055999999</v>
      </c>
      <c r="N146" s="467">
        <f t="shared" si="124"/>
        <v>1177707.776</v>
      </c>
      <c r="O146" s="467">
        <f t="shared" si="125"/>
        <v>2700276.224</v>
      </c>
      <c r="P146" s="467">
        <f t="shared" si="126"/>
        <v>21000</v>
      </c>
      <c r="Q146" s="467">
        <f t="shared" si="127"/>
        <v>33000</v>
      </c>
      <c r="R146" s="467">
        <f t="shared" si="128"/>
        <v>75000</v>
      </c>
      <c r="S146" s="467">
        <f t="shared" si="129"/>
        <v>95000</v>
      </c>
      <c r="T146" s="467">
        <f t="shared" si="130"/>
        <v>231058.007039999</v>
      </c>
      <c r="U146" s="467"/>
      <c r="V146" s="467">
        <f t="shared" si="135"/>
        <v>455058.007039999</v>
      </c>
      <c r="W146" s="474">
        <v>12</v>
      </c>
      <c r="X146" s="467">
        <f t="shared" si="131"/>
        <v>37921.5005866666</v>
      </c>
      <c r="Y146" s="470"/>
      <c r="Z146" s="478">
        <f t="shared" si="132"/>
        <v>37921.5005866666</v>
      </c>
      <c r="AA146" s="479">
        <v>22338.4826046667</v>
      </c>
      <c r="AB146" s="479">
        <f t="shared" si="134"/>
        <v>15583.0179819999</v>
      </c>
      <c r="AC146" s="479"/>
      <c r="AD146" s="479"/>
      <c r="AE146" s="479"/>
    </row>
    <row r="147" ht="18" spans="1:31">
      <c r="A147" s="464">
        <v>130</v>
      </c>
      <c r="B147" s="11" t="s">
        <v>263</v>
      </c>
      <c r="C147" s="467">
        <v>368901.5</v>
      </c>
      <c r="D147" s="466">
        <v>12</v>
      </c>
      <c r="E147" s="467">
        <f t="shared" si="133"/>
        <v>4426818</v>
      </c>
      <c r="F147" s="467"/>
      <c r="G147" s="468">
        <v>296545.44</v>
      </c>
      <c r="H147" s="470"/>
      <c r="I147" s="467">
        <f t="shared" si="121"/>
        <v>4130272.56</v>
      </c>
      <c r="J147" s="467">
        <v>200000</v>
      </c>
      <c r="K147" s="467">
        <v>0.2</v>
      </c>
      <c r="L147" s="467">
        <f t="shared" si="122"/>
        <v>826054.512</v>
      </c>
      <c r="M147" s="467">
        <f t="shared" si="123"/>
        <v>1026054.512</v>
      </c>
      <c r="N147" s="467">
        <f t="shared" si="124"/>
        <v>1322599.952</v>
      </c>
      <c r="O147" s="467">
        <f t="shared" si="125"/>
        <v>3104218.048</v>
      </c>
      <c r="P147" s="467">
        <f t="shared" si="126"/>
        <v>21000</v>
      </c>
      <c r="Q147" s="467">
        <f t="shared" si="127"/>
        <v>33000</v>
      </c>
      <c r="R147" s="467">
        <f t="shared" si="128"/>
        <v>75000</v>
      </c>
      <c r="S147" s="467">
        <f t="shared" si="129"/>
        <v>95000</v>
      </c>
      <c r="T147" s="467">
        <f t="shared" si="130"/>
        <v>315885.79008</v>
      </c>
      <c r="U147" s="467"/>
      <c r="V147" s="467">
        <f t="shared" si="135"/>
        <v>539885.79008</v>
      </c>
      <c r="W147" s="474">
        <v>12</v>
      </c>
      <c r="X147" s="467">
        <f t="shared" si="131"/>
        <v>44990.4825066667</v>
      </c>
      <c r="Y147" s="470"/>
      <c r="Z147" s="478">
        <f t="shared" si="132"/>
        <v>44990.4825066667</v>
      </c>
      <c r="AA147" s="479">
        <v>27105.9865626667</v>
      </c>
      <c r="AB147" s="479">
        <f t="shared" si="134"/>
        <v>17884.495944</v>
      </c>
      <c r="AC147" s="479"/>
      <c r="AD147" s="479"/>
      <c r="AE147" s="479"/>
    </row>
    <row r="148" ht="18" spans="1:31">
      <c r="A148" s="464">
        <v>131</v>
      </c>
      <c r="B148" s="11" t="s">
        <v>266</v>
      </c>
      <c r="C148" s="467">
        <v>330481.666666667</v>
      </c>
      <c r="D148" s="466">
        <v>12</v>
      </c>
      <c r="E148" s="467">
        <f t="shared" si="133"/>
        <v>3965780</v>
      </c>
      <c r="F148" s="467"/>
      <c r="G148" s="468">
        <v>259662.4</v>
      </c>
      <c r="H148" s="470"/>
      <c r="I148" s="467">
        <f t="shared" si="121"/>
        <v>3706117.6</v>
      </c>
      <c r="J148" s="467">
        <v>200000</v>
      </c>
      <c r="K148" s="467">
        <v>0.2</v>
      </c>
      <c r="L148" s="467">
        <f t="shared" si="122"/>
        <v>741223.520000001</v>
      </c>
      <c r="M148" s="467">
        <f t="shared" si="123"/>
        <v>941223.520000001</v>
      </c>
      <c r="N148" s="467">
        <f t="shared" si="124"/>
        <v>1200885.92</v>
      </c>
      <c r="O148" s="467">
        <f t="shared" si="125"/>
        <v>2764894.08</v>
      </c>
      <c r="P148" s="467">
        <f t="shared" si="126"/>
        <v>21000</v>
      </c>
      <c r="Q148" s="467">
        <f t="shared" si="127"/>
        <v>33000</v>
      </c>
      <c r="R148" s="467">
        <f t="shared" si="128"/>
        <v>75000</v>
      </c>
      <c r="S148" s="467">
        <f t="shared" si="129"/>
        <v>95000</v>
      </c>
      <c r="T148" s="467">
        <f t="shared" si="130"/>
        <v>244627.756800001</v>
      </c>
      <c r="U148" s="467"/>
      <c r="V148" s="467">
        <f t="shared" si="135"/>
        <v>468627.756800001</v>
      </c>
      <c r="W148" s="474">
        <v>12</v>
      </c>
      <c r="X148" s="467">
        <f t="shared" si="131"/>
        <v>39052.3130666667</v>
      </c>
      <c r="Y148" s="470"/>
      <c r="Z148" s="478">
        <f t="shared" si="132"/>
        <v>39052.3130666667</v>
      </c>
      <c r="AA148" s="479">
        <v>23036.0123466667</v>
      </c>
      <c r="AB148" s="479">
        <f t="shared" si="134"/>
        <v>16016.30072</v>
      </c>
      <c r="AC148" s="479"/>
      <c r="AD148" s="479"/>
      <c r="AE148" s="479"/>
    </row>
    <row r="149" ht="18" spans="1:31">
      <c r="A149" s="464">
        <v>132</v>
      </c>
      <c r="B149" s="11" t="s">
        <v>268</v>
      </c>
      <c r="C149" s="467">
        <v>368901.5</v>
      </c>
      <c r="D149" s="466">
        <v>12</v>
      </c>
      <c r="E149" s="467">
        <f t="shared" si="133"/>
        <v>4426818</v>
      </c>
      <c r="F149" s="467">
        <f>457.041*12</f>
        <v>5484.492</v>
      </c>
      <c r="G149" s="468">
        <v>296545.44</v>
      </c>
      <c r="H149" s="470"/>
      <c r="I149" s="467">
        <f t="shared" si="121"/>
        <v>4124788.068</v>
      </c>
      <c r="J149" s="467">
        <v>200000</v>
      </c>
      <c r="K149" s="467">
        <v>0.2</v>
      </c>
      <c r="L149" s="467">
        <f t="shared" si="122"/>
        <v>824957.6136</v>
      </c>
      <c r="M149" s="467">
        <f t="shared" si="123"/>
        <v>1024957.6136</v>
      </c>
      <c r="N149" s="467">
        <f t="shared" si="124"/>
        <v>1326987.5456</v>
      </c>
      <c r="O149" s="467">
        <f t="shared" si="125"/>
        <v>3099830.4544</v>
      </c>
      <c r="P149" s="467">
        <f t="shared" si="126"/>
        <v>21000</v>
      </c>
      <c r="Q149" s="467">
        <f t="shared" si="127"/>
        <v>33000</v>
      </c>
      <c r="R149" s="467">
        <f t="shared" si="128"/>
        <v>75000</v>
      </c>
      <c r="S149" s="467">
        <f t="shared" si="129"/>
        <v>95000</v>
      </c>
      <c r="T149" s="467">
        <f t="shared" si="130"/>
        <v>314964.395424</v>
      </c>
      <c r="U149" s="467"/>
      <c r="V149" s="467">
        <f t="shared" si="135"/>
        <v>538964.395424</v>
      </c>
      <c r="W149" s="474">
        <v>12</v>
      </c>
      <c r="X149" s="467">
        <f t="shared" si="131"/>
        <v>44913.6996186667</v>
      </c>
      <c r="Y149" s="470"/>
      <c r="Z149" s="478">
        <f t="shared" si="132"/>
        <v>44913.6996186667</v>
      </c>
      <c r="AA149" s="479">
        <v>27029.2036746667</v>
      </c>
      <c r="AB149" s="479">
        <f t="shared" si="134"/>
        <v>17884.495944</v>
      </c>
      <c r="AC149" s="479"/>
      <c r="AD149" s="479"/>
      <c r="AE149" s="479"/>
    </row>
    <row r="150" ht="18" spans="1:31">
      <c r="A150" s="464">
        <v>133</v>
      </c>
      <c r="B150" s="11" t="s">
        <v>270</v>
      </c>
      <c r="C150" s="467">
        <v>330481.666666667</v>
      </c>
      <c r="D150" s="466">
        <v>12</v>
      </c>
      <c r="E150" s="467">
        <f t="shared" si="133"/>
        <v>3965780</v>
      </c>
      <c r="F150" s="467"/>
      <c r="G150" s="468">
        <v>259662.4</v>
      </c>
      <c r="H150" s="470"/>
      <c r="I150" s="467">
        <f t="shared" si="121"/>
        <v>3706117.6</v>
      </c>
      <c r="J150" s="467">
        <v>200000</v>
      </c>
      <c r="K150" s="467">
        <v>0.2</v>
      </c>
      <c r="L150" s="467">
        <f t="shared" si="122"/>
        <v>741223.520000001</v>
      </c>
      <c r="M150" s="467">
        <f t="shared" si="123"/>
        <v>941223.520000001</v>
      </c>
      <c r="N150" s="467">
        <f t="shared" si="124"/>
        <v>1200885.92</v>
      </c>
      <c r="O150" s="467">
        <f t="shared" si="125"/>
        <v>2764894.08</v>
      </c>
      <c r="P150" s="467">
        <f t="shared" si="126"/>
        <v>21000</v>
      </c>
      <c r="Q150" s="467">
        <f t="shared" si="127"/>
        <v>33000</v>
      </c>
      <c r="R150" s="467">
        <f t="shared" si="128"/>
        <v>75000</v>
      </c>
      <c r="S150" s="467">
        <f t="shared" si="129"/>
        <v>95000</v>
      </c>
      <c r="T150" s="467">
        <f t="shared" si="130"/>
        <v>244627.756800001</v>
      </c>
      <c r="U150" s="467"/>
      <c r="V150" s="467">
        <f t="shared" si="135"/>
        <v>468627.756800001</v>
      </c>
      <c r="W150" s="474">
        <v>12</v>
      </c>
      <c r="X150" s="467">
        <f t="shared" si="131"/>
        <v>39052.3130666667</v>
      </c>
      <c r="Y150" s="470"/>
      <c r="Z150" s="478">
        <f t="shared" si="132"/>
        <v>39052.3130666667</v>
      </c>
      <c r="AA150" s="479">
        <v>22338.4826046667</v>
      </c>
      <c r="AB150" s="479">
        <f t="shared" si="134"/>
        <v>16713.830462</v>
      </c>
      <c r="AC150" s="479"/>
      <c r="AD150" s="479"/>
      <c r="AE150" s="479"/>
    </row>
    <row r="151" ht="18" spans="1:31">
      <c r="A151" s="464">
        <v>134</v>
      </c>
      <c r="B151" s="18" t="s">
        <v>272</v>
      </c>
      <c r="C151" s="467">
        <v>315849</v>
      </c>
      <c r="D151" s="466">
        <v>12</v>
      </c>
      <c r="E151" s="467">
        <f t="shared" si="133"/>
        <v>3790188</v>
      </c>
      <c r="F151" s="467"/>
      <c r="G151" s="468">
        <v>245615.04</v>
      </c>
      <c r="H151" s="470"/>
      <c r="I151" s="467">
        <f t="shared" si="121"/>
        <v>3544572.96</v>
      </c>
      <c r="J151" s="467">
        <v>200000</v>
      </c>
      <c r="K151" s="467">
        <v>0.2</v>
      </c>
      <c r="L151" s="467">
        <f t="shared" si="122"/>
        <v>708914.592</v>
      </c>
      <c r="M151" s="467">
        <f t="shared" si="123"/>
        <v>908914.592</v>
      </c>
      <c r="N151" s="467">
        <f t="shared" si="124"/>
        <v>1154529.632</v>
      </c>
      <c r="O151" s="467">
        <f t="shared" si="125"/>
        <v>2635658.368</v>
      </c>
      <c r="P151" s="467">
        <f t="shared" si="126"/>
        <v>21000</v>
      </c>
      <c r="Q151" s="467">
        <f t="shared" si="127"/>
        <v>33000</v>
      </c>
      <c r="R151" s="467">
        <f t="shared" si="128"/>
        <v>75000</v>
      </c>
      <c r="S151" s="467">
        <f t="shared" si="129"/>
        <v>95000</v>
      </c>
      <c r="T151" s="467">
        <f t="shared" si="130"/>
        <v>217488.25728</v>
      </c>
      <c r="U151" s="467"/>
      <c r="V151" s="467">
        <f t="shared" si="135"/>
        <v>441488.25728</v>
      </c>
      <c r="W151" s="474">
        <v>12</v>
      </c>
      <c r="X151" s="467">
        <f t="shared" si="131"/>
        <v>36790.6881066667</v>
      </c>
      <c r="Y151" s="470"/>
      <c r="Z151" s="478">
        <f t="shared" si="132"/>
        <v>36790.6881066667</v>
      </c>
      <c r="AA151" s="479">
        <v>21640.9528626667</v>
      </c>
      <c r="AB151" s="479">
        <f t="shared" si="134"/>
        <v>15149.735244</v>
      </c>
      <c r="AC151" s="479"/>
      <c r="AD151" s="479"/>
      <c r="AE151" s="479"/>
    </row>
    <row r="152" ht="18" spans="1:31">
      <c r="A152" s="464">
        <v>135</v>
      </c>
      <c r="B152" s="18" t="s">
        <v>275</v>
      </c>
      <c r="C152" s="467">
        <v>274459.75</v>
      </c>
      <c r="D152" s="466">
        <v>12</v>
      </c>
      <c r="E152" s="467">
        <f t="shared" si="133"/>
        <v>3293517</v>
      </c>
      <c r="F152" s="467">
        <v>0</v>
      </c>
      <c r="G152" s="468">
        <v>215481.36</v>
      </c>
      <c r="H152" s="470"/>
      <c r="I152" s="467">
        <f t="shared" si="121"/>
        <v>3078035.64</v>
      </c>
      <c r="J152" s="467">
        <v>200000</v>
      </c>
      <c r="K152" s="467">
        <v>0.2</v>
      </c>
      <c r="L152" s="467">
        <f t="shared" si="122"/>
        <v>615607.128</v>
      </c>
      <c r="M152" s="467">
        <f t="shared" si="123"/>
        <v>815607.128</v>
      </c>
      <c r="N152" s="467">
        <f t="shared" si="124"/>
        <v>1031088.488</v>
      </c>
      <c r="O152" s="467">
        <f t="shared" si="125"/>
        <v>2262428.512</v>
      </c>
      <c r="P152" s="467">
        <f t="shared" si="126"/>
        <v>21000</v>
      </c>
      <c r="Q152" s="467">
        <f t="shared" si="127"/>
        <v>33000</v>
      </c>
      <c r="R152" s="467">
        <f t="shared" si="128"/>
        <v>75000</v>
      </c>
      <c r="S152" s="467">
        <f t="shared" si="129"/>
        <v>95000</v>
      </c>
      <c r="T152" s="467">
        <f t="shared" si="130"/>
        <v>139109.98752</v>
      </c>
      <c r="U152" s="467"/>
      <c r="V152" s="467">
        <f t="shared" si="135"/>
        <v>363109.98752</v>
      </c>
      <c r="W152" s="474">
        <v>12</v>
      </c>
      <c r="X152" s="467">
        <f t="shared" si="131"/>
        <v>30259.1656266667</v>
      </c>
      <c r="Y152" s="470"/>
      <c r="Z152" s="478">
        <f t="shared" si="132"/>
        <v>30259.1656266667</v>
      </c>
      <c r="AA152" s="479">
        <v>17042.7138666667</v>
      </c>
      <c r="AB152" s="479">
        <f t="shared" si="134"/>
        <v>13216.45176</v>
      </c>
      <c r="AC152" s="479"/>
      <c r="AD152" s="479"/>
      <c r="AE152" s="479"/>
    </row>
    <row r="153" ht="18" spans="1:31">
      <c r="A153" s="464">
        <v>136</v>
      </c>
      <c r="B153" s="18" t="s">
        <v>277</v>
      </c>
      <c r="C153" s="467">
        <v>274459.75</v>
      </c>
      <c r="D153" s="466">
        <v>12</v>
      </c>
      <c r="E153" s="467">
        <f t="shared" si="133"/>
        <v>3293517</v>
      </c>
      <c r="F153" s="467">
        <v>0</v>
      </c>
      <c r="G153" s="468">
        <v>215481.36</v>
      </c>
      <c r="H153" s="470"/>
      <c r="I153" s="467">
        <f t="shared" si="121"/>
        <v>3078035.64</v>
      </c>
      <c r="J153" s="467">
        <v>200000</v>
      </c>
      <c r="K153" s="467">
        <v>0.2</v>
      </c>
      <c r="L153" s="467">
        <f t="shared" si="122"/>
        <v>615607.128</v>
      </c>
      <c r="M153" s="467">
        <f t="shared" si="123"/>
        <v>815607.128</v>
      </c>
      <c r="N153" s="467">
        <f t="shared" si="124"/>
        <v>1031088.488</v>
      </c>
      <c r="O153" s="467">
        <f t="shared" si="125"/>
        <v>2262428.512</v>
      </c>
      <c r="P153" s="467">
        <f t="shared" si="126"/>
        <v>21000</v>
      </c>
      <c r="Q153" s="467">
        <f t="shared" si="127"/>
        <v>33000</v>
      </c>
      <c r="R153" s="467">
        <f t="shared" si="128"/>
        <v>75000</v>
      </c>
      <c r="S153" s="467">
        <f t="shared" si="129"/>
        <v>95000</v>
      </c>
      <c r="T153" s="467">
        <f t="shared" si="130"/>
        <v>139109.98752</v>
      </c>
      <c r="U153" s="467"/>
      <c r="V153" s="467">
        <f t="shared" si="135"/>
        <v>363109.98752</v>
      </c>
      <c r="W153" s="474">
        <v>12</v>
      </c>
      <c r="X153" s="467">
        <f t="shared" si="131"/>
        <v>30259.1656266667</v>
      </c>
      <c r="Y153" s="470"/>
      <c r="Z153" s="478">
        <f t="shared" si="132"/>
        <v>30259.1656266667</v>
      </c>
      <c r="AA153" s="479">
        <v>17042.7138666667</v>
      </c>
      <c r="AB153" s="479">
        <f t="shared" si="134"/>
        <v>13216.45176</v>
      </c>
      <c r="AC153" s="479"/>
      <c r="AD153" s="479"/>
      <c r="AE153" s="479"/>
    </row>
    <row r="154" ht="18" spans="1:31">
      <c r="A154" s="464">
        <v>137</v>
      </c>
      <c r="B154" s="18" t="s">
        <v>279</v>
      </c>
      <c r="C154" s="467">
        <v>274459.75</v>
      </c>
      <c r="D154" s="466">
        <v>12</v>
      </c>
      <c r="E154" s="467">
        <f t="shared" si="133"/>
        <v>3293517</v>
      </c>
      <c r="F154" s="467">
        <v>0</v>
      </c>
      <c r="G154" s="468">
        <v>215481.36</v>
      </c>
      <c r="H154" s="470"/>
      <c r="I154" s="467">
        <f t="shared" si="121"/>
        <v>3078035.64</v>
      </c>
      <c r="J154" s="467">
        <v>200000</v>
      </c>
      <c r="K154" s="467">
        <v>0.2</v>
      </c>
      <c r="L154" s="467">
        <f t="shared" si="122"/>
        <v>615607.128</v>
      </c>
      <c r="M154" s="467">
        <f t="shared" si="123"/>
        <v>815607.128</v>
      </c>
      <c r="N154" s="467">
        <f t="shared" si="124"/>
        <v>1031088.488</v>
      </c>
      <c r="O154" s="467">
        <f t="shared" si="125"/>
        <v>2262428.512</v>
      </c>
      <c r="P154" s="467">
        <f t="shared" si="126"/>
        <v>21000</v>
      </c>
      <c r="Q154" s="467">
        <f t="shared" si="127"/>
        <v>33000</v>
      </c>
      <c r="R154" s="467">
        <f t="shared" si="128"/>
        <v>75000</v>
      </c>
      <c r="S154" s="467">
        <f t="shared" si="129"/>
        <v>95000</v>
      </c>
      <c r="T154" s="467">
        <f t="shared" si="130"/>
        <v>139109.98752</v>
      </c>
      <c r="U154" s="467"/>
      <c r="V154" s="467">
        <f t="shared" si="135"/>
        <v>363109.98752</v>
      </c>
      <c r="W154" s="474">
        <v>12</v>
      </c>
      <c r="X154" s="467">
        <f t="shared" si="131"/>
        <v>30259.1656266667</v>
      </c>
      <c r="Y154" s="470"/>
      <c r="Z154" s="478">
        <f t="shared" si="132"/>
        <v>30259.1656266667</v>
      </c>
      <c r="AA154" s="479">
        <v>17042.7138666667</v>
      </c>
      <c r="AB154" s="479">
        <f t="shared" si="134"/>
        <v>13216.45176</v>
      </c>
      <c r="AC154" s="479"/>
      <c r="AD154" s="479"/>
      <c r="AE154" s="479"/>
    </row>
    <row r="155" ht="18" spans="1:31">
      <c r="A155" s="464">
        <v>138</v>
      </c>
      <c r="B155" s="18" t="s">
        <v>281</v>
      </c>
      <c r="C155" s="467">
        <v>280631.916666667</v>
      </c>
      <c r="D155" s="466">
        <v>12</v>
      </c>
      <c r="E155" s="467">
        <f t="shared" si="133"/>
        <v>3367583</v>
      </c>
      <c r="F155" s="467">
        <v>0</v>
      </c>
      <c r="G155" s="468">
        <v>221406.64</v>
      </c>
      <c r="H155" s="470"/>
      <c r="I155" s="467">
        <f t="shared" si="121"/>
        <v>3146176.36</v>
      </c>
      <c r="J155" s="467">
        <v>200000</v>
      </c>
      <c r="K155" s="467">
        <v>0.2</v>
      </c>
      <c r="L155" s="467">
        <f t="shared" si="122"/>
        <v>629235.272000001</v>
      </c>
      <c r="M155" s="467">
        <f t="shared" si="123"/>
        <v>829235.272000001</v>
      </c>
      <c r="N155" s="467">
        <f t="shared" si="124"/>
        <v>1050641.912</v>
      </c>
      <c r="O155" s="467">
        <f t="shared" si="125"/>
        <v>2316941.088</v>
      </c>
      <c r="P155" s="467">
        <f t="shared" si="126"/>
        <v>21000</v>
      </c>
      <c r="Q155" s="467">
        <f t="shared" si="127"/>
        <v>33000</v>
      </c>
      <c r="R155" s="467">
        <f t="shared" si="128"/>
        <v>75000</v>
      </c>
      <c r="S155" s="467">
        <f t="shared" si="129"/>
        <v>95000</v>
      </c>
      <c r="T155" s="467">
        <f t="shared" si="130"/>
        <v>150557.628480001</v>
      </c>
      <c r="U155" s="467"/>
      <c r="V155" s="467">
        <f t="shared" si="135"/>
        <v>374557.628480001</v>
      </c>
      <c r="W155" s="474">
        <v>12</v>
      </c>
      <c r="X155" s="467">
        <f t="shared" si="131"/>
        <v>31213.1357066667</v>
      </c>
      <c r="Y155" s="470"/>
      <c r="Z155" s="478">
        <f t="shared" si="132"/>
        <v>31213.1357066667</v>
      </c>
      <c r="AA155" s="479">
        <v>17572.8850026667</v>
      </c>
      <c r="AB155" s="479">
        <f t="shared" si="134"/>
        <v>13640.250704</v>
      </c>
      <c r="AC155" s="479"/>
      <c r="AD155" s="479"/>
      <c r="AE155" s="479"/>
    </row>
    <row r="156" ht="18" spans="1:31">
      <c r="A156" s="464">
        <v>139</v>
      </c>
      <c r="B156" s="18" t="s">
        <v>283</v>
      </c>
      <c r="C156" s="467">
        <v>274459.75</v>
      </c>
      <c r="D156" s="466">
        <v>12</v>
      </c>
      <c r="E156" s="467">
        <f t="shared" si="133"/>
        <v>3293517</v>
      </c>
      <c r="F156" s="467">
        <v>0</v>
      </c>
      <c r="G156" s="468">
        <v>215481.36</v>
      </c>
      <c r="H156" s="470"/>
      <c r="I156" s="467">
        <f t="shared" si="121"/>
        <v>3078035.64</v>
      </c>
      <c r="J156" s="467">
        <v>200000</v>
      </c>
      <c r="K156" s="467">
        <v>0.2</v>
      </c>
      <c r="L156" s="467">
        <f t="shared" si="122"/>
        <v>615607.128</v>
      </c>
      <c r="M156" s="467">
        <f t="shared" si="123"/>
        <v>815607.128</v>
      </c>
      <c r="N156" s="467">
        <f t="shared" si="124"/>
        <v>1031088.488</v>
      </c>
      <c r="O156" s="467">
        <f t="shared" si="125"/>
        <v>2262428.512</v>
      </c>
      <c r="P156" s="467">
        <f t="shared" si="126"/>
        <v>21000</v>
      </c>
      <c r="Q156" s="467">
        <f t="shared" si="127"/>
        <v>33000</v>
      </c>
      <c r="R156" s="467">
        <f t="shared" si="128"/>
        <v>75000</v>
      </c>
      <c r="S156" s="467">
        <f t="shared" si="129"/>
        <v>95000</v>
      </c>
      <c r="T156" s="467">
        <f t="shared" si="130"/>
        <v>139109.98752</v>
      </c>
      <c r="U156" s="467"/>
      <c r="V156" s="467">
        <f t="shared" si="135"/>
        <v>363109.98752</v>
      </c>
      <c r="W156" s="474">
        <v>12</v>
      </c>
      <c r="X156" s="467">
        <f t="shared" si="131"/>
        <v>30259.1656266667</v>
      </c>
      <c r="Y156" s="470"/>
      <c r="Z156" s="478">
        <f t="shared" si="132"/>
        <v>30259.1656266667</v>
      </c>
      <c r="AA156" s="479">
        <v>17042.7138666667</v>
      </c>
      <c r="AB156" s="479">
        <f t="shared" si="134"/>
        <v>13216.45176</v>
      </c>
      <c r="AC156" s="479"/>
      <c r="AD156" s="479"/>
      <c r="AE156" s="479"/>
    </row>
    <row r="157" ht="18" spans="1:31">
      <c r="A157" s="464">
        <v>140</v>
      </c>
      <c r="B157" s="11" t="s">
        <v>287</v>
      </c>
      <c r="C157" s="467">
        <v>202598.166666667</v>
      </c>
      <c r="D157" s="466">
        <v>12</v>
      </c>
      <c r="E157" s="467">
        <f t="shared" si="133"/>
        <v>2431178</v>
      </c>
      <c r="F157" s="467">
        <f>263.19*12</f>
        <v>3158.28</v>
      </c>
      <c r="G157" s="468">
        <v>161854.24</v>
      </c>
      <c r="H157" s="470"/>
      <c r="I157" s="467">
        <f t="shared" si="121"/>
        <v>2266165.48</v>
      </c>
      <c r="J157" s="467">
        <v>200000</v>
      </c>
      <c r="K157" s="467">
        <v>0.2</v>
      </c>
      <c r="L157" s="467">
        <f t="shared" si="122"/>
        <v>453233.096000001</v>
      </c>
      <c r="M157" s="467">
        <f t="shared" si="123"/>
        <v>653233.096000001</v>
      </c>
      <c r="N157" s="467">
        <f t="shared" si="124"/>
        <v>818245.616000001</v>
      </c>
      <c r="O157" s="467">
        <f t="shared" si="125"/>
        <v>1612932.384</v>
      </c>
      <c r="P157" s="467">
        <f t="shared" si="126"/>
        <v>21000</v>
      </c>
      <c r="Q157" s="467">
        <f t="shared" si="127"/>
        <v>33000</v>
      </c>
      <c r="R157" s="467">
        <f t="shared" si="128"/>
        <v>75000</v>
      </c>
      <c r="S157" s="467">
        <f t="shared" si="129"/>
        <v>95000</v>
      </c>
      <c r="T157" s="467">
        <f t="shared" si="130"/>
        <v>2715.8006400007</v>
      </c>
      <c r="U157" s="467"/>
      <c r="V157" s="467">
        <f t="shared" si="135"/>
        <v>226715.800640001</v>
      </c>
      <c r="W157" s="474">
        <v>12</v>
      </c>
      <c r="X157" s="467">
        <f t="shared" si="131"/>
        <v>18892.9833866667</v>
      </c>
      <c r="Y157" s="470"/>
      <c r="Z157" s="478">
        <f t="shared" si="132"/>
        <v>18892.9833866667</v>
      </c>
      <c r="AA157" s="479">
        <v>10739.3048</v>
      </c>
      <c r="AB157" s="479">
        <f t="shared" si="134"/>
        <v>8153.67858666673</v>
      </c>
      <c r="AC157" s="479"/>
      <c r="AD157" s="479"/>
      <c r="AE157" s="479"/>
    </row>
    <row r="158" ht="18" spans="1:31">
      <c r="A158" s="464">
        <v>141</v>
      </c>
      <c r="B158" s="11" t="s">
        <v>290</v>
      </c>
      <c r="C158" s="467">
        <v>205598.166666667</v>
      </c>
      <c r="D158" s="466">
        <v>12</v>
      </c>
      <c r="E158" s="467">
        <f t="shared" si="133"/>
        <v>2467178</v>
      </c>
      <c r="F158" s="467"/>
      <c r="G158" s="468">
        <v>161854.24</v>
      </c>
      <c r="H158" s="470"/>
      <c r="I158" s="467">
        <f t="shared" si="121"/>
        <v>2305323.76</v>
      </c>
      <c r="J158" s="467">
        <v>200000</v>
      </c>
      <c r="K158" s="467">
        <v>0.2</v>
      </c>
      <c r="L158" s="467">
        <f t="shared" si="122"/>
        <v>461064.752000001</v>
      </c>
      <c r="M158" s="467">
        <f t="shared" si="123"/>
        <v>661064.752000001</v>
      </c>
      <c r="N158" s="467">
        <f t="shared" si="124"/>
        <v>822918.992000001</v>
      </c>
      <c r="O158" s="467">
        <f t="shared" si="125"/>
        <v>1644259.008</v>
      </c>
      <c r="P158" s="467">
        <f t="shared" si="126"/>
        <v>21000</v>
      </c>
      <c r="Q158" s="467">
        <f t="shared" si="127"/>
        <v>33000</v>
      </c>
      <c r="R158" s="467">
        <f t="shared" si="128"/>
        <v>75000</v>
      </c>
      <c r="S158" s="467">
        <f t="shared" si="129"/>
        <v>95000</v>
      </c>
      <c r="T158" s="467">
        <f t="shared" si="130"/>
        <v>9294.39168000067</v>
      </c>
      <c r="U158" s="467"/>
      <c r="V158" s="467">
        <f t="shared" si="135"/>
        <v>233294.391680001</v>
      </c>
      <c r="W158" s="474">
        <v>12</v>
      </c>
      <c r="X158" s="467">
        <f t="shared" si="131"/>
        <v>19441.1993066667</v>
      </c>
      <c r="Y158" s="470"/>
      <c r="Z158" s="478">
        <f t="shared" si="132"/>
        <v>19441.1993066667</v>
      </c>
      <c r="AA158" s="479">
        <v>11232.4576266667</v>
      </c>
      <c r="AB158" s="479">
        <f t="shared" si="134"/>
        <v>8208.74168000002</v>
      </c>
      <c r="AC158" s="479"/>
      <c r="AD158" s="479"/>
      <c r="AE158" s="479"/>
    </row>
    <row r="159" ht="15.75" customHeight="1" spans="1:31">
      <c r="A159" s="464">
        <v>142</v>
      </c>
      <c r="B159" s="11" t="s">
        <v>291</v>
      </c>
      <c r="C159" s="467">
        <v>202598.166666667</v>
      </c>
      <c r="D159" s="466">
        <v>12</v>
      </c>
      <c r="E159" s="467">
        <f t="shared" si="133"/>
        <v>2431178</v>
      </c>
      <c r="F159" s="467"/>
      <c r="G159" s="468">
        <v>161854.24</v>
      </c>
      <c r="H159" s="470"/>
      <c r="I159" s="467">
        <f t="shared" si="121"/>
        <v>2269323.76</v>
      </c>
      <c r="J159" s="467">
        <v>200000</v>
      </c>
      <c r="K159" s="467">
        <v>0.2</v>
      </c>
      <c r="L159" s="467">
        <f t="shared" si="122"/>
        <v>453864.752000001</v>
      </c>
      <c r="M159" s="467">
        <f t="shared" si="123"/>
        <v>653864.752000001</v>
      </c>
      <c r="N159" s="467">
        <f t="shared" si="124"/>
        <v>815718.992000001</v>
      </c>
      <c r="O159" s="467">
        <f t="shared" si="125"/>
        <v>1615459.008</v>
      </c>
      <c r="P159" s="467">
        <f t="shared" si="126"/>
        <v>21000</v>
      </c>
      <c r="Q159" s="467">
        <f t="shared" si="127"/>
        <v>33000</v>
      </c>
      <c r="R159" s="467">
        <f t="shared" si="128"/>
        <v>75000</v>
      </c>
      <c r="S159" s="467">
        <f t="shared" si="129"/>
        <v>95000</v>
      </c>
      <c r="T159" s="467">
        <f t="shared" si="130"/>
        <v>3246.39168000067</v>
      </c>
      <c r="U159" s="467"/>
      <c r="V159" s="467">
        <f t="shared" si="135"/>
        <v>227246.391680001</v>
      </c>
      <c r="W159" s="474">
        <v>12</v>
      </c>
      <c r="X159" s="467">
        <f t="shared" si="131"/>
        <v>18937.1993066667</v>
      </c>
      <c r="Y159" s="470"/>
      <c r="Z159" s="478">
        <f t="shared" si="132"/>
        <v>18937.1993066667</v>
      </c>
      <c r="AA159" s="479">
        <v>10776.4576266667</v>
      </c>
      <c r="AB159" s="479">
        <f t="shared" si="134"/>
        <v>8160.74168000002</v>
      </c>
      <c r="AC159" s="479"/>
      <c r="AD159" s="479"/>
      <c r="AE159" s="479"/>
    </row>
    <row r="160" ht="18" spans="1:31">
      <c r="A160" s="464">
        <v>143</v>
      </c>
      <c r="B160" s="11" t="s">
        <v>292</v>
      </c>
      <c r="C160" s="467">
        <v>202598.166666667</v>
      </c>
      <c r="D160" s="466">
        <v>12</v>
      </c>
      <c r="E160" s="467">
        <f t="shared" si="133"/>
        <v>2431178</v>
      </c>
      <c r="F160" s="467">
        <f>263.19*12</f>
        <v>3158.28</v>
      </c>
      <c r="G160" s="468">
        <v>161854.24</v>
      </c>
      <c r="H160" s="470"/>
      <c r="I160" s="467">
        <f t="shared" si="121"/>
        <v>2266165.48</v>
      </c>
      <c r="J160" s="467">
        <v>200000</v>
      </c>
      <c r="K160" s="467">
        <v>0.2</v>
      </c>
      <c r="L160" s="467">
        <f t="shared" si="122"/>
        <v>453233.096000001</v>
      </c>
      <c r="M160" s="467">
        <f t="shared" si="123"/>
        <v>653233.096000001</v>
      </c>
      <c r="N160" s="467">
        <f t="shared" si="124"/>
        <v>818245.616000001</v>
      </c>
      <c r="O160" s="467">
        <f t="shared" si="125"/>
        <v>1612932.384</v>
      </c>
      <c r="P160" s="467">
        <f t="shared" si="126"/>
        <v>21000</v>
      </c>
      <c r="Q160" s="467">
        <f t="shared" si="127"/>
        <v>33000</v>
      </c>
      <c r="R160" s="467">
        <f t="shared" si="128"/>
        <v>75000</v>
      </c>
      <c r="S160" s="467">
        <f t="shared" si="129"/>
        <v>95000</v>
      </c>
      <c r="T160" s="467">
        <f t="shared" si="130"/>
        <v>2715.8006400007</v>
      </c>
      <c r="U160" s="467"/>
      <c r="V160" s="467">
        <f t="shared" si="135"/>
        <v>226715.800640001</v>
      </c>
      <c r="W160" s="474">
        <v>12</v>
      </c>
      <c r="X160" s="467">
        <f t="shared" si="131"/>
        <v>18892.9833866667</v>
      </c>
      <c r="Y160" s="470"/>
      <c r="Z160" s="478">
        <f t="shared" si="132"/>
        <v>18892.9833866667</v>
      </c>
      <c r="AA160" s="479">
        <v>10739.3048</v>
      </c>
      <c r="AB160" s="479">
        <f t="shared" si="134"/>
        <v>8153.67858666673</v>
      </c>
      <c r="AC160" s="479"/>
      <c r="AD160" s="479"/>
      <c r="AE160" s="479"/>
    </row>
    <row r="161" ht="18" spans="1:31">
      <c r="A161" s="464">
        <v>144</v>
      </c>
      <c r="B161" s="11" t="s">
        <v>293</v>
      </c>
      <c r="C161" s="467">
        <v>202598.166666667</v>
      </c>
      <c r="D161" s="466">
        <v>12</v>
      </c>
      <c r="E161" s="467">
        <f t="shared" si="133"/>
        <v>2431178</v>
      </c>
      <c r="F161" s="467"/>
      <c r="G161" s="468">
        <v>161854.24</v>
      </c>
      <c r="H161" s="470"/>
      <c r="I161" s="467">
        <f t="shared" si="121"/>
        <v>2269323.76</v>
      </c>
      <c r="J161" s="467">
        <v>200000</v>
      </c>
      <c r="K161" s="467">
        <v>0.2</v>
      </c>
      <c r="L161" s="467">
        <f t="shared" si="122"/>
        <v>453864.752000001</v>
      </c>
      <c r="M161" s="467">
        <f t="shared" si="123"/>
        <v>653864.752000001</v>
      </c>
      <c r="N161" s="467">
        <f t="shared" si="124"/>
        <v>815718.992000001</v>
      </c>
      <c r="O161" s="467">
        <f t="shared" si="125"/>
        <v>1615459.008</v>
      </c>
      <c r="P161" s="467">
        <f t="shared" si="126"/>
        <v>21000</v>
      </c>
      <c r="Q161" s="467">
        <f t="shared" si="127"/>
        <v>33000</v>
      </c>
      <c r="R161" s="467">
        <f t="shared" si="128"/>
        <v>75000</v>
      </c>
      <c r="S161" s="467">
        <f t="shared" si="129"/>
        <v>95000</v>
      </c>
      <c r="T161" s="467">
        <f t="shared" si="130"/>
        <v>3246.39168000067</v>
      </c>
      <c r="U161" s="467"/>
      <c r="V161" s="467">
        <f t="shared" si="135"/>
        <v>227246.391680001</v>
      </c>
      <c r="W161" s="474">
        <v>12</v>
      </c>
      <c r="X161" s="467">
        <f t="shared" si="131"/>
        <v>18937.1993066667</v>
      </c>
      <c r="Y161" s="470"/>
      <c r="Z161" s="478">
        <f t="shared" si="132"/>
        <v>18937.1993066667</v>
      </c>
      <c r="AA161" s="479">
        <v>10776.4576266667</v>
      </c>
      <c r="AB161" s="479">
        <f t="shared" si="134"/>
        <v>8160.74168000002</v>
      </c>
      <c r="AC161" s="479"/>
      <c r="AD161" s="479"/>
      <c r="AE161" s="479"/>
    </row>
    <row r="162" ht="18" spans="1:31">
      <c r="A162" s="464">
        <v>145</v>
      </c>
      <c r="B162" s="11" t="s">
        <v>294</v>
      </c>
      <c r="C162" s="467">
        <v>200336.833333333</v>
      </c>
      <c r="D162" s="466">
        <v>12</v>
      </c>
      <c r="E162" s="467">
        <f t="shared" si="133"/>
        <v>2404042</v>
      </c>
      <c r="F162" s="467"/>
      <c r="G162" s="468">
        <v>156803.36</v>
      </c>
      <c r="H162" s="470"/>
      <c r="I162" s="467">
        <f t="shared" si="121"/>
        <v>2247238.64</v>
      </c>
      <c r="J162" s="467">
        <v>200000</v>
      </c>
      <c r="K162" s="467">
        <v>0.2</v>
      </c>
      <c r="L162" s="467">
        <f t="shared" si="122"/>
        <v>449447.727999999</v>
      </c>
      <c r="M162" s="467">
        <f t="shared" si="123"/>
        <v>649447.727999999</v>
      </c>
      <c r="N162" s="467">
        <f t="shared" si="124"/>
        <v>806251.087999999</v>
      </c>
      <c r="O162" s="467">
        <f t="shared" si="125"/>
        <v>1597790.912</v>
      </c>
      <c r="P162" s="467">
        <f t="shared" si="126"/>
        <v>21000</v>
      </c>
      <c r="Q162" s="467">
        <f t="shared" si="127"/>
        <v>33000</v>
      </c>
      <c r="R162" s="467">
        <f t="shared" si="128"/>
        <v>75000</v>
      </c>
      <c r="S162" s="467">
        <f t="shared" si="129"/>
        <v>94580.2732799994</v>
      </c>
      <c r="T162" s="467">
        <f t="shared" si="130"/>
        <v>0</v>
      </c>
      <c r="U162" s="467"/>
      <c r="V162" s="467">
        <f t="shared" si="135"/>
        <v>223580.273279999</v>
      </c>
      <c r="W162" s="474">
        <v>12</v>
      </c>
      <c r="X162" s="467">
        <f t="shared" si="131"/>
        <v>18631.6894399999</v>
      </c>
      <c r="Y162" s="470"/>
      <c r="Z162" s="478">
        <f t="shared" si="132"/>
        <v>18631.6894399999</v>
      </c>
      <c r="AA162" s="479">
        <v>11232.4576266667</v>
      </c>
      <c r="AB162" s="479">
        <f t="shared" si="134"/>
        <v>7399.23181333325</v>
      </c>
      <c r="AC162" s="479"/>
      <c r="AD162" s="479"/>
      <c r="AE162" s="479"/>
    </row>
    <row r="163" ht="18" spans="1:31">
      <c r="A163" s="464">
        <v>146</v>
      </c>
      <c r="B163" s="11" t="s">
        <v>296</v>
      </c>
      <c r="C163" s="467">
        <v>197336.833333333</v>
      </c>
      <c r="D163" s="466">
        <v>12</v>
      </c>
      <c r="E163" s="467">
        <f t="shared" si="133"/>
        <v>2368042</v>
      </c>
      <c r="F163" s="467"/>
      <c r="G163" s="468">
        <v>156803.36</v>
      </c>
      <c r="H163" s="470"/>
      <c r="I163" s="467">
        <f t="shared" si="121"/>
        <v>2211238.64</v>
      </c>
      <c r="J163" s="467">
        <v>200000</v>
      </c>
      <c r="K163" s="467">
        <v>0.2</v>
      </c>
      <c r="L163" s="467">
        <f t="shared" si="122"/>
        <v>442247.727999999</v>
      </c>
      <c r="M163" s="467">
        <f t="shared" si="123"/>
        <v>642247.727999999</v>
      </c>
      <c r="N163" s="467">
        <f t="shared" si="124"/>
        <v>799051.087999999</v>
      </c>
      <c r="O163" s="467">
        <f t="shared" si="125"/>
        <v>1568990.912</v>
      </c>
      <c r="P163" s="467">
        <f t="shared" si="126"/>
        <v>21000</v>
      </c>
      <c r="Q163" s="467">
        <f t="shared" si="127"/>
        <v>33000</v>
      </c>
      <c r="R163" s="467">
        <f t="shared" si="128"/>
        <v>75000</v>
      </c>
      <c r="S163" s="467">
        <f t="shared" si="129"/>
        <v>89108.2732799994</v>
      </c>
      <c r="T163" s="467">
        <f t="shared" si="130"/>
        <v>0</v>
      </c>
      <c r="U163" s="467"/>
      <c r="V163" s="467">
        <f t="shared" si="135"/>
        <v>218108.273279999</v>
      </c>
      <c r="W163" s="474">
        <v>12</v>
      </c>
      <c r="X163" s="467">
        <f t="shared" si="131"/>
        <v>18175.6894399999</v>
      </c>
      <c r="Y163" s="470"/>
      <c r="Z163" s="478">
        <f t="shared" si="132"/>
        <v>18175.6894399999</v>
      </c>
      <c r="AA163" s="479">
        <v>10776.4576266667</v>
      </c>
      <c r="AB163" s="479">
        <f t="shared" si="134"/>
        <v>7399.23181333325</v>
      </c>
      <c r="AC163" s="479"/>
      <c r="AD163" s="479"/>
      <c r="AE163" s="479"/>
    </row>
    <row r="164" ht="18" spans="1:31">
      <c r="A164" s="464">
        <v>147</v>
      </c>
      <c r="B164" s="14" t="s">
        <v>297</v>
      </c>
      <c r="C164" s="467">
        <v>200336.833333333</v>
      </c>
      <c r="D164" s="466">
        <v>12</v>
      </c>
      <c r="E164" s="467">
        <f t="shared" si="133"/>
        <v>2404042</v>
      </c>
      <c r="F164" s="467"/>
      <c r="G164" s="468">
        <v>156803.36</v>
      </c>
      <c r="H164" s="470"/>
      <c r="I164" s="467">
        <f t="shared" si="121"/>
        <v>2247238.64</v>
      </c>
      <c r="J164" s="467">
        <v>200000</v>
      </c>
      <c r="K164" s="467">
        <v>0.2</v>
      </c>
      <c r="L164" s="467">
        <f t="shared" si="122"/>
        <v>449447.727999999</v>
      </c>
      <c r="M164" s="467">
        <f t="shared" si="123"/>
        <v>649447.727999999</v>
      </c>
      <c r="N164" s="467">
        <f t="shared" si="124"/>
        <v>806251.087999999</v>
      </c>
      <c r="O164" s="467">
        <f t="shared" si="125"/>
        <v>1597790.912</v>
      </c>
      <c r="P164" s="467">
        <f t="shared" si="126"/>
        <v>21000</v>
      </c>
      <c r="Q164" s="467">
        <f t="shared" si="127"/>
        <v>33000</v>
      </c>
      <c r="R164" s="467">
        <f t="shared" si="128"/>
        <v>75000</v>
      </c>
      <c r="S164" s="467">
        <f t="shared" si="129"/>
        <v>94580.2732799994</v>
      </c>
      <c r="T164" s="467">
        <f t="shared" si="130"/>
        <v>0</v>
      </c>
      <c r="U164" s="467"/>
      <c r="V164" s="467">
        <f t="shared" si="135"/>
        <v>223580.273279999</v>
      </c>
      <c r="W164" s="474">
        <v>12</v>
      </c>
      <c r="X164" s="467">
        <f t="shared" si="131"/>
        <v>18631.6894399999</v>
      </c>
      <c r="Y164" s="470"/>
      <c r="Z164" s="478">
        <f t="shared" si="132"/>
        <v>18631.6894399999</v>
      </c>
      <c r="AA164" s="479">
        <v>11232.4576266667</v>
      </c>
      <c r="AB164" s="479">
        <f t="shared" si="134"/>
        <v>7399.23181333325</v>
      </c>
      <c r="AC164" s="479"/>
      <c r="AD164" s="479"/>
      <c r="AE164" s="479"/>
    </row>
    <row r="165" ht="18" spans="1:31">
      <c r="A165" s="464">
        <v>148</v>
      </c>
      <c r="B165" s="11" t="s">
        <v>298</v>
      </c>
      <c r="C165" s="467">
        <v>197336.833333333</v>
      </c>
      <c r="D165" s="466">
        <v>12</v>
      </c>
      <c r="E165" s="467">
        <f t="shared" si="133"/>
        <v>2368042</v>
      </c>
      <c r="F165" s="467"/>
      <c r="G165" s="468">
        <v>156803.36</v>
      </c>
      <c r="H165" s="470"/>
      <c r="I165" s="467">
        <f t="shared" si="121"/>
        <v>2211238.64</v>
      </c>
      <c r="J165" s="467">
        <v>200000</v>
      </c>
      <c r="K165" s="467">
        <v>0.2</v>
      </c>
      <c r="L165" s="467">
        <f t="shared" si="122"/>
        <v>442247.727999999</v>
      </c>
      <c r="M165" s="467">
        <f t="shared" si="123"/>
        <v>642247.727999999</v>
      </c>
      <c r="N165" s="467">
        <f t="shared" si="124"/>
        <v>799051.087999999</v>
      </c>
      <c r="O165" s="467">
        <f t="shared" si="125"/>
        <v>1568990.912</v>
      </c>
      <c r="P165" s="467">
        <f t="shared" si="126"/>
        <v>21000</v>
      </c>
      <c r="Q165" s="467">
        <f t="shared" si="127"/>
        <v>33000</v>
      </c>
      <c r="R165" s="467">
        <f t="shared" si="128"/>
        <v>75000</v>
      </c>
      <c r="S165" s="467">
        <f t="shared" si="129"/>
        <v>89108.2732799994</v>
      </c>
      <c r="T165" s="467">
        <f t="shared" si="130"/>
        <v>0</v>
      </c>
      <c r="U165" s="467"/>
      <c r="V165" s="467">
        <f t="shared" si="135"/>
        <v>218108.273279999</v>
      </c>
      <c r="W165" s="474">
        <v>12</v>
      </c>
      <c r="X165" s="467">
        <f t="shared" si="131"/>
        <v>18175.6894399999</v>
      </c>
      <c r="Y165" s="470"/>
      <c r="Z165" s="478">
        <f t="shared" si="132"/>
        <v>18175.6894399999</v>
      </c>
      <c r="AA165" s="479">
        <v>10776.4576266667</v>
      </c>
      <c r="AB165" s="479">
        <f t="shared" si="134"/>
        <v>7399.23181333325</v>
      </c>
      <c r="AC165" s="479"/>
      <c r="AD165" s="479"/>
      <c r="AE165" s="479"/>
    </row>
    <row r="166" ht="18" spans="1:31">
      <c r="A166" s="464">
        <v>149</v>
      </c>
      <c r="B166" s="18" t="s">
        <v>299</v>
      </c>
      <c r="C166" s="467">
        <v>197336.833333333</v>
      </c>
      <c r="D166" s="466">
        <v>12</v>
      </c>
      <c r="E166" s="467">
        <f t="shared" si="133"/>
        <v>2368042</v>
      </c>
      <c r="F166" s="467"/>
      <c r="G166" s="468">
        <v>156803.36</v>
      </c>
      <c r="H166" s="470"/>
      <c r="I166" s="467">
        <f t="shared" si="121"/>
        <v>2211238.64</v>
      </c>
      <c r="J166" s="467">
        <v>200000</v>
      </c>
      <c r="K166" s="467">
        <v>0.2</v>
      </c>
      <c r="L166" s="467">
        <f t="shared" si="122"/>
        <v>442247.727999999</v>
      </c>
      <c r="M166" s="467">
        <f t="shared" si="123"/>
        <v>642247.727999999</v>
      </c>
      <c r="N166" s="467">
        <f t="shared" si="124"/>
        <v>799051.087999999</v>
      </c>
      <c r="O166" s="467">
        <f t="shared" si="125"/>
        <v>1568990.912</v>
      </c>
      <c r="P166" s="467">
        <f t="shared" si="126"/>
        <v>21000</v>
      </c>
      <c r="Q166" s="467">
        <f t="shared" si="127"/>
        <v>33000</v>
      </c>
      <c r="R166" s="467">
        <f t="shared" si="128"/>
        <v>75000</v>
      </c>
      <c r="S166" s="467">
        <f t="shared" si="129"/>
        <v>89108.2732799994</v>
      </c>
      <c r="T166" s="467">
        <f t="shared" si="130"/>
        <v>0</v>
      </c>
      <c r="U166" s="467"/>
      <c r="V166" s="467">
        <f t="shared" si="135"/>
        <v>218108.273279999</v>
      </c>
      <c r="W166" s="474">
        <v>12</v>
      </c>
      <c r="X166" s="467">
        <f t="shared" si="131"/>
        <v>18175.6894399999</v>
      </c>
      <c r="Y166" s="470"/>
      <c r="Z166" s="478">
        <f t="shared" si="132"/>
        <v>18175.6894399999</v>
      </c>
      <c r="AA166" s="479">
        <v>10776.4576266667</v>
      </c>
      <c r="AB166" s="479">
        <f t="shared" si="134"/>
        <v>7399.23181333325</v>
      </c>
      <c r="AC166" s="479"/>
      <c r="AD166" s="479"/>
      <c r="AE166" s="479"/>
    </row>
    <row r="167" ht="18" spans="1:31">
      <c r="A167" s="464">
        <v>150</v>
      </c>
      <c r="B167" s="18" t="s">
        <v>300</v>
      </c>
      <c r="C167" s="467">
        <v>200336.833333333</v>
      </c>
      <c r="D167" s="466">
        <v>12</v>
      </c>
      <c r="E167" s="467">
        <f t="shared" si="133"/>
        <v>2404042</v>
      </c>
      <c r="F167" s="467"/>
      <c r="G167" s="468">
        <v>156803.36</v>
      </c>
      <c r="H167" s="470"/>
      <c r="I167" s="467">
        <f t="shared" si="121"/>
        <v>2247238.64</v>
      </c>
      <c r="J167" s="467">
        <v>200000</v>
      </c>
      <c r="K167" s="467">
        <v>0.2</v>
      </c>
      <c r="L167" s="467">
        <f t="shared" si="122"/>
        <v>449447.727999999</v>
      </c>
      <c r="M167" s="467">
        <f t="shared" si="123"/>
        <v>649447.727999999</v>
      </c>
      <c r="N167" s="467">
        <f t="shared" si="124"/>
        <v>806251.087999999</v>
      </c>
      <c r="O167" s="467">
        <f t="shared" si="125"/>
        <v>1597790.912</v>
      </c>
      <c r="P167" s="467">
        <f t="shared" si="126"/>
        <v>21000</v>
      </c>
      <c r="Q167" s="467">
        <f t="shared" si="127"/>
        <v>33000</v>
      </c>
      <c r="R167" s="467">
        <f t="shared" si="128"/>
        <v>75000</v>
      </c>
      <c r="S167" s="467">
        <f t="shared" si="129"/>
        <v>94580.2732799994</v>
      </c>
      <c r="T167" s="467">
        <f t="shared" si="130"/>
        <v>0</v>
      </c>
      <c r="U167" s="467"/>
      <c r="V167" s="467">
        <f t="shared" si="135"/>
        <v>223580.273279999</v>
      </c>
      <c r="W167" s="474">
        <v>12</v>
      </c>
      <c r="X167" s="467">
        <f t="shared" si="131"/>
        <v>18631.6894399999</v>
      </c>
      <c r="Y167" s="470"/>
      <c r="Z167" s="478">
        <f t="shared" si="132"/>
        <v>18631.6894399999</v>
      </c>
      <c r="AA167" s="479">
        <v>11232.4576266667</v>
      </c>
      <c r="AB167" s="479">
        <f t="shared" si="134"/>
        <v>7399.23181333325</v>
      </c>
      <c r="AC167" s="479"/>
      <c r="AD167" s="479"/>
      <c r="AE167" s="479"/>
    </row>
    <row r="168" ht="36" spans="1:31">
      <c r="A168" s="464">
        <v>151</v>
      </c>
      <c r="B168" s="11" t="s">
        <v>301</v>
      </c>
      <c r="C168" s="467">
        <v>189814.166666667</v>
      </c>
      <c r="D168" s="466">
        <v>12</v>
      </c>
      <c r="E168" s="467">
        <f t="shared" si="133"/>
        <v>2277770</v>
      </c>
      <c r="F168" s="467"/>
      <c r="G168" s="468">
        <v>146701.6</v>
      </c>
      <c r="H168" s="470"/>
      <c r="I168" s="467">
        <f t="shared" si="121"/>
        <v>2131068.4</v>
      </c>
      <c r="J168" s="467">
        <v>200000</v>
      </c>
      <c r="K168" s="467">
        <v>0.2</v>
      </c>
      <c r="L168" s="467">
        <f t="shared" si="122"/>
        <v>426213.680000001</v>
      </c>
      <c r="M168" s="467">
        <f t="shared" si="123"/>
        <v>626213.680000001</v>
      </c>
      <c r="N168" s="467">
        <f t="shared" si="124"/>
        <v>772915.280000001</v>
      </c>
      <c r="O168" s="467">
        <f t="shared" si="125"/>
        <v>1504854.72</v>
      </c>
      <c r="P168" s="467">
        <f t="shared" si="126"/>
        <v>21000</v>
      </c>
      <c r="Q168" s="467">
        <f t="shared" si="127"/>
        <v>33000</v>
      </c>
      <c r="R168" s="467">
        <f t="shared" si="128"/>
        <v>75000</v>
      </c>
      <c r="S168" s="467">
        <f t="shared" si="129"/>
        <v>76922.3968000007</v>
      </c>
      <c r="T168" s="467">
        <f t="shared" si="130"/>
        <v>0</v>
      </c>
      <c r="U168" s="467"/>
      <c r="V168" s="467">
        <f t="shared" si="135"/>
        <v>205922.396800001</v>
      </c>
      <c r="W168" s="474">
        <v>12</v>
      </c>
      <c r="X168" s="467">
        <f t="shared" si="131"/>
        <v>17160.1997333334</v>
      </c>
      <c r="Y168" s="470"/>
      <c r="Z168" s="478">
        <f t="shared" si="132"/>
        <v>17160.1997333334</v>
      </c>
      <c r="AA168" s="479">
        <v>9152.59979</v>
      </c>
      <c r="AB168" s="479">
        <f t="shared" si="134"/>
        <v>8007.59994333339</v>
      </c>
      <c r="AC168" s="479"/>
      <c r="AD168" s="479"/>
      <c r="AE168" s="479"/>
    </row>
    <row r="169" ht="18" spans="1:31">
      <c r="A169" s="464">
        <v>152</v>
      </c>
      <c r="B169" s="11" t="s">
        <v>304</v>
      </c>
      <c r="C169" s="467">
        <v>189814.166666667</v>
      </c>
      <c r="D169" s="466">
        <v>12</v>
      </c>
      <c r="E169" s="467">
        <f t="shared" si="133"/>
        <v>2277770</v>
      </c>
      <c r="F169" s="467"/>
      <c r="G169" s="468">
        <v>146701.6</v>
      </c>
      <c r="H169" s="470"/>
      <c r="I169" s="467">
        <f t="shared" si="121"/>
        <v>2131068.4</v>
      </c>
      <c r="J169" s="467">
        <v>200000</v>
      </c>
      <c r="K169" s="467">
        <v>0.2</v>
      </c>
      <c r="L169" s="467">
        <f t="shared" si="122"/>
        <v>426213.680000001</v>
      </c>
      <c r="M169" s="467">
        <f t="shared" si="123"/>
        <v>626213.680000001</v>
      </c>
      <c r="N169" s="467">
        <f t="shared" si="124"/>
        <v>772915.280000001</v>
      </c>
      <c r="O169" s="467">
        <f t="shared" si="125"/>
        <v>1504854.72</v>
      </c>
      <c r="P169" s="467">
        <f t="shared" si="126"/>
        <v>21000</v>
      </c>
      <c r="Q169" s="467">
        <f t="shared" si="127"/>
        <v>33000</v>
      </c>
      <c r="R169" s="467">
        <f t="shared" si="128"/>
        <v>75000</v>
      </c>
      <c r="S169" s="467">
        <f t="shared" si="129"/>
        <v>76922.3968000007</v>
      </c>
      <c r="T169" s="467">
        <f t="shared" si="130"/>
        <v>0</v>
      </c>
      <c r="U169" s="467"/>
      <c r="V169" s="467">
        <f t="shared" si="135"/>
        <v>205922.396800001</v>
      </c>
      <c r="W169" s="474">
        <v>12</v>
      </c>
      <c r="X169" s="467">
        <f t="shared" si="131"/>
        <v>17160.1997333334</v>
      </c>
      <c r="Y169" s="470"/>
      <c r="Z169" s="478">
        <f t="shared" si="132"/>
        <v>17160.1997333334</v>
      </c>
      <c r="AA169" s="479">
        <v>9152.59979</v>
      </c>
      <c r="AB169" s="479">
        <f t="shared" si="134"/>
        <v>8007.59994333339</v>
      </c>
      <c r="AC169" s="479"/>
      <c r="AD169" s="479"/>
      <c r="AE169" s="479"/>
    </row>
    <row r="170" ht="18" spans="1:31">
      <c r="A170" s="464">
        <v>153</v>
      </c>
      <c r="B170" s="18" t="s">
        <v>305</v>
      </c>
      <c r="C170" s="467">
        <v>195075.5</v>
      </c>
      <c r="D170" s="466">
        <v>12</v>
      </c>
      <c r="E170" s="467">
        <f t="shared" si="133"/>
        <v>2340906</v>
      </c>
      <c r="F170" s="467"/>
      <c r="G170" s="468">
        <v>151752.48</v>
      </c>
      <c r="H170" s="470"/>
      <c r="I170" s="467">
        <f t="shared" si="121"/>
        <v>2189153.52</v>
      </c>
      <c r="J170" s="467">
        <v>200000</v>
      </c>
      <c r="K170" s="467">
        <v>0.2</v>
      </c>
      <c r="L170" s="467">
        <f t="shared" si="122"/>
        <v>437830.704</v>
      </c>
      <c r="M170" s="467">
        <f t="shared" si="123"/>
        <v>637830.704</v>
      </c>
      <c r="N170" s="467">
        <f t="shared" si="124"/>
        <v>789583.184</v>
      </c>
      <c r="O170" s="467">
        <f t="shared" si="125"/>
        <v>1551322.816</v>
      </c>
      <c r="P170" s="467">
        <f t="shared" si="126"/>
        <v>21000</v>
      </c>
      <c r="Q170" s="467">
        <f t="shared" si="127"/>
        <v>33000</v>
      </c>
      <c r="R170" s="467">
        <f t="shared" si="128"/>
        <v>75000</v>
      </c>
      <c r="S170" s="467">
        <f t="shared" si="129"/>
        <v>85751.33504</v>
      </c>
      <c r="T170" s="467">
        <f t="shared" si="130"/>
        <v>0</v>
      </c>
      <c r="U170" s="467"/>
      <c r="V170" s="467">
        <f t="shared" si="135"/>
        <v>214751.33504</v>
      </c>
      <c r="W170" s="474">
        <v>12</v>
      </c>
      <c r="X170" s="467">
        <f t="shared" si="131"/>
        <v>17895.9445866667</v>
      </c>
      <c r="Y170" s="470"/>
      <c r="Z170" s="478">
        <f t="shared" si="132"/>
        <v>17895.9445866667</v>
      </c>
      <c r="AA170" s="479">
        <v>9504.20414</v>
      </c>
      <c r="AB170" s="479">
        <f t="shared" si="134"/>
        <v>8391.74044666667</v>
      </c>
      <c r="AC170" s="479"/>
      <c r="AD170" s="479"/>
      <c r="AE170" s="479"/>
    </row>
    <row r="171" ht="29.25" customHeight="1" spans="1:31">
      <c r="A171" s="464">
        <v>154</v>
      </c>
      <c r="B171" s="11" t="s">
        <v>307</v>
      </c>
      <c r="C171" s="467">
        <v>121145.75</v>
      </c>
      <c r="D171" s="466">
        <v>12</v>
      </c>
      <c r="E171" s="467">
        <f t="shared" si="133"/>
        <v>1453749</v>
      </c>
      <c r="F171" s="467"/>
      <c r="G171" s="468">
        <v>90379.92</v>
      </c>
      <c r="H171" s="470"/>
      <c r="I171" s="467">
        <f t="shared" si="121"/>
        <v>1363369.08</v>
      </c>
      <c r="J171" s="467">
        <v>200000</v>
      </c>
      <c r="K171" s="467">
        <v>0.2</v>
      </c>
      <c r="L171" s="467">
        <f t="shared" si="122"/>
        <v>272673.816</v>
      </c>
      <c r="M171" s="467">
        <f t="shared" si="123"/>
        <v>472673.816</v>
      </c>
      <c r="N171" s="467">
        <f t="shared" si="124"/>
        <v>563053.736</v>
      </c>
      <c r="O171" s="467">
        <f t="shared" si="125"/>
        <v>890695.264</v>
      </c>
      <c r="P171" s="467">
        <f t="shared" si="126"/>
        <v>21000</v>
      </c>
      <c r="Q171" s="467">
        <f t="shared" si="127"/>
        <v>33000</v>
      </c>
      <c r="R171" s="467">
        <f t="shared" si="128"/>
        <v>43604.2896</v>
      </c>
      <c r="S171" s="467">
        <f t="shared" si="129"/>
        <v>0</v>
      </c>
      <c r="T171" s="467">
        <f t="shared" si="130"/>
        <v>0</v>
      </c>
      <c r="U171" s="467"/>
      <c r="V171" s="467">
        <f t="shared" si="135"/>
        <v>97604.2896</v>
      </c>
      <c r="W171" s="474">
        <v>12</v>
      </c>
      <c r="X171" s="467">
        <f t="shared" si="131"/>
        <v>8133.6908</v>
      </c>
      <c r="Y171" s="470"/>
      <c r="Z171" s="478">
        <f t="shared" si="132"/>
        <v>8133.6908</v>
      </c>
      <c r="AA171" s="479">
        <v>4365.33075466667</v>
      </c>
      <c r="AB171" s="479">
        <f t="shared" si="134"/>
        <v>3768.36004533333</v>
      </c>
      <c r="AC171" s="479"/>
      <c r="AD171" s="479"/>
      <c r="AE171" s="479"/>
    </row>
    <row r="172" ht="18" spans="1:31">
      <c r="A172" s="464">
        <v>155</v>
      </c>
      <c r="B172" s="11" t="s">
        <v>309</v>
      </c>
      <c r="C172" s="467">
        <v>118598</v>
      </c>
      <c r="D172" s="466">
        <v>12</v>
      </c>
      <c r="E172" s="467">
        <f t="shared" si="133"/>
        <v>1423176</v>
      </c>
      <c r="F172" s="467"/>
      <c r="G172" s="468">
        <v>87934.08</v>
      </c>
      <c r="H172" s="470"/>
      <c r="I172" s="467">
        <f t="shared" si="121"/>
        <v>1335241.92</v>
      </c>
      <c r="J172" s="467">
        <v>200000</v>
      </c>
      <c r="K172" s="467">
        <v>0.2</v>
      </c>
      <c r="L172" s="467">
        <f t="shared" si="122"/>
        <v>267048.384</v>
      </c>
      <c r="M172" s="467">
        <f t="shared" si="123"/>
        <v>467048.384</v>
      </c>
      <c r="N172" s="467">
        <f t="shared" si="124"/>
        <v>554982.464</v>
      </c>
      <c r="O172" s="467">
        <f t="shared" si="125"/>
        <v>868193.536</v>
      </c>
      <c r="P172" s="467">
        <f t="shared" si="126"/>
        <v>21000</v>
      </c>
      <c r="Q172" s="467">
        <f t="shared" si="127"/>
        <v>33000</v>
      </c>
      <c r="R172" s="467">
        <f t="shared" si="128"/>
        <v>40229.0304</v>
      </c>
      <c r="S172" s="467">
        <f t="shared" si="129"/>
        <v>0</v>
      </c>
      <c r="T172" s="467">
        <f t="shared" si="130"/>
        <v>0</v>
      </c>
      <c r="U172" s="467"/>
      <c r="V172" s="467">
        <f t="shared" si="135"/>
        <v>94229.0304</v>
      </c>
      <c r="W172" s="474">
        <v>12</v>
      </c>
      <c r="X172" s="467">
        <f t="shared" si="131"/>
        <v>7852.4192</v>
      </c>
      <c r="Y172" s="470"/>
      <c r="Z172" s="478">
        <f t="shared" si="132"/>
        <v>7852.4192</v>
      </c>
      <c r="AA172" s="479">
        <v>4227.52372266667</v>
      </c>
      <c r="AB172" s="479">
        <f t="shared" si="134"/>
        <v>3624.89547733333</v>
      </c>
      <c r="AC172" s="479"/>
      <c r="AD172" s="479"/>
      <c r="AE172" s="479"/>
    </row>
    <row r="173" ht="18" spans="1:31">
      <c r="A173" s="464">
        <v>156</v>
      </c>
      <c r="B173" s="11" t="s">
        <v>312</v>
      </c>
      <c r="C173" s="467">
        <v>115598</v>
      </c>
      <c r="D173" s="466">
        <v>12</v>
      </c>
      <c r="E173" s="467">
        <f t="shared" si="133"/>
        <v>1387176</v>
      </c>
      <c r="F173" s="467"/>
      <c r="G173" s="468">
        <v>87934.08</v>
      </c>
      <c r="H173" s="470"/>
      <c r="I173" s="467">
        <f t="shared" si="121"/>
        <v>1299241.92</v>
      </c>
      <c r="J173" s="467">
        <v>200000</v>
      </c>
      <c r="K173" s="467">
        <v>0.2</v>
      </c>
      <c r="L173" s="467">
        <f t="shared" si="122"/>
        <v>259848.384</v>
      </c>
      <c r="M173" s="467">
        <f t="shared" si="123"/>
        <v>459848.384</v>
      </c>
      <c r="N173" s="467">
        <f t="shared" si="124"/>
        <v>547782.464</v>
      </c>
      <c r="O173" s="467">
        <f t="shared" si="125"/>
        <v>839393.536</v>
      </c>
      <c r="P173" s="467">
        <f t="shared" si="126"/>
        <v>21000</v>
      </c>
      <c r="Q173" s="467">
        <f t="shared" si="127"/>
        <v>33000</v>
      </c>
      <c r="R173" s="467">
        <f t="shared" si="128"/>
        <v>35909.0304</v>
      </c>
      <c r="S173" s="467">
        <f t="shared" si="129"/>
        <v>0</v>
      </c>
      <c r="T173" s="467">
        <f t="shared" si="130"/>
        <v>0</v>
      </c>
      <c r="U173" s="467"/>
      <c r="V173" s="467">
        <f t="shared" si="135"/>
        <v>89909.0304</v>
      </c>
      <c r="W173" s="474">
        <v>12</v>
      </c>
      <c r="X173" s="467">
        <f t="shared" si="131"/>
        <v>7492.4192</v>
      </c>
      <c r="Y173" s="470"/>
      <c r="Z173" s="478">
        <f t="shared" si="132"/>
        <v>7492.4192</v>
      </c>
      <c r="AA173" s="479">
        <v>3963.52372266667</v>
      </c>
      <c r="AB173" s="479">
        <f t="shared" si="134"/>
        <v>3528.89547733333</v>
      </c>
      <c r="AC173" s="479"/>
      <c r="AD173" s="479"/>
      <c r="AE173" s="479"/>
    </row>
    <row r="174" ht="18" spans="1:31">
      <c r="A174" s="464">
        <v>157</v>
      </c>
      <c r="B174" s="11" t="s">
        <v>313</v>
      </c>
      <c r="C174" s="467">
        <v>118598</v>
      </c>
      <c r="D174" s="466">
        <v>12</v>
      </c>
      <c r="E174" s="467">
        <f t="shared" si="133"/>
        <v>1423176</v>
      </c>
      <c r="F174" s="467"/>
      <c r="G174" s="468">
        <v>87934.08</v>
      </c>
      <c r="H174" s="470"/>
      <c r="I174" s="467">
        <f t="shared" si="121"/>
        <v>1335241.92</v>
      </c>
      <c r="J174" s="467">
        <v>200000</v>
      </c>
      <c r="K174" s="467">
        <v>0.2</v>
      </c>
      <c r="L174" s="467">
        <f t="shared" si="122"/>
        <v>267048.384</v>
      </c>
      <c r="M174" s="467">
        <f t="shared" si="123"/>
        <v>467048.384</v>
      </c>
      <c r="N174" s="467">
        <f t="shared" si="124"/>
        <v>554982.464</v>
      </c>
      <c r="O174" s="467">
        <f t="shared" si="125"/>
        <v>868193.536</v>
      </c>
      <c r="P174" s="467">
        <f t="shared" si="126"/>
        <v>21000</v>
      </c>
      <c r="Q174" s="467">
        <f t="shared" si="127"/>
        <v>33000</v>
      </c>
      <c r="R174" s="467">
        <f t="shared" si="128"/>
        <v>40229.0304</v>
      </c>
      <c r="S174" s="467">
        <f t="shared" si="129"/>
        <v>0</v>
      </c>
      <c r="T174" s="467">
        <f t="shared" si="130"/>
        <v>0</v>
      </c>
      <c r="U174" s="467"/>
      <c r="V174" s="467">
        <f t="shared" si="135"/>
        <v>94229.0304</v>
      </c>
      <c r="W174" s="474">
        <v>12</v>
      </c>
      <c r="X174" s="467">
        <f t="shared" si="131"/>
        <v>7852.4192</v>
      </c>
      <c r="Y174" s="470"/>
      <c r="Z174" s="478">
        <f t="shared" si="132"/>
        <v>7852.4192</v>
      </c>
      <c r="AA174" s="479">
        <v>4227.52372266667</v>
      </c>
      <c r="AB174" s="479">
        <f t="shared" si="134"/>
        <v>3624.89547733333</v>
      </c>
      <c r="AC174" s="479"/>
      <c r="AD174" s="479"/>
      <c r="AE174" s="479"/>
    </row>
    <row r="175" ht="18" spans="1:31">
      <c r="A175" s="475"/>
      <c r="B175" s="11" t="s">
        <v>314</v>
      </c>
      <c r="C175" s="483">
        <v>115598</v>
      </c>
      <c r="D175" s="466">
        <v>12</v>
      </c>
      <c r="E175" s="467">
        <f t="shared" si="133"/>
        <v>1387176</v>
      </c>
      <c r="F175" s="467"/>
      <c r="G175" s="468">
        <v>87934.08</v>
      </c>
      <c r="H175" s="470"/>
      <c r="I175" s="467">
        <f t="shared" si="121"/>
        <v>1299241.92</v>
      </c>
      <c r="J175" s="467">
        <v>200000</v>
      </c>
      <c r="K175" s="467">
        <v>0.2</v>
      </c>
      <c r="L175" s="467">
        <f t="shared" si="122"/>
        <v>259848.384</v>
      </c>
      <c r="M175" s="467">
        <f t="shared" si="123"/>
        <v>459848.384</v>
      </c>
      <c r="N175" s="467">
        <f t="shared" si="124"/>
        <v>547782.464</v>
      </c>
      <c r="O175" s="467">
        <f t="shared" si="125"/>
        <v>839393.536</v>
      </c>
      <c r="P175" s="467">
        <f t="shared" si="126"/>
        <v>21000</v>
      </c>
      <c r="Q175" s="467">
        <f t="shared" si="127"/>
        <v>33000</v>
      </c>
      <c r="R175" s="467">
        <f t="shared" si="128"/>
        <v>35909.0304</v>
      </c>
      <c r="S175" s="467">
        <f t="shared" si="129"/>
        <v>0</v>
      </c>
      <c r="T175" s="467">
        <f t="shared" si="130"/>
        <v>0</v>
      </c>
      <c r="U175" s="467"/>
      <c r="V175" s="467">
        <f t="shared" si="135"/>
        <v>89909.0304</v>
      </c>
      <c r="W175" s="474">
        <v>12</v>
      </c>
      <c r="X175" s="467">
        <f t="shared" si="131"/>
        <v>7492.4192</v>
      </c>
      <c r="Y175" s="470"/>
      <c r="Z175" s="478">
        <f t="shared" si="132"/>
        <v>7492.4192</v>
      </c>
      <c r="AA175" s="479">
        <v>3963.52372266667</v>
      </c>
      <c r="AB175" s="479">
        <f t="shared" si="134"/>
        <v>3528.89547733333</v>
      </c>
      <c r="AC175" s="479"/>
      <c r="AD175" s="479"/>
      <c r="AE175" s="479"/>
    </row>
    <row r="176" ht="18" spans="1:28">
      <c r="A176" s="475"/>
      <c r="B176" s="11" t="s">
        <v>315</v>
      </c>
      <c r="C176" s="483">
        <v>118598</v>
      </c>
      <c r="D176" s="466">
        <v>12</v>
      </c>
      <c r="E176" s="467">
        <f t="shared" si="133"/>
        <v>1423176</v>
      </c>
      <c r="F176" s="467"/>
      <c r="G176" s="468">
        <v>87934.08</v>
      </c>
      <c r="H176" s="470"/>
      <c r="I176" s="467">
        <f t="shared" si="121"/>
        <v>1335241.92</v>
      </c>
      <c r="J176" s="467">
        <v>200000</v>
      </c>
      <c r="K176" s="467">
        <v>0.2</v>
      </c>
      <c r="L176" s="467">
        <f t="shared" si="122"/>
        <v>267048.384</v>
      </c>
      <c r="M176" s="467">
        <f t="shared" si="123"/>
        <v>467048.384</v>
      </c>
      <c r="N176" s="467">
        <f t="shared" si="124"/>
        <v>554982.464</v>
      </c>
      <c r="O176" s="467">
        <f t="shared" si="125"/>
        <v>868193.536</v>
      </c>
      <c r="P176" s="467">
        <f t="shared" si="126"/>
        <v>21000</v>
      </c>
      <c r="Q176" s="467">
        <f t="shared" si="127"/>
        <v>33000</v>
      </c>
      <c r="R176" s="467">
        <f t="shared" si="128"/>
        <v>40229.0304</v>
      </c>
      <c r="S176" s="467">
        <f t="shared" si="129"/>
        <v>0</v>
      </c>
      <c r="T176" s="467">
        <f t="shared" si="130"/>
        <v>0</v>
      </c>
      <c r="U176" s="467"/>
      <c r="V176" s="467">
        <f t="shared" si="135"/>
        <v>94229.0304</v>
      </c>
      <c r="W176" s="474">
        <v>12</v>
      </c>
      <c r="X176" s="467">
        <f t="shared" si="131"/>
        <v>7852.4192</v>
      </c>
      <c r="Y176" s="470"/>
      <c r="Z176" s="478">
        <f t="shared" si="132"/>
        <v>7852.4192</v>
      </c>
      <c r="AA176" s="479">
        <v>4227.52372266667</v>
      </c>
      <c r="AB176" s="479">
        <f t="shared" si="134"/>
        <v>3624.89547733333</v>
      </c>
    </row>
    <row r="177" ht="18" spans="2:28">
      <c r="B177" s="18" t="s">
        <v>316</v>
      </c>
      <c r="C177" s="479">
        <v>115598</v>
      </c>
      <c r="D177" s="466">
        <v>12</v>
      </c>
      <c r="E177" s="467">
        <f t="shared" si="133"/>
        <v>1387176</v>
      </c>
      <c r="G177" s="468">
        <v>87934.08</v>
      </c>
      <c r="I177" s="467">
        <f t="shared" si="121"/>
        <v>1299241.92</v>
      </c>
      <c r="J177" s="467">
        <v>200000</v>
      </c>
      <c r="K177" s="467">
        <v>0.2</v>
      </c>
      <c r="L177" s="467">
        <f t="shared" si="122"/>
        <v>259848.384</v>
      </c>
      <c r="M177" s="467">
        <f t="shared" si="123"/>
        <v>459848.384</v>
      </c>
      <c r="N177" s="467">
        <f t="shared" si="124"/>
        <v>547782.464</v>
      </c>
      <c r="O177" s="467">
        <f t="shared" si="125"/>
        <v>839393.536</v>
      </c>
      <c r="P177" s="467">
        <f t="shared" si="126"/>
        <v>21000</v>
      </c>
      <c r="Q177" s="467">
        <f t="shared" si="127"/>
        <v>33000</v>
      </c>
      <c r="R177" s="467">
        <f t="shared" si="128"/>
        <v>35909.0304</v>
      </c>
      <c r="S177" s="467">
        <f t="shared" si="129"/>
        <v>0</v>
      </c>
      <c r="T177" s="467">
        <f t="shared" si="130"/>
        <v>0</v>
      </c>
      <c r="U177" s="467"/>
      <c r="V177" s="467">
        <f t="shared" si="135"/>
        <v>89909.0304</v>
      </c>
      <c r="W177" s="474">
        <v>12</v>
      </c>
      <c r="X177" s="467">
        <f t="shared" si="131"/>
        <v>7492.4192</v>
      </c>
      <c r="Z177" s="478">
        <f t="shared" si="132"/>
        <v>7492.4192</v>
      </c>
      <c r="AA177" s="479">
        <v>3963.52372266667</v>
      </c>
      <c r="AB177" s="479">
        <f t="shared" si="134"/>
        <v>3528.89547733333</v>
      </c>
    </row>
    <row r="178" ht="18" spans="2:28">
      <c r="B178" s="18" t="s">
        <v>317</v>
      </c>
      <c r="C178" s="479">
        <v>118598</v>
      </c>
      <c r="D178" s="466">
        <v>12</v>
      </c>
      <c r="E178" s="467">
        <f t="shared" si="133"/>
        <v>1423176</v>
      </c>
      <c r="G178" s="468">
        <v>87934.08</v>
      </c>
      <c r="I178" s="467">
        <f t="shared" si="121"/>
        <v>1335241.92</v>
      </c>
      <c r="J178" s="467">
        <v>200000</v>
      </c>
      <c r="K178" s="467">
        <v>0.2</v>
      </c>
      <c r="L178" s="467">
        <f t="shared" si="122"/>
        <v>267048.384</v>
      </c>
      <c r="M178" s="467">
        <f t="shared" si="123"/>
        <v>467048.384</v>
      </c>
      <c r="N178" s="467">
        <f t="shared" si="124"/>
        <v>554982.464</v>
      </c>
      <c r="O178" s="467">
        <f t="shared" si="125"/>
        <v>868193.536</v>
      </c>
      <c r="P178" s="467">
        <f t="shared" si="126"/>
        <v>21000</v>
      </c>
      <c r="Q178" s="467">
        <f t="shared" si="127"/>
        <v>33000</v>
      </c>
      <c r="R178" s="467">
        <f t="shared" si="128"/>
        <v>40229.0304</v>
      </c>
      <c r="S178" s="467">
        <f t="shared" si="129"/>
        <v>0</v>
      </c>
      <c r="T178" s="467">
        <f t="shared" si="130"/>
        <v>0</v>
      </c>
      <c r="U178" s="467"/>
      <c r="V178" s="467">
        <f t="shared" si="135"/>
        <v>94229.0304</v>
      </c>
      <c r="W178" s="474">
        <v>12</v>
      </c>
      <c r="X178" s="467">
        <f t="shared" si="131"/>
        <v>7852.4192</v>
      </c>
      <c r="Z178" s="478">
        <f t="shared" si="132"/>
        <v>7852.4192</v>
      </c>
      <c r="AA178" s="479">
        <v>4227.52372266667</v>
      </c>
      <c r="AB178" s="479">
        <f t="shared" si="134"/>
        <v>3624.89547733333</v>
      </c>
    </row>
    <row r="179" ht="18" spans="2:28">
      <c r="B179" s="11" t="s">
        <v>318</v>
      </c>
      <c r="C179" s="479">
        <v>118598</v>
      </c>
      <c r="D179" s="466">
        <v>12</v>
      </c>
      <c r="E179" s="467">
        <f t="shared" si="133"/>
        <v>1423176</v>
      </c>
      <c r="G179" s="468">
        <v>87934.08</v>
      </c>
      <c r="I179" s="467">
        <f t="shared" si="121"/>
        <v>1335241.92</v>
      </c>
      <c r="J179" s="467">
        <v>200000</v>
      </c>
      <c r="K179" s="467">
        <v>0.2</v>
      </c>
      <c r="L179" s="467">
        <f t="shared" si="122"/>
        <v>267048.384</v>
      </c>
      <c r="M179" s="467">
        <f t="shared" si="123"/>
        <v>467048.384</v>
      </c>
      <c r="N179" s="467">
        <f t="shared" si="124"/>
        <v>554982.464</v>
      </c>
      <c r="O179" s="467">
        <f t="shared" si="125"/>
        <v>868193.536</v>
      </c>
      <c r="P179" s="467">
        <f t="shared" si="126"/>
        <v>21000</v>
      </c>
      <c r="Q179" s="467">
        <f t="shared" si="127"/>
        <v>33000</v>
      </c>
      <c r="R179" s="467">
        <f t="shared" si="128"/>
        <v>40229.0304</v>
      </c>
      <c r="S179" s="467">
        <f t="shared" si="129"/>
        <v>0</v>
      </c>
      <c r="T179" s="467">
        <f t="shared" si="130"/>
        <v>0</v>
      </c>
      <c r="V179" s="467">
        <f t="shared" si="135"/>
        <v>94229.0304</v>
      </c>
      <c r="W179" s="474">
        <v>12</v>
      </c>
      <c r="X179" s="467">
        <f t="shared" si="131"/>
        <v>7852.4192</v>
      </c>
      <c r="Z179" s="478">
        <f t="shared" si="132"/>
        <v>7852.4192</v>
      </c>
      <c r="AA179" s="479">
        <v>4089.71669066667</v>
      </c>
      <c r="AB179" s="479">
        <f t="shared" si="134"/>
        <v>3762.70250933333</v>
      </c>
    </row>
    <row r="180" ht="18" spans="2:28">
      <c r="B180" s="11" t="s">
        <v>319</v>
      </c>
      <c r="C180" s="479">
        <v>118598</v>
      </c>
      <c r="D180" s="466">
        <v>12</v>
      </c>
      <c r="E180" s="467">
        <f t="shared" si="133"/>
        <v>1423176</v>
      </c>
      <c r="G180" s="468">
        <v>87934.08</v>
      </c>
      <c r="I180" s="467">
        <f t="shared" si="121"/>
        <v>1335241.92</v>
      </c>
      <c r="J180" s="467">
        <v>200000</v>
      </c>
      <c r="K180" s="467">
        <v>0.2</v>
      </c>
      <c r="L180" s="467">
        <f t="shared" si="122"/>
        <v>267048.384</v>
      </c>
      <c r="M180" s="467">
        <f t="shared" si="123"/>
        <v>467048.384</v>
      </c>
      <c r="N180" s="467">
        <f t="shared" si="124"/>
        <v>554982.464</v>
      </c>
      <c r="O180" s="467">
        <f t="shared" si="125"/>
        <v>868193.536</v>
      </c>
      <c r="P180" s="467">
        <f t="shared" si="126"/>
        <v>21000</v>
      </c>
      <c r="Q180" s="467">
        <f t="shared" si="127"/>
        <v>33000</v>
      </c>
      <c r="R180" s="467">
        <f t="shared" si="128"/>
        <v>40229.0304</v>
      </c>
      <c r="S180" s="467">
        <f t="shared" si="129"/>
        <v>0</v>
      </c>
      <c r="T180" s="467">
        <f t="shared" si="130"/>
        <v>0</v>
      </c>
      <c r="V180" s="467">
        <f t="shared" si="135"/>
        <v>94229.0304</v>
      </c>
      <c r="W180" s="474">
        <v>12</v>
      </c>
      <c r="X180" s="467">
        <f t="shared" si="131"/>
        <v>7852.4192</v>
      </c>
      <c r="Z180" s="478">
        <f t="shared" si="132"/>
        <v>7852.4192</v>
      </c>
      <c r="AA180" s="479">
        <v>4227.52372266667</v>
      </c>
      <c r="AB180" s="479">
        <f t="shared" si="134"/>
        <v>3624.89547733333</v>
      </c>
    </row>
    <row r="181" ht="18" spans="2:28">
      <c r="B181" s="18" t="s">
        <v>320</v>
      </c>
      <c r="C181" s="479">
        <v>116050.25</v>
      </c>
      <c r="D181" s="466">
        <v>12</v>
      </c>
      <c r="E181" s="467">
        <f t="shared" si="133"/>
        <v>1392603</v>
      </c>
      <c r="G181" s="468">
        <v>85488.24</v>
      </c>
      <c r="I181" s="467">
        <f t="shared" si="121"/>
        <v>1307114.76</v>
      </c>
      <c r="J181" s="467">
        <v>200000</v>
      </c>
      <c r="K181" s="467">
        <v>0.2</v>
      </c>
      <c r="L181" s="467">
        <f t="shared" si="122"/>
        <v>261422.952</v>
      </c>
      <c r="M181" s="467">
        <f t="shared" si="123"/>
        <v>461422.952</v>
      </c>
      <c r="N181" s="467">
        <f t="shared" si="124"/>
        <v>546911.192</v>
      </c>
      <c r="O181" s="467">
        <f t="shared" si="125"/>
        <v>845691.808</v>
      </c>
      <c r="P181" s="467">
        <f t="shared" si="126"/>
        <v>21000</v>
      </c>
      <c r="Q181" s="467">
        <f t="shared" si="127"/>
        <v>33000</v>
      </c>
      <c r="R181" s="467">
        <f t="shared" si="128"/>
        <v>36853.7712</v>
      </c>
      <c r="S181" s="467">
        <f t="shared" si="129"/>
        <v>0</v>
      </c>
      <c r="T181" s="467">
        <f t="shared" si="130"/>
        <v>0</v>
      </c>
      <c r="V181" s="467">
        <f t="shared" si="135"/>
        <v>90853.7712</v>
      </c>
      <c r="W181" s="474">
        <v>12</v>
      </c>
      <c r="X181" s="467">
        <f t="shared" si="131"/>
        <v>7571.1476</v>
      </c>
      <c r="Z181" s="478">
        <f t="shared" si="132"/>
        <v>7571.1476</v>
      </c>
      <c r="AA181" s="479">
        <v>4089.71669066667</v>
      </c>
      <c r="AB181" s="479">
        <f t="shared" si="134"/>
        <v>3481.43090933333</v>
      </c>
    </row>
    <row r="182" ht="18" spans="2:28">
      <c r="B182" s="18" t="s">
        <v>325</v>
      </c>
      <c r="C182" s="479">
        <v>102926.916666667</v>
      </c>
      <c r="D182" s="466">
        <v>12</v>
      </c>
      <c r="E182" s="467">
        <f t="shared" si="133"/>
        <v>1235123</v>
      </c>
      <c r="G182" s="468">
        <v>77689.84</v>
      </c>
      <c r="I182" s="467">
        <f t="shared" si="121"/>
        <v>1157433.16</v>
      </c>
      <c r="J182" s="467">
        <v>200000</v>
      </c>
      <c r="K182" s="467">
        <v>0.2</v>
      </c>
      <c r="L182" s="467">
        <f t="shared" si="122"/>
        <v>231486.632000001</v>
      </c>
      <c r="M182" s="467">
        <f t="shared" si="123"/>
        <v>431486.632000001</v>
      </c>
      <c r="N182" s="467">
        <f t="shared" si="124"/>
        <v>509176.472000001</v>
      </c>
      <c r="O182" s="467">
        <f t="shared" si="125"/>
        <v>725946.528000003</v>
      </c>
      <c r="P182" s="467">
        <f t="shared" si="126"/>
        <v>21000</v>
      </c>
      <c r="Q182" s="467">
        <f t="shared" si="127"/>
        <v>33000</v>
      </c>
      <c r="R182" s="467">
        <f t="shared" si="128"/>
        <v>18891.9792000005</v>
      </c>
      <c r="S182" s="467">
        <f t="shared" si="129"/>
        <v>0</v>
      </c>
      <c r="T182" s="467">
        <f t="shared" si="130"/>
        <v>0</v>
      </c>
      <c r="V182" s="467">
        <f t="shared" si="135"/>
        <v>72891.9792000005</v>
      </c>
      <c r="W182" s="474">
        <v>12</v>
      </c>
      <c r="X182" s="467">
        <f t="shared" si="131"/>
        <v>6074.33160000004</v>
      </c>
      <c r="Z182" s="478">
        <f t="shared" si="132"/>
        <v>6074.33160000004</v>
      </c>
      <c r="AA182" s="479">
        <v>3210.15440486667</v>
      </c>
      <c r="AB182" s="479">
        <f t="shared" si="134"/>
        <v>2864.17719513337</v>
      </c>
    </row>
    <row r="183" ht="18" spans="2:28">
      <c r="B183" s="18" t="s">
        <v>326</v>
      </c>
      <c r="C183" s="479">
        <v>95540.75</v>
      </c>
      <c r="D183" s="466">
        <v>12</v>
      </c>
      <c r="E183" s="467">
        <f t="shared" si="133"/>
        <v>1146489</v>
      </c>
      <c r="G183" s="468">
        <f>6123.26*12</f>
        <v>73479.12</v>
      </c>
      <c r="I183" s="467">
        <f t="shared" si="121"/>
        <v>1073009.88</v>
      </c>
      <c r="J183" s="467">
        <v>200000</v>
      </c>
      <c r="K183" s="467">
        <v>0.2</v>
      </c>
      <c r="L183" s="467">
        <f t="shared" si="122"/>
        <v>214601.976</v>
      </c>
      <c r="M183" s="467">
        <f t="shared" si="123"/>
        <v>414601.976</v>
      </c>
      <c r="N183" s="467">
        <f t="shared" si="124"/>
        <v>488081.096</v>
      </c>
      <c r="O183" s="467">
        <f t="shared" si="125"/>
        <v>658407.904</v>
      </c>
      <c r="P183" s="467">
        <f t="shared" si="126"/>
        <v>21000</v>
      </c>
      <c r="Q183" s="467">
        <f t="shared" si="127"/>
        <v>33000</v>
      </c>
      <c r="R183" s="467">
        <f t="shared" si="128"/>
        <v>8761.1856</v>
      </c>
      <c r="S183" s="467">
        <f t="shared" si="129"/>
        <v>0</v>
      </c>
      <c r="T183" s="467">
        <f t="shared" si="130"/>
        <v>0</v>
      </c>
      <c r="V183" s="467">
        <f t="shared" si="135"/>
        <v>62761.1856</v>
      </c>
      <c r="W183" s="474">
        <v>12</v>
      </c>
      <c r="X183" s="467">
        <f t="shared" si="131"/>
        <v>5230.0988</v>
      </c>
      <c r="Z183" s="478">
        <f t="shared" si="132"/>
        <v>5230.0988</v>
      </c>
      <c r="AA183" s="479">
        <v>2708.91364066667</v>
      </c>
      <c r="AB183" s="479">
        <f t="shared" si="134"/>
        <v>2521.18515933333</v>
      </c>
    </row>
    <row r="184" ht="18" spans="2:28">
      <c r="B184" s="18" t="s">
        <v>329</v>
      </c>
      <c r="C184" s="479">
        <v>95540.75</v>
      </c>
      <c r="D184" s="466">
        <v>12</v>
      </c>
      <c r="E184" s="467">
        <f t="shared" si="133"/>
        <v>1146489</v>
      </c>
      <c r="G184" s="468">
        <f t="shared" ref="G184:G185" si="136">6123.26*12</f>
        <v>73479.12</v>
      </c>
      <c r="I184" s="467">
        <f t="shared" si="121"/>
        <v>1073009.88</v>
      </c>
      <c r="J184" s="467">
        <v>200000</v>
      </c>
      <c r="K184" s="467">
        <v>0.2</v>
      </c>
      <c r="L184" s="467">
        <f t="shared" si="122"/>
        <v>214601.976</v>
      </c>
      <c r="M184" s="467">
        <f t="shared" si="123"/>
        <v>414601.976</v>
      </c>
      <c r="N184" s="467">
        <f t="shared" si="124"/>
        <v>488081.096</v>
      </c>
      <c r="O184" s="467">
        <f t="shared" si="125"/>
        <v>658407.904</v>
      </c>
      <c r="P184" s="467">
        <f t="shared" si="126"/>
        <v>21000</v>
      </c>
      <c r="Q184" s="467">
        <f t="shared" si="127"/>
        <v>33000</v>
      </c>
      <c r="R184" s="467">
        <f t="shared" si="128"/>
        <v>8761.1856</v>
      </c>
      <c r="S184" s="467">
        <f t="shared" si="129"/>
        <v>0</v>
      </c>
      <c r="T184" s="467">
        <f t="shared" si="130"/>
        <v>0</v>
      </c>
      <c r="V184" s="467">
        <f t="shared" si="135"/>
        <v>62761.1856</v>
      </c>
      <c r="W184" s="474">
        <v>12</v>
      </c>
      <c r="X184" s="467">
        <f t="shared" si="131"/>
        <v>5230.0988</v>
      </c>
      <c r="Z184" s="478">
        <f t="shared" si="132"/>
        <v>5230.0988</v>
      </c>
      <c r="AA184" s="479">
        <v>2708.91364066667</v>
      </c>
      <c r="AB184" s="479">
        <f t="shared" si="134"/>
        <v>2521.18515933333</v>
      </c>
    </row>
    <row r="185" ht="18" spans="2:28">
      <c r="B185" s="18" t="s">
        <v>330</v>
      </c>
      <c r="C185" s="479">
        <v>95540.75</v>
      </c>
      <c r="D185" s="466">
        <v>12</v>
      </c>
      <c r="E185" s="467">
        <f t="shared" si="133"/>
        <v>1146489</v>
      </c>
      <c r="G185" s="468">
        <f t="shared" si="136"/>
        <v>73479.12</v>
      </c>
      <c r="I185" s="467">
        <f t="shared" si="121"/>
        <v>1073009.88</v>
      </c>
      <c r="J185" s="467">
        <v>200000</v>
      </c>
      <c r="K185" s="467">
        <v>0.2</v>
      </c>
      <c r="L185" s="467">
        <f t="shared" si="122"/>
        <v>214601.976</v>
      </c>
      <c r="M185" s="467">
        <f t="shared" si="123"/>
        <v>414601.976</v>
      </c>
      <c r="N185" s="467">
        <f t="shared" si="124"/>
        <v>488081.096</v>
      </c>
      <c r="O185" s="467">
        <f t="shared" si="125"/>
        <v>658407.904</v>
      </c>
      <c r="P185" s="467">
        <f t="shared" si="126"/>
        <v>21000</v>
      </c>
      <c r="Q185" s="467">
        <f t="shared" si="127"/>
        <v>33000</v>
      </c>
      <c r="R185" s="467">
        <f t="shared" si="128"/>
        <v>8761.1856</v>
      </c>
      <c r="S185" s="467">
        <f t="shared" si="129"/>
        <v>0</v>
      </c>
      <c r="T185" s="467">
        <f t="shared" si="130"/>
        <v>0</v>
      </c>
      <c r="V185" s="467">
        <f t="shared" si="135"/>
        <v>62761.1856</v>
      </c>
      <c r="W185" s="474">
        <v>12</v>
      </c>
      <c r="X185" s="467">
        <f t="shared" si="131"/>
        <v>5230.0988</v>
      </c>
      <c r="Z185" s="478">
        <f t="shared" si="132"/>
        <v>5230.0988</v>
      </c>
      <c r="AA185" s="479">
        <v>2708.91364066667</v>
      </c>
      <c r="AB185" s="479">
        <f t="shared" si="134"/>
        <v>2521.18515933333</v>
      </c>
    </row>
    <row r="186" ht="18" spans="2:28">
      <c r="B186" s="484" t="s">
        <v>331</v>
      </c>
      <c r="C186" s="479">
        <v>108502.5</v>
      </c>
      <c r="D186" s="485">
        <v>12</v>
      </c>
      <c r="E186" s="486">
        <f t="shared" si="133"/>
        <v>1302030</v>
      </c>
      <c r="G186" s="487">
        <f>6920.2*12</f>
        <v>83042.4</v>
      </c>
      <c r="I186" s="486">
        <f t="shared" si="121"/>
        <v>1218987.6</v>
      </c>
      <c r="J186" s="467">
        <v>200000</v>
      </c>
      <c r="K186" s="467">
        <v>0.2</v>
      </c>
      <c r="L186" s="467">
        <f t="shared" si="122"/>
        <v>243797.52</v>
      </c>
      <c r="M186" s="467">
        <f t="shared" si="123"/>
        <v>443797.52</v>
      </c>
      <c r="N186" s="467">
        <f t="shared" si="124"/>
        <v>526839.92</v>
      </c>
      <c r="O186" s="467">
        <f t="shared" si="125"/>
        <v>775190.08</v>
      </c>
      <c r="P186" s="467">
        <f t="shared" si="126"/>
        <v>21000</v>
      </c>
      <c r="Q186" s="467">
        <f t="shared" si="127"/>
        <v>33000</v>
      </c>
      <c r="R186" s="467">
        <f t="shared" si="128"/>
        <v>26278.512</v>
      </c>
      <c r="S186" s="467">
        <f t="shared" si="129"/>
        <v>0</v>
      </c>
      <c r="T186" s="467">
        <f t="shared" si="130"/>
        <v>0</v>
      </c>
      <c r="V186" s="467">
        <f t="shared" si="135"/>
        <v>80278.512</v>
      </c>
      <c r="W186" s="474">
        <v>12</v>
      </c>
      <c r="X186" s="467">
        <f t="shared" si="131"/>
        <v>6689.876</v>
      </c>
      <c r="Z186" s="478">
        <f t="shared" si="132"/>
        <v>6689.876</v>
      </c>
      <c r="AA186" s="479">
        <v>3511.79662266667</v>
      </c>
      <c r="AB186" s="479">
        <f t="shared" si="134"/>
        <v>3178.07937733333</v>
      </c>
    </row>
    <row r="187" ht="18" spans="2:28">
      <c r="B187" s="484" t="s">
        <v>334</v>
      </c>
      <c r="C187" s="488">
        <v>108502.5</v>
      </c>
      <c r="D187" s="485">
        <v>12</v>
      </c>
      <c r="E187" s="486">
        <f t="shared" si="133"/>
        <v>1302030</v>
      </c>
      <c r="F187" s="489"/>
      <c r="G187" s="487">
        <f>6920.2*12</f>
        <v>83042.4</v>
      </c>
      <c r="H187" s="489"/>
      <c r="I187" s="486">
        <f t="shared" si="121"/>
        <v>1218987.6</v>
      </c>
      <c r="J187" s="486">
        <v>200000</v>
      </c>
      <c r="K187" s="486">
        <v>0.2</v>
      </c>
      <c r="L187" s="486">
        <f t="shared" si="122"/>
        <v>243797.52</v>
      </c>
      <c r="M187" s="486">
        <f t="shared" si="123"/>
        <v>443797.52</v>
      </c>
      <c r="N187" s="486">
        <f t="shared" si="124"/>
        <v>526839.92</v>
      </c>
      <c r="O187" s="486">
        <f t="shared" si="125"/>
        <v>775190.08</v>
      </c>
      <c r="P187" s="486">
        <f t="shared" si="126"/>
        <v>21000</v>
      </c>
      <c r="Q187" s="486">
        <f t="shared" si="127"/>
        <v>33000</v>
      </c>
      <c r="R187" s="486">
        <f t="shared" si="128"/>
        <v>26278.512</v>
      </c>
      <c r="S187" s="486">
        <f t="shared" si="129"/>
        <v>0</v>
      </c>
      <c r="T187" s="486">
        <f t="shared" si="130"/>
        <v>0</v>
      </c>
      <c r="V187" s="486">
        <f t="shared" si="135"/>
        <v>80278.512</v>
      </c>
      <c r="W187" s="500">
        <v>12</v>
      </c>
      <c r="X187" s="486">
        <f t="shared" si="131"/>
        <v>6689.876</v>
      </c>
      <c r="Z187" s="501">
        <f t="shared" si="132"/>
        <v>6689.876</v>
      </c>
      <c r="AA187" s="479">
        <v>3511.79662266667</v>
      </c>
      <c r="AB187" s="479">
        <f t="shared" si="134"/>
        <v>3178.07937733333</v>
      </c>
    </row>
    <row r="188" ht="35.25" customHeight="1" spans="2:28">
      <c r="B188" s="490" t="s">
        <v>469</v>
      </c>
      <c r="C188" s="491">
        <f>SUM(C6:C187)</f>
        <v>79212127.886105</v>
      </c>
      <c r="D188" s="492"/>
      <c r="E188" s="493"/>
      <c r="F188" s="494">
        <f>SUM(F6:F187)</f>
        <v>276375.747</v>
      </c>
      <c r="G188" s="494">
        <f>SUM(G6:G187)</f>
        <v>54773768.88</v>
      </c>
      <c r="H188" s="495"/>
      <c r="I188" s="495"/>
      <c r="J188" s="495"/>
      <c r="K188" s="495"/>
      <c r="L188" s="495"/>
      <c r="M188" s="495"/>
      <c r="N188" s="495"/>
      <c r="O188" s="495"/>
      <c r="P188" s="495"/>
      <c r="Q188" s="495"/>
      <c r="R188" s="495"/>
      <c r="S188" s="495"/>
      <c r="T188" s="495"/>
      <c r="U188" s="495"/>
      <c r="V188" s="494">
        <f>SUM(V6:V187)</f>
        <v>135631933.582434</v>
      </c>
      <c r="W188" s="494"/>
      <c r="X188" s="494">
        <f t="shared" ref="X188" si="137">SUM(X6:X187)</f>
        <v>11302661.1318695</v>
      </c>
      <c r="Y188" s="494"/>
      <c r="Z188" s="494">
        <f t="shared" ref="Z188" si="138">SUM(Z6:Z187)</f>
        <v>11302661.1318695</v>
      </c>
      <c r="AA188" s="495"/>
      <c r="AB188" s="495"/>
    </row>
    <row r="189" ht="26.25" customHeight="1" spans="2:28">
      <c r="B189" s="496" t="s">
        <v>470</v>
      </c>
      <c r="C189" s="491"/>
      <c r="D189" s="492"/>
      <c r="E189" s="492"/>
      <c r="F189" s="497">
        <f>F188/12</f>
        <v>23031.31225</v>
      </c>
      <c r="G189" s="497">
        <f>G188/12</f>
        <v>4564480.74</v>
      </c>
      <c r="H189" s="495"/>
      <c r="I189" s="495"/>
      <c r="J189" s="495"/>
      <c r="K189" s="495"/>
      <c r="L189" s="495"/>
      <c r="M189" s="495"/>
      <c r="N189" s="495"/>
      <c r="O189" s="495"/>
      <c r="P189" s="495"/>
      <c r="Q189" s="495"/>
      <c r="R189" s="495"/>
      <c r="S189" s="495"/>
      <c r="T189" s="495"/>
      <c r="U189" s="495"/>
      <c r="V189" s="497">
        <f>V188/12</f>
        <v>11302661.1318695</v>
      </c>
      <c r="W189" s="492"/>
      <c r="X189" s="492"/>
      <c r="Y189" s="492"/>
      <c r="Z189" s="492"/>
      <c r="AA189" s="495"/>
      <c r="AB189" s="495"/>
    </row>
    <row r="190" ht="17.5" spans="2:6">
      <c r="B190" s="33"/>
      <c r="C190" s="479"/>
      <c r="F190" s="498"/>
    </row>
    <row r="191" ht="13" spans="6:26">
      <c r="F191" s="499"/>
      <c r="Z191" s="494">
        <v>11287301.1318695</v>
      </c>
    </row>
  </sheetData>
  <mergeCells count="3">
    <mergeCell ref="A1:Y1"/>
    <mergeCell ref="A2:Y2"/>
    <mergeCell ref="A3:Y3"/>
  </mergeCell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opLeftCell="A83" workbookViewId="0">
      <selection activeCell="E93" sqref="E93"/>
    </sheetView>
  </sheetViews>
  <sheetFormatPr defaultColWidth="9.13636363636364" defaultRowHeight="18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20.2818181818182" style="1" customWidth="1"/>
    <col min="6" max="6" width="18" style="1" customWidth="1"/>
    <col min="7" max="7" width="21.7090909090909" style="1" customWidth="1"/>
    <col min="8" max="16384" width="9.13636363636364" style="1"/>
  </cols>
  <sheetData>
    <row r="1" ht="27" customHeight="1" spans="1:6">
      <c r="A1" s="75" t="s">
        <v>0</v>
      </c>
      <c r="B1" s="75"/>
      <c r="C1" s="75"/>
      <c r="D1" s="75"/>
      <c r="E1" s="75"/>
      <c r="F1" s="75"/>
    </row>
    <row r="2" ht="20.25" customHeight="1" spans="1:6">
      <c r="A2" s="75" t="s">
        <v>640</v>
      </c>
      <c r="B2" s="75"/>
      <c r="C2" s="75"/>
      <c r="D2" s="75"/>
      <c r="E2" s="75"/>
      <c r="F2" s="75"/>
    </row>
    <row r="3" ht="9.75" customHeight="1" spans="1:6">
      <c r="A3" s="75"/>
      <c r="B3" s="75"/>
      <c r="C3" s="75"/>
      <c r="D3" s="75"/>
      <c r="E3" s="75"/>
      <c r="F3" s="75"/>
    </row>
    <row r="4" ht="13.5" customHeight="1" spans="5:6">
      <c r="E4" s="217"/>
      <c r="F4" s="217"/>
    </row>
    <row r="5" ht="52.5" customHeight="1" spans="1:6">
      <c r="A5" s="4"/>
      <c r="B5" s="5" t="s">
        <v>2</v>
      </c>
      <c r="C5" s="6" t="s">
        <v>3</v>
      </c>
      <c r="D5" s="7" t="s">
        <v>4</v>
      </c>
      <c r="E5" s="218" t="s">
        <v>641</v>
      </c>
      <c r="F5" s="218" t="s">
        <v>15</v>
      </c>
    </row>
    <row r="6" ht="17.25" customHeight="1" spans="3:6">
      <c r="C6" s="8"/>
      <c r="D6" s="8"/>
      <c r="E6" s="82" t="s">
        <v>19</v>
      </c>
      <c r="F6" s="82" t="s">
        <v>19</v>
      </c>
    </row>
    <row r="7" ht="20.1" customHeight="1" spans="1:6">
      <c r="A7" s="9" t="s">
        <v>20</v>
      </c>
      <c r="B7" s="8" t="s">
        <v>21</v>
      </c>
      <c r="C7" s="8"/>
      <c r="D7" s="8"/>
      <c r="E7" s="82"/>
      <c r="F7" s="21"/>
    </row>
    <row r="8" ht="20.1" customHeight="1" spans="1:7">
      <c r="A8" s="10">
        <v>1</v>
      </c>
      <c r="B8" s="11" t="s">
        <v>22</v>
      </c>
      <c r="C8" s="12" t="s">
        <v>23</v>
      </c>
      <c r="D8" s="12" t="s">
        <v>24</v>
      </c>
      <c r="E8" s="85">
        <v>1659751.167</v>
      </c>
      <c r="F8" s="85"/>
      <c r="G8" s="13"/>
    </row>
    <row r="9" ht="20.1" customHeight="1" spans="1:7">
      <c r="A9" s="10">
        <v>2</v>
      </c>
      <c r="B9" s="11" t="s">
        <v>25</v>
      </c>
      <c r="C9" s="12" t="s">
        <v>26</v>
      </c>
      <c r="D9" s="10" t="s">
        <v>27</v>
      </c>
      <c r="E9" s="85">
        <v>762373.166666667</v>
      </c>
      <c r="F9" s="85">
        <f t="shared" ref="F9:F34" si="0">E9*0.08</f>
        <v>60989.8533333334</v>
      </c>
      <c r="G9" s="13"/>
    </row>
    <row r="10" ht="20.1" customHeight="1" spans="1:7">
      <c r="A10" s="10">
        <v>3</v>
      </c>
      <c r="B10" s="14" t="s">
        <v>28</v>
      </c>
      <c r="C10" s="4" t="s">
        <v>29</v>
      </c>
      <c r="D10" s="10" t="s">
        <v>27</v>
      </c>
      <c r="E10" s="85">
        <v>762373.166666667</v>
      </c>
      <c r="F10" s="85"/>
      <c r="G10" s="13"/>
    </row>
    <row r="11" ht="20.1" customHeight="1" spans="1:7">
      <c r="A11" s="10">
        <v>4</v>
      </c>
      <c r="B11" s="11" t="s">
        <v>30</v>
      </c>
      <c r="C11" s="17" t="s">
        <v>31</v>
      </c>
      <c r="D11" s="10" t="s">
        <v>27</v>
      </c>
      <c r="E11" s="85">
        <v>762373.166666667</v>
      </c>
      <c r="F11" s="85">
        <f t="shared" si="0"/>
        <v>60989.8533333334</v>
      </c>
      <c r="G11" s="13"/>
    </row>
    <row r="12" ht="20.1" customHeight="1" spans="1:7">
      <c r="A12" s="10">
        <v>5</v>
      </c>
      <c r="B12" s="14" t="s">
        <v>32</v>
      </c>
      <c r="C12" s="4" t="s">
        <v>608</v>
      </c>
      <c r="D12" s="10" t="s">
        <v>27</v>
      </c>
      <c r="E12" s="85">
        <v>762373.166666667</v>
      </c>
      <c r="F12" s="85">
        <f t="shared" si="0"/>
        <v>60989.8533333334</v>
      </c>
      <c r="G12" s="13"/>
    </row>
    <row r="13" ht="20.1" customHeight="1" spans="1:7">
      <c r="A13" s="10">
        <v>6</v>
      </c>
      <c r="B13" s="18" t="s">
        <v>576</v>
      </c>
      <c r="C13" s="10" t="s">
        <v>577</v>
      </c>
      <c r="D13" s="10" t="s">
        <v>27</v>
      </c>
      <c r="E13" s="85">
        <v>762373.166666667</v>
      </c>
      <c r="F13" s="85"/>
      <c r="G13" s="13"/>
    </row>
    <row r="14" ht="20.1" customHeight="1" spans="1:7">
      <c r="A14" s="10">
        <v>7</v>
      </c>
      <c r="B14" s="11" t="s">
        <v>34</v>
      </c>
      <c r="C14" s="12" t="s">
        <v>35</v>
      </c>
      <c r="D14" s="15" t="s">
        <v>36</v>
      </c>
      <c r="E14" s="85">
        <v>620675.583333333</v>
      </c>
      <c r="F14" s="85">
        <f t="shared" si="0"/>
        <v>49654.0466666666</v>
      </c>
      <c r="G14" s="13"/>
    </row>
    <row r="15" ht="20.1" customHeight="1" spans="1:7">
      <c r="A15" s="10">
        <v>8</v>
      </c>
      <c r="B15" s="11" t="s">
        <v>37</v>
      </c>
      <c r="C15" s="4" t="s">
        <v>38</v>
      </c>
      <c r="D15" s="10" t="s">
        <v>39</v>
      </c>
      <c r="E15" s="85">
        <v>582118.083333333</v>
      </c>
      <c r="F15" s="85">
        <f t="shared" si="0"/>
        <v>46569.4466666666</v>
      </c>
      <c r="G15" s="13"/>
    </row>
    <row r="16" ht="20.1" customHeight="1" spans="1:7">
      <c r="A16" s="10">
        <v>9</v>
      </c>
      <c r="B16" s="11" t="s">
        <v>40</v>
      </c>
      <c r="C16" s="4" t="s">
        <v>41</v>
      </c>
      <c r="D16" s="15" t="s">
        <v>42</v>
      </c>
      <c r="E16" s="85">
        <v>484373.75</v>
      </c>
      <c r="F16" s="85">
        <f t="shared" si="0"/>
        <v>38749.9</v>
      </c>
      <c r="G16" s="13"/>
    </row>
    <row r="17" ht="20.1" customHeight="1" spans="1:7">
      <c r="A17" s="10">
        <v>10</v>
      </c>
      <c r="B17" s="14" t="s">
        <v>43</v>
      </c>
      <c r="C17" s="17" t="s">
        <v>133</v>
      </c>
      <c r="D17" s="15" t="s">
        <v>222</v>
      </c>
      <c r="E17" s="85">
        <v>470498</v>
      </c>
      <c r="F17" s="85">
        <f t="shared" si="0"/>
        <v>37639.84</v>
      </c>
      <c r="G17" s="13"/>
    </row>
    <row r="18" ht="20.1" customHeight="1" spans="1:7">
      <c r="A18" s="10">
        <v>11</v>
      </c>
      <c r="B18" s="11" t="s">
        <v>45</v>
      </c>
      <c r="C18" s="4" t="s">
        <v>46</v>
      </c>
      <c r="D18" s="10" t="s">
        <v>47</v>
      </c>
      <c r="E18" s="85">
        <v>442746.5</v>
      </c>
      <c r="F18" s="85">
        <f t="shared" si="0"/>
        <v>35419.72</v>
      </c>
      <c r="G18" s="13"/>
    </row>
    <row r="19" ht="20.1" customHeight="1" spans="1:6">
      <c r="A19" s="10">
        <v>12</v>
      </c>
      <c r="B19" s="11" t="s">
        <v>48</v>
      </c>
      <c r="C19" s="4" t="s">
        <v>579</v>
      </c>
      <c r="D19" s="10" t="s">
        <v>192</v>
      </c>
      <c r="E19" s="85">
        <v>441804.916666667</v>
      </c>
      <c r="F19" s="85">
        <f t="shared" si="0"/>
        <v>35344.3933333334</v>
      </c>
    </row>
    <row r="20" ht="20.1" customHeight="1" spans="1:7">
      <c r="A20" s="10">
        <v>13</v>
      </c>
      <c r="B20" s="11" t="s">
        <v>50</v>
      </c>
      <c r="C20" s="12" t="s">
        <v>51</v>
      </c>
      <c r="D20" s="15" t="s">
        <v>52</v>
      </c>
      <c r="E20" s="85">
        <v>428915.916666667</v>
      </c>
      <c r="F20" s="85">
        <f t="shared" si="0"/>
        <v>34313.2733333334</v>
      </c>
      <c r="G20" s="13"/>
    </row>
    <row r="21" ht="20.1" customHeight="1" spans="1:7">
      <c r="A21" s="10">
        <v>14</v>
      </c>
      <c r="B21" s="18" t="s">
        <v>53</v>
      </c>
      <c r="C21" s="4" t="s">
        <v>609</v>
      </c>
      <c r="D21" s="15" t="s">
        <v>55</v>
      </c>
      <c r="E21" s="85">
        <v>416026.916666667</v>
      </c>
      <c r="F21" s="85">
        <f t="shared" si="0"/>
        <v>33282.1533333334</v>
      </c>
      <c r="G21" s="13"/>
    </row>
    <row r="22" ht="18.75" customHeight="1" spans="1:7">
      <c r="A22" s="10">
        <v>15</v>
      </c>
      <c r="B22" s="11" t="s">
        <v>60</v>
      </c>
      <c r="C22" s="12" t="s">
        <v>61</v>
      </c>
      <c r="D22" s="15" t="s">
        <v>62</v>
      </c>
      <c r="E22" s="85">
        <v>377895.166666667</v>
      </c>
      <c r="F22" s="85">
        <f t="shared" si="0"/>
        <v>30231.6133333334</v>
      </c>
      <c r="G22" s="13"/>
    </row>
    <row r="23" ht="20.1" customHeight="1" spans="1:7">
      <c r="A23" s="10">
        <v>16</v>
      </c>
      <c r="B23" s="14" t="s">
        <v>63</v>
      </c>
      <c r="C23" s="17" t="s">
        <v>610</v>
      </c>
      <c r="D23" s="10" t="s">
        <v>65</v>
      </c>
      <c r="E23" s="85">
        <v>353512.5</v>
      </c>
      <c r="F23" s="85">
        <f t="shared" si="0"/>
        <v>28281</v>
      </c>
      <c r="G23" s="13"/>
    </row>
    <row r="24" ht="21.6" customHeight="1" spans="1:7">
      <c r="A24" s="10">
        <v>17</v>
      </c>
      <c r="B24" s="11" t="s">
        <v>66</v>
      </c>
      <c r="C24" s="17" t="s">
        <v>67</v>
      </c>
      <c r="D24" s="15" t="s">
        <v>65</v>
      </c>
      <c r="E24" s="85">
        <v>353512.5</v>
      </c>
      <c r="F24" s="85">
        <f t="shared" si="0"/>
        <v>28281</v>
      </c>
      <c r="G24" s="13"/>
    </row>
    <row r="25" ht="20.1" customHeight="1" spans="1:7">
      <c r="A25" s="10">
        <v>18</v>
      </c>
      <c r="B25" s="14" t="s">
        <v>68</v>
      </c>
      <c r="C25" s="17" t="s">
        <v>69</v>
      </c>
      <c r="D25" s="10" t="s">
        <v>70</v>
      </c>
      <c r="E25" s="85">
        <v>293029.666666667</v>
      </c>
      <c r="F25" s="85">
        <f t="shared" si="0"/>
        <v>23442.3733333334</v>
      </c>
      <c r="G25" s="13"/>
    </row>
    <row r="26" ht="18.75" customHeight="1" spans="1:7">
      <c r="A26" s="10">
        <v>19</v>
      </c>
      <c r="B26" s="4" t="s">
        <v>73</v>
      </c>
      <c r="C26" s="4" t="s">
        <v>74</v>
      </c>
      <c r="D26" s="10" t="s">
        <v>75</v>
      </c>
      <c r="E26" s="85">
        <v>270481.666666667</v>
      </c>
      <c r="F26" s="85">
        <f t="shared" si="0"/>
        <v>21638.5333333334</v>
      </c>
      <c r="G26" s="13"/>
    </row>
    <row r="27" ht="18.75" customHeight="1" spans="1:7">
      <c r="A27" s="10">
        <v>20</v>
      </c>
      <c r="B27" s="18" t="s">
        <v>76</v>
      </c>
      <c r="C27" s="12" t="s">
        <v>74</v>
      </c>
      <c r="D27" s="15" t="s">
        <v>75</v>
      </c>
      <c r="E27" s="85">
        <v>270481.666666667</v>
      </c>
      <c r="F27" s="85">
        <f t="shared" si="0"/>
        <v>21638.5333333334</v>
      </c>
      <c r="G27" s="13"/>
    </row>
    <row r="28" ht="20.1" customHeight="1" spans="1:7">
      <c r="A28" s="10">
        <v>21</v>
      </c>
      <c r="B28" s="11" t="s">
        <v>77</v>
      </c>
      <c r="C28" s="17" t="s">
        <v>64</v>
      </c>
      <c r="D28" s="10" t="s">
        <v>75</v>
      </c>
      <c r="E28" s="85">
        <v>270481.666666667</v>
      </c>
      <c r="F28" s="85">
        <f t="shared" si="0"/>
        <v>21638.5333333334</v>
      </c>
      <c r="G28" s="13"/>
    </row>
    <row r="29" ht="18.75" customHeight="1" spans="1:7">
      <c r="A29" s="10">
        <v>22</v>
      </c>
      <c r="B29" s="18" t="s">
        <v>78</v>
      </c>
      <c r="C29" s="12" t="s">
        <v>79</v>
      </c>
      <c r="D29" s="15" t="s">
        <v>80</v>
      </c>
      <c r="E29" s="85">
        <v>263165.333333333</v>
      </c>
      <c r="F29" s="85">
        <f t="shared" si="0"/>
        <v>21053.2266666666</v>
      </c>
      <c r="G29" s="13"/>
    </row>
    <row r="30" ht="18.75" customHeight="1" spans="1:7">
      <c r="A30" s="10">
        <v>23</v>
      </c>
      <c r="B30" s="18" t="s">
        <v>81</v>
      </c>
      <c r="C30" s="4" t="s">
        <v>82</v>
      </c>
      <c r="D30" s="10" t="s">
        <v>83</v>
      </c>
      <c r="E30" s="85">
        <v>255849</v>
      </c>
      <c r="F30" s="85">
        <f t="shared" si="0"/>
        <v>20467.92</v>
      </c>
      <c r="G30" s="13"/>
    </row>
    <row r="31" ht="18.75" customHeight="1" spans="1:7">
      <c r="A31" s="10">
        <v>24</v>
      </c>
      <c r="B31" s="18" t="s">
        <v>84</v>
      </c>
      <c r="C31" s="4" t="s">
        <v>82</v>
      </c>
      <c r="D31" s="10" t="s">
        <v>83</v>
      </c>
      <c r="E31" s="85">
        <v>255849</v>
      </c>
      <c r="F31" s="85">
        <f t="shared" si="0"/>
        <v>20467.92</v>
      </c>
      <c r="G31" s="13"/>
    </row>
    <row r="32" ht="18.75" customHeight="1" spans="1:7">
      <c r="A32" s="10">
        <v>25</v>
      </c>
      <c r="B32" s="18" t="s">
        <v>85</v>
      </c>
      <c r="C32" s="17" t="s">
        <v>86</v>
      </c>
      <c r="D32" s="15" t="s">
        <v>75</v>
      </c>
      <c r="E32" s="85">
        <v>270481.666666667</v>
      </c>
      <c r="F32" s="85">
        <f t="shared" si="0"/>
        <v>21638.5333333334</v>
      </c>
      <c r="G32" s="13"/>
    </row>
    <row r="33" ht="18.75" customHeight="1" spans="1:7">
      <c r="A33" s="10">
        <v>26</v>
      </c>
      <c r="B33" s="18" t="s">
        <v>88</v>
      </c>
      <c r="C33" s="4" t="s">
        <v>89</v>
      </c>
      <c r="D33" s="10" t="s">
        <v>171</v>
      </c>
      <c r="E33" s="85">
        <v>230631.916666667</v>
      </c>
      <c r="F33" s="85">
        <f t="shared" si="0"/>
        <v>18450.5533333334</v>
      </c>
      <c r="G33" s="13"/>
    </row>
    <row r="34" ht="18.75" customHeight="1" spans="1:7">
      <c r="A34" s="10">
        <v>27</v>
      </c>
      <c r="B34" s="18" t="s">
        <v>90</v>
      </c>
      <c r="C34" s="12" t="s">
        <v>91</v>
      </c>
      <c r="D34" s="15" t="s">
        <v>92</v>
      </c>
      <c r="E34" s="85">
        <v>224459.75</v>
      </c>
      <c r="F34" s="85">
        <f t="shared" si="0"/>
        <v>17956.78</v>
      </c>
      <c r="G34" s="13"/>
    </row>
    <row r="35" ht="26.25" customHeight="1" spans="1:7">
      <c r="A35" s="10"/>
      <c r="B35" s="20" t="s">
        <v>96</v>
      </c>
      <c r="C35" s="21">
        <v>27</v>
      </c>
      <c r="D35" s="15"/>
      <c r="E35" s="221">
        <f>SUM(E8:E34)</f>
        <v>13048608.167</v>
      </c>
      <c r="F35" s="221">
        <f t="shared" ref="F35" si="1">SUM(F8:F34)</f>
        <v>789128.853333334</v>
      </c>
      <c r="G35" s="13"/>
    </row>
    <row r="36" ht="18.75" customHeight="1" spans="1:7">
      <c r="A36" s="10"/>
      <c r="B36" s="22"/>
      <c r="C36" s="4"/>
      <c r="D36" s="15"/>
      <c r="E36" s="221"/>
      <c r="F36" s="221"/>
      <c r="G36" s="13"/>
    </row>
    <row r="37" ht="18.75" customHeight="1" spans="1:7">
      <c r="A37" s="10"/>
      <c r="B37" s="20" t="s">
        <v>97</v>
      </c>
      <c r="C37" s="4"/>
      <c r="D37" s="15"/>
      <c r="E37" s="85"/>
      <c r="F37" s="85"/>
      <c r="G37" s="13"/>
    </row>
    <row r="38" ht="18.75" customHeight="1" spans="1:7">
      <c r="A38" s="10">
        <v>1</v>
      </c>
      <c r="B38" s="18" t="s">
        <v>98</v>
      </c>
      <c r="C38" s="4" t="s">
        <v>99</v>
      </c>
      <c r="D38" s="10" t="s">
        <v>100</v>
      </c>
      <c r="E38" s="85">
        <v>1435720</v>
      </c>
      <c r="F38" s="85">
        <f>E38*0.08</f>
        <v>114857.6</v>
      </c>
      <c r="G38" s="13"/>
    </row>
    <row r="39" ht="18.75" customHeight="1" spans="1:7">
      <c r="A39" s="10">
        <v>2</v>
      </c>
      <c r="B39" s="18" t="s">
        <v>101</v>
      </c>
      <c r="C39" s="4" t="s">
        <v>611</v>
      </c>
      <c r="D39" s="10" t="s">
        <v>70</v>
      </c>
      <c r="E39" s="85">
        <v>293029.666666667</v>
      </c>
      <c r="F39" s="85">
        <f t="shared" ref="F39:F40" si="2">E39*0.08</f>
        <v>23442.3733333334</v>
      </c>
      <c r="G39" s="13"/>
    </row>
    <row r="40" ht="18.75" customHeight="1" spans="1:7">
      <c r="A40" s="10">
        <v>3</v>
      </c>
      <c r="B40" s="11" t="s">
        <v>103</v>
      </c>
      <c r="C40" s="12" t="s">
        <v>612</v>
      </c>
      <c r="D40" s="15" t="s">
        <v>104</v>
      </c>
      <c r="E40" s="85">
        <v>300965.583333333</v>
      </c>
      <c r="F40" s="85">
        <f t="shared" si="2"/>
        <v>24077.2466666666</v>
      </c>
      <c r="G40" s="13"/>
    </row>
    <row r="41" ht="19.5" customHeight="1" spans="1:7">
      <c r="A41" s="10"/>
      <c r="B41" s="14"/>
      <c r="C41" s="21">
        <v>3</v>
      </c>
      <c r="D41" s="10"/>
      <c r="E41" s="221">
        <f>SUM(E38:E40)</f>
        <v>2029715.25</v>
      </c>
      <c r="F41" s="221">
        <f t="shared" ref="F41" si="3">SUM(F38:F40)</f>
        <v>162377.22</v>
      </c>
      <c r="G41" s="13"/>
    </row>
    <row r="42" ht="20.1" customHeight="1" spans="1:7">
      <c r="A42" s="10"/>
      <c r="B42" s="14"/>
      <c r="C42" s="4"/>
      <c r="D42" s="10"/>
      <c r="E42" s="221"/>
      <c r="F42" s="221"/>
      <c r="G42" s="13"/>
    </row>
    <row r="43" ht="20.1" customHeight="1" spans="1:7">
      <c r="A43" s="10"/>
      <c r="B43" s="23" t="s">
        <v>107</v>
      </c>
      <c r="C43" s="5"/>
      <c r="D43" s="24"/>
      <c r="E43" s="221"/>
      <c r="F43" s="221"/>
      <c r="G43" s="13"/>
    </row>
    <row r="44" ht="20.1" customHeight="1" spans="1:7">
      <c r="A44" s="10">
        <v>1</v>
      </c>
      <c r="B44" s="11" t="s">
        <v>501</v>
      </c>
      <c r="C44" s="4" t="s">
        <v>502</v>
      </c>
      <c r="D44" s="10" t="s">
        <v>100</v>
      </c>
      <c r="E44" s="85">
        <v>1435720</v>
      </c>
      <c r="F44" s="85">
        <f>E44*0.08</f>
        <v>114857.6</v>
      </c>
      <c r="G44" s="13"/>
    </row>
    <row r="45" ht="20.1" customHeight="1" spans="1:7">
      <c r="A45" s="10">
        <v>2</v>
      </c>
      <c r="B45" s="11" t="s">
        <v>491</v>
      </c>
      <c r="C45" s="4" t="s">
        <v>44</v>
      </c>
      <c r="D45" s="10" t="s">
        <v>36</v>
      </c>
      <c r="E45" s="85">
        <v>620675.583333333</v>
      </c>
      <c r="F45" s="85">
        <f t="shared" ref="F45:F54" si="4">E45*0.08</f>
        <v>49654.0466666666</v>
      </c>
      <c r="G45" s="13"/>
    </row>
    <row r="46" ht="20.1" customHeight="1" spans="1:7">
      <c r="A46" s="10">
        <v>3</v>
      </c>
      <c r="B46" s="11" t="s">
        <v>108</v>
      </c>
      <c r="C46" s="4" t="s">
        <v>109</v>
      </c>
      <c r="D46" s="10" t="s">
        <v>110</v>
      </c>
      <c r="E46" s="85">
        <v>739203.583333333</v>
      </c>
      <c r="F46" s="85">
        <f t="shared" si="4"/>
        <v>59136.2866666666</v>
      </c>
      <c r="G46" s="13"/>
    </row>
    <row r="47" ht="20.1" customHeight="1" spans="1:7">
      <c r="A47" s="10">
        <v>4</v>
      </c>
      <c r="B47" s="11" t="s">
        <v>111</v>
      </c>
      <c r="C47" s="4" t="s">
        <v>112</v>
      </c>
      <c r="D47" s="10" t="s">
        <v>36</v>
      </c>
      <c r="E47" s="85">
        <v>620675.583333333</v>
      </c>
      <c r="F47" s="85">
        <f t="shared" si="4"/>
        <v>49654.0466666666</v>
      </c>
      <c r="G47" s="13"/>
    </row>
    <row r="48" ht="20.1" customHeight="1" spans="1:7">
      <c r="A48" s="10">
        <v>5</v>
      </c>
      <c r="B48" s="11" t="s">
        <v>113</v>
      </c>
      <c r="C48" s="4" t="s">
        <v>112</v>
      </c>
      <c r="D48" s="10" t="s">
        <v>36</v>
      </c>
      <c r="E48" s="85">
        <v>620675.583333333</v>
      </c>
      <c r="F48" s="85">
        <f t="shared" si="4"/>
        <v>49654.0466666666</v>
      </c>
      <c r="G48" s="13"/>
    </row>
    <row r="49" ht="20.1" customHeight="1" spans="1:7">
      <c r="A49" s="10">
        <v>6</v>
      </c>
      <c r="B49" s="11" t="s">
        <v>114</v>
      </c>
      <c r="C49" s="4" t="s">
        <v>112</v>
      </c>
      <c r="D49" s="10" t="s">
        <v>39</v>
      </c>
      <c r="E49" s="85">
        <v>582118.083333333</v>
      </c>
      <c r="F49" s="85">
        <f t="shared" si="4"/>
        <v>46569.4466666666</v>
      </c>
      <c r="G49" s="13"/>
    </row>
    <row r="50" ht="20.1" customHeight="1" spans="1:7">
      <c r="A50" s="10">
        <v>7</v>
      </c>
      <c r="B50" s="14" t="s">
        <v>115</v>
      </c>
      <c r="C50" s="4" t="s">
        <v>133</v>
      </c>
      <c r="D50" s="16" t="s">
        <v>222</v>
      </c>
      <c r="E50" s="85">
        <v>470498</v>
      </c>
      <c r="F50" s="85">
        <f t="shared" si="4"/>
        <v>37639.84</v>
      </c>
      <c r="G50" s="13"/>
    </row>
    <row r="51" ht="20.1" customHeight="1" spans="1:7">
      <c r="A51" s="10">
        <v>8</v>
      </c>
      <c r="B51" s="11" t="s">
        <v>116</v>
      </c>
      <c r="C51" s="4" t="s">
        <v>117</v>
      </c>
      <c r="D51" s="10" t="s">
        <v>104</v>
      </c>
      <c r="E51" s="85">
        <v>300965.583333333</v>
      </c>
      <c r="F51" s="85">
        <f t="shared" si="4"/>
        <v>24077.2466666666</v>
      </c>
      <c r="G51" s="13"/>
    </row>
    <row r="52" ht="20.1" customHeight="1" spans="1:7">
      <c r="A52" s="10">
        <v>9</v>
      </c>
      <c r="B52" s="11" t="s">
        <v>118</v>
      </c>
      <c r="C52" s="4" t="s">
        <v>117</v>
      </c>
      <c r="D52" s="10" t="s">
        <v>80</v>
      </c>
      <c r="E52" s="85">
        <v>263165.333333333</v>
      </c>
      <c r="F52" s="85">
        <f t="shared" si="4"/>
        <v>21053.2266666666</v>
      </c>
      <c r="G52" s="13"/>
    </row>
    <row r="53" ht="20.1" customHeight="1" spans="1:7">
      <c r="A53" s="10">
        <v>10</v>
      </c>
      <c r="B53" s="11" t="s">
        <v>580</v>
      </c>
      <c r="C53" s="4" t="s">
        <v>117</v>
      </c>
      <c r="D53" s="10" t="s">
        <v>80</v>
      </c>
      <c r="E53" s="85">
        <v>263165.333333333</v>
      </c>
      <c r="F53" s="85">
        <f t="shared" si="4"/>
        <v>21053.2266666666</v>
      </c>
      <c r="G53" s="13"/>
    </row>
    <row r="54" ht="20.1" customHeight="1" spans="1:7">
      <c r="A54" s="10">
        <v>11</v>
      </c>
      <c r="B54" s="11" t="s">
        <v>119</v>
      </c>
      <c r="C54" s="4" t="s">
        <v>117</v>
      </c>
      <c r="D54" s="10" t="s">
        <v>80</v>
      </c>
      <c r="E54" s="85">
        <v>263165.333333333</v>
      </c>
      <c r="F54" s="85">
        <f t="shared" si="4"/>
        <v>21053.2266666666</v>
      </c>
      <c r="G54" s="13"/>
    </row>
    <row r="55" ht="25.5" customHeight="1" spans="1:7">
      <c r="A55" s="10"/>
      <c r="B55" s="20" t="s">
        <v>96</v>
      </c>
      <c r="C55" s="21">
        <v>11</v>
      </c>
      <c r="D55" s="21"/>
      <c r="E55" s="93">
        <f>SUM(E44:E54)</f>
        <v>6180028</v>
      </c>
      <c r="F55" s="93">
        <f t="shared" ref="F55" si="5">SUM(F44:F54)</f>
        <v>494402.24</v>
      </c>
      <c r="G55" s="13"/>
    </row>
    <row r="56" ht="20.1" customHeight="1" spans="1:7">
      <c r="A56" s="10"/>
      <c r="B56" s="22"/>
      <c r="C56" s="21"/>
      <c r="D56" s="21"/>
      <c r="E56" s="146"/>
      <c r="F56" s="146"/>
      <c r="G56" s="13"/>
    </row>
    <row r="57" ht="20.1" customHeight="1" spans="1:7">
      <c r="A57" s="10"/>
      <c r="B57" s="20" t="s">
        <v>120</v>
      </c>
      <c r="C57" s="21"/>
      <c r="D57" s="21"/>
      <c r="E57" s="146"/>
      <c r="F57" s="146"/>
      <c r="G57" s="13"/>
    </row>
    <row r="58" ht="20.1" customHeight="1" spans="1:7">
      <c r="A58" s="10">
        <v>1</v>
      </c>
      <c r="B58" s="11" t="s">
        <v>503</v>
      </c>
      <c r="C58" s="12" t="s">
        <v>122</v>
      </c>
      <c r="D58" s="15" t="s">
        <v>100</v>
      </c>
      <c r="E58" s="85">
        <v>1435720</v>
      </c>
      <c r="F58" s="85">
        <f>E58*0.08</f>
        <v>114857.6</v>
      </c>
      <c r="G58" s="13"/>
    </row>
    <row r="59" ht="20.1" customHeight="1" spans="1:7">
      <c r="A59" s="10">
        <v>2</v>
      </c>
      <c r="B59" s="11" t="s">
        <v>123</v>
      </c>
      <c r="C59" s="12" t="s">
        <v>124</v>
      </c>
      <c r="D59" s="15" t="s">
        <v>125</v>
      </c>
      <c r="E59" s="85">
        <v>620675.583333333</v>
      </c>
      <c r="F59" s="85">
        <f>E59*0.08</f>
        <v>49654.0466666666</v>
      </c>
      <c r="G59" s="13"/>
    </row>
    <row r="60" ht="20.1" customHeight="1" spans="1:7">
      <c r="A60" s="10"/>
      <c r="B60" s="20" t="s">
        <v>96</v>
      </c>
      <c r="C60" s="21">
        <v>2</v>
      </c>
      <c r="D60" s="21"/>
      <c r="E60" s="93">
        <f>SUM(E58:E59)</f>
        <v>2056395.58333333</v>
      </c>
      <c r="F60" s="93">
        <f t="shared" ref="F60" si="6">SUM(F58:F59)</f>
        <v>164511.646666667</v>
      </c>
      <c r="G60" s="13"/>
    </row>
    <row r="61" ht="20.1" customHeight="1" spans="1:7">
      <c r="A61" s="10"/>
      <c r="B61" s="20"/>
      <c r="C61" s="21"/>
      <c r="D61" s="21"/>
      <c r="E61" s="146"/>
      <c r="F61" s="146"/>
      <c r="G61" s="13"/>
    </row>
    <row r="62" ht="20.1" customHeight="1" spans="1:7">
      <c r="A62" s="10"/>
      <c r="B62" s="20" t="s">
        <v>126</v>
      </c>
      <c r="C62" s="21"/>
      <c r="D62" s="21"/>
      <c r="E62" s="146"/>
      <c r="F62" s="146"/>
      <c r="G62" s="13"/>
    </row>
    <row r="63" ht="20.1" customHeight="1" spans="1:7">
      <c r="A63" s="10">
        <v>1</v>
      </c>
      <c r="B63" s="11" t="s">
        <v>127</v>
      </c>
      <c r="C63" s="17" t="s">
        <v>128</v>
      </c>
      <c r="D63" s="10" t="s">
        <v>100</v>
      </c>
      <c r="E63" s="85">
        <v>1435720</v>
      </c>
      <c r="F63" s="85"/>
      <c r="G63" s="13"/>
    </row>
    <row r="64" ht="20.1" customHeight="1" spans="1:7">
      <c r="A64" s="10">
        <v>2</v>
      </c>
      <c r="B64" s="351" t="s">
        <v>129</v>
      </c>
      <c r="C64" s="17" t="s">
        <v>130</v>
      </c>
      <c r="D64" s="15" t="s">
        <v>131</v>
      </c>
      <c r="E64" s="85">
        <v>601396.833333333</v>
      </c>
      <c r="F64" s="85">
        <f t="shared" ref="F64:F72" si="7">E64*0.08</f>
        <v>48111.7466666666</v>
      </c>
      <c r="G64" s="13"/>
    </row>
    <row r="65" ht="20.1" customHeight="1" spans="1:7">
      <c r="A65" s="10">
        <v>3</v>
      </c>
      <c r="B65" s="11" t="s">
        <v>132</v>
      </c>
      <c r="C65" s="4" t="s">
        <v>133</v>
      </c>
      <c r="D65" s="10" t="s">
        <v>47</v>
      </c>
      <c r="E65" s="85">
        <v>442746.5</v>
      </c>
      <c r="F65" s="85">
        <f t="shared" si="7"/>
        <v>35419.72</v>
      </c>
      <c r="G65" s="13"/>
    </row>
    <row r="66" ht="20.1" customHeight="1" spans="1:7">
      <c r="A66" s="10">
        <v>4</v>
      </c>
      <c r="B66" s="18" t="s">
        <v>486</v>
      </c>
      <c r="C66" s="17" t="s">
        <v>165</v>
      </c>
      <c r="D66" s="15" t="s">
        <v>52</v>
      </c>
      <c r="E66" s="85">
        <v>428915.916666667</v>
      </c>
      <c r="F66" s="85">
        <f t="shared" si="7"/>
        <v>34313.2733333334</v>
      </c>
      <c r="G66" s="13"/>
    </row>
    <row r="67" ht="20.1" customHeight="1" spans="1:7">
      <c r="A67" s="10">
        <v>5</v>
      </c>
      <c r="B67" s="14" t="s">
        <v>519</v>
      </c>
      <c r="C67" s="17" t="s">
        <v>133</v>
      </c>
      <c r="D67" s="15" t="s">
        <v>42</v>
      </c>
      <c r="E67" s="85">
        <v>484373.75</v>
      </c>
      <c r="F67" s="85">
        <f t="shared" si="7"/>
        <v>38749.9</v>
      </c>
      <c r="G67" s="13"/>
    </row>
    <row r="68" ht="20.1" customHeight="1" spans="1:7">
      <c r="A68" s="10">
        <v>7</v>
      </c>
      <c r="B68" s="11" t="s">
        <v>134</v>
      </c>
      <c r="C68" s="4" t="s">
        <v>117</v>
      </c>
      <c r="D68" s="10" t="s">
        <v>135</v>
      </c>
      <c r="E68" s="85">
        <v>365703.833333333</v>
      </c>
      <c r="F68" s="85">
        <f t="shared" si="7"/>
        <v>29256.3066666666</v>
      </c>
      <c r="G68" s="13"/>
    </row>
    <row r="69" ht="20.1" customHeight="1" spans="1:7">
      <c r="A69" s="10">
        <v>8</v>
      </c>
      <c r="B69" s="11" t="s">
        <v>136</v>
      </c>
      <c r="C69" s="17" t="s">
        <v>67</v>
      </c>
      <c r="D69" s="10" t="s">
        <v>135</v>
      </c>
      <c r="E69" s="85">
        <v>365703.833333333</v>
      </c>
      <c r="F69" s="85">
        <f t="shared" si="7"/>
        <v>29256.3066666666</v>
      </c>
      <c r="G69" s="13"/>
    </row>
    <row r="70" ht="20.1" customHeight="1" spans="1:7">
      <c r="A70" s="10">
        <v>9</v>
      </c>
      <c r="B70" s="11" t="s">
        <v>137</v>
      </c>
      <c r="C70" s="17" t="s">
        <v>67</v>
      </c>
      <c r="D70" s="10" t="s">
        <v>135</v>
      </c>
      <c r="E70" s="85">
        <v>365703.833333333</v>
      </c>
      <c r="F70" s="85">
        <f t="shared" si="7"/>
        <v>29256.3066666666</v>
      </c>
      <c r="G70" s="13"/>
    </row>
    <row r="71" ht="20.1" customHeight="1" spans="1:7">
      <c r="A71" s="10">
        <v>10</v>
      </c>
      <c r="B71" s="11" t="s">
        <v>138</v>
      </c>
      <c r="C71" s="4" t="s">
        <v>139</v>
      </c>
      <c r="D71" s="10" t="s">
        <v>62</v>
      </c>
      <c r="E71" s="457">
        <v>377895.166666667</v>
      </c>
      <c r="F71" s="85">
        <f t="shared" si="7"/>
        <v>30231.6133333334</v>
      </c>
      <c r="G71" s="13"/>
    </row>
    <row r="72" ht="21.6" customHeight="1" spans="1:6">
      <c r="A72" s="10">
        <v>11</v>
      </c>
      <c r="B72" s="11" t="s">
        <v>140</v>
      </c>
      <c r="C72" s="4" t="s">
        <v>117</v>
      </c>
      <c r="D72" s="10" t="s">
        <v>104</v>
      </c>
      <c r="E72" s="220">
        <v>300965.583333333</v>
      </c>
      <c r="F72" s="85">
        <f t="shared" si="7"/>
        <v>24077.2466666666</v>
      </c>
    </row>
    <row r="73" ht="27" customHeight="1" spans="1:7">
      <c r="A73" s="10"/>
      <c r="B73" s="20" t="s">
        <v>96</v>
      </c>
      <c r="C73" s="21">
        <v>12</v>
      </c>
      <c r="D73" s="21"/>
      <c r="E73" s="93">
        <f>SUM(E63:E72)</f>
        <v>5169125.25</v>
      </c>
      <c r="F73" s="93">
        <f t="shared" ref="F73" si="8">SUM(F63:F72)</f>
        <v>298672.42</v>
      </c>
      <c r="G73" s="13"/>
    </row>
    <row r="74" ht="20.1" customHeight="1" spans="1:7">
      <c r="A74" s="10"/>
      <c r="B74" s="22"/>
      <c r="C74" s="21"/>
      <c r="D74" s="21"/>
      <c r="E74" s="146"/>
      <c r="F74" s="146"/>
      <c r="G74" s="13"/>
    </row>
    <row r="75" ht="20.1" customHeight="1" spans="1:7">
      <c r="A75" s="10"/>
      <c r="B75" s="20" t="s">
        <v>141</v>
      </c>
      <c r="C75" s="21"/>
      <c r="D75" s="21"/>
      <c r="E75" s="146"/>
      <c r="F75" s="146"/>
      <c r="G75" s="13"/>
    </row>
    <row r="76" ht="20.1" customHeight="1" spans="1:7">
      <c r="A76" s="10">
        <v>1</v>
      </c>
      <c r="B76" s="11" t="s">
        <v>142</v>
      </c>
      <c r="C76" s="4" t="s">
        <v>143</v>
      </c>
      <c r="D76" s="10" t="s">
        <v>100</v>
      </c>
      <c r="E76" s="85">
        <v>1435720</v>
      </c>
      <c r="F76" s="85">
        <f>E76*0.08</f>
        <v>114857.6</v>
      </c>
      <c r="G76" s="13"/>
    </row>
    <row r="77" ht="20.1" customHeight="1" spans="1:7">
      <c r="A77" s="10">
        <v>2</v>
      </c>
      <c r="B77" s="14" t="s">
        <v>520</v>
      </c>
      <c r="C77" s="4" t="s">
        <v>572</v>
      </c>
      <c r="D77" s="15" t="s">
        <v>573</v>
      </c>
      <c r="E77" s="85">
        <v>601396.833333333</v>
      </c>
      <c r="F77" s="85"/>
      <c r="G77" s="13"/>
    </row>
    <row r="78" ht="20.1" customHeight="1" spans="1:7">
      <c r="A78" s="10">
        <v>3</v>
      </c>
      <c r="B78" s="18" t="s">
        <v>521</v>
      </c>
      <c r="C78" s="12" t="s">
        <v>574</v>
      </c>
      <c r="D78" s="10" t="s">
        <v>125</v>
      </c>
      <c r="E78" s="85">
        <v>620675.583333333</v>
      </c>
      <c r="F78" s="85"/>
      <c r="G78" s="13"/>
    </row>
    <row r="79" ht="20.1" customHeight="1" spans="1:7">
      <c r="A79" s="10">
        <v>4</v>
      </c>
      <c r="B79" s="11" t="s">
        <v>146</v>
      </c>
      <c r="C79" s="4" t="s">
        <v>147</v>
      </c>
      <c r="D79" s="15" t="s">
        <v>148</v>
      </c>
      <c r="E79" s="85">
        <v>456622.25</v>
      </c>
      <c r="F79" s="85">
        <f t="shared" ref="F79:F82" si="9">E79*0.08</f>
        <v>36529.78</v>
      </c>
      <c r="G79" s="13"/>
    </row>
    <row r="80" ht="20.1" customHeight="1" spans="1:7">
      <c r="A80" s="10">
        <v>5</v>
      </c>
      <c r="B80" s="11" t="s">
        <v>149</v>
      </c>
      <c r="C80" s="4" t="s">
        <v>152</v>
      </c>
      <c r="D80" s="10" t="s">
        <v>265</v>
      </c>
      <c r="E80" s="85">
        <v>308901.5</v>
      </c>
      <c r="F80" s="85">
        <f t="shared" si="9"/>
        <v>24712.12</v>
      </c>
      <c r="G80" s="13"/>
    </row>
    <row r="81" ht="20.1" customHeight="1" spans="1:7">
      <c r="A81" s="10">
        <v>6</v>
      </c>
      <c r="B81" s="11" t="s">
        <v>151</v>
      </c>
      <c r="C81" s="4" t="s">
        <v>152</v>
      </c>
      <c r="D81" s="10" t="s">
        <v>80</v>
      </c>
      <c r="E81" s="85">
        <v>263165.333333333</v>
      </c>
      <c r="F81" s="85">
        <f t="shared" si="9"/>
        <v>21053.2266666666</v>
      </c>
      <c r="G81" s="13"/>
    </row>
    <row r="82" ht="20.1" customHeight="1" spans="1:7">
      <c r="A82" s="10">
        <v>7</v>
      </c>
      <c r="B82" s="11" t="s">
        <v>153</v>
      </c>
      <c r="C82" s="4" t="s">
        <v>154</v>
      </c>
      <c r="D82" s="10" t="s">
        <v>92</v>
      </c>
      <c r="E82" s="85">
        <v>224459.75</v>
      </c>
      <c r="F82" s="85">
        <f t="shared" si="9"/>
        <v>17956.78</v>
      </c>
      <c r="G82" s="13"/>
    </row>
    <row r="83" ht="20.1" customHeight="1" spans="1:7">
      <c r="A83" s="10"/>
      <c r="B83" s="20" t="s">
        <v>96</v>
      </c>
      <c r="C83" s="21">
        <v>7</v>
      </c>
      <c r="D83" s="21"/>
      <c r="E83" s="93">
        <f>SUM(E76:E82)</f>
        <v>3910941.25</v>
      </c>
      <c r="F83" s="93">
        <f t="shared" ref="F83" si="10">SUM(F76:F82)</f>
        <v>215109.506666667</v>
      </c>
      <c r="G83" s="13"/>
    </row>
    <row r="84" ht="20.1" customHeight="1" spans="1:7">
      <c r="A84" s="10"/>
      <c r="B84" s="20"/>
      <c r="C84" s="21"/>
      <c r="D84" s="21"/>
      <c r="E84" s="146"/>
      <c r="F84" s="146"/>
      <c r="G84" s="13"/>
    </row>
    <row r="85" ht="20.1" customHeight="1" spans="1:7">
      <c r="A85" s="10"/>
      <c r="B85" s="20" t="s">
        <v>155</v>
      </c>
      <c r="C85" s="25"/>
      <c r="D85" s="21"/>
      <c r="E85" s="146"/>
      <c r="F85" s="146"/>
      <c r="G85" s="13"/>
    </row>
    <row r="86" ht="20.1" customHeight="1" spans="1:7">
      <c r="A86" s="10">
        <v>1</v>
      </c>
      <c r="B86" s="11" t="s">
        <v>156</v>
      </c>
      <c r="C86" s="4" t="s">
        <v>112</v>
      </c>
      <c r="D86" s="10" t="s">
        <v>36</v>
      </c>
      <c r="E86" s="85">
        <v>620675.583333333</v>
      </c>
      <c r="F86" s="85">
        <f>E86*0.08</f>
        <v>49654.0466666666</v>
      </c>
      <c r="G86" s="13"/>
    </row>
    <row r="87" ht="20.1" customHeight="1" spans="1:7">
      <c r="A87" s="10">
        <v>2</v>
      </c>
      <c r="B87" s="11" t="s">
        <v>157</v>
      </c>
      <c r="C87" s="4" t="s">
        <v>112</v>
      </c>
      <c r="D87" s="10" t="s">
        <v>36</v>
      </c>
      <c r="E87" s="85">
        <v>620675.583333333</v>
      </c>
      <c r="F87" s="85">
        <f t="shared" ref="F87:F95" si="11">E87*0.08</f>
        <v>49654.0466666666</v>
      </c>
      <c r="G87" s="13"/>
    </row>
    <row r="88" ht="20.1" customHeight="1" spans="1:7">
      <c r="A88" s="10">
        <v>3</v>
      </c>
      <c r="B88" s="11" t="s">
        <v>158</v>
      </c>
      <c r="C88" s="4" t="s">
        <v>112</v>
      </c>
      <c r="D88" s="10" t="s">
        <v>39</v>
      </c>
      <c r="E88" s="85">
        <v>582118.083333333</v>
      </c>
      <c r="F88" s="85">
        <f t="shared" si="11"/>
        <v>46569.4466666666</v>
      </c>
      <c r="G88" s="13"/>
    </row>
    <row r="89" ht="21.6" customHeight="1" spans="1:7">
      <c r="A89" s="10">
        <v>4</v>
      </c>
      <c r="B89" s="11" t="s">
        <v>159</v>
      </c>
      <c r="C89" s="4" t="s">
        <v>483</v>
      </c>
      <c r="D89" s="15" t="s">
        <v>192</v>
      </c>
      <c r="E89" s="85">
        <v>441804.916666667</v>
      </c>
      <c r="F89" s="85">
        <f t="shared" si="11"/>
        <v>35344.3933333334</v>
      </c>
      <c r="G89" s="13"/>
    </row>
    <row r="90" ht="21.6" customHeight="1" spans="1:7">
      <c r="A90" s="10">
        <v>5</v>
      </c>
      <c r="B90" s="11" t="s">
        <v>160</v>
      </c>
      <c r="C90" s="12" t="s">
        <v>165</v>
      </c>
      <c r="D90" s="15" t="s">
        <v>52</v>
      </c>
      <c r="E90" s="85">
        <v>428915.916666667</v>
      </c>
      <c r="F90" s="85">
        <f t="shared" si="11"/>
        <v>34313.2733333334</v>
      </c>
      <c r="G90" s="13"/>
    </row>
    <row r="91" ht="21.6" customHeight="1" spans="1:7">
      <c r="A91" s="10">
        <v>6</v>
      </c>
      <c r="B91" s="11" t="s">
        <v>161</v>
      </c>
      <c r="C91" s="12" t="s">
        <v>133</v>
      </c>
      <c r="D91" s="15" t="s">
        <v>162</v>
      </c>
      <c r="E91" s="85">
        <v>428870.75</v>
      </c>
      <c r="F91" s="85">
        <f t="shared" si="11"/>
        <v>34309.66</v>
      </c>
      <c r="G91" s="13"/>
    </row>
    <row r="92" ht="21.6" customHeight="1" spans="1:7">
      <c r="A92" s="10">
        <v>7</v>
      </c>
      <c r="B92" s="11" t="s">
        <v>163</v>
      </c>
      <c r="C92" s="17" t="s">
        <v>67</v>
      </c>
      <c r="D92" s="15" t="s">
        <v>135</v>
      </c>
      <c r="E92" s="85">
        <v>365703.833333333</v>
      </c>
      <c r="F92" s="85">
        <f t="shared" si="11"/>
        <v>29256.3066666666</v>
      </c>
      <c r="G92" s="13"/>
    </row>
    <row r="93" ht="21.6" customHeight="1" spans="1:7">
      <c r="A93" s="10">
        <v>8</v>
      </c>
      <c r="B93" s="11" t="s">
        <v>164</v>
      </c>
      <c r="C93" s="17" t="s">
        <v>165</v>
      </c>
      <c r="D93" s="15" t="s">
        <v>166</v>
      </c>
      <c r="E93" s="85">
        <v>390248.916666667</v>
      </c>
      <c r="F93" s="85">
        <f t="shared" si="11"/>
        <v>31219.9133333334</v>
      </c>
      <c r="G93" s="13"/>
    </row>
    <row r="94" ht="21.6" customHeight="1" spans="1:7">
      <c r="A94" s="10">
        <v>9</v>
      </c>
      <c r="B94" s="11" t="s">
        <v>167</v>
      </c>
      <c r="C94" s="4" t="s">
        <v>168</v>
      </c>
      <c r="D94" s="10" t="s">
        <v>104</v>
      </c>
      <c r="E94" s="220">
        <v>300965.583333333</v>
      </c>
      <c r="F94" s="85">
        <f t="shared" si="11"/>
        <v>24077.2466666666</v>
      </c>
      <c r="G94" s="13"/>
    </row>
    <row r="95" ht="21.6" customHeight="1" spans="1:7">
      <c r="A95" s="10">
        <v>10</v>
      </c>
      <c r="B95" s="11" t="s">
        <v>169</v>
      </c>
      <c r="C95" s="17" t="s">
        <v>170</v>
      </c>
      <c r="D95" s="15" t="s">
        <v>171</v>
      </c>
      <c r="E95" s="220">
        <v>230631.916666667</v>
      </c>
      <c r="F95" s="85">
        <f t="shared" si="11"/>
        <v>18450.5533333334</v>
      </c>
      <c r="G95" s="13"/>
    </row>
    <row r="96" ht="20.1" customHeight="1" spans="1:7">
      <c r="A96" s="10"/>
      <c r="B96" s="20" t="s">
        <v>96</v>
      </c>
      <c r="C96" s="21">
        <v>11</v>
      </c>
      <c r="D96" s="21"/>
      <c r="E96" s="93">
        <f>SUM(E86:E95)</f>
        <v>4410611.08333333</v>
      </c>
      <c r="F96" s="93">
        <f t="shared" ref="F96" si="12">SUM(F86:F95)</f>
        <v>352848.886666667</v>
      </c>
      <c r="G96" s="13"/>
    </row>
    <row r="97" ht="20.1" customHeight="1" spans="1:7">
      <c r="A97" s="10"/>
      <c r="B97" s="22"/>
      <c r="C97" s="21"/>
      <c r="D97" s="21"/>
      <c r="E97" s="146"/>
      <c r="F97" s="146"/>
      <c r="G97" s="13"/>
    </row>
    <row r="98" ht="20.1" customHeight="1" spans="1:7">
      <c r="A98" s="10"/>
      <c r="B98" s="20" t="s">
        <v>172</v>
      </c>
      <c r="C98" s="21"/>
      <c r="D98" s="21"/>
      <c r="E98" s="146"/>
      <c r="F98" s="146"/>
      <c r="G98" s="13"/>
    </row>
    <row r="99" ht="20.1" customHeight="1" spans="1:7">
      <c r="A99" s="10">
        <v>1</v>
      </c>
      <c r="B99" s="14" t="s">
        <v>173</v>
      </c>
      <c r="C99" s="4" t="s">
        <v>174</v>
      </c>
      <c r="D99" s="16" t="s">
        <v>189</v>
      </c>
      <c r="E99" s="85">
        <v>762373.166666667</v>
      </c>
      <c r="F99" s="85">
        <f>E99*0.08</f>
        <v>60989.8533333334</v>
      </c>
      <c r="G99" s="13"/>
    </row>
    <row r="100" ht="20.1" customHeight="1" spans="1:7">
      <c r="A100" s="10">
        <v>2</v>
      </c>
      <c r="B100" s="11" t="s">
        <v>176</v>
      </c>
      <c r="C100" s="4" t="s">
        <v>177</v>
      </c>
      <c r="D100" s="15" t="s">
        <v>148</v>
      </c>
      <c r="E100" s="85">
        <v>456622.25</v>
      </c>
      <c r="F100" s="85">
        <f t="shared" ref="F100:F102" si="13">E100*0.08</f>
        <v>36529.78</v>
      </c>
      <c r="G100" s="13"/>
    </row>
    <row r="101" ht="20.1" customHeight="1" spans="1:7">
      <c r="A101" s="10">
        <v>3</v>
      </c>
      <c r="B101" s="11" t="s">
        <v>180</v>
      </c>
      <c r="C101" s="4" t="s">
        <v>181</v>
      </c>
      <c r="D101" s="15" t="s">
        <v>62</v>
      </c>
      <c r="E101" s="85">
        <v>377895.166666667</v>
      </c>
      <c r="F101" s="85">
        <f t="shared" si="13"/>
        <v>30231.6133333334</v>
      </c>
      <c r="G101" s="13"/>
    </row>
    <row r="102" ht="20.1" customHeight="1" spans="1:7">
      <c r="A102" s="10">
        <v>4</v>
      </c>
      <c r="B102" s="11" t="s">
        <v>182</v>
      </c>
      <c r="C102" s="4" t="s">
        <v>183</v>
      </c>
      <c r="D102" s="15" t="s">
        <v>104</v>
      </c>
      <c r="E102" s="220">
        <v>300965.583333333</v>
      </c>
      <c r="F102" s="85">
        <f t="shared" si="13"/>
        <v>24077.2466666666</v>
      </c>
      <c r="G102" s="13"/>
    </row>
    <row r="103" ht="20.1" customHeight="1" spans="1:7">
      <c r="A103" s="4"/>
      <c r="B103" s="20" t="s">
        <v>96</v>
      </c>
      <c r="C103" s="21">
        <v>4</v>
      </c>
      <c r="D103" s="26"/>
      <c r="E103" s="93">
        <f>SUM(E99:E102)</f>
        <v>1897856.16666667</v>
      </c>
      <c r="F103" s="93">
        <f t="shared" ref="F103" si="14">SUM(F99:F102)</f>
        <v>151828.493333333</v>
      </c>
      <c r="G103" s="13"/>
    </row>
    <row r="104" ht="20.1" customHeight="1" spans="1:7">
      <c r="A104" s="4"/>
      <c r="B104" s="22"/>
      <c r="C104" s="21"/>
      <c r="D104" s="26"/>
      <c r="E104" s="146"/>
      <c r="F104" s="146"/>
      <c r="G104" s="13"/>
    </row>
    <row r="105" ht="20.1" customHeight="1" spans="1:7">
      <c r="A105" s="4"/>
      <c r="B105" s="20" t="s">
        <v>184</v>
      </c>
      <c r="C105" s="4"/>
      <c r="D105" s="4"/>
      <c r="E105" s="4"/>
      <c r="F105" s="4"/>
      <c r="G105" s="13"/>
    </row>
    <row r="106" ht="20.1" customHeight="1" spans="1:7">
      <c r="A106" s="4">
        <v>1</v>
      </c>
      <c r="B106" s="11" t="s">
        <v>185</v>
      </c>
      <c r="C106" s="12" t="s">
        <v>186</v>
      </c>
      <c r="D106" s="15" t="s">
        <v>100</v>
      </c>
      <c r="E106" s="85">
        <v>1435720</v>
      </c>
      <c r="F106" s="85">
        <f>E106*0.08</f>
        <v>114857.6</v>
      </c>
      <c r="G106" s="13"/>
    </row>
    <row r="107" ht="20.1" customHeight="1" spans="1:7">
      <c r="A107" s="4">
        <v>2</v>
      </c>
      <c r="B107" s="11" t="s">
        <v>187</v>
      </c>
      <c r="C107" s="4" t="s">
        <v>188</v>
      </c>
      <c r="D107" s="16" t="s">
        <v>189</v>
      </c>
      <c r="E107" s="85">
        <v>762373.166666667</v>
      </c>
      <c r="F107" s="85">
        <f t="shared" ref="F107:F112" si="15">E107*0.08</f>
        <v>60989.8533333334</v>
      </c>
      <c r="G107" s="13"/>
    </row>
    <row r="108" ht="20.1" customHeight="1" spans="1:7">
      <c r="A108" s="4">
        <v>3</v>
      </c>
      <c r="B108" s="11" t="s">
        <v>190</v>
      </c>
      <c r="C108" s="4" t="s">
        <v>191</v>
      </c>
      <c r="D108" s="10" t="s">
        <v>192</v>
      </c>
      <c r="E108" s="85">
        <v>441804.916666667</v>
      </c>
      <c r="F108" s="85">
        <f t="shared" si="15"/>
        <v>35344.3933333334</v>
      </c>
      <c r="G108" s="13"/>
    </row>
    <row r="109" ht="20.1" customHeight="1" spans="1:7">
      <c r="A109" s="4">
        <v>4</v>
      </c>
      <c r="B109" s="11" t="s">
        <v>193</v>
      </c>
      <c r="C109" s="4" t="s">
        <v>191</v>
      </c>
      <c r="D109" s="10" t="s">
        <v>192</v>
      </c>
      <c r="E109" s="85">
        <v>441804.916666667</v>
      </c>
      <c r="F109" s="85">
        <f t="shared" si="15"/>
        <v>35344.3933333334</v>
      </c>
      <c r="G109" s="13"/>
    </row>
    <row r="110" ht="20.1" customHeight="1" spans="1:7">
      <c r="A110" s="4">
        <v>5</v>
      </c>
      <c r="B110" s="11" t="s">
        <v>194</v>
      </c>
      <c r="C110" s="4" t="s">
        <v>195</v>
      </c>
      <c r="D110" s="15" t="s">
        <v>196</v>
      </c>
      <c r="E110" s="220">
        <v>249148.416666667</v>
      </c>
      <c r="F110" s="85">
        <f t="shared" si="15"/>
        <v>19931.8733333334</v>
      </c>
      <c r="G110" s="13"/>
    </row>
    <row r="111" ht="20.1" customHeight="1" spans="1:7">
      <c r="A111" s="4">
        <v>6</v>
      </c>
      <c r="B111" s="18" t="s">
        <v>197</v>
      </c>
      <c r="C111" s="4" t="s">
        <v>195</v>
      </c>
      <c r="D111" s="10" t="s">
        <v>198</v>
      </c>
      <c r="E111" s="220">
        <v>242976.25</v>
      </c>
      <c r="F111" s="85">
        <f t="shared" si="15"/>
        <v>19438.1</v>
      </c>
      <c r="G111" s="13"/>
    </row>
    <row r="112" ht="20.1" customHeight="1" spans="1:7">
      <c r="A112" s="4">
        <v>7</v>
      </c>
      <c r="B112" s="18" t="s">
        <v>199</v>
      </c>
      <c r="C112" s="4" t="s">
        <v>195</v>
      </c>
      <c r="D112" s="15" t="s">
        <v>171</v>
      </c>
      <c r="E112" s="220">
        <v>230631.916666667</v>
      </c>
      <c r="F112" s="85">
        <f t="shared" si="15"/>
        <v>18450.5533333334</v>
      </c>
      <c r="G112" s="13"/>
    </row>
    <row r="113" ht="25.5" customHeight="1" spans="1:7">
      <c r="A113" s="4"/>
      <c r="B113" s="20" t="s">
        <v>96</v>
      </c>
      <c r="C113" s="21">
        <v>7</v>
      </c>
      <c r="D113" s="4"/>
      <c r="E113" s="223">
        <f>SUM(E106:E112)</f>
        <v>3804459.58333333</v>
      </c>
      <c r="F113" s="223">
        <f t="shared" ref="F113" si="16">SUM(F106:F112)</f>
        <v>304356.766666667</v>
      </c>
      <c r="G113" s="13"/>
    </row>
    <row r="114" ht="20.1" customHeight="1" spans="1:7">
      <c r="A114" s="4"/>
      <c r="B114" s="20"/>
      <c r="C114" s="21"/>
      <c r="D114" s="4"/>
      <c r="E114" s="223"/>
      <c r="F114" s="223"/>
      <c r="G114" s="13"/>
    </row>
    <row r="115" ht="20.1" customHeight="1" spans="1:7">
      <c r="A115" s="10"/>
      <c r="B115" s="20" t="s">
        <v>200</v>
      </c>
      <c r="C115" s="21"/>
      <c r="D115" s="21"/>
      <c r="E115" s="146"/>
      <c r="F115" s="146"/>
      <c r="G115" s="13"/>
    </row>
    <row r="116" ht="20.1" customHeight="1" spans="1:7">
      <c r="A116" s="10">
        <v>1</v>
      </c>
      <c r="B116" s="14" t="s">
        <v>201</v>
      </c>
      <c r="C116" s="4" t="s">
        <v>112</v>
      </c>
      <c r="D116" s="10" t="s">
        <v>131</v>
      </c>
      <c r="E116" s="85">
        <v>601396.833333333</v>
      </c>
      <c r="F116" s="85">
        <f>E116*0.08</f>
        <v>48111.7466666666</v>
      </c>
      <c r="G116" s="13"/>
    </row>
    <row r="117" ht="18.75" customHeight="1" spans="1:7">
      <c r="A117" s="10">
        <v>2</v>
      </c>
      <c r="B117" s="11" t="s">
        <v>202</v>
      </c>
      <c r="C117" s="4" t="s">
        <v>203</v>
      </c>
      <c r="D117" s="15" t="s">
        <v>62</v>
      </c>
      <c r="E117" s="85">
        <v>377895.166666667</v>
      </c>
      <c r="F117" s="85">
        <f t="shared" ref="F117:F118" si="17">E117*0.08</f>
        <v>30231.6133333334</v>
      </c>
      <c r="G117" s="13"/>
    </row>
    <row r="118" ht="20.1" customHeight="1" spans="1:7">
      <c r="A118" s="10">
        <v>3</v>
      </c>
      <c r="B118" s="11" t="s">
        <v>204</v>
      </c>
      <c r="C118" s="12" t="s">
        <v>581</v>
      </c>
      <c r="D118" s="15" t="s">
        <v>253</v>
      </c>
      <c r="E118" s="85">
        <v>390086.5</v>
      </c>
      <c r="F118" s="85">
        <f t="shared" si="17"/>
        <v>31206.92</v>
      </c>
      <c r="G118" s="13"/>
    </row>
    <row r="119" ht="24.75" customHeight="1" spans="1:7">
      <c r="A119" s="4"/>
      <c r="B119" s="20" t="s">
        <v>96</v>
      </c>
      <c r="C119" s="21">
        <v>2</v>
      </c>
      <c r="D119" s="26"/>
      <c r="E119" s="93">
        <f>SUM(E116:E118)</f>
        <v>1369378.5</v>
      </c>
      <c r="F119" s="93">
        <f t="shared" ref="F119" si="18">SUM(F116:F118)</f>
        <v>109550.28</v>
      </c>
      <c r="G119" s="13"/>
    </row>
    <row r="120" ht="20.1" customHeight="1" spans="1:7">
      <c r="A120" s="4"/>
      <c r="B120" s="22"/>
      <c r="C120" s="10"/>
      <c r="D120" s="4"/>
      <c r="E120" s="224"/>
      <c r="F120" s="9"/>
      <c r="G120" s="13"/>
    </row>
    <row r="121" ht="20.1" customHeight="1" spans="1:7">
      <c r="A121" s="4"/>
      <c r="B121" s="20" t="s">
        <v>213</v>
      </c>
      <c r="C121" s="21"/>
      <c r="D121" s="21"/>
      <c r="E121" s="146"/>
      <c r="F121" s="146"/>
      <c r="G121" s="13"/>
    </row>
    <row r="122" ht="20.1" customHeight="1" spans="1:7">
      <c r="A122" s="4">
        <v>1</v>
      </c>
      <c r="B122" s="11" t="s">
        <v>214</v>
      </c>
      <c r="C122" s="12" t="s">
        <v>215</v>
      </c>
      <c r="D122" s="15" t="s">
        <v>100</v>
      </c>
      <c r="E122" s="85">
        <v>1435720</v>
      </c>
      <c r="F122" s="85">
        <f>E122*0.08</f>
        <v>114857.6</v>
      </c>
      <c r="G122" s="13"/>
    </row>
    <row r="123" ht="20.1" customHeight="1" spans="1:7">
      <c r="A123" s="4">
        <v>2</v>
      </c>
      <c r="B123" s="11" t="s">
        <v>216</v>
      </c>
      <c r="C123" s="12" t="s">
        <v>217</v>
      </c>
      <c r="D123" s="15" t="s">
        <v>110</v>
      </c>
      <c r="E123" s="85">
        <v>739203.583333333</v>
      </c>
      <c r="F123" s="85">
        <f t="shared" ref="F123:F131" si="19">E123*0.08</f>
        <v>59136.2866666666</v>
      </c>
      <c r="G123" s="13"/>
    </row>
    <row r="124" ht="20.1" customHeight="1" spans="1:7">
      <c r="A124" s="4">
        <v>3</v>
      </c>
      <c r="B124" s="14" t="s">
        <v>218</v>
      </c>
      <c r="C124" s="12" t="s">
        <v>219</v>
      </c>
      <c r="D124" s="15" t="s">
        <v>36</v>
      </c>
      <c r="E124" s="85">
        <v>620675.583333333</v>
      </c>
      <c r="F124" s="85">
        <f t="shared" si="19"/>
        <v>49654.0466666666</v>
      </c>
      <c r="G124" s="13"/>
    </row>
    <row r="125" ht="20.1" customHeight="1" spans="1:7">
      <c r="A125" s="4">
        <v>4</v>
      </c>
      <c r="B125" s="14" t="s">
        <v>523</v>
      </c>
      <c r="C125" s="12" t="s">
        <v>219</v>
      </c>
      <c r="D125" s="15" t="s">
        <v>39</v>
      </c>
      <c r="E125" s="85">
        <v>582118.083333333</v>
      </c>
      <c r="F125" s="85"/>
      <c r="G125" s="13"/>
    </row>
    <row r="126" ht="20.1" customHeight="1" spans="1:7">
      <c r="A126" s="4">
        <v>5</v>
      </c>
      <c r="B126" s="11" t="s">
        <v>220</v>
      </c>
      <c r="C126" s="12" t="s">
        <v>221</v>
      </c>
      <c r="D126" s="15" t="s">
        <v>222</v>
      </c>
      <c r="E126" s="85">
        <v>470498</v>
      </c>
      <c r="F126" s="85">
        <f t="shared" si="19"/>
        <v>37639.84</v>
      </c>
      <c r="G126" s="13"/>
    </row>
    <row r="127" ht="20.1" customHeight="1" spans="1:7">
      <c r="A127" s="4">
        <v>6</v>
      </c>
      <c r="B127" s="11" t="s">
        <v>223</v>
      </c>
      <c r="C127" s="12" t="s">
        <v>224</v>
      </c>
      <c r="D127" s="15" t="s">
        <v>47</v>
      </c>
      <c r="E127" s="85">
        <v>442746.5</v>
      </c>
      <c r="F127" s="85">
        <f t="shared" si="19"/>
        <v>35419.72</v>
      </c>
      <c r="G127" s="13"/>
    </row>
    <row r="128" ht="20.1" customHeight="1" spans="1:7">
      <c r="A128" s="4">
        <v>7</v>
      </c>
      <c r="B128" s="11" t="s">
        <v>225</v>
      </c>
      <c r="C128" s="12" t="s">
        <v>221</v>
      </c>
      <c r="D128" s="15" t="s">
        <v>148</v>
      </c>
      <c r="E128" s="85">
        <v>456622.25</v>
      </c>
      <c r="F128" s="85">
        <f t="shared" si="19"/>
        <v>36529.78</v>
      </c>
      <c r="G128" s="13"/>
    </row>
    <row r="129" ht="20.1" customHeight="1" spans="1:7">
      <c r="A129" s="4">
        <v>8</v>
      </c>
      <c r="B129" s="11" t="s">
        <v>226</v>
      </c>
      <c r="C129" s="12" t="s">
        <v>227</v>
      </c>
      <c r="D129" s="10" t="s">
        <v>75</v>
      </c>
      <c r="E129" s="85">
        <v>270481.666666667</v>
      </c>
      <c r="F129" s="85">
        <f t="shared" si="19"/>
        <v>21638.5333333334</v>
      </c>
      <c r="G129" s="13"/>
    </row>
    <row r="130" ht="20.1" customHeight="1" spans="1:7">
      <c r="A130" s="4">
        <v>9</v>
      </c>
      <c r="B130" s="18" t="s">
        <v>228</v>
      </c>
      <c r="C130" s="12" t="s">
        <v>229</v>
      </c>
      <c r="D130" s="15" t="s">
        <v>92</v>
      </c>
      <c r="E130" s="85">
        <v>224459.75</v>
      </c>
      <c r="F130" s="85">
        <f t="shared" si="19"/>
        <v>17956.78</v>
      </c>
      <c r="G130" s="13"/>
    </row>
    <row r="131" ht="20.1" customHeight="1" spans="1:7">
      <c r="A131" s="4">
        <v>10</v>
      </c>
      <c r="B131" s="18" t="s">
        <v>230</v>
      </c>
      <c r="C131" s="12" t="s">
        <v>231</v>
      </c>
      <c r="D131" s="15" t="s">
        <v>92</v>
      </c>
      <c r="E131" s="85">
        <v>224459.75</v>
      </c>
      <c r="F131" s="85">
        <f t="shared" si="19"/>
        <v>17956.78</v>
      </c>
      <c r="G131" s="13"/>
    </row>
    <row r="132" ht="28.5" customHeight="1" spans="1:7">
      <c r="A132" s="4"/>
      <c r="B132" s="20" t="s">
        <v>96</v>
      </c>
      <c r="C132" s="26" t="s">
        <v>233</v>
      </c>
      <c r="D132" s="15"/>
      <c r="E132" s="146">
        <f>SUM(E122:E131)</f>
        <v>5466985.16666667</v>
      </c>
      <c r="F132" s="146">
        <f t="shared" ref="F132" si="20">SUM(F122:F131)</f>
        <v>390789.366666667</v>
      </c>
      <c r="G132" s="13"/>
    </row>
    <row r="133" ht="20.1" customHeight="1" spans="1:7">
      <c r="A133" s="4"/>
      <c r="B133" s="22"/>
      <c r="C133" s="26"/>
      <c r="D133" s="15"/>
      <c r="E133" s="146"/>
      <c r="F133" s="146"/>
      <c r="G133" s="13"/>
    </row>
    <row r="134" ht="20.1" customHeight="1" spans="1:7">
      <c r="A134" s="4"/>
      <c r="B134" s="20" t="s">
        <v>234</v>
      </c>
      <c r="C134" s="12"/>
      <c r="D134" s="15"/>
      <c r="E134" s="85"/>
      <c r="F134" s="85"/>
      <c r="G134" s="13"/>
    </row>
    <row r="135" ht="20.1" customHeight="1" spans="1:7">
      <c r="A135" s="27">
        <v>1</v>
      </c>
      <c r="B135" s="11" t="s">
        <v>235</v>
      </c>
      <c r="C135" s="12" t="s">
        <v>236</v>
      </c>
      <c r="D135" s="15" t="s">
        <v>100</v>
      </c>
      <c r="E135" s="85">
        <v>1435720</v>
      </c>
      <c r="F135" s="85">
        <f>E135*0.08</f>
        <v>114857.6</v>
      </c>
      <c r="G135" s="13"/>
    </row>
    <row r="136" ht="20.1" customHeight="1" spans="1:7">
      <c r="A136" s="27">
        <v>2</v>
      </c>
      <c r="B136" s="11" t="s">
        <v>524</v>
      </c>
      <c r="C136" s="12" t="s">
        <v>575</v>
      </c>
      <c r="D136" s="15" t="s">
        <v>189</v>
      </c>
      <c r="E136" s="85">
        <v>762373.166666667</v>
      </c>
      <c r="F136" s="85"/>
      <c r="G136" s="13"/>
    </row>
    <row r="137" ht="20.1" customHeight="1" spans="1:7">
      <c r="A137" s="27">
        <v>3</v>
      </c>
      <c r="B137" s="14" t="s">
        <v>237</v>
      </c>
      <c r="C137" s="4" t="s">
        <v>238</v>
      </c>
      <c r="D137" s="16" t="s">
        <v>189</v>
      </c>
      <c r="E137" s="85">
        <v>762373.166666667</v>
      </c>
      <c r="F137" s="85">
        <f t="shared" ref="F137:F193" si="21">E137*0.08</f>
        <v>60989.8533333334</v>
      </c>
      <c r="G137" s="13"/>
    </row>
    <row r="138" ht="20.1" customHeight="1" spans="1:7">
      <c r="A138" s="27">
        <v>4</v>
      </c>
      <c r="B138" s="11" t="s">
        <v>239</v>
      </c>
      <c r="C138" s="12" t="s">
        <v>582</v>
      </c>
      <c r="D138" s="15" t="s">
        <v>42</v>
      </c>
      <c r="E138" s="85">
        <v>484373.75</v>
      </c>
      <c r="F138" s="85">
        <f t="shared" si="21"/>
        <v>38749.9</v>
      </c>
      <c r="G138" s="13"/>
    </row>
    <row r="139" ht="20.1" customHeight="1" spans="1:7">
      <c r="A139" s="27">
        <v>5</v>
      </c>
      <c r="B139" s="11" t="s">
        <v>241</v>
      </c>
      <c r="C139" s="4" t="s">
        <v>583</v>
      </c>
      <c r="D139" s="15" t="s">
        <v>42</v>
      </c>
      <c r="E139" s="85">
        <v>484373.75</v>
      </c>
      <c r="F139" s="85">
        <f t="shared" si="21"/>
        <v>38749.9</v>
      </c>
      <c r="G139" s="13"/>
    </row>
    <row r="140" ht="20.1" customHeight="1" spans="1:7">
      <c r="A140" s="27">
        <v>6</v>
      </c>
      <c r="B140" s="11" t="s">
        <v>243</v>
      </c>
      <c r="C140" s="4" t="s">
        <v>583</v>
      </c>
      <c r="D140" s="15" t="s">
        <v>42</v>
      </c>
      <c r="E140" s="85">
        <v>484373.75</v>
      </c>
      <c r="F140" s="85">
        <f t="shared" si="21"/>
        <v>38749.9</v>
      </c>
      <c r="G140" s="13"/>
    </row>
    <row r="141" ht="20.1" customHeight="1" spans="1:7">
      <c r="A141" s="27">
        <v>7</v>
      </c>
      <c r="B141" s="11" t="s">
        <v>178</v>
      </c>
      <c r="C141" s="12" t="s">
        <v>584</v>
      </c>
      <c r="D141" s="15" t="s">
        <v>253</v>
      </c>
      <c r="E141" s="85">
        <v>390086.5</v>
      </c>
      <c r="F141" s="85">
        <f t="shared" si="21"/>
        <v>31206.92</v>
      </c>
      <c r="G141" s="13"/>
    </row>
    <row r="142" ht="20.1" customHeight="1" spans="1:7">
      <c r="A142" s="27">
        <v>8</v>
      </c>
      <c r="B142" s="11" t="s">
        <v>244</v>
      </c>
      <c r="C142" s="12" t="s">
        <v>584</v>
      </c>
      <c r="D142" s="15" t="s">
        <v>253</v>
      </c>
      <c r="E142" s="85">
        <v>390086.5</v>
      </c>
      <c r="F142" s="85">
        <f t="shared" si="21"/>
        <v>31206.92</v>
      </c>
      <c r="G142" s="13"/>
    </row>
    <row r="143" ht="20.1" customHeight="1" spans="1:7">
      <c r="A143" s="27">
        <v>9</v>
      </c>
      <c r="B143" s="11" t="s">
        <v>245</v>
      </c>
      <c r="C143" s="4" t="s">
        <v>585</v>
      </c>
      <c r="D143" s="15" t="s">
        <v>253</v>
      </c>
      <c r="E143" s="85">
        <v>390086.5</v>
      </c>
      <c r="F143" s="85">
        <f t="shared" si="21"/>
        <v>31206.92</v>
      </c>
      <c r="G143" s="13"/>
    </row>
    <row r="144" ht="20.1" customHeight="1" spans="1:7">
      <c r="A144" s="27">
        <v>10</v>
      </c>
      <c r="B144" s="11" t="s">
        <v>247</v>
      </c>
      <c r="C144" s="12" t="s">
        <v>248</v>
      </c>
      <c r="D144" s="15" t="s">
        <v>62</v>
      </c>
      <c r="E144" s="85">
        <v>377895.166666667</v>
      </c>
      <c r="F144" s="85">
        <f t="shared" si="21"/>
        <v>30231.6133333334</v>
      </c>
      <c r="G144" s="13"/>
    </row>
    <row r="145" ht="20.1" customHeight="1" spans="1:7">
      <c r="A145" s="27">
        <v>11</v>
      </c>
      <c r="B145" s="11" t="s">
        <v>249</v>
      </c>
      <c r="C145" s="12" t="s">
        <v>250</v>
      </c>
      <c r="D145" s="15" t="s">
        <v>135</v>
      </c>
      <c r="E145" s="85">
        <v>365703.833333333</v>
      </c>
      <c r="F145" s="85">
        <f t="shared" si="21"/>
        <v>29256.3066666666</v>
      </c>
      <c r="G145" s="13"/>
    </row>
    <row r="146" ht="20.1" customHeight="1" spans="1:7">
      <c r="A146" s="27">
        <v>12</v>
      </c>
      <c r="B146" s="11" t="s">
        <v>251</v>
      </c>
      <c r="C146" s="12" t="s">
        <v>252</v>
      </c>
      <c r="D146" s="15" t="s">
        <v>253</v>
      </c>
      <c r="E146" s="85">
        <v>390086.5</v>
      </c>
      <c r="F146" s="85">
        <f t="shared" si="21"/>
        <v>31206.92</v>
      </c>
      <c r="G146" s="13"/>
    </row>
    <row r="147" ht="20.1" customHeight="1" spans="1:7">
      <c r="A147" s="27">
        <v>13</v>
      </c>
      <c r="B147" s="18" t="s">
        <v>254</v>
      </c>
      <c r="C147" s="4" t="s">
        <v>255</v>
      </c>
      <c r="D147" s="15" t="s">
        <v>65</v>
      </c>
      <c r="E147" s="220">
        <v>353512.5</v>
      </c>
      <c r="F147" s="85">
        <f t="shared" si="21"/>
        <v>28281</v>
      </c>
      <c r="G147" s="13"/>
    </row>
    <row r="148" ht="20.1" customHeight="1" spans="1:7">
      <c r="A148" s="27">
        <v>14</v>
      </c>
      <c r="B148" s="11" t="s">
        <v>256</v>
      </c>
      <c r="C148" s="4" t="s">
        <v>586</v>
      </c>
      <c r="D148" s="15" t="s">
        <v>265</v>
      </c>
      <c r="E148" s="220">
        <v>308901.5</v>
      </c>
      <c r="F148" s="85">
        <f t="shared" si="21"/>
        <v>24712.12</v>
      </c>
      <c r="G148" s="13"/>
    </row>
    <row r="149" ht="20.1" customHeight="1" spans="1:7">
      <c r="A149" s="27">
        <v>15</v>
      </c>
      <c r="B149" s="11" t="s">
        <v>257</v>
      </c>
      <c r="C149" s="4" t="s">
        <v>586</v>
      </c>
      <c r="D149" s="15" t="s">
        <v>587</v>
      </c>
      <c r="E149" s="220">
        <v>316837.416666667</v>
      </c>
      <c r="F149" s="85">
        <f t="shared" si="21"/>
        <v>25346.9933333334</v>
      </c>
      <c r="G149" s="13"/>
    </row>
    <row r="150" ht="20.1" customHeight="1" spans="1:7">
      <c r="A150" s="27">
        <v>16</v>
      </c>
      <c r="B150" s="11" t="s">
        <v>258</v>
      </c>
      <c r="C150" s="4" t="s">
        <v>586</v>
      </c>
      <c r="D150" s="15" t="s">
        <v>587</v>
      </c>
      <c r="E150" s="220">
        <v>316837.416666667</v>
      </c>
      <c r="F150" s="85">
        <f t="shared" si="21"/>
        <v>25346.9933333334</v>
      </c>
      <c r="G150" s="13"/>
    </row>
    <row r="151" ht="20.1" customHeight="1" spans="1:7">
      <c r="A151" s="27">
        <v>17</v>
      </c>
      <c r="B151" s="11" t="s">
        <v>259</v>
      </c>
      <c r="C151" s="12" t="s">
        <v>260</v>
      </c>
      <c r="D151" s="15" t="s">
        <v>104</v>
      </c>
      <c r="E151" s="220">
        <v>300965.583333333</v>
      </c>
      <c r="F151" s="85">
        <f t="shared" si="21"/>
        <v>24077.2466666666</v>
      </c>
      <c r="G151" s="13"/>
    </row>
    <row r="152" ht="20.1" customHeight="1" spans="1:7">
      <c r="A152" s="27">
        <v>18</v>
      </c>
      <c r="B152" s="11" t="s">
        <v>261</v>
      </c>
      <c r="C152" s="12" t="s">
        <v>262</v>
      </c>
      <c r="D152" s="10" t="s">
        <v>80</v>
      </c>
      <c r="E152" s="85">
        <v>263165.333333333</v>
      </c>
      <c r="F152" s="85">
        <f t="shared" si="21"/>
        <v>21053.2266666666</v>
      </c>
      <c r="G152" s="13"/>
    </row>
    <row r="153" ht="20.1" customHeight="1" spans="1:7">
      <c r="A153" s="27">
        <v>19</v>
      </c>
      <c r="B153" s="11" t="s">
        <v>263</v>
      </c>
      <c r="C153" s="12" t="s">
        <v>264</v>
      </c>
      <c r="D153" s="15" t="s">
        <v>265</v>
      </c>
      <c r="E153" s="220">
        <v>308901.5</v>
      </c>
      <c r="F153" s="85">
        <f t="shared" si="21"/>
        <v>24712.12</v>
      </c>
      <c r="G153" s="13"/>
    </row>
    <row r="154" ht="20.1" customHeight="1" spans="1:7">
      <c r="A154" s="27">
        <v>20</v>
      </c>
      <c r="B154" s="11" t="s">
        <v>266</v>
      </c>
      <c r="C154" s="12" t="s">
        <v>267</v>
      </c>
      <c r="D154" s="15" t="s">
        <v>75</v>
      </c>
      <c r="E154" s="220">
        <v>270481.666666667</v>
      </c>
      <c r="F154" s="85">
        <f t="shared" si="21"/>
        <v>21638.5333333334</v>
      </c>
      <c r="G154" s="13"/>
    </row>
    <row r="155" ht="20.1" customHeight="1" spans="1:7">
      <c r="A155" s="27">
        <v>21</v>
      </c>
      <c r="B155" s="11" t="s">
        <v>268</v>
      </c>
      <c r="C155" s="12" t="s">
        <v>269</v>
      </c>
      <c r="D155" s="15" t="s">
        <v>265</v>
      </c>
      <c r="E155" s="220">
        <v>308901.5</v>
      </c>
      <c r="F155" s="85">
        <f t="shared" si="21"/>
        <v>24712.12</v>
      </c>
      <c r="G155" s="13"/>
    </row>
    <row r="156" ht="20.1" customHeight="1" spans="1:7">
      <c r="A156" s="27">
        <v>22</v>
      </c>
      <c r="B156" s="11" t="s">
        <v>270</v>
      </c>
      <c r="C156" s="12" t="s">
        <v>271</v>
      </c>
      <c r="D156" s="15" t="s">
        <v>75</v>
      </c>
      <c r="E156" s="220">
        <v>270481.666666667</v>
      </c>
      <c r="F156" s="85">
        <f t="shared" si="21"/>
        <v>21638.5333333334</v>
      </c>
      <c r="G156" s="13"/>
    </row>
    <row r="157" ht="20.1" customHeight="1" spans="1:7">
      <c r="A157" s="27">
        <v>23</v>
      </c>
      <c r="B157" s="18" t="s">
        <v>272</v>
      </c>
      <c r="C157" s="12" t="s">
        <v>273</v>
      </c>
      <c r="D157" s="15" t="s">
        <v>83</v>
      </c>
      <c r="E157" s="220">
        <v>255849</v>
      </c>
      <c r="F157" s="85">
        <f t="shared" si="21"/>
        <v>20467.92</v>
      </c>
      <c r="G157" s="13"/>
    </row>
    <row r="158" ht="20.1" customHeight="1" spans="1:7">
      <c r="A158" s="27">
        <v>24</v>
      </c>
      <c r="B158" s="18" t="s">
        <v>275</v>
      </c>
      <c r="C158" s="12" t="s">
        <v>276</v>
      </c>
      <c r="D158" s="15" t="s">
        <v>92</v>
      </c>
      <c r="E158" s="85">
        <v>224459.75</v>
      </c>
      <c r="F158" s="85">
        <f t="shared" si="21"/>
        <v>17956.78</v>
      </c>
      <c r="G158" s="13"/>
    </row>
    <row r="159" ht="20.1" customHeight="1" spans="1:7">
      <c r="A159" s="27">
        <v>25</v>
      </c>
      <c r="B159" s="18" t="s">
        <v>277</v>
      </c>
      <c r="C159" s="12" t="s">
        <v>278</v>
      </c>
      <c r="D159" s="15" t="s">
        <v>92</v>
      </c>
      <c r="E159" s="85">
        <v>224459.75</v>
      </c>
      <c r="F159" s="85">
        <f t="shared" si="21"/>
        <v>17956.78</v>
      </c>
      <c r="G159" s="13"/>
    </row>
    <row r="160" ht="20.1" customHeight="1" spans="1:7">
      <c r="A160" s="27">
        <v>26</v>
      </c>
      <c r="B160" s="18" t="s">
        <v>279</v>
      </c>
      <c r="C160" s="12" t="s">
        <v>280</v>
      </c>
      <c r="D160" s="15" t="s">
        <v>92</v>
      </c>
      <c r="E160" s="85">
        <v>224459.75</v>
      </c>
      <c r="F160" s="85">
        <f t="shared" si="21"/>
        <v>17956.78</v>
      </c>
      <c r="G160" s="13"/>
    </row>
    <row r="161" ht="20.1" customHeight="1" spans="1:7">
      <c r="A161" s="27">
        <v>27</v>
      </c>
      <c r="B161" s="18" t="s">
        <v>281</v>
      </c>
      <c r="C161" s="12" t="s">
        <v>282</v>
      </c>
      <c r="D161" s="15" t="s">
        <v>171</v>
      </c>
      <c r="E161" s="85">
        <v>230631.916666667</v>
      </c>
      <c r="F161" s="85">
        <f t="shared" si="21"/>
        <v>18450.5533333334</v>
      </c>
      <c r="G161" s="13"/>
    </row>
    <row r="162" ht="20.1" customHeight="1" spans="1:7">
      <c r="A162" s="27">
        <v>28</v>
      </c>
      <c r="B162" s="18" t="s">
        <v>283</v>
      </c>
      <c r="C162" s="12" t="s">
        <v>278</v>
      </c>
      <c r="D162" s="15" t="s">
        <v>92</v>
      </c>
      <c r="E162" s="85">
        <v>224459.75</v>
      </c>
      <c r="F162" s="85">
        <f t="shared" si="21"/>
        <v>17956.78</v>
      </c>
      <c r="G162" s="13"/>
    </row>
    <row r="163" ht="20.1" customHeight="1" spans="1:7">
      <c r="A163" s="27">
        <v>29</v>
      </c>
      <c r="B163" s="11" t="s">
        <v>287</v>
      </c>
      <c r="C163" s="12" t="s">
        <v>288</v>
      </c>
      <c r="D163" s="15" t="s">
        <v>289</v>
      </c>
      <c r="E163" s="226">
        <v>168598.166666667</v>
      </c>
      <c r="F163" s="85">
        <f t="shared" si="21"/>
        <v>13487.8533333334</v>
      </c>
      <c r="G163" s="13"/>
    </row>
    <row r="164" ht="20.1" customHeight="1" spans="1:7">
      <c r="A164" s="27">
        <v>30</v>
      </c>
      <c r="B164" s="11" t="s">
        <v>290</v>
      </c>
      <c r="C164" s="12" t="s">
        <v>288</v>
      </c>
      <c r="D164" s="15" t="s">
        <v>289</v>
      </c>
      <c r="E164" s="226">
        <v>168598.166666667</v>
      </c>
      <c r="F164" s="85">
        <f t="shared" si="21"/>
        <v>13487.8533333334</v>
      </c>
      <c r="G164" s="13"/>
    </row>
    <row r="165" ht="20.1" customHeight="1" spans="1:7">
      <c r="A165" s="27">
        <v>31</v>
      </c>
      <c r="B165" s="11" t="s">
        <v>291</v>
      </c>
      <c r="C165" s="12" t="s">
        <v>288</v>
      </c>
      <c r="D165" s="15" t="s">
        <v>289</v>
      </c>
      <c r="E165" s="226">
        <v>168598.166666667</v>
      </c>
      <c r="F165" s="85">
        <f t="shared" si="21"/>
        <v>13487.8533333334</v>
      </c>
      <c r="G165" s="13"/>
    </row>
    <row r="166" ht="20.1" customHeight="1" spans="1:7">
      <c r="A166" s="27">
        <v>32</v>
      </c>
      <c r="B166" s="11" t="s">
        <v>292</v>
      </c>
      <c r="C166" s="12" t="s">
        <v>288</v>
      </c>
      <c r="D166" s="15" t="s">
        <v>289</v>
      </c>
      <c r="E166" s="226">
        <v>168598.166666667</v>
      </c>
      <c r="F166" s="85">
        <f t="shared" si="21"/>
        <v>13487.8533333334</v>
      </c>
      <c r="G166" s="13"/>
    </row>
    <row r="167" ht="20.1" customHeight="1" spans="1:7">
      <c r="A167" s="27">
        <v>33</v>
      </c>
      <c r="B167" s="11" t="s">
        <v>293</v>
      </c>
      <c r="C167" s="12" t="s">
        <v>288</v>
      </c>
      <c r="D167" s="15" t="s">
        <v>289</v>
      </c>
      <c r="E167" s="226">
        <v>168598.166666667</v>
      </c>
      <c r="F167" s="85">
        <f t="shared" si="21"/>
        <v>13487.8533333334</v>
      </c>
      <c r="G167" s="13"/>
    </row>
    <row r="168" ht="20.1" customHeight="1" spans="1:7">
      <c r="A168" s="27">
        <v>34</v>
      </c>
      <c r="B168" s="11" t="s">
        <v>294</v>
      </c>
      <c r="C168" s="12" t="s">
        <v>288</v>
      </c>
      <c r="D168" s="15" t="s">
        <v>295</v>
      </c>
      <c r="E168" s="226">
        <v>163336.833333333</v>
      </c>
      <c r="F168" s="85">
        <f t="shared" si="21"/>
        <v>13066.9466666666</v>
      </c>
      <c r="G168" s="13"/>
    </row>
    <row r="169" ht="20.1" customHeight="1" spans="1:7">
      <c r="A169" s="27">
        <v>35</v>
      </c>
      <c r="B169" s="11" t="s">
        <v>296</v>
      </c>
      <c r="C169" s="12" t="s">
        <v>288</v>
      </c>
      <c r="D169" s="15" t="s">
        <v>295</v>
      </c>
      <c r="E169" s="226">
        <v>163336.833333333</v>
      </c>
      <c r="F169" s="85">
        <f t="shared" si="21"/>
        <v>13066.9466666666</v>
      </c>
      <c r="G169" s="13"/>
    </row>
    <row r="170" ht="20.1" customHeight="1" spans="1:7">
      <c r="A170" s="27">
        <v>36</v>
      </c>
      <c r="B170" s="14" t="s">
        <v>297</v>
      </c>
      <c r="C170" s="12" t="s">
        <v>288</v>
      </c>
      <c r="D170" s="15" t="s">
        <v>295</v>
      </c>
      <c r="E170" s="226">
        <v>163336.833333333</v>
      </c>
      <c r="F170" s="85">
        <f t="shared" si="21"/>
        <v>13066.9466666666</v>
      </c>
      <c r="G170" s="13"/>
    </row>
    <row r="171" ht="20.1" customHeight="1" spans="1:7">
      <c r="A171" s="27">
        <v>37</v>
      </c>
      <c r="B171" s="11" t="s">
        <v>298</v>
      </c>
      <c r="C171" s="12" t="s">
        <v>288</v>
      </c>
      <c r="D171" s="15" t="s">
        <v>295</v>
      </c>
      <c r="E171" s="226">
        <v>163336.833333333</v>
      </c>
      <c r="F171" s="85">
        <f t="shared" si="21"/>
        <v>13066.9466666666</v>
      </c>
      <c r="G171" s="13"/>
    </row>
    <row r="172" ht="20.1" customHeight="1" spans="1:7">
      <c r="A172" s="27">
        <v>38</v>
      </c>
      <c r="B172" s="18" t="s">
        <v>299</v>
      </c>
      <c r="C172" s="12" t="s">
        <v>288</v>
      </c>
      <c r="D172" s="15" t="s">
        <v>295</v>
      </c>
      <c r="E172" s="226">
        <v>163336.833333333</v>
      </c>
      <c r="F172" s="85">
        <f t="shared" si="21"/>
        <v>13066.9466666666</v>
      </c>
      <c r="G172" s="13"/>
    </row>
    <row r="173" ht="20.1" customHeight="1" spans="1:7">
      <c r="A173" s="27">
        <v>39</v>
      </c>
      <c r="B173" s="18" t="s">
        <v>300</v>
      </c>
      <c r="C173" s="12" t="s">
        <v>288</v>
      </c>
      <c r="D173" s="15" t="s">
        <v>295</v>
      </c>
      <c r="E173" s="226">
        <v>163336.833333333</v>
      </c>
      <c r="F173" s="85">
        <f t="shared" si="21"/>
        <v>13066.9466666666</v>
      </c>
      <c r="G173" s="13"/>
    </row>
    <row r="174" ht="20.1" customHeight="1" spans="1:7">
      <c r="A174" s="27">
        <v>40</v>
      </c>
      <c r="B174" s="11" t="s">
        <v>301</v>
      </c>
      <c r="C174" s="12" t="s">
        <v>302</v>
      </c>
      <c r="D174" s="15" t="s">
        <v>303</v>
      </c>
      <c r="E174" s="85">
        <v>152814.166666667</v>
      </c>
      <c r="F174" s="85">
        <f t="shared" si="21"/>
        <v>12225.1333333334</v>
      </c>
      <c r="G174" s="13"/>
    </row>
    <row r="175" ht="20.1" customHeight="1" spans="1:7">
      <c r="A175" s="27">
        <v>41</v>
      </c>
      <c r="B175" s="11" t="s">
        <v>304</v>
      </c>
      <c r="C175" s="12" t="s">
        <v>302</v>
      </c>
      <c r="D175" s="15" t="s">
        <v>303</v>
      </c>
      <c r="E175" s="85">
        <v>152814.166666667</v>
      </c>
      <c r="F175" s="85">
        <f t="shared" si="21"/>
        <v>12225.1333333334</v>
      </c>
      <c r="G175" s="13"/>
    </row>
    <row r="176" ht="20.1" customHeight="1" spans="1:7">
      <c r="A176" s="27">
        <v>42</v>
      </c>
      <c r="B176" s="18" t="s">
        <v>305</v>
      </c>
      <c r="C176" s="12" t="s">
        <v>302</v>
      </c>
      <c r="D176" s="15" t="s">
        <v>306</v>
      </c>
      <c r="E176" s="85">
        <v>158075.5</v>
      </c>
      <c r="F176" s="85">
        <f t="shared" si="21"/>
        <v>12646.04</v>
      </c>
      <c r="G176" s="13"/>
    </row>
    <row r="177" ht="20.1" customHeight="1" spans="1:7">
      <c r="A177" s="27">
        <v>43</v>
      </c>
      <c r="B177" s="11" t="s">
        <v>307</v>
      </c>
      <c r="C177" s="12" t="s">
        <v>308</v>
      </c>
      <c r="D177" s="15" t="s">
        <v>588</v>
      </c>
      <c r="E177" s="85">
        <v>94145.75</v>
      </c>
      <c r="F177" s="85">
        <f t="shared" si="21"/>
        <v>7531.66</v>
      </c>
      <c r="G177" s="13"/>
    </row>
    <row r="178" ht="20.1" customHeight="1" spans="1:7">
      <c r="A178" s="27">
        <v>44</v>
      </c>
      <c r="B178" s="11" t="s">
        <v>309</v>
      </c>
      <c r="C178" s="12" t="s">
        <v>310</v>
      </c>
      <c r="D178" s="15" t="s">
        <v>311</v>
      </c>
      <c r="E178" s="85">
        <v>91598</v>
      </c>
      <c r="F178" s="85">
        <f t="shared" si="21"/>
        <v>7327.84</v>
      </c>
      <c r="G178" s="13"/>
    </row>
    <row r="179" ht="20.1" customHeight="1" spans="1:7">
      <c r="A179" s="27">
        <v>45</v>
      </c>
      <c r="B179" s="11" t="s">
        <v>312</v>
      </c>
      <c r="C179" s="12" t="s">
        <v>310</v>
      </c>
      <c r="D179" s="15" t="s">
        <v>311</v>
      </c>
      <c r="E179" s="85">
        <v>91598</v>
      </c>
      <c r="F179" s="85">
        <f t="shared" si="21"/>
        <v>7327.84</v>
      </c>
      <c r="G179" s="13"/>
    </row>
    <row r="180" ht="20.1" customHeight="1" spans="1:7">
      <c r="A180" s="27">
        <v>46</v>
      </c>
      <c r="B180" s="11" t="s">
        <v>313</v>
      </c>
      <c r="C180" s="12" t="s">
        <v>310</v>
      </c>
      <c r="D180" s="15" t="s">
        <v>311</v>
      </c>
      <c r="E180" s="85">
        <v>91598</v>
      </c>
      <c r="F180" s="85">
        <f t="shared" si="21"/>
        <v>7327.84</v>
      </c>
      <c r="G180" s="13"/>
    </row>
    <row r="181" ht="20.1" customHeight="1" spans="1:7">
      <c r="A181" s="27">
        <v>47</v>
      </c>
      <c r="B181" s="11" t="s">
        <v>314</v>
      </c>
      <c r="C181" s="12" t="s">
        <v>310</v>
      </c>
      <c r="D181" s="15" t="s">
        <v>311</v>
      </c>
      <c r="E181" s="85">
        <v>91598</v>
      </c>
      <c r="F181" s="85">
        <f t="shared" si="21"/>
        <v>7327.84</v>
      </c>
      <c r="G181" s="13"/>
    </row>
    <row r="182" ht="20.1" customHeight="1" spans="1:7">
      <c r="A182" s="27">
        <v>48</v>
      </c>
      <c r="B182" s="11" t="s">
        <v>315</v>
      </c>
      <c r="C182" s="12" t="s">
        <v>310</v>
      </c>
      <c r="D182" s="15" t="s">
        <v>311</v>
      </c>
      <c r="E182" s="85">
        <v>91598</v>
      </c>
      <c r="F182" s="85">
        <f t="shared" si="21"/>
        <v>7327.84</v>
      </c>
      <c r="G182" s="13"/>
    </row>
    <row r="183" ht="20.1" customHeight="1" spans="1:7">
      <c r="A183" s="27">
        <v>49</v>
      </c>
      <c r="B183" s="18" t="s">
        <v>316</v>
      </c>
      <c r="C183" s="12" t="s">
        <v>310</v>
      </c>
      <c r="D183" s="15" t="s">
        <v>311</v>
      </c>
      <c r="E183" s="85">
        <v>91598</v>
      </c>
      <c r="F183" s="85">
        <f t="shared" si="21"/>
        <v>7327.84</v>
      </c>
      <c r="G183" s="13"/>
    </row>
    <row r="184" ht="20.1" customHeight="1" spans="1:7">
      <c r="A184" s="27">
        <v>50</v>
      </c>
      <c r="B184" s="18" t="s">
        <v>317</v>
      </c>
      <c r="C184" s="12" t="s">
        <v>310</v>
      </c>
      <c r="D184" s="15" t="s">
        <v>311</v>
      </c>
      <c r="E184" s="85">
        <v>91598</v>
      </c>
      <c r="F184" s="85">
        <f t="shared" si="21"/>
        <v>7327.84</v>
      </c>
      <c r="G184" s="13"/>
    </row>
    <row r="185" ht="20.1" customHeight="1" spans="1:7">
      <c r="A185" s="27">
        <v>51</v>
      </c>
      <c r="B185" s="11" t="s">
        <v>318</v>
      </c>
      <c r="C185" s="12" t="s">
        <v>308</v>
      </c>
      <c r="D185" s="15" t="s">
        <v>311</v>
      </c>
      <c r="E185" s="85">
        <v>91598</v>
      </c>
      <c r="F185" s="85">
        <f t="shared" si="21"/>
        <v>7327.84</v>
      </c>
      <c r="G185" s="13"/>
    </row>
    <row r="186" ht="20.1" customHeight="1" spans="1:7">
      <c r="A186" s="27">
        <v>52</v>
      </c>
      <c r="B186" s="11" t="s">
        <v>319</v>
      </c>
      <c r="C186" s="12" t="s">
        <v>308</v>
      </c>
      <c r="D186" s="15" t="s">
        <v>311</v>
      </c>
      <c r="E186" s="85">
        <v>91598</v>
      </c>
      <c r="F186" s="85">
        <f t="shared" si="21"/>
        <v>7327.84</v>
      </c>
      <c r="G186" s="13"/>
    </row>
    <row r="187" ht="20.1" customHeight="1" spans="1:7">
      <c r="A187" s="27">
        <v>53</v>
      </c>
      <c r="B187" s="18" t="s">
        <v>320</v>
      </c>
      <c r="C187" s="12" t="s">
        <v>321</v>
      </c>
      <c r="D187" s="15" t="s">
        <v>322</v>
      </c>
      <c r="E187" s="85">
        <v>89050.25</v>
      </c>
      <c r="F187" s="85">
        <f t="shared" si="21"/>
        <v>7124.02</v>
      </c>
      <c r="G187" s="13"/>
    </row>
    <row r="188" ht="20.1" customHeight="1" spans="1:7">
      <c r="A188" s="27">
        <v>54</v>
      </c>
      <c r="B188" s="18" t="s">
        <v>325</v>
      </c>
      <c r="C188" s="12" t="s">
        <v>310</v>
      </c>
      <c r="D188" s="15" t="s">
        <v>589</v>
      </c>
      <c r="E188" s="220">
        <v>80926.9166666667</v>
      </c>
      <c r="F188" s="85">
        <f t="shared" si="21"/>
        <v>6474.15333333334</v>
      </c>
      <c r="G188" s="13"/>
    </row>
    <row r="189" ht="20.1" customHeight="1" spans="1:7">
      <c r="A189" s="27">
        <v>55</v>
      </c>
      <c r="B189" s="18" t="s">
        <v>326</v>
      </c>
      <c r="C189" s="12" t="s">
        <v>327</v>
      </c>
      <c r="D189" s="15" t="s">
        <v>328</v>
      </c>
      <c r="E189" s="85">
        <v>76540.75</v>
      </c>
      <c r="F189" s="85">
        <f t="shared" si="21"/>
        <v>6123.26</v>
      </c>
      <c r="G189" s="13"/>
    </row>
    <row r="190" ht="20.1" customHeight="1" spans="1:7">
      <c r="A190" s="27">
        <v>56</v>
      </c>
      <c r="B190" s="18" t="s">
        <v>329</v>
      </c>
      <c r="C190" s="12" t="s">
        <v>327</v>
      </c>
      <c r="D190" s="15" t="s">
        <v>328</v>
      </c>
      <c r="E190" s="85">
        <v>76540.75</v>
      </c>
      <c r="F190" s="85">
        <f t="shared" si="21"/>
        <v>6123.26</v>
      </c>
      <c r="G190" s="13"/>
    </row>
    <row r="191" ht="20.1" customHeight="1" spans="1:7">
      <c r="A191" s="27">
        <v>57</v>
      </c>
      <c r="B191" s="18" t="s">
        <v>330</v>
      </c>
      <c r="C191" s="12" t="s">
        <v>327</v>
      </c>
      <c r="D191" s="15" t="s">
        <v>328</v>
      </c>
      <c r="E191" s="85">
        <v>76540.75</v>
      </c>
      <c r="F191" s="85">
        <f t="shared" si="21"/>
        <v>6123.26</v>
      </c>
      <c r="G191" s="13"/>
    </row>
    <row r="192" ht="20.1" customHeight="1" spans="1:7">
      <c r="A192" s="27">
        <v>58</v>
      </c>
      <c r="B192" s="18" t="s">
        <v>331</v>
      </c>
      <c r="C192" s="12" t="s">
        <v>332</v>
      </c>
      <c r="D192" s="15" t="s">
        <v>333</v>
      </c>
      <c r="E192" s="85">
        <v>86502.5</v>
      </c>
      <c r="F192" s="85">
        <f t="shared" si="21"/>
        <v>6920.2</v>
      </c>
      <c r="G192" s="13"/>
    </row>
    <row r="193" ht="20.1" customHeight="1" spans="1:7">
      <c r="A193" s="27">
        <v>59</v>
      </c>
      <c r="B193" s="18" t="s">
        <v>334</v>
      </c>
      <c r="C193" s="12" t="s">
        <v>332</v>
      </c>
      <c r="D193" s="15" t="s">
        <v>333</v>
      </c>
      <c r="E193" s="85">
        <v>86502.5</v>
      </c>
      <c r="F193" s="85">
        <f t="shared" si="21"/>
        <v>6920.2</v>
      </c>
      <c r="G193" s="13"/>
    </row>
    <row r="194" ht="20.1" customHeight="1" spans="1:7">
      <c r="A194" s="27"/>
      <c r="B194" s="8" t="s">
        <v>96</v>
      </c>
      <c r="C194" s="28" t="s">
        <v>590</v>
      </c>
      <c r="D194" s="29"/>
      <c r="E194" s="93">
        <f>SUM(E135:E193)</f>
        <v>14898686.4166667</v>
      </c>
      <c r="F194" s="93">
        <f t="shared" ref="F194" si="22">SUM(F135:F193)</f>
        <v>1130905.06</v>
      </c>
      <c r="G194" s="13"/>
    </row>
    <row r="195" ht="19.5" customHeight="1" spans="1:7">
      <c r="A195" s="4"/>
      <c r="B195" s="30" t="s">
        <v>336</v>
      </c>
      <c r="C195" s="31">
        <f>C35+C41+C55+C60+C73+C83+C96+C103+C113+C132+C194</f>
        <v>153</v>
      </c>
      <c r="D195" s="32"/>
      <c r="E195" s="227">
        <f>E194+E132+E119+E113+E103+E96+E83+E73+E60+E55+E41+E35</f>
        <v>64242790.417</v>
      </c>
      <c r="F195" s="227">
        <f t="shared" ref="F195" si="23">F194+F132+F119+F113+F103+F96+F83+F73+F60+F55+F41+F35</f>
        <v>4564480.74</v>
      </c>
      <c r="G195" s="13"/>
    </row>
    <row r="196" ht="20.1" customHeight="1" spans="2:7">
      <c r="B196" s="33"/>
      <c r="D196" s="34"/>
      <c r="E196" s="34"/>
      <c r="F196" s="34"/>
      <c r="G196" s="35"/>
    </row>
    <row r="197" ht="36.75" customHeight="1" spans="2:6">
      <c r="B197" s="33"/>
      <c r="C197" s="34"/>
      <c r="D197" s="34"/>
      <c r="E197" s="34"/>
      <c r="F197" s="34"/>
    </row>
    <row r="199" ht="20.1" customHeight="1"/>
  </sheetData>
  <mergeCells count="2">
    <mergeCell ref="A1:F1"/>
    <mergeCell ref="A2:F3"/>
  </mergeCells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opLeftCell="O4" workbookViewId="0">
      <selection activeCell="X14" sqref="X14"/>
    </sheetView>
  </sheetViews>
  <sheetFormatPr defaultColWidth="9" defaultRowHeight="12.5"/>
  <cols>
    <col min="1" max="1" width="8" customWidth="1"/>
    <col min="2" max="2" width="29.2818181818182" customWidth="1"/>
    <col min="3" max="3" width="19.5727272727273" customWidth="1"/>
    <col min="4" max="4" width="15.1363636363636" customWidth="1"/>
    <col min="5" max="11" width="15.7090909090909" customWidth="1"/>
    <col min="12" max="12" width="15.4272727272727" customWidth="1"/>
    <col min="13" max="13" width="14" customWidth="1"/>
    <col min="14" max="14" width="15.7090909090909" customWidth="1"/>
    <col min="15" max="15" width="13.8545454545455" customWidth="1"/>
    <col min="16" max="16" width="17.5727272727273" customWidth="1"/>
    <col min="17" max="17" width="14.8545454545455" customWidth="1"/>
    <col min="18" max="18" width="18" customWidth="1"/>
    <col min="19" max="19" width="15" customWidth="1"/>
    <col min="20" max="20" width="14.1363636363636" customWidth="1"/>
    <col min="21" max="21" width="15.1363636363636" customWidth="1"/>
    <col min="22" max="22" width="15.7090909090909" customWidth="1"/>
    <col min="23" max="23" width="14.8545454545455" customWidth="1"/>
    <col min="24" max="24" width="18.2818181818182" customWidth="1"/>
    <col min="25" max="25" width="15.1363636363636" customWidth="1"/>
  </cols>
  <sheetData>
    <row r="1" ht="25" spans="1: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217">
        <f>'[1]FEB 08'!F8/'[1]FEB 08'!Q8</f>
        <v>0.3</v>
      </c>
      <c r="M1" s="217"/>
      <c r="N1" s="217"/>
      <c r="O1" s="217"/>
      <c r="P1" s="217"/>
      <c r="Q1" s="217"/>
      <c r="R1" s="217"/>
      <c r="S1" s="217"/>
      <c r="T1" s="217"/>
      <c r="U1" s="217"/>
      <c r="V1" s="1"/>
      <c r="W1" s="1"/>
      <c r="X1" s="1"/>
      <c r="Y1" s="1"/>
    </row>
    <row r="2" ht="25.5" spans="1:25">
      <c r="A2" s="76" t="s">
        <v>642</v>
      </c>
      <c r="B2" s="77"/>
      <c r="C2" s="76"/>
      <c r="D2" s="76"/>
      <c r="E2" s="216"/>
      <c r="F2" s="216"/>
      <c r="G2" s="216"/>
      <c r="H2" s="216"/>
      <c r="I2" s="216"/>
      <c r="J2" s="216"/>
      <c r="K2" s="216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78"/>
      <c r="W2" s="78"/>
      <c r="X2" s="78"/>
      <c r="Y2" s="78"/>
    </row>
    <row r="3" ht="18" spans="1:25">
      <c r="A3" s="1"/>
      <c r="B3" s="1"/>
      <c r="C3" s="1"/>
      <c r="D3" s="1"/>
      <c r="E3" s="217" t="e">
        <f>'[1]FEB 08'!E11/'[1]FEB 08'!M11</f>
        <v>#REF!</v>
      </c>
      <c r="F3" s="217"/>
      <c r="G3" s="217"/>
      <c r="H3" s="217"/>
      <c r="I3" s="217"/>
      <c r="J3" s="217"/>
      <c r="K3" s="217"/>
      <c r="L3" s="217" t="e">
        <f>'[1]FEB 08'!F11/'[1]FEB 08'!Q11</f>
        <v>#REF!</v>
      </c>
      <c r="M3" s="217"/>
      <c r="N3" s="217"/>
      <c r="O3" s="217"/>
      <c r="P3" s="217"/>
      <c r="Q3" s="217"/>
      <c r="R3" s="217"/>
      <c r="S3" s="217"/>
      <c r="T3" s="217"/>
      <c r="U3" s="217"/>
      <c r="V3" s="1"/>
      <c r="W3" s="1"/>
      <c r="X3" s="1"/>
      <c r="Y3" s="1"/>
    </row>
    <row r="4" ht="70" spans="1:25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643</v>
      </c>
      <c r="H4" s="24" t="s">
        <v>644</v>
      </c>
      <c r="I4" s="218" t="s">
        <v>645</v>
      </c>
      <c r="J4" s="24" t="s">
        <v>646</v>
      </c>
      <c r="K4" s="24" t="s">
        <v>647</v>
      </c>
      <c r="L4" s="24" t="s">
        <v>648</v>
      </c>
      <c r="M4" s="218" t="s">
        <v>7</v>
      </c>
      <c r="N4" s="218" t="s">
        <v>7</v>
      </c>
      <c r="O4" s="24" t="s">
        <v>649</v>
      </c>
      <c r="P4" s="24" t="s">
        <v>649</v>
      </c>
      <c r="Q4" s="218" t="s">
        <v>8</v>
      </c>
      <c r="R4" s="334" t="s">
        <v>9</v>
      </c>
      <c r="S4" s="218" t="s">
        <v>10</v>
      </c>
      <c r="T4" s="218" t="s">
        <v>11</v>
      </c>
      <c r="U4" s="218" t="s">
        <v>12</v>
      </c>
      <c r="V4" s="218" t="s">
        <v>13</v>
      </c>
      <c r="W4" s="24" t="s">
        <v>14</v>
      </c>
      <c r="X4" s="347" t="s">
        <v>16</v>
      </c>
      <c r="Y4" s="321" t="s">
        <v>650</v>
      </c>
    </row>
    <row r="5" ht="18" spans="1:25">
      <c r="A5" s="1"/>
      <c r="B5" s="1"/>
      <c r="C5" s="8"/>
      <c r="D5" s="8"/>
      <c r="E5" s="82" t="s">
        <v>19</v>
      </c>
      <c r="F5" s="21"/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82" t="s">
        <v>19</v>
      </c>
      <c r="R5" s="307" t="s">
        <v>19</v>
      </c>
      <c r="S5" s="82" t="s">
        <v>19</v>
      </c>
      <c r="T5" s="82" t="s">
        <v>19</v>
      </c>
      <c r="U5" s="82" t="s">
        <v>19</v>
      </c>
      <c r="V5" s="82" t="s">
        <v>19</v>
      </c>
      <c r="W5" s="82" t="s">
        <v>19</v>
      </c>
      <c r="X5" s="449" t="s">
        <v>19</v>
      </c>
      <c r="Y5" s="230" t="s">
        <v>19</v>
      </c>
    </row>
    <row r="6" ht="17.5" spans="1:25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307"/>
      <c r="W6" s="8"/>
      <c r="X6" s="307"/>
      <c r="Y6" s="82"/>
    </row>
    <row r="7" ht="18" spans="1:25">
      <c r="A7" s="10">
        <v>1</v>
      </c>
      <c r="B7" s="18" t="s">
        <v>101</v>
      </c>
      <c r="C7" s="4" t="s">
        <v>615</v>
      </c>
      <c r="D7" s="10" t="s">
        <v>92</v>
      </c>
      <c r="E7" s="85">
        <f>12732</f>
        <v>12732</v>
      </c>
      <c r="F7" s="85"/>
      <c r="G7" s="85">
        <f t="shared" ref="G7:G9" si="0">E7*300%</f>
        <v>38196</v>
      </c>
      <c r="H7" s="85">
        <f t="shared" ref="H7:H9" si="1">E7*7.5%</f>
        <v>954.9</v>
      </c>
      <c r="I7" s="85"/>
      <c r="J7" s="85">
        <f t="shared" ref="J7:J9" si="2">E7*50%</f>
        <v>6366</v>
      </c>
      <c r="K7" s="85">
        <f t="shared" ref="K7:K9" si="3">E7*350%</f>
        <v>44562</v>
      </c>
      <c r="L7" s="85">
        <f t="shared" ref="L7:L9" si="4">E7*100%</f>
        <v>12732</v>
      </c>
      <c r="M7" s="220"/>
      <c r="N7" s="220">
        <f>50000</f>
        <v>50000</v>
      </c>
      <c r="O7" s="85">
        <f t="shared" ref="O7:O9" si="5">E7*10%</f>
        <v>1273.2</v>
      </c>
      <c r="P7" s="85">
        <v>10000</v>
      </c>
      <c r="Q7" s="85"/>
      <c r="R7" s="219">
        <f>(Q7+P7+O7+N7+M7+L7+K7+J7+I7+H7+G7+F7+E7)</f>
        <v>176816.1</v>
      </c>
      <c r="S7" s="85"/>
      <c r="T7" s="85">
        <f>20000</f>
        <v>20000</v>
      </c>
      <c r="U7" s="85"/>
      <c r="V7" s="85">
        <v>0</v>
      </c>
      <c r="W7" s="85">
        <v>17042.7138666667</v>
      </c>
      <c r="X7" s="339">
        <f t="shared" ref="X7:X8" si="6">S7+T7+U7+V7+W7</f>
        <v>37042.7138666667</v>
      </c>
      <c r="Y7" s="231">
        <f t="shared" ref="Y7:Y8" si="7">R7-X7</f>
        <v>139773.386133333</v>
      </c>
    </row>
    <row r="8" ht="54" spans="2:25">
      <c r="B8" s="22" t="s">
        <v>651</v>
      </c>
      <c r="C8" s="14" t="s">
        <v>611</v>
      </c>
      <c r="D8" s="10" t="s">
        <v>70</v>
      </c>
      <c r="E8" s="85">
        <f>17286.33</f>
        <v>17286.33</v>
      </c>
      <c r="F8" s="85"/>
      <c r="G8" s="85">
        <f t="shared" si="0"/>
        <v>51858.99</v>
      </c>
      <c r="H8" s="85">
        <f t="shared" si="1"/>
        <v>1296.47475</v>
      </c>
      <c r="I8" s="85"/>
      <c r="J8" s="85">
        <f t="shared" si="2"/>
        <v>8643.165</v>
      </c>
      <c r="K8" s="85">
        <f t="shared" si="3"/>
        <v>60502.155</v>
      </c>
      <c r="L8" s="85">
        <f t="shared" si="4"/>
        <v>17286.33</v>
      </c>
      <c r="M8" s="220"/>
      <c r="N8" s="220">
        <f>50000+10000</f>
        <v>60000</v>
      </c>
      <c r="O8" s="85">
        <f t="shared" si="5"/>
        <v>1728.633</v>
      </c>
      <c r="P8" s="85">
        <v>10000</v>
      </c>
      <c r="Q8" s="85"/>
      <c r="R8" s="219">
        <f>SUM(E8:Q8)</f>
        <v>228602.07775</v>
      </c>
      <c r="S8" s="85"/>
      <c r="T8" s="85"/>
      <c r="U8" s="85"/>
      <c r="V8" s="85"/>
      <c r="W8" s="85">
        <v>25571.82</v>
      </c>
      <c r="X8" s="339">
        <f t="shared" si="6"/>
        <v>25571.82</v>
      </c>
      <c r="Y8" s="231">
        <f t="shared" si="7"/>
        <v>203030.25775</v>
      </c>
    </row>
    <row r="9" ht="17.5" spans="2:25">
      <c r="B9" s="22" t="s">
        <v>594</v>
      </c>
      <c r="C9" s="447"/>
      <c r="D9" s="21"/>
      <c r="E9" s="146">
        <f>E8-E7</f>
        <v>4554.33</v>
      </c>
      <c r="F9" s="146"/>
      <c r="G9" s="146">
        <f t="shared" si="0"/>
        <v>13662.99</v>
      </c>
      <c r="H9" s="146">
        <f t="shared" si="1"/>
        <v>341.57475</v>
      </c>
      <c r="I9" s="146"/>
      <c r="J9" s="146">
        <f t="shared" si="2"/>
        <v>2277.165</v>
      </c>
      <c r="K9" s="146">
        <f t="shared" si="3"/>
        <v>15940.155</v>
      </c>
      <c r="L9" s="146">
        <f t="shared" si="4"/>
        <v>4554.33</v>
      </c>
      <c r="M9" s="448"/>
      <c r="N9" s="448">
        <f>N8-N7</f>
        <v>10000</v>
      </c>
      <c r="O9" s="146">
        <f t="shared" si="5"/>
        <v>455.433</v>
      </c>
      <c r="P9" s="146">
        <v>0</v>
      </c>
      <c r="Q9" s="146"/>
      <c r="R9" s="312">
        <f>SUM(E9:Q9)</f>
        <v>51785.97775</v>
      </c>
      <c r="S9" s="146"/>
      <c r="T9" s="146"/>
      <c r="U9" s="146"/>
      <c r="V9" s="146"/>
      <c r="W9" s="146">
        <f>W8-W7</f>
        <v>8529.1061333333</v>
      </c>
      <c r="X9" s="450"/>
      <c r="Y9" s="233">
        <f>R9-W9</f>
        <v>43256.8716166667</v>
      </c>
    </row>
    <row r="10" ht="17.5" spans="23:25">
      <c r="W10" s="451"/>
      <c r="X10" s="452" t="s">
        <v>448</v>
      </c>
      <c r="Y10" s="455">
        <f>1+(27/31)</f>
        <v>1.87096774193548</v>
      </c>
    </row>
    <row r="11" ht="17.5" spans="23:25">
      <c r="W11" s="453"/>
      <c r="X11" s="454" t="s">
        <v>652</v>
      </c>
      <c r="Y11" s="456">
        <f>Y9*Y10</f>
        <v>80932.2114118281</v>
      </c>
    </row>
  </sheetData>
  <mergeCells count="1">
    <mergeCell ref="A1:K1"/>
  </mergeCells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8"/>
  <sheetViews>
    <sheetView topLeftCell="A181" workbookViewId="0">
      <selection activeCell="G195" sqref="G195"/>
    </sheetView>
  </sheetViews>
  <sheetFormatPr defaultColWidth="9" defaultRowHeight="12.5"/>
  <cols>
    <col min="1" max="1" width="8.85454545454546" customWidth="1"/>
    <col min="2" max="2" width="28.7090909090909" customWidth="1"/>
    <col min="3" max="3" width="16.4272727272727" customWidth="1"/>
    <col min="4" max="4" width="19.5727272727273" customWidth="1"/>
    <col min="5" max="5" width="22.7090909090909" customWidth="1"/>
    <col min="6" max="6" width="21.8545454545455" customWidth="1"/>
    <col min="7" max="7" width="20" customWidth="1"/>
    <col min="8" max="8" width="21.5727272727273" customWidth="1"/>
    <col min="9" max="9" width="25.7090909090909" customWidth="1"/>
    <col min="10" max="10" width="15.4272727272727" customWidth="1"/>
    <col min="11" max="11" width="17.2818181818182" customWidth="1"/>
    <col min="12" max="12" width="16.4272727272727" customWidth="1"/>
    <col min="13" max="13" width="16.2818181818182" customWidth="1"/>
    <col min="14" max="14" width="19" customWidth="1"/>
    <col min="15" max="15" width="18.4272727272727" customWidth="1"/>
  </cols>
  <sheetData>
    <row r="1" ht="22" spans="1:7">
      <c r="A1" s="383" t="s">
        <v>653</v>
      </c>
      <c r="B1" s="384"/>
      <c r="C1" s="383"/>
      <c r="D1" s="383"/>
      <c r="E1" s="385"/>
      <c r="F1" s="385"/>
      <c r="G1" s="386"/>
    </row>
    <row r="2" ht="22" spans="1:7">
      <c r="A2" s="383" t="s">
        <v>654</v>
      </c>
      <c r="B2" s="383"/>
      <c r="C2" s="383"/>
      <c r="D2" s="383"/>
      <c r="E2" s="385"/>
      <c r="F2" s="385"/>
      <c r="G2" s="386"/>
    </row>
    <row r="3" ht="22" spans="1:7">
      <c r="A3" s="383" t="s">
        <v>655</v>
      </c>
      <c r="B3" s="383"/>
      <c r="C3" s="383"/>
      <c r="D3" s="383"/>
      <c r="E3" s="385"/>
      <c r="F3" s="385"/>
      <c r="G3" s="386"/>
    </row>
    <row r="4" ht="45" customHeight="1" spans="1:8">
      <c r="A4" s="387" t="s">
        <v>20</v>
      </c>
      <c r="B4" s="388" t="s">
        <v>656</v>
      </c>
      <c r="C4" s="389" t="s">
        <v>657</v>
      </c>
      <c r="D4" s="390" t="s">
        <v>658</v>
      </c>
      <c r="E4" s="390" t="s">
        <v>659</v>
      </c>
      <c r="F4" s="390" t="s">
        <v>660</v>
      </c>
      <c r="G4" s="390" t="s">
        <v>661</v>
      </c>
      <c r="H4" s="391" t="s">
        <v>96</v>
      </c>
    </row>
    <row r="5" ht="16" spans="1:9">
      <c r="A5" s="835" t="s">
        <v>662</v>
      </c>
      <c r="B5" s="392" t="s">
        <v>663</v>
      </c>
      <c r="C5" s="393">
        <v>45323</v>
      </c>
      <c r="D5" s="394">
        <f>0</f>
        <v>0</v>
      </c>
      <c r="E5" s="394">
        <v>0</v>
      </c>
      <c r="F5" s="394">
        <v>0</v>
      </c>
      <c r="G5" s="394">
        <f>0</f>
        <v>0</v>
      </c>
      <c r="H5" s="395">
        <f>D5+E5+F5+G5</f>
        <v>0</v>
      </c>
      <c r="I5" s="407"/>
    </row>
    <row r="6" ht="16" spans="1:9">
      <c r="A6" s="835" t="s">
        <v>664</v>
      </c>
      <c r="B6" s="396" t="s">
        <v>665</v>
      </c>
      <c r="C6" s="393">
        <v>45323</v>
      </c>
      <c r="D6" s="397">
        <v>250000</v>
      </c>
      <c r="E6" s="397">
        <v>0</v>
      </c>
      <c r="F6" s="397"/>
      <c r="G6" s="395">
        <f>0</f>
        <v>0</v>
      </c>
      <c r="H6" s="395">
        <f t="shared" ref="H6:H69" si="0">D6+E6+F6+G6</f>
        <v>250000</v>
      </c>
      <c r="I6" s="408"/>
    </row>
    <row r="7" ht="16" spans="1:9">
      <c r="A7" s="835" t="s">
        <v>666</v>
      </c>
      <c r="B7" s="392" t="s">
        <v>667</v>
      </c>
      <c r="C7" s="393">
        <v>45323</v>
      </c>
      <c r="D7" s="397">
        <f>0</f>
        <v>0</v>
      </c>
      <c r="E7" s="397">
        <v>0</v>
      </c>
      <c r="F7" s="397">
        <v>0</v>
      </c>
      <c r="G7" s="397">
        <f>0</f>
        <v>0</v>
      </c>
      <c r="H7" s="395">
        <f t="shared" si="0"/>
        <v>0</v>
      </c>
      <c r="I7" s="407"/>
    </row>
    <row r="8" ht="16" spans="1:9">
      <c r="A8" s="835" t="s">
        <v>668</v>
      </c>
      <c r="B8" s="392" t="s">
        <v>669</v>
      </c>
      <c r="C8" s="393">
        <v>45323</v>
      </c>
      <c r="D8" s="397">
        <v>200000</v>
      </c>
      <c r="E8" s="397">
        <v>0</v>
      </c>
      <c r="F8" s="397">
        <v>0</v>
      </c>
      <c r="G8" s="397">
        <f>327777.78</f>
        <v>327777.78</v>
      </c>
      <c r="H8" s="395">
        <f t="shared" si="0"/>
        <v>527777.78</v>
      </c>
      <c r="I8" s="408"/>
    </row>
    <row r="9" ht="16" spans="1:9">
      <c r="A9" s="835" t="s">
        <v>670</v>
      </c>
      <c r="B9" s="392" t="s">
        <v>671</v>
      </c>
      <c r="C9" s="393">
        <v>45323</v>
      </c>
      <c r="D9" s="397">
        <f>0</f>
        <v>0</v>
      </c>
      <c r="E9" s="397"/>
      <c r="F9" s="397"/>
      <c r="G9" s="397">
        <f>0</f>
        <v>0</v>
      </c>
      <c r="H9" s="395">
        <f t="shared" si="0"/>
        <v>0</v>
      </c>
      <c r="I9" s="407"/>
    </row>
    <row r="10" ht="16" spans="1:10">
      <c r="A10" s="835" t="s">
        <v>672</v>
      </c>
      <c r="B10" s="392" t="s">
        <v>673</v>
      </c>
      <c r="C10" s="393">
        <v>45323</v>
      </c>
      <c r="D10" s="397">
        <f>0</f>
        <v>0</v>
      </c>
      <c r="E10" s="397">
        <v>0</v>
      </c>
      <c r="F10" s="397">
        <v>0</v>
      </c>
      <c r="G10" s="397">
        <f>0</f>
        <v>0</v>
      </c>
      <c r="H10" s="395">
        <f t="shared" si="0"/>
        <v>0</v>
      </c>
      <c r="I10" s="407"/>
      <c r="J10" s="409"/>
    </row>
    <row r="11" ht="16" spans="1:9">
      <c r="A11" s="835" t="s">
        <v>674</v>
      </c>
      <c r="B11" s="392" t="s">
        <v>675</v>
      </c>
      <c r="C11" s="393">
        <v>45323</v>
      </c>
      <c r="D11" s="397">
        <v>0</v>
      </c>
      <c r="E11" s="397">
        <v>0</v>
      </c>
      <c r="F11" s="397">
        <v>0</v>
      </c>
      <c r="G11" s="397">
        <v>0</v>
      </c>
      <c r="H11" s="395">
        <f t="shared" si="0"/>
        <v>0</v>
      </c>
      <c r="I11" s="410"/>
    </row>
    <row r="12" ht="16" spans="1:9">
      <c r="A12" s="835" t="s">
        <v>676</v>
      </c>
      <c r="B12" s="392" t="s">
        <v>677</v>
      </c>
      <c r="C12" s="393">
        <v>45323</v>
      </c>
      <c r="D12" s="397">
        <v>50000</v>
      </c>
      <c r="E12" s="397">
        <v>0</v>
      </c>
      <c r="F12" s="397">
        <v>0</v>
      </c>
      <c r="G12" s="397">
        <f>385000</f>
        <v>385000</v>
      </c>
      <c r="H12" s="395">
        <f t="shared" si="0"/>
        <v>435000</v>
      </c>
      <c r="I12" s="408"/>
    </row>
    <row r="13" ht="16" spans="1:9">
      <c r="A13" s="835" t="s">
        <v>678</v>
      </c>
      <c r="B13" s="392" t="s">
        <v>679</v>
      </c>
      <c r="C13" s="393">
        <v>45323</v>
      </c>
      <c r="D13" s="397">
        <v>0</v>
      </c>
      <c r="E13" s="397">
        <v>0</v>
      </c>
      <c r="F13" s="397">
        <v>0</v>
      </c>
      <c r="G13" s="397">
        <v>0</v>
      </c>
      <c r="H13" s="395">
        <f t="shared" si="0"/>
        <v>0</v>
      </c>
      <c r="I13" s="410"/>
    </row>
    <row r="14" ht="16" spans="1:9">
      <c r="A14" s="835" t="s">
        <v>680</v>
      </c>
      <c r="B14" s="392" t="s">
        <v>681</v>
      </c>
      <c r="C14" s="393">
        <v>45323</v>
      </c>
      <c r="D14" s="397">
        <f>0</f>
        <v>0</v>
      </c>
      <c r="E14" s="397">
        <v>0</v>
      </c>
      <c r="F14" s="397">
        <v>0</v>
      </c>
      <c r="G14" s="397">
        <f>0</f>
        <v>0</v>
      </c>
      <c r="H14" s="395">
        <f t="shared" si="0"/>
        <v>0</v>
      </c>
      <c r="I14" s="407"/>
    </row>
    <row r="15" ht="16" spans="1:9">
      <c r="A15" s="835" t="s">
        <v>682</v>
      </c>
      <c r="B15" s="392" t="s">
        <v>410</v>
      </c>
      <c r="C15" s="393">
        <v>45323</v>
      </c>
      <c r="D15" s="397">
        <v>30000</v>
      </c>
      <c r="E15" s="397">
        <v>0</v>
      </c>
      <c r="F15" s="397">
        <v>0</v>
      </c>
      <c r="G15" s="397">
        <v>91666.67</v>
      </c>
      <c r="H15" s="395">
        <f t="shared" si="0"/>
        <v>121666.67</v>
      </c>
      <c r="I15" s="408"/>
    </row>
    <row r="16" ht="16" spans="1:9">
      <c r="A16" s="835" t="s">
        <v>683</v>
      </c>
      <c r="B16" s="392" t="s">
        <v>216</v>
      </c>
      <c r="C16" s="393">
        <v>45323</v>
      </c>
      <c r="D16" s="397">
        <f>100000</f>
        <v>100000</v>
      </c>
      <c r="E16" s="397">
        <v>0</v>
      </c>
      <c r="F16" s="397">
        <v>0</v>
      </c>
      <c r="G16" s="397">
        <f>0</f>
        <v>0</v>
      </c>
      <c r="H16" s="395">
        <f t="shared" si="0"/>
        <v>100000</v>
      </c>
      <c r="I16" s="408"/>
    </row>
    <row r="17" ht="16" spans="1:9">
      <c r="A17" s="835" t="s">
        <v>684</v>
      </c>
      <c r="B17" s="392" t="s">
        <v>685</v>
      </c>
      <c r="C17" s="393">
        <v>45323</v>
      </c>
      <c r="D17" s="397">
        <f>0</f>
        <v>0</v>
      </c>
      <c r="E17" s="397">
        <v>0</v>
      </c>
      <c r="F17" s="397">
        <v>0</v>
      </c>
      <c r="G17" s="397">
        <f>0</f>
        <v>0</v>
      </c>
      <c r="H17" s="395">
        <f t="shared" si="0"/>
        <v>0</v>
      </c>
      <c r="I17" s="407"/>
    </row>
    <row r="18" ht="16" spans="1:9">
      <c r="A18" s="835" t="s">
        <v>686</v>
      </c>
      <c r="B18" s="392" t="s">
        <v>687</v>
      </c>
      <c r="C18" s="393">
        <v>45323</v>
      </c>
      <c r="D18" s="397">
        <v>0</v>
      </c>
      <c r="E18" s="397">
        <v>0</v>
      </c>
      <c r="F18" s="397">
        <v>0</v>
      </c>
      <c r="G18" s="397">
        <v>0</v>
      </c>
      <c r="H18" s="395">
        <f t="shared" si="0"/>
        <v>0</v>
      </c>
      <c r="I18" s="411"/>
    </row>
    <row r="19" ht="16" spans="1:9">
      <c r="A19" s="835" t="s">
        <v>688</v>
      </c>
      <c r="B19" s="392" t="s">
        <v>689</v>
      </c>
      <c r="C19" s="393">
        <v>45323</v>
      </c>
      <c r="D19" s="397">
        <f>100000</f>
        <v>100000</v>
      </c>
      <c r="E19" s="397">
        <v>0</v>
      </c>
      <c r="F19" s="397">
        <v>0</v>
      </c>
      <c r="G19" s="397">
        <f>0</f>
        <v>0</v>
      </c>
      <c r="H19" s="395">
        <f t="shared" si="0"/>
        <v>100000</v>
      </c>
      <c r="I19" s="412"/>
    </row>
    <row r="20" ht="16" spans="1:9">
      <c r="A20" s="835" t="s">
        <v>690</v>
      </c>
      <c r="B20" s="392" t="s">
        <v>691</v>
      </c>
      <c r="C20" s="393">
        <v>45323</v>
      </c>
      <c r="D20" s="397">
        <f>50000</f>
        <v>50000</v>
      </c>
      <c r="E20" s="397">
        <v>0</v>
      </c>
      <c r="F20" s="397">
        <v>0</v>
      </c>
      <c r="G20" s="395">
        <f>200000</f>
        <v>200000</v>
      </c>
      <c r="H20" s="395">
        <f t="shared" si="0"/>
        <v>250000</v>
      </c>
      <c r="I20" s="413"/>
    </row>
    <row r="21" ht="16" spans="1:9">
      <c r="A21" s="835" t="s">
        <v>692</v>
      </c>
      <c r="B21" s="392" t="s">
        <v>693</v>
      </c>
      <c r="C21" s="393">
        <v>45323</v>
      </c>
      <c r="D21" s="394">
        <f>0</f>
        <v>0</v>
      </c>
      <c r="E21" s="394">
        <v>0</v>
      </c>
      <c r="F21" s="394">
        <v>0</v>
      </c>
      <c r="G21" s="398">
        <f>0</f>
        <v>0</v>
      </c>
      <c r="H21" s="395">
        <f t="shared" si="0"/>
        <v>0</v>
      </c>
      <c r="I21" s="414"/>
    </row>
    <row r="22" ht="16" spans="1:9">
      <c r="A22" s="835" t="s">
        <v>694</v>
      </c>
      <c r="B22" s="392" t="s">
        <v>695</v>
      </c>
      <c r="C22" s="393">
        <v>45323</v>
      </c>
      <c r="D22" s="397">
        <v>50000</v>
      </c>
      <c r="E22" s="397">
        <v>0</v>
      </c>
      <c r="F22" s="397">
        <v>0</v>
      </c>
      <c r="G22" s="397">
        <f>0</f>
        <v>0</v>
      </c>
      <c r="H22" s="395">
        <f t="shared" si="0"/>
        <v>50000</v>
      </c>
      <c r="I22" s="413"/>
    </row>
    <row r="23" ht="16" spans="1:8">
      <c r="A23" s="835" t="s">
        <v>696</v>
      </c>
      <c r="B23" s="392" t="s">
        <v>697</v>
      </c>
      <c r="C23" s="393">
        <v>45323</v>
      </c>
      <c r="D23" s="397">
        <v>0</v>
      </c>
      <c r="E23" s="397">
        <v>0</v>
      </c>
      <c r="F23" s="397">
        <v>0</v>
      </c>
      <c r="G23" s="397">
        <v>0</v>
      </c>
      <c r="H23" s="395">
        <f t="shared" si="0"/>
        <v>0</v>
      </c>
    </row>
    <row r="24" ht="16" spans="1:9">
      <c r="A24" s="835" t="s">
        <v>698</v>
      </c>
      <c r="B24" s="392" t="s">
        <v>223</v>
      </c>
      <c r="C24" s="393">
        <v>45323</v>
      </c>
      <c r="D24" s="394">
        <f>20000</f>
        <v>20000</v>
      </c>
      <c r="E24" s="394">
        <v>0</v>
      </c>
      <c r="F24" s="394">
        <f>0</f>
        <v>0</v>
      </c>
      <c r="G24" s="394">
        <v>75694.44</v>
      </c>
      <c r="H24" s="395">
        <f t="shared" si="0"/>
        <v>95694.44</v>
      </c>
      <c r="I24" s="408"/>
    </row>
    <row r="25" ht="16" spans="1:9">
      <c r="A25" s="835" t="s">
        <v>699</v>
      </c>
      <c r="B25" s="392" t="s">
        <v>700</v>
      </c>
      <c r="C25" s="393">
        <v>45323</v>
      </c>
      <c r="D25" s="397">
        <v>0</v>
      </c>
      <c r="E25" s="397">
        <v>0</v>
      </c>
      <c r="F25" s="397">
        <v>0</v>
      </c>
      <c r="G25" s="397">
        <v>0</v>
      </c>
      <c r="H25" s="395">
        <f t="shared" si="0"/>
        <v>0</v>
      </c>
      <c r="I25" s="407"/>
    </row>
    <row r="26" ht="16" spans="1:9">
      <c r="A26" s="835" t="s">
        <v>701</v>
      </c>
      <c r="B26" s="392" t="s">
        <v>702</v>
      </c>
      <c r="C26" s="393">
        <v>45323</v>
      </c>
      <c r="D26" s="397">
        <v>10000</v>
      </c>
      <c r="E26" s="397">
        <v>0</v>
      </c>
      <c r="F26" s="397">
        <v>0</v>
      </c>
      <c r="G26" s="397">
        <f>65885.83</f>
        <v>65885.83</v>
      </c>
      <c r="H26" s="395">
        <f t="shared" si="0"/>
        <v>75885.83</v>
      </c>
      <c r="I26" s="408"/>
    </row>
    <row r="27" ht="16" spans="1:9">
      <c r="A27" s="835" t="s">
        <v>703</v>
      </c>
      <c r="B27" s="392" t="s">
        <v>704</v>
      </c>
      <c r="C27" s="393">
        <v>45323</v>
      </c>
      <c r="D27" s="397">
        <v>30000</v>
      </c>
      <c r="E27" s="397">
        <v>0</v>
      </c>
      <c r="F27" s="397">
        <v>10000</v>
      </c>
      <c r="G27" s="397">
        <f>238888.89</f>
        <v>238888.89</v>
      </c>
      <c r="H27" s="395">
        <f t="shared" si="0"/>
        <v>278888.89</v>
      </c>
      <c r="I27" s="408"/>
    </row>
    <row r="28" ht="16" spans="1:9">
      <c r="A28" s="835" t="s">
        <v>705</v>
      </c>
      <c r="B28" s="392" t="s">
        <v>706</v>
      </c>
      <c r="C28" s="393">
        <v>45323</v>
      </c>
      <c r="D28" s="397">
        <v>30000</v>
      </c>
      <c r="E28" s="397">
        <v>0</v>
      </c>
      <c r="F28" s="397">
        <v>0</v>
      </c>
      <c r="G28" s="397">
        <f>61111.11</f>
        <v>61111.11</v>
      </c>
      <c r="H28" s="395">
        <f t="shared" si="0"/>
        <v>91111.11</v>
      </c>
      <c r="I28" s="408"/>
    </row>
    <row r="29" ht="17.5" spans="1:9">
      <c r="A29" s="835" t="s">
        <v>707</v>
      </c>
      <c r="B29" s="392" t="s">
        <v>708</v>
      </c>
      <c r="C29" s="393">
        <v>45323</v>
      </c>
      <c r="D29" s="399">
        <f>15000</f>
        <v>15000</v>
      </c>
      <c r="E29" s="399"/>
      <c r="F29" s="399"/>
      <c r="G29" s="400">
        <f>30000</f>
        <v>30000</v>
      </c>
      <c r="H29" s="395">
        <f t="shared" si="0"/>
        <v>45000</v>
      </c>
      <c r="I29" s="408"/>
    </row>
    <row r="30" ht="16" spans="1:9">
      <c r="A30" s="835" t="s">
        <v>709</v>
      </c>
      <c r="B30" s="392" t="s">
        <v>710</v>
      </c>
      <c r="C30" s="393">
        <v>45323</v>
      </c>
      <c r="D30" s="397">
        <v>20000</v>
      </c>
      <c r="E30" s="397">
        <v>0</v>
      </c>
      <c r="F30" s="397">
        <v>0</v>
      </c>
      <c r="G30" s="397">
        <f>163103.59</f>
        <v>163103.59</v>
      </c>
      <c r="H30" s="395">
        <f t="shared" si="0"/>
        <v>183103.59</v>
      </c>
      <c r="I30" s="408"/>
    </row>
    <row r="31" ht="16" spans="1:9">
      <c r="A31" s="835" t="s">
        <v>711</v>
      </c>
      <c r="B31" s="392" t="s">
        <v>146</v>
      </c>
      <c r="C31" s="393">
        <v>45323</v>
      </c>
      <c r="D31" s="397">
        <v>20000</v>
      </c>
      <c r="E31" s="397">
        <v>0</v>
      </c>
      <c r="F31" s="397">
        <v>0</v>
      </c>
      <c r="G31" s="397">
        <v>96664.65</v>
      </c>
      <c r="H31" s="395">
        <f t="shared" si="0"/>
        <v>116664.65</v>
      </c>
      <c r="I31" s="408"/>
    </row>
    <row r="32" ht="16" spans="1:9">
      <c r="A32" s="835" t="s">
        <v>712</v>
      </c>
      <c r="B32" s="392" t="s">
        <v>713</v>
      </c>
      <c r="C32" s="393">
        <v>45323</v>
      </c>
      <c r="D32" s="397">
        <v>20000</v>
      </c>
      <c r="E32" s="397">
        <v>0</v>
      </c>
      <c r="F32" s="397">
        <v>0</v>
      </c>
      <c r="G32" s="401"/>
      <c r="H32" s="395">
        <f t="shared" si="0"/>
        <v>20000</v>
      </c>
      <c r="I32" s="408"/>
    </row>
    <row r="33" ht="16" spans="1:9">
      <c r="A33" s="835" t="s">
        <v>714</v>
      </c>
      <c r="B33" s="392" t="s">
        <v>715</v>
      </c>
      <c r="C33" s="393">
        <v>45323</v>
      </c>
      <c r="D33" s="398"/>
      <c r="E33" s="398"/>
      <c r="F33" s="398"/>
      <c r="G33" s="398"/>
      <c r="H33" s="395">
        <f t="shared" si="0"/>
        <v>0</v>
      </c>
      <c r="I33" s="407"/>
    </row>
    <row r="34" ht="16" spans="1:9">
      <c r="A34" s="835" t="s">
        <v>716</v>
      </c>
      <c r="B34" s="392" t="s">
        <v>717</v>
      </c>
      <c r="C34" s="393">
        <v>45323</v>
      </c>
      <c r="D34" s="397">
        <v>20000</v>
      </c>
      <c r="E34" s="397">
        <v>0</v>
      </c>
      <c r="F34" s="399">
        <f>5000+5000</f>
        <v>10000</v>
      </c>
      <c r="G34" s="397">
        <f>47916.66</f>
        <v>47916.66</v>
      </c>
      <c r="H34" s="395">
        <f t="shared" si="0"/>
        <v>77916.66</v>
      </c>
      <c r="I34" s="408"/>
    </row>
    <row r="35" ht="16" spans="1:9">
      <c r="A35" s="835" t="s">
        <v>718</v>
      </c>
      <c r="B35" s="392" t="s">
        <v>719</v>
      </c>
      <c r="C35" s="393">
        <v>45323</v>
      </c>
      <c r="D35" s="397">
        <v>0</v>
      </c>
      <c r="E35" s="397">
        <v>0</v>
      </c>
      <c r="F35" s="397">
        <v>0</v>
      </c>
      <c r="G35" s="397">
        <v>0</v>
      </c>
      <c r="H35" s="395">
        <f t="shared" si="0"/>
        <v>0</v>
      </c>
      <c r="I35" s="407"/>
    </row>
    <row r="36" ht="16" spans="1:9">
      <c r="A36" s="835" t="s">
        <v>720</v>
      </c>
      <c r="B36" s="392" t="s">
        <v>721</v>
      </c>
      <c r="C36" s="393">
        <v>45323</v>
      </c>
      <c r="D36" s="397">
        <f>20000</f>
        <v>20000</v>
      </c>
      <c r="E36" s="397">
        <v>0</v>
      </c>
      <c r="F36" s="397">
        <v>0</v>
      </c>
      <c r="G36" s="397">
        <f>43750</f>
        <v>43750</v>
      </c>
      <c r="H36" s="395">
        <f t="shared" si="0"/>
        <v>63750</v>
      </c>
      <c r="I36" s="408"/>
    </row>
    <row r="37" ht="16" spans="1:9">
      <c r="A37" s="835" t="s">
        <v>722</v>
      </c>
      <c r="B37" s="392" t="s">
        <v>723</v>
      </c>
      <c r="C37" s="393">
        <v>45323</v>
      </c>
      <c r="D37" s="397">
        <f>10000</f>
        <v>10000</v>
      </c>
      <c r="E37" s="397">
        <f>0</f>
        <v>0</v>
      </c>
      <c r="F37" s="397">
        <f>0</f>
        <v>0</v>
      </c>
      <c r="G37" s="397">
        <f>90000+25000</f>
        <v>115000</v>
      </c>
      <c r="H37" s="395">
        <f t="shared" si="0"/>
        <v>125000</v>
      </c>
      <c r="I37" s="408"/>
    </row>
    <row r="38" ht="16" spans="1:9">
      <c r="A38" s="835" t="s">
        <v>724</v>
      </c>
      <c r="B38" s="392" t="s">
        <v>243</v>
      </c>
      <c r="C38" s="393">
        <v>45323</v>
      </c>
      <c r="D38" s="397">
        <f>0</f>
        <v>0</v>
      </c>
      <c r="E38" s="397">
        <v>0</v>
      </c>
      <c r="F38" s="397">
        <v>0</v>
      </c>
      <c r="G38" s="397">
        <f>50000</f>
        <v>50000</v>
      </c>
      <c r="H38" s="395">
        <f t="shared" si="0"/>
        <v>50000</v>
      </c>
      <c r="I38" s="407"/>
    </row>
    <row r="39" ht="16" spans="1:9">
      <c r="A39" s="835" t="s">
        <v>725</v>
      </c>
      <c r="B39" s="392" t="s">
        <v>34</v>
      </c>
      <c r="C39" s="393">
        <v>45323</v>
      </c>
      <c r="D39" s="397">
        <f>10000</f>
        <v>10000</v>
      </c>
      <c r="E39" s="397">
        <v>0</v>
      </c>
      <c r="F39" s="397">
        <v>0</v>
      </c>
      <c r="G39" s="397">
        <f>200000</f>
        <v>200000</v>
      </c>
      <c r="H39" s="395">
        <f t="shared" si="0"/>
        <v>210000</v>
      </c>
      <c r="I39" s="408"/>
    </row>
    <row r="40" ht="16" spans="1:9">
      <c r="A40" s="835" t="s">
        <v>726</v>
      </c>
      <c r="B40" s="392" t="s">
        <v>225</v>
      </c>
      <c r="C40" s="393">
        <v>45323</v>
      </c>
      <c r="D40" s="397">
        <v>35000</v>
      </c>
      <c r="E40" s="397">
        <v>0</v>
      </c>
      <c r="F40" s="397">
        <f>25000</f>
        <v>25000</v>
      </c>
      <c r="G40" s="397">
        <f>55000</f>
        <v>55000</v>
      </c>
      <c r="H40" s="395">
        <f t="shared" si="0"/>
        <v>115000</v>
      </c>
      <c r="I40" s="408"/>
    </row>
    <row r="41" ht="16" spans="1:9">
      <c r="A41" s="835" t="s">
        <v>727</v>
      </c>
      <c r="B41" s="392" t="s">
        <v>249</v>
      </c>
      <c r="C41" s="393">
        <v>45323</v>
      </c>
      <c r="D41" s="397">
        <v>10000</v>
      </c>
      <c r="E41" s="397">
        <v>0</v>
      </c>
      <c r="F41" s="397">
        <v>0</v>
      </c>
      <c r="G41" s="397">
        <f>100000</f>
        <v>100000</v>
      </c>
      <c r="H41" s="395">
        <f t="shared" si="0"/>
        <v>110000</v>
      </c>
      <c r="I41" s="408"/>
    </row>
    <row r="42" ht="16" spans="1:9">
      <c r="A42" s="835" t="s">
        <v>728</v>
      </c>
      <c r="B42" s="392" t="s">
        <v>729</v>
      </c>
      <c r="C42" s="393">
        <v>45323</v>
      </c>
      <c r="D42" s="397">
        <f>10000</f>
        <v>10000</v>
      </c>
      <c r="E42" s="398"/>
      <c r="F42" s="398"/>
      <c r="G42" s="398"/>
      <c r="H42" s="395">
        <f t="shared" si="0"/>
        <v>10000</v>
      </c>
      <c r="I42" s="408"/>
    </row>
    <row r="43" ht="16" spans="1:9">
      <c r="A43" s="835" t="s">
        <v>730</v>
      </c>
      <c r="B43" s="392" t="s">
        <v>300</v>
      </c>
      <c r="C43" s="393">
        <v>45323</v>
      </c>
      <c r="D43" s="395">
        <v>10000</v>
      </c>
      <c r="E43" s="402">
        <v>0</v>
      </c>
      <c r="F43" s="399">
        <f>5000+5000</f>
        <v>10000</v>
      </c>
      <c r="G43" s="395">
        <f>22361.11</f>
        <v>22361.11</v>
      </c>
      <c r="H43" s="395">
        <f t="shared" si="0"/>
        <v>42361.11</v>
      </c>
      <c r="I43" s="408"/>
    </row>
    <row r="44" ht="16" spans="1:9">
      <c r="A44" s="835" t="s">
        <v>731</v>
      </c>
      <c r="B44" s="392" t="s">
        <v>732</v>
      </c>
      <c r="C44" s="393">
        <v>45323</v>
      </c>
      <c r="D44" s="395">
        <f>10000</f>
        <v>10000</v>
      </c>
      <c r="E44" s="402">
        <v>0</v>
      </c>
      <c r="F44" s="399">
        <f>5000+5000</f>
        <v>10000</v>
      </c>
      <c r="G44" s="395">
        <f>20000</f>
        <v>20000</v>
      </c>
      <c r="H44" s="395">
        <f t="shared" si="0"/>
        <v>40000</v>
      </c>
      <c r="I44" s="408"/>
    </row>
    <row r="45" ht="16" spans="1:9">
      <c r="A45" s="835" t="s">
        <v>733</v>
      </c>
      <c r="B45" s="392" t="s">
        <v>734</v>
      </c>
      <c r="C45" s="393">
        <v>45323</v>
      </c>
      <c r="D45" s="397">
        <f>5000</f>
        <v>5000</v>
      </c>
      <c r="E45" s="397">
        <v>0</v>
      </c>
      <c r="F45" s="399">
        <f>5000+5000</f>
        <v>10000</v>
      </c>
      <c r="G45" s="397">
        <f>35704.84</f>
        <v>35704.84</v>
      </c>
      <c r="H45" s="395">
        <f t="shared" si="0"/>
        <v>50704.84</v>
      </c>
      <c r="I45" s="408"/>
    </row>
    <row r="46" ht="16" spans="1:9">
      <c r="A46" s="835" t="s">
        <v>735</v>
      </c>
      <c r="B46" s="392" t="s">
        <v>281</v>
      </c>
      <c r="C46" s="393">
        <v>45323</v>
      </c>
      <c r="D46" s="397">
        <v>10000</v>
      </c>
      <c r="E46" s="397">
        <v>0</v>
      </c>
      <c r="F46" s="397">
        <f>5000+5000</f>
        <v>10000</v>
      </c>
      <c r="G46" s="397">
        <f>32000</f>
        <v>32000</v>
      </c>
      <c r="H46" s="395">
        <f t="shared" si="0"/>
        <v>52000</v>
      </c>
      <c r="I46" s="408"/>
    </row>
    <row r="47" ht="16" spans="1:9">
      <c r="A47" s="835" t="s">
        <v>736</v>
      </c>
      <c r="B47" s="392" t="s">
        <v>737</v>
      </c>
      <c r="C47" s="393">
        <v>45323</v>
      </c>
      <c r="D47" s="397">
        <v>0</v>
      </c>
      <c r="E47" s="397">
        <v>0</v>
      </c>
      <c r="F47" s="397">
        <v>0</v>
      </c>
      <c r="G47" s="397">
        <v>0</v>
      </c>
      <c r="H47" s="395">
        <f t="shared" si="0"/>
        <v>0</v>
      </c>
      <c r="I47" s="407"/>
    </row>
    <row r="48" ht="16" spans="1:9">
      <c r="A48" s="835" t="s">
        <v>738</v>
      </c>
      <c r="B48" s="392" t="s">
        <v>739</v>
      </c>
      <c r="C48" s="393">
        <v>45323</v>
      </c>
      <c r="D48" s="397">
        <f>0</f>
        <v>0</v>
      </c>
      <c r="E48" s="397">
        <v>0</v>
      </c>
      <c r="F48" s="397">
        <v>0</v>
      </c>
      <c r="G48" s="397">
        <f>0</f>
        <v>0</v>
      </c>
      <c r="H48" s="395">
        <f t="shared" si="0"/>
        <v>0</v>
      </c>
      <c r="I48" s="407"/>
    </row>
    <row r="49" ht="16" spans="1:9">
      <c r="A49" s="835" t="s">
        <v>740</v>
      </c>
      <c r="B49" s="392" t="s">
        <v>741</v>
      </c>
      <c r="C49" s="393">
        <v>45323</v>
      </c>
      <c r="D49" s="397">
        <f>0</f>
        <v>0</v>
      </c>
      <c r="E49" s="397">
        <v>0</v>
      </c>
      <c r="F49" s="399">
        <f>0</f>
        <v>0</v>
      </c>
      <c r="G49" s="397">
        <f>0</f>
        <v>0</v>
      </c>
      <c r="H49" s="395">
        <f t="shared" si="0"/>
        <v>0</v>
      </c>
      <c r="I49" s="407"/>
    </row>
    <row r="50" ht="16" spans="1:9">
      <c r="A50" s="835" t="s">
        <v>742</v>
      </c>
      <c r="B50" s="392" t="s">
        <v>291</v>
      </c>
      <c r="C50" s="393">
        <v>45323</v>
      </c>
      <c r="D50" s="397">
        <v>10000</v>
      </c>
      <c r="E50" s="397">
        <v>0</v>
      </c>
      <c r="F50" s="397">
        <f>5000+5000</f>
        <v>10000</v>
      </c>
      <c r="G50" s="403">
        <f>0</f>
        <v>0</v>
      </c>
      <c r="H50" s="395">
        <f t="shared" si="0"/>
        <v>20000</v>
      </c>
      <c r="I50" s="408"/>
    </row>
    <row r="51" ht="16" spans="1:10">
      <c r="A51" s="835" t="s">
        <v>743</v>
      </c>
      <c r="B51" s="392" t="s">
        <v>744</v>
      </c>
      <c r="C51" s="393">
        <v>45323</v>
      </c>
      <c r="D51" s="395">
        <v>20000</v>
      </c>
      <c r="E51" s="404">
        <f>0</f>
        <v>0</v>
      </c>
      <c r="F51" s="397">
        <f>5000+5000</f>
        <v>10000</v>
      </c>
      <c r="G51" s="397">
        <f>26430.62</f>
        <v>26430.62</v>
      </c>
      <c r="H51" s="395">
        <f t="shared" si="0"/>
        <v>56430.62</v>
      </c>
      <c r="I51" s="408"/>
      <c r="J51" s="411"/>
    </row>
    <row r="52" ht="16" spans="1:9">
      <c r="A52" s="835" t="s">
        <v>745</v>
      </c>
      <c r="B52" s="392" t="s">
        <v>305</v>
      </c>
      <c r="C52" s="393">
        <v>45323</v>
      </c>
      <c r="D52" s="395">
        <f>3000</f>
        <v>3000</v>
      </c>
      <c r="E52" s="395"/>
      <c r="F52" s="397">
        <f>5000+5000</f>
        <v>10000</v>
      </c>
      <c r="G52" s="395">
        <f>44000</f>
        <v>44000</v>
      </c>
      <c r="H52" s="395">
        <f t="shared" si="0"/>
        <v>57000</v>
      </c>
      <c r="I52" s="408"/>
    </row>
    <row r="53" ht="16" spans="1:11">
      <c r="A53" s="835" t="s">
        <v>746</v>
      </c>
      <c r="B53" s="392" t="s">
        <v>293</v>
      </c>
      <c r="C53" s="393">
        <v>45323</v>
      </c>
      <c r="D53" s="397">
        <v>10000</v>
      </c>
      <c r="E53" s="397">
        <v>0</v>
      </c>
      <c r="F53" s="397">
        <f>5000+5000</f>
        <v>10000</v>
      </c>
      <c r="G53" s="397">
        <f>15112.49</f>
        <v>15112.49</v>
      </c>
      <c r="H53" s="395">
        <f t="shared" si="0"/>
        <v>35112.49</v>
      </c>
      <c r="I53" s="408"/>
      <c r="K53" s="409"/>
    </row>
    <row r="54" ht="16" spans="1:9">
      <c r="A54" s="835" t="s">
        <v>747</v>
      </c>
      <c r="B54" s="392" t="s">
        <v>748</v>
      </c>
      <c r="C54" s="393">
        <v>45323</v>
      </c>
      <c r="D54" s="397">
        <v>20000</v>
      </c>
      <c r="E54" s="397">
        <v>0</v>
      </c>
      <c r="F54" s="397">
        <f>5000+5000</f>
        <v>10000</v>
      </c>
      <c r="G54" s="397">
        <f>25555.56</f>
        <v>25555.56</v>
      </c>
      <c r="H54" s="395">
        <f t="shared" si="0"/>
        <v>55555.56</v>
      </c>
      <c r="I54" s="408"/>
    </row>
    <row r="55" ht="16" spans="1:11">
      <c r="A55" s="836" t="s">
        <v>749</v>
      </c>
      <c r="B55" s="405" t="s">
        <v>750</v>
      </c>
      <c r="C55" s="393">
        <v>45323</v>
      </c>
      <c r="D55" s="406">
        <v>0</v>
      </c>
      <c r="E55" s="406">
        <v>0</v>
      </c>
      <c r="F55" s="406">
        <v>0</v>
      </c>
      <c r="G55" s="406">
        <v>0</v>
      </c>
      <c r="H55" s="395">
        <f t="shared" si="0"/>
        <v>0</v>
      </c>
      <c r="I55" s="407"/>
      <c r="K55" s="409"/>
    </row>
    <row r="56" ht="16" spans="1:9">
      <c r="A56" s="835" t="s">
        <v>751</v>
      </c>
      <c r="B56" s="392" t="s">
        <v>235</v>
      </c>
      <c r="C56" s="393">
        <v>45323</v>
      </c>
      <c r="D56" s="394">
        <v>100000</v>
      </c>
      <c r="E56" s="394">
        <v>0</v>
      </c>
      <c r="F56" s="394">
        <v>0</v>
      </c>
      <c r="G56" s="394">
        <v>208526.235</v>
      </c>
      <c r="H56" s="395">
        <f t="shared" si="0"/>
        <v>308526.235</v>
      </c>
      <c r="I56" s="408"/>
    </row>
    <row r="57" ht="16" spans="1:9">
      <c r="A57" s="835" t="s">
        <v>752</v>
      </c>
      <c r="B57" s="392" t="s">
        <v>753</v>
      </c>
      <c r="C57" s="393">
        <v>45323</v>
      </c>
      <c r="D57" s="395"/>
      <c r="E57" s="395">
        <v>0</v>
      </c>
      <c r="F57" s="395">
        <v>0</v>
      </c>
      <c r="G57" s="395">
        <v>0</v>
      </c>
      <c r="H57" s="395">
        <f t="shared" si="0"/>
        <v>0</v>
      </c>
      <c r="I57" s="407"/>
    </row>
    <row r="58" ht="16" spans="1:10">
      <c r="A58" s="835" t="s">
        <v>754</v>
      </c>
      <c r="B58" s="392" t="s">
        <v>755</v>
      </c>
      <c r="C58" s="393">
        <v>45323</v>
      </c>
      <c r="D58" s="395">
        <f>80000</f>
        <v>80000</v>
      </c>
      <c r="E58" s="395">
        <v>0</v>
      </c>
      <c r="F58" s="395">
        <v>0</v>
      </c>
      <c r="G58" s="397">
        <f>230499.8</f>
        <v>230499.8</v>
      </c>
      <c r="H58" s="395">
        <f t="shared" si="0"/>
        <v>310499.8</v>
      </c>
      <c r="I58" s="408"/>
      <c r="J58" s="407"/>
    </row>
    <row r="59" ht="16" spans="1:9">
      <c r="A59" s="836" t="s">
        <v>756</v>
      </c>
      <c r="B59" s="405" t="s">
        <v>757</v>
      </c>
      <c r="C59" s="393">
        <v>45323</v>
      </c>
      <c r="D59" s="406">
        <v>0</v>
      </c>
      <c r="E59" s="406">
        <v>0</v>
      </c>
      <c r="F59" s="406">
        <v>0</v>
      </c>
      <c r="G59" s="406">
        <v>0</v>
      </c>
      <c r="H59" s="395">
        <f t="shared" si="0"/>
        <v>0</v>
      </c>
      <c r="I59" s="407"/>
    </row>
    <row r="60" ht="16" spans="1:9">
      <c r="A60" s="835" t="s">
        <v>758</v>
      </c>
      <c r="B60" s="392" t="s">
        <v>759</v>
      </c>
      <c r="C60" s="393">
        <v>45323</v>
      </c>
      <c r="D60" s="397">
        <f>30000</f>
        <v>30000</v>
      </c>
      <c r="E60" s="397">
        <v>0</v>
      </c>
      <c r="F60" s="397">
        <f>10000</f>
        <v>10000</v>
      </c>
      <c r="G60" s="397">
        <f>70000</f>
        <v>70000</v>
      </c>
      <c r="H60" s="395">
        <f t="shared" si="0"/>
        <v>110000</v>
      </c>
      <c r="I60" s="408"/>
    </row>
    <row r="61" ht="16" spans="1:9">
      <c r="A61" s="835" t="s">
        <v>760</v>
      </c>
      <c r="B61" s="392" t="s">
        <v>761</v>
      </c>
      <c r="C61" s="393">
        <v>45323</v>
      </c>
      <c r="D61" s="397">
        <f>0</f>
        <v>0</v>
      </c>
      <c r="E61" s="397">
        <v>0</v>
      </c>
      <c r="F61" s="397">
        <v>0</v>
      </c>
      <c r="G61" s="397">
        <f>0</f>
        <v>0</v>
      </c>
      <c r="H61" s="395">
        <f t="shared" si="0"/>
        <v>0</v>
      </c>
      <c r="I61" s="407"/>
    </row>
    <row r="62" ht="16" spans="1:9">
      <c r="A62" s="835" t="s">
        <v>762</v>
      </c>
      <c r="B62" s="392" t="s">
        <v>763</v>
      </c>
      <c r="C62" s="393">
        <v>45323</v>
      </c>
      <c r="D62" s="398">
        <v>0</v>
      </c>
      <c r="E62" s="398">
        <v>0</v>
      </c>
      <c r="F62" s="398">
        <v>0</v>
      </c>
      <c r="G62" s="398">
        <v>0</v>
      </c>
      <c r="H62" s="395">
        <f t="shared" si="0"/>
        <v>0</v>
      </c>
      <c r="I62" s="407"/>
    </row>
    <row r="63" ht="16" spans="1:9">
      <c r="A63" s="835" t="s">
        <v>764</v>
      </c>
      <c r="B63" s="392" t="s">
        <v>765</v>
      </c>
      <c r="C63" s="393">
        <v>45323</v>
      </c>
      <c r="D63" s="397">
        <f>0</f>
        <v>0</v>
      </c>
      <c r="E63" s="397"/>
      <c r="F63" s="397"/>
      <c r="G63" s="397">
        <f>0</f>
        <v>0</v>
      </c>
      <c r="H63" s="395">
        <f t="shared" si="0"/>
        <v>0</v>
      </c>
      <c r="I63" s="408"/>
    </row>
    <row r="64" ht="16" spans="1:9">
      <c r="A64" s="835" t="s">
        <v>766</v>
      </c>
      <c r="B64" s="392" t="s">
        <v>767</v>
      </c>
      <c r="C64" s="393">
        <v>45323</v>
      </c>
      <c r="D64" s="397">
        <f>0</f>
        <v>0</v>
      </c>
      <c r="E64" s="397">
        <v>0</v>
      </c>
      <c r="F64" s="397">
        <f>0</f>
        <v>0</v>
      </c>
      <c r="G64" s="397"/>
      <c r="H64" s="395">
        <f t="shared" si="0"/>
        <v>0</v>
      </c>
      <c r="I64" s="407"/>
    </row>
    <row r="65" ht="16" spans="1:9">
      <c r="A65" s="835" t="s">
        <v>768</v>
      </c>
      <c r="B65" s="392" t="s">
        <v>241</v>
      </c>
      <c r="C65" s="393">
        <v>45323</v>
      </c>
      <c r="D65" s="397">
        <f>0</f>
        <v>0</v>
      </c>
      <c r="E65" s="397">
        <v>0</v>
      </c>
      <c r="F65" s="397">
        <v>0</v>
      </c>
      <c r="G65" s="397">
        <f>133333.33+30000</f>
        <v>163333.33</v>
      </c>
      <c r="H65" s="395">
        <f t="shared" si="0"/>
        <v>163333.33</v>
      </c>
      <c r="I65" s="408"/>
    </row>
    <row r="66" ht="16" spans="1:9">
      <c r="A66" s="835" t="s">
        <v>769</v>
      </c>
      <c r="B66" s="392" t="s">
        <v>770</v>
      </c>
      <c r="C66" s="393">
        <v>45323</v>
      </c>
      <c r="D66" s="397"/>
      <c r="E66" s="397"/>
      <c r="F66" s="397"/>
      <c r="G66" s="397"/>
      <c r="H66" s="395">
        <f t="shared" si="0"/>
        <v>0</v>
      </c>
      <c r="I66" s="408"/>
    </row>
    <row r="67" ht="16" spans="1:9">
      <c r="A67" s="835" t="s">
        <v>771</v>
      </c>
      <c r="B67" s="392" t="s">
        <v>290</v>
      </c>
      <c r="C67" s="393">
        <v>45323</v>
      </c>
      <c r="D67" s="397">
        <v>5000</v>
      </c>
      <c r="E67" s="397">
        <v>0</v>
      </c>
      <c r="F67" s="397">
        <f>5000+5000</f>
        <v>10000</v>
      </c>
      <c r="G67" s="397">
        <f>14524.11</f>
        <v>14524.11</v>
      </c>
      <c r="H67" s="395">
        <f t="shared" si="0"/>
        <v>29524.11</v>
      </c>
      <c r="I67" s="408"/>
    </row>
    <row r="68" ht="16" spans="1:9">
      <c r="A68" s="835" t="s">
        <v>772</v>
      </c>
      <c r="B68" s="392" t="s">
        <v>111</v>
      </c>
      <c r="C68" s="393">
        <v>45323</v>
      </c>
      <c r="D68" s="397">
        <v>30000</v>
      </c>
      <c r="E68" s="397">
        <v>0</v>
      </c>
      <c r="F68" s="397"/>
      <c r="G68" s="403">
        <f>176288.88</f>
        <v>176288.88</v>
      </c>
      <c r="H68" s="395">
        <f t="shared" si="0"/>
        <v>206288.88</v>
      </c>
      <c r="I68" s="408"/>
    </row>
    <row r="69" ht="16" spans="1:9">
      <c r="A69" s="835" t="s">
        <v>773</v>
      </c>
      <c r="B69" s="392" t="s">
        <v>774</v>
      </c>
      <c r="C69" s="393">
        <v>45323</v>
      </c>
      <c r="D69" s="397">
        <v>80000</v>
      </c>
      <c r="E69" s="397">
        <v>0</v>
      </c>
      <c r="F69" s="397">
        <f>23000</f>
        <v>23000</v>
      </c>
      <c r="G69" s="397">
        <v>246905.964583333</v>
      </c>
      <c r="H69" s="395">
        <f t="shared" si="0"/>
        <v>349905.964583333</v>
      </c>
      <c r="I69" s="408"/>
    </row>
    <row r="70" ht="16" spans="1:9">
      <c r="A70" s="835" t="s">
        <v>775</v>
      </c>
      <c r="B70" s="392" t="s">
        <v>40</v>
      </c>
      <c r="C70" s="393">
        <v>45323</v>
      </c>
      <c r="D70" s="397">
        <v>0</v>
      </c>
      <c r="E70" s="397">
        <v>0</v>
      </c>
      <c r="F70" s="397">
        <v>0</v>
      </c>
      <c r="G70" s="397">
        <v>0</v>
      </c>
      <c r="H70" s="395">
        <f t="shared" ref="H70:H133" si="1">D70+E70+F70+G70</f>
        <v>0</v>
      </c>
      <c r="I70" s="407"/>
    </row>
    <row r="71" ht="16" spans="1:9">
      <c r="A71" s="835" t="s">
        <v>776</v>
      </c>
      <c r="B71" s="392" t="s">
        <v>777</v>
      </c>
      <c r="C71" s="393">
        <v>45323</v>
      </c>
      <c r="D71" s="397">
        <f>70000</f>
        <v>70000</v>
      </c>
      <c r="E71" s="397">
        <f>0</f>
        <v>0</v>
      </c>
      <c r="F71" s="397">
        <v>0</v>
      </c>
      <c r="G71" s="397">
        <f>50000</f>
        <v>50000</v>
      </c>
      <c r="H71" s="395">
        <f t="shared" si="1"/>
        <v>120000</v>
      </c>
      <c r="I71" s="408"/>
    </row>
    <row r="72" ht="16" spans="1:9">
      <c r="A72" s="835" t="s">
        <v>778</v>
      </c>
      <c r="B72" s="392" t="s">
        <v>779</v>
      </c>
      <c r="C72" s="393">
        <v>45323</v>
      </c>
      <c r="D72" s="397">
        <f>10000</f>
        <v>10000</v>
      </c>
      <c r="E72" s="397">
        <v>0</v>
      </c>
      <c r="F72" s="397">
        <v>0</v>
      </c>
      <c r="G72" s="397">
        <f>54585.66</f>
        <v>54585.66</v>
      </c>
      <c r="H72" s="395">
        <f t="shared" si="1"/>
        <v>64585.66</v>
      </c>
      <c r="I72" s="410"/>
    </row>
    <row r="73" ht="16" spans="1:9">
      <c r="A73" s="835" t="s">
        <v>780</v>
      </c>
      <c r="B73" s="392" t="s">
        <v>781</v>
      </c>
      <c r="C73" s="393">
        <v>45323</v>
      </c>
      <c r="D73" s="397">
        <v>10000</v>
      </c>
      <c r="E73" s="397">
        <v>0</v>
      </c>
      <c r="F73" s="397">
        <f>5000+5000</f>
        <v>10000</v>
      </c>
      <c r="G73" s="397">
        <f>13750</f>
        <v>13750</v>
      </c>
      <c r="H73" s="395">
        <f t="shared" si="1"/>
        <v>33750</v>
      </c>
      <c r="I73" s="408"/>
    </row>
    <row r="74" ht="17.5" spans="1:9">
      <c r="A74" s="835" t="s">
        <v>782</v>
      </c>
      <c r="B74" s="392" t="s">
        <v>299</v>
      </c>
      <c r="C74" s="393">
        <v>45323</v>
      </c>
      <c r="D74" s="397">
        <f>10000</f>
        <v>10000</v>
      </c>
      <c r="E74" s="397">
        <v>0</v>
      </c>
      <c r="F74" s="397">
        <f>5000+5000</f>
        <v>10000</v>
      </c>
      <c r="G74" s="415">
        <f>16958.34</f>
        <v>16958.34</v>
      </c>
      <c r="H74" s="395">
        <f t="shared" si="1"/>
        <v>36958.34</v>
      </c>
      <c r="I74" s="408"/>
    </row>
    <row r="75" ht="16" spans="1:9">
      <c r="A75" s="835" t="s">
        <v>783</v>
      </c>
      <c r="B75" s="392" t="s">
        <v>784</v>
      </c>
      <c r="C75" s="393">
        <v>45323</v>
      </c>
      <c r="D75" s="397">
        <f>0</f>
        <v>0</v>
      </c>
      <c r="E75" s="397">
        <v>0</v>
      </c>
      <c r="F75" s="397">
        <f>0</f>
        <v>0</v>
      </c>
      <c r="G75" s="397">
        <f>0</f>
        <v>0</v>
      </c>
      <c r="H75" s="395">
        <f t="shared" si="1"/>
        <v>0</v>
      </c>
      <c r="I75" s="407"/>
    </row>
    <row r="76" ht="17.5" spans="1:9">
      <c r="A76" s="835" t="s">
        <v>785</v>
      </c>
      <c r="B76" s="392" t="s">
        <v>786</v>
      </c>
      <c r="C76" s="393">
        <v>45323</v>
      </c>
      <c r="D76" s="415">
        <f>20000</f>
        <v>20000</v>
      </c>
      <c r="E76" s="402"/>
      <c r="F76" s="402"/>
      <c r="G76" s="397">
        <f>111833.33</f>
        <v>111833.33</v>
      </c>
      <c r="H76" s="395">
        <f t="shared" si="1"/>
        <v>131833.33</v>
      </c>
      <c r="I76" s="408"/>
    </row>
    <row r="77" ht="16" spans="1:9">
      <c r="A77" s="835" t="s">
        <v>787</v>
      </c>
      <c r="B77" s="392" t="s">
        <v>788</v>
      </c>
      <c r="C77" s="393">
        <v>45323</v>
      </c>
      <c r="D77" s="397"/>
      <c r="E77" s="397"/>
      <c r="F77" s="397"/>
      <c r="G77" s="416"/>
      <c r="H77" s="395">
        <f t="shared" si="1"/>
        <v>0</v>
      </c>
      <c r="I77" s="408"/>
    </row>
    <row r="78" ht="16" spans="1:9">
      <c r="A78" s="835" t="s">
        <v>789</v>
      </c>
      <c r="B78" s="392" t="s">
        <v>790</v>
      </c>
      <c r="C78" s="393">
        <v>45323</v>
      </c>
      <c r="D78" s="397">
        <v>0</v>
      </c>
      <c r="E78" s="397">
        <v>0</v>
      </c>
      <c r="F78" s="397">
        <v>0</v>
      </c>
      <c r="G78" s="397"/>
      <c r="H78" s="395">
        <f t="shared" si="1"/>
        <v>0</v>
      </c>
      <c r="I78" s="410"/>
    </row>
    <row r="79" ht="16" spans="1:9">
      <c r="A79" s="835" t="s">
        <v>791</v>
      </c>
      <c r="B79" s="392" t="s">
        <v>792</v>
      </c>
      <c r="C79" s="393">
        <v>45323</v>
      </c>
      <c r="D79" s="397">
        <v>0</v>
      </c>
      <c r="E79" s="397">
        <v>0</v>
      </c>
      <c r="F79" s="397">
        <v>0</v>
      </c>
      <c r="G79" s="397"/>
      <c r="H79" s="395">
        <f t="shared" si="1"/>
        <v>0</v>
      </c>
      <c r="I79" s="407"/>
    </row>
    <row r="80" ht="16" spans="1:9">
      <c r="A80" s="835" t="s">
        <v>793</v>
      </c>
      <c r="B80" s="392" t="s">
        <v>794</v>
      </c>
      <c r="C80" s="393">
        <v>45323</v>
      </c>
      <c r="D80" s="397">
        <v>20000</v>
      </c>
      <c r="E80" s="397">
        <v>0</v>
      </c>
      <c r="F80" s="397">
        <v>0</v>
      </c>
      <c r="G80" s="397">
        <f>68750</f>
        <v>68750</v>
      </c>
      <c r="H80" s="395">
        <f t="shared" si="1"/>
        <v>88750</v>
      </c>
      <c r="I80" s="408"/>
    </row>
    <row r="81" ht="16" spans="1:9">
      <c r="A81" s="835" t="s">
        <v>795</v>
      </c>
      <c r="B81" s="392" t="s">
        <v>796</v>
      </c>
      <c r="C81" s="393">
        <v>45323</v>
      </c>
      <c r="D81" s="397">
        <f>37500</f>
        <v>37500</v>
      </c>
      <c r="E81" s="397">
        <v>0</v>
      </c>
      <c r="F81" s="397"/>
      <c r="G81" s="397"/>
      <c r="H81" s="395">
        <f t="shared" si="1"/>
        <v>37500</v>
      </c>
      <c r="I81" s="408"/>
    </row>
    <row r="82" ht="16" spans="1:9">
      <c r="A82" s="835" t="s">
        <v>797</v>
      </c>
      <c r="B82" s="392" t="s">
        <v>798</v>
      </c>
      <c r="C82" s="393">
        <v>45323</v>
      </c>
      <c r="D82" s="394">
        <v>0</v>
      </c>
      <c r="E82" s="394">
        <v>0</v>
      </c>
      <c r="F82" s="394">
        <v>0</v>
      </c>
      <c r="G82" s="398">
        <v>0</v>
      </c>
      <c r="H82" s="395">
        <f t="shared" si="1"/>
        <v>0</v>
      </c>
      <c r="I82" s="407"/>
    </row>
    <row r="83" ht="16" spans="1:9">
      <c r="A83" s="835" t="s">
        <v>799</v>
      </c>
      <c r="B83" s="392" t="s">
        <v>800</v>
      </c>
      <c r="C83" s="393">
        <v>45323</v>
      </c>
      <c r="D83" s="397">
        <v>50000</v>
      </c>
      <c r="E83" s="397">
        <v>0</v>
      </c>
      <c r="F83" s="397"/>
      <c r="G83" s="416">
        <f>103000</f>
        <v>103000</v>
      </c>
      <c r="H83" s="395">
        <f t="shared" si="1"/>
        <v>153000</v>
      </c>
      <c r="I83" s="408"/>
    </row>
    <row r="84" ht="16" spans="1:9">
      <c r="A84" s="835" t="s">
        <v>801</v>
      </c>
      <c r="B84" s="392" t="s">
        <v>802</v>
      </c>
      <c r="C84" s="393">
        <v>45323</v>
      </c>
      <c r="D84" s="397">
        <v>100000</v>
      </c>
      <c r="E84" s="397">
        <v>0</v>
      </c>
      <c r="F84" s="397">
        <v>10000</v>
      </c>
      <c r="G84" s="397"/>
      <c r="H84" s="395">
        <f t="shared" si="1"/>
        <v>110000</v>
      </c>
      <c r="I84" s="408"/>
    </row>
    <row r="85" ht="16" spans="1:9">
      <c r="A85" s="835" t="s">
        <v>803</v>
      </c>
      <c r="B85" s="392" t="s">
        <v>804</v>
      </c>
      <c r="C85" s="393">
        <v>45323</v>
      </c>
      <c r="D85" s="397">
        <v>0</v>
      </c>
      <c r="E85" s="397">
        <v>0</v>
      </c>
      <c r="F85" s="397">
        <v>0</v>
      </c>
      <c r="G85" s="397"/>
      <c r="H85" s="395">
        <f t="shared" si="1"/>
        <v>0</v>
      </c>
      <c r="I85" s="407"/>
    </row>
    <row r="86" ht="16" spans="1:9">
      <c r="A86" s="835" t="s">
        <v>805</v>
      </c>
      <c r="B86" s="392" t="s">
        <v>806</v>
      </c>
      <c r="C86" s="393">
        <v>45323</v>
      </c>
      <c r="D86" s="397">
        <f>0</f>
        <v>0</v>
      </c>
      <c r="E86" s="397">
        <v>0</v>
      </c>
      <c r="F86" s="397">
        <f>0</f>
        <v>0</v>
      </c>
      <c r="G86" s="397">
        <f>0</f>
        <v>0</v>
      </c>
      <c r="H86" s="395">
        <f t="shared" si="1"/>
        <v>0</v>
      </c>
      <c r="I86" s="407"/>
    </row>
    <row r="87" ht="16" spans="1:9">
      <c r="A87" s="835" t="s">
        <v>807</v>
      </c>
      <c r="B87" s="392" t="s">
        <v>808</v>
      </c>
      <c r="C87" s="393">
        <v>45323</v>
      </c>
      <c r="D87" s="397">
        <v>15000</v>
      </c>
      <c r="E87" s="397">
        <f>0</f>
        <v>0</v>
      </c>
      <c r="F87" s="397">
        <v>0</v>
      </c>
      <c r="G87" s="397">
        <f>133333.34+25000+33333.33+25000</f>
        <v>216666.67</v>
      </c>
      <c r="H87" s="395">
        <f t="shared" si="1"/>
        <v>231666.67</v>
      </c>
      <c r="I87" s="408"/>
    </row>
    <row r="88" ht="16" spans="1:9">
      <c r="A88" s="835" t="s">
        <v>809</v>
      </c>
      <c r="B88" s="392" t="s">
        <v>810</v>
      </c>
      <c r="C88" s="393">
        <v>45323</v>
      </c>
      <c r="D88" s="397">
        <v>50000</v>
      </c>
      <c r="E88" s="397">
        <v>0</v>
      </c>
      <c r="F88" s="397">
        <f>20000</f>
        <v>20000</v>
      </c>
      <c r="G88" s="397">
        <f>0</f>
        <v>0</v>
      </c>
      <c r="H88" s="395">
        <f t="shared" si="1"/>
        <v>70000</v>
      </c>
      <c r="I88" s="408"/>
    </row>
    <row r="89" ht="16" spans="1:9">
      <c r="A89" s="835" t="s">
        <v>811</v>
      </c>
      <c r="B89" s="392" t="s">
        <v>812</v>
      </c>
      <c r="C89" s="393">
        <v>45323</v>
      </c>
      <c r="D89" s="397">
        <f>50000</f>
        <v>50000</v>
      </c>
      <c r="E89" s="397">
        <v>0</v>
      </c>
      <c r="F89" s="397"/>
      <c r="G89" s="397"/>
      <c r="H89" s="395">
        <f t="shared" si="1"/>
        <v>50000</v>
      </c>
      <c r="I89" s="407"/>
    </row>
    <row r="90" ht="16" spans="1:9">
      <c r="A90" s="835" t="s">
        <v>813</v>
      </c>
      <c r="B90" s="392" t="s">
        <v>814</v>
      </c>
      <c r="C90" s="393">
        <v>45323</v>
      </c>
      <c r="D90" s="401"/>
      <c r="E90" s="397">
        <v>0</v>
      </c>
      <c r="F90" s="397"/>
      <c r="G90" s="397"/>
      <c r="H90" s="395">
        <f t="shared" si="1"/>
        <v>0</v>
      </c>
      <c r="I90" s="407"/>
    </row>
    <row r="91" ht="16" spans="1:9">
      <c r="A91" s="835" t="s">
        <v>815</v>
      </c>
      <c r="B91" s="392" t="s">
        <v>816</v>
      </c>
      <c r="C91" s="393">
        <v>45323</v>
      </c>
      <c r="D91" s="397">
        <f>10000</f>
        <v>10000</v>
      </c>
      <c r="E91" s="397">
        <v>0</v>
      </c>
      <c r="F91" s="397"/>
      <c r="G91" s="401"/>
      <c r="H91" s="395">
        <f t="shared" si="1"/>
        <v>10000</v>
      </c>
      <c r="I91" s="408"/>
    </row>
    <row r="92" ht="16" spans="1:9">
      <c r="A92" s="835" t="s">
        <v>817</v>
      </c>
      <c r="B92" s="392" t="s">
        <v>818</v>
      </c>
      <c r="C92" s="393">
        <v>45323</v>
      </c>
      <c r="D92" s="397">
        <f>50000</f>
        <v>50000</v>
      </c>
      <c r="E92" s="397">
        <v>0</v>
      </c>
      <c r="F92" s="397"/>
      <c r="G92" s="403">
        <f>79861.11</f>
        <v>79861.11</v>
      </c>
      <c r="H92" s="395">
        <f t="shared" si="1"/>
        <v>129861.11</v>
      </c>
      <c r="I92" s="408"/>
    </row>
    <row r="93" ht="16" spans="1:9">
      <c r="A93" s="835" t="s">
        <v>819</v>
      </c>
      <c r="B93" s="392" t="s">
        <v>820</v>
      </c>
      <c r="C93" s="393">
        <v>45323</v>
      </c>
      <c r="D93" s="397">
        <f>30000</f>
        <v>30000</v>
      </c>
      <c r="E93" s="397">
        <v>0</v>
      </c>
      <c r="F93" s="397">
        <v>0</v>
      </c>
      <c r="G93" s="395">
        <f>68750+30000</f>
        <v>98750</v>
      </c>
      <c r="H93" s="395">
        <f t="shared" si="1"/>
        <v>128750</v>
      </c>
      <c r="I93" s="408"/>
    </row>
    <row r="94" ht="16" spans="1:9">
      <c r="A94" s="835" t="s">
        <v>821</v>
      </c>
      <c r="B94" s="392" t="s">
        <v>822</v>
      </c>
      <c r="C94" s="393">
        <v>45323</v>
      </c>
      <c r="D94" s="397">
        <v>0</v>
      </c>
      <c r="E94" s="397">
        <v>0</v>
      </c>
      <c r="F94" s="398">
        <v>0</v>
      </c>
      <c r="G94" s="397">
        <v>0</v>
      </c>
      <c r="H94" s="395">
        <f t="shared" si="1"/>
        <v>0</v>
      </c>
      <c r="I94" s="407"/>
    </row>
    <row r="95" ht="16" spans="1:9">
      <c r="A95" s="835" t="s">
        <v>823</v>
      </c>
      <c r="B95" s="392" t="s">
        <v>314</v>
      </c>
      <c r="C95" s="393">
        <v>45323</v>
      </c>
      <c r="D95" s="397">
        <f>10000</f>
        <v>10000</v>
      </c>
      <c r="E95" s="397">
        <v>0</v>
      </c>
      <c r="F95" s="399">
        <f>5000+5000</f>
        <v>10000</v>
      </c>
      <c r="G95" s="397">
        <f>8416.67</f>
        <v>8416.67</v>
      </c>
      <c r="H95" s="395">
        <f t="shared" si="1"/>
        <v>28416.67</v>
      </c>
      <c r="I95" s="408"/>
    </row>
    <row r="96" ht="16" spans="1:9">
      <c r="A96" s="835" t="s">
        <v>824</v>
      </c>
      <c r="B96" s="392" t="s">
        <v>825</v>
      </c>
      <c r="C96" s="393">
        <v>45323</v>
      </c>
      <c r="D96" s="397">
        <f>20000</f>
        <v>20000</v>
      </c>
      <c r="E96" s="397">
        <v>0</v>
      </c>
      <c r="F96" s="397">
        <f>5000+5000</f>
        <v>10000</v>
      </c>
      <c r="G96" s="397">
        <f>25555.56</f>
        <v>25555.56</v>
      </c>
      <c r="H96" s="395">
        <f t="shared" si="1"/>
        <v>55555.56</v>
      </c>
      <c r="I96" s="408"/>
    </row>
    <row r="97" ht="16" spans="1:9">
      <c r="A97" s="835" t="s">
        <v>826</v>
      </c>
      <c r="B97" s="392" t="s">
        <v>827</v>
      </c>
      <c r="C97" s="393">
        <v>45323</v>
      </c>
      <c r="D97" s="397">
        <f>5000</f>
        <v>5000</v>
      </c>
      <c r="E97" s="397">
        <v>0</v>
      </c>
      <c r="F97" s="399">
        <f>5000+5000</f>
        <v>10000</v>
      </c>
      <c r="G97" s="397">
        <f>15972.22</f>
        <v>15972.22</v>
      </c>
      <c r="H97" s="395">
        <f t="shared" si="1"/>
        <v>30972.22</v>
      </c>
      <c r="I97" s="408"/>
    </row>
    <row r="98" ht="16" spans="1:9">
      <c r="A98" s="835" t="s">
        <v>828</v>
      </c>
      <c r="B98" s="392" t="s">
        <v>829</v>
      </c>
      <c r="C98" s="393">
        <v>45323</v>
      </c>
      <c r="D98" s="397">
        <v>10000</v>
      </c>
      <c r="E98" s="397">
        <v>0</v>
      </c>
      <c r="F98" s="397">
        <f>10000</f>
        <v>10000</v>
      </c>
      <c r="G98" s="397">
        <f>30000</f>
        <v>30000</v>
      </c>
      <c r="H98" s="395">
        <f t="shared" si="1"/>
        <v>50000</v>
      </c>
      <c r="I98" s="408"/>
    </row>
    <row r="99" ht="16" spans="1:9">
      <c r="A99" s="835" t="s">
        <v>830</v>
      </c>
      <c r="B99" s="392" t="s">
        <v>831</v>
      </c>
      <c r="C99" s="393">
        <v>45323</v>
      </c>
      <c r="D99" s="397">
        <v>0</v>
      </c>
      <c r="E99" s="397">
        <v>0</v>
      </c>
      <c r="F99" s="397">
        <v>0</v>
      </c>
      <c r="G99" s="397">
        <v>0</v>
      </c>
      <c r="H99" s="395">
        <f t="shared" si="1"/>
        <v>0</v>
      </c>
      <c r="I99" s="407"/>
    </row>
    <row r="100" ht="16" spans="1:9">
      <c r="A100" s="835" t="s">
        <v>832</v>
      </c>
      <c r="B100" s="392" t="s">
        <v>833</v>
      </c>
      <c r="C100" s="393">
        <v>45323</v>
      </c>
      <c r="D100" s="397">
        <f>0</f>
        <v>0</v>
      </c>
      <c r="E100" s="397">
        <v>0</v>
      </c>
      <c r="F100" s="397">
        <v>0</v>
      </c>
      <c r="G100" s="397">
        <f>0</f>
        <v>0</v>
      </c>
      <c r="H100" s="395">
        <f t="shared" si="1"/>
        <v>0</v>
      </c>
      <c r="I100" s="407"/>
    </row>
    <row r="101" ht="16" spans="1:9">
      <c r="A101" s="835" t="s">
        <v>834</v>
      </c>
      <c r="B101" s="392" t="s">
        <v>835</v>
      </c>
      <c r="C101" s="393">
        <v>45323</v>
      </c>
      <c r="D101" s="397">
        <v>0</v>
      </c>
      <c r="E101" s="397">
        <v>0</v>
      </c>
      <c r="F101" s="397">
        <v>0</v>
      </c>
      <c r="G101" s="397">
        <v>0</v>
      </c>
      <c r="H101" s="395">
        <f t="shared" si="1"/>
        <v>0</v>
      </c>
      <c r="I101" s="407"/>
    </row>
    <row r="102" ht="16" spans="1:9">
      <c r="A102" s="835" t="s">
        <v>836</v>
      </c>
      <c r="B102" s="392" t="s">
        <v>837</v>
      </c>
      <c r="C102" s="393">
        <v>45323</v>
      </c>
      <c r="D102" s="397">
        <f>10000</f>
        <v>10000</v>
      </c>
      <c r="E102" s="397">
        <v>0</v>
      </c>
      <c r="F102" s="397">
        <v>0</v>
      </c>
      <c r="G102" s="397">
        <f>50000</f>
        <v>50000</v>
      </c>
      <c r="H102" s="395">
        <f t="shared" si="1"/>
        <v>60000</v>
      </c>
      <c r="I102" s="408"/>
    </row>
    <row r="103" ht="16" spans="1:9">
      <c r="A103" s="835" t="s">
        <v>838</v>
      </c>
      <c r="B103" s="392" t="s">
        <v>839</v>
      </c>
      <c r="C103" s="393">
        <v>45323</v>
      </c>
      <c r="D103" s="397">
        <v>0</v>
      </c>
      <c r="E103" s="397">
        <v>0</v>
      </c>
      <c r="F103" s="397">
        <v>0</v>
      </c>
      <c r="G103" s="397">
        <v>0</v>
      </c>
      <c r="H103" s="395">
        <f t="shared" si="1"/>
        <v>0</v>
      </c>
      <c r="I103" s="407"/>
    </row>
    <row r="104" ht="16" spans="1:9">
      <c r="A104" s="835" t="s">
        <v>840</v>
      </c>
      <c r="B104" s="392" t="s">
        <v>841</v>
      </c>
      <c r="C104" s="393">
        <v>45323</v>
      </c>
      <c r="D104" s="397"/>
      <c r="E104" s="397"/>
      <c r="F104" s="397"/>
      <c r="G104" s="397">
        <f>0</f>
        <v>0</v>
      </c>
      <c r="H104" s="395">
        <f t="shared" si="1"/>
        <v>0</v>
      </c>
      <c r="I104" s="408"/>
    </row>
    <row r="105" ht="16" spans="1:9">
      <c r="A105" s="835" t="s">
        <v>842</v>
      </c>
      <c r="B105" s="392" t="s">
        <v>843</v>
      </c>
      <c r="C105" s="393">
        <v>45323</v>
      </c>
      <c r="D105" s="397"/>
      <c r="E105" s="397"/>
      <c r="F105" s="397"/>
      <c r="G105" s="401"/>
      <c r="H105" s="395">
        <f t="shared" si="1"/>
        <v>0</v>
      </c>
      <c r="I105" s="407"/>
    </row>
    <row r="106" ht="16" spans="1:9">
      <c r="A106" s="835" t="s">
        <v>844</v>
      </c>
      <c r="B106" s="392" t="s">
        <v>845</v>
      </c>
      <c r="C106" s="393">
        <v>45323</v>
      </c>
      <c r="D106" s="397">
        <v>0</v>
      </c>
      <c r="E106" s="397">
        <v>0</v>
      </c>
      <c r="F106" s="397">
        <v>0</v>
      </c>
      <c r="G106" s="397">
        <v>0</v>
      </c>
      <c r="H106" s="395">
        <f t="shared" si="1"/>
        <v>0</v>
      </c>
      <c r="I106" s="407"/>
    </row>
    <row r="107" ht="15" customHeight="1" spans="1:9">
      <c r="A107" s="837" t="s">
        <v>846</v>
      </c>
      <c r="B107" s="392" t="s">
        <v>847</v>
      </c>
      <c r="C107" s="393">
        <v>45323</v>
      </c>
      <c r="D107" s="395">
        <f>50000</f>
        <v>50000</v>
      </c>
      <c r="E107" s="398"/>
      <c r="F107" s="398"/>
      <c r="G107" s="416">
        <f>0</f>
        <v>0</v>
      </c>
      <c r="H107" s="395">
        <f t="shared" si="1"/>
        <v>50000</v>
      </c>
      <c r="I107" s="408"/>
    </row>
    <row r="108" ht="17.5" spans="1:9">
      <c r="A108" s="837" t="s">
        <v>848</v>
      </c>
      <c r="B108" s="392" t="s">
        <v>849</v>
      </c>
      <c r="C108" s="393">
        <v>45323</v>
      </c>
      <c r="D108" s="395">
        <f>30000</f>
        <v>30000</v>
      </c>
      <c r="E108" s="397"/>
      <c r="F108" s="397">
        <f>0</f>
        <v>0</v>
      </c>
      <c r="G108" s="417">
        <f>17500</f>
        <v>17500</v>
      </c>
      <c r="H108" s="395">
        <f t="shared" si="1"/>
        <v>47500</v>
      </c>
      <c r="I108" s="408"/>
    </row>
    <row r="109" ht="17.5" spans="1:9">
      <c r="A109" s="835" t="s">
        <v>850</v>
      </c>
      <c r="B109" s="392" t="s">
        <v>851</v>
      </c>
      <c r="C109" s="393">
        <v>45323</v>
      </c>
      <c r="D109" s="397">
        <v>100000</v>
      </c>
      <c r="E109" s="397"/>
      <c r="F109" s="397">
        <v>0</v>
      </c>
      <c r="G109" s="417">
        <v>0</v>
      </c>
      <c r="H109" s="395">
        <f t="shared" si="1"/>
        <v>100000</v>
      </c>
      <c r="I109" s="408"/>
    </row>
    <row r="110" ht="17.5" spans="1:9">
      <c r="A110" s="835" t="s">
        <v>852</v>
      </c>
      <c r="B110" s="392" t="s">
        <v>853</v>
      </c>
      <c r="C110" s="393">
        <v>45323</v>
      </c>
      <c r="D110" s="397">
        <f>20000</f>
        <v>20000</v>
      </c>
      <c r="E110" s="397"/>
      <c r="F110" s="397">
        <f>10000</f>
        <v>10000</v>
      </c>
      <c r="G110" s="417">
        <v>45833.3333333333</v>
      </c>
      <c r="H110" s="395">
        <f t="shared" si="1"/>
        <v>75833.3333333333</v>
      </c>
      <c r="I110" s="408"/>
    </row>
    <row r="111" ht="17.5" spans="1:9">
      <c r="A111" s="837" t="s">
        <v>854</v>
      </c>
      <c r="B111" s="392" t="s">
        <v>160</v>
      </c>
      <c r="C111" s="393">
        <v>45323</v>
      </c>
      <c r="D111" s="415">
        <f>50000</f>
        <v>50000</v>
      </c>
      <c r="E111" s="415"/>
      <c r="F111" s="398"/>
      <c r="G111" s="415">
        <f>0</f>
        <v>0</v>
      </c>
      <c r="H111" s="395">
        <f t="shared" si="1"/>
        <v>50000</v>
      </c>
      <c r="I111" s="407"/>
    </row>
    <row r="112" ht="17.5" spans="1:9">
      <c r="A112" s="835" t="s">
        <v>855</v>
      </c>
      <c r="B112" s="392" t="s">
        <v>856</v>
      </c>
      <c r="C112" s="393">
        <v>45323</v>
      </c>
      <c r="D112" s="417">
        <f>15000</f>
        <v>15000</v>
      </c>
      <c r="E112" s="417"/>
      <c r="F112" s="397"/>
      <c r="G112" s="397">
        <f>20000</f>
        <v>20000</v>
      </c>
      <c r="H112" s="395">
        <f t="shared" si="1"/>
        <v>35000</v>
      </c>
      <c r="I112" s="408"/>
    </row>
    <row r="113" ht="17.5" spans="1:9">
      <c r="A113" s="838" t="s">
        <v>857</v>
      </c>
      <c r="B113" s="392" t="s">
        <v>161</v>
      </c>
      <c r="C113" s="393">
        <v>45323</v>
      </c>
      <c r="D113" s="415">
        <f>0</f>
        <v>0</v>
      </c>
      <c r="E113" s="417"/>
      <c r="F113" s="397"/>
      <c r="G113" s="397">
        <f>0</f>
        <v>0</v>
      </c>
      <c r="H113" s="395">
        <f t="shared" si="1"/>
        <v>0</v>
      </c>
      <c r="I113" s="407"/>
    </row>
    <row r="114" ht="17.5" spans="1:9">
      <c r="A114" s="835" t="s">
        <v>858</v>
      </c>
      <c r="B114" s="392" t="s">
        <v>859</v>
      </c>
      <c r="C114" s="393">
        <v>45323</v>
      </c>
      <c r="D114" s="417">
        <f>20000</f>
        <v>20000</v>
      </c>
      <c r="E114" s="419"/>
      <c r="F114" s="397">
        <v>0</v>
      </c>
      <c r="G114" s="397">
        <f>50000</f>
        <v>50000</v>
      </c>
      <c r="H114" s="395">
        <f t="shared" si="1"/>
        <v>70000</v>
      </c>
      <c r="I114" s="408"/>
    </row>
    <row r="115" ht="17.5" spans="1:9">
      <c r="A115" s="835" t="s">
        <v>860</v>
      </c>
      <c r="B115" s="392" t="s">
        <v>861</v>
      </c>
      <c r="C115" s="393">
        <v>45323</v>
      </c>
      <c r="D115" s="417">
        <f>10000</f>
        <v>10000</v>
      </c>
      <c r="E115" s="419"/>
      <c r="F115" s="399">
        <f>5000+5000</f>
        <v>10000</v>
      </c>
      <c r="G115" s="397">
        <f>14222.06+12000</f>
        <v>26222.06</v>
      </c>
      <c r="H115" s="395">
        <f t="shared" si="1"/>
        <v>46222.06</v>
      </c>
      <c r="I115" s="408"/>
    </row>
    <row r="116" ht="17.5" spans="1:9">
      <c r="A116" s="835" t="s">
        <v>862</v>
      </c>
      <c r="B116" s="392" t="s">
        <v>247</v>
      </c>
      <c r="C116" s="393">
        <v>45323</v>
      </c>
      <c r="D116" s="417">
        <f>35000</f>
        <v>35000</v>
      </c>
      <c r="E116" s="419"/>
      <c r="F116" s="397">
        <v>0</v>
      </c>
      <c r="G116" s="397">
        <v>159722.222222222</v>
      </c>
      <c r="H116" s="395">
        <f t="shared" si="1"/>
        <v>194722.222222222</v>
      </c>
      <c r="I116" s="408"/>
    </row>
    <row r="117" ht="16" spans="1:9">
      <c r="A117" s="838" t="s">
        <v>863</v>
      </c>
      <c r="B117" s="392" t="s">
        <v>864</v>
      </c>
      <c r="C117" s="393">
        <v>45323</v>
      </c>
      <c r="D117" s="395">
        <f>35000</f>
        <v>35000</v>
      </c>
      <c r="E117" s="395"/>
      <c r="F117" s="395">
        <f>50000</f>
        <v>50000</v>
      </c>
      <c r="G117" s="420"/>
      <c r="H117" s="395">
        <f t="shared" si="1"/>
        <v>85000</v>
      </c>
      <c r="I117" s="408"/>
    </row>
    <row r="118" ht="17.5" spans="1:12">
      <c r="A118" s="835" t="s">
        <v>865</v>
      </c>
      <c r="B118" s="392" t="s">
        <v>866</v>
      </c>
      <c r="C118" s="393">
        <v>45323</v>
      </c>
      <c r="D118" s="397">
        <f>10000</f>
        <v>10000</v>
      </c>
      <c r="E118" s="397"/>
      <c r="F118" s="399">
        <f>10000</f>
        <v>10000</v>
      </c>
      <c r="G118" s="421">
        <f>18333.33</f>
        <v>18333.33</v>
      </c>
      <c r="H118" s="395">
        <f t="shared" si="1"/>
        <v>38333.33</v>
      </c>
      <c r="I118" s="408"/>
      <c r="J118" s="407"/>
      <c r="L118" s="409"/>
    </row>
    <row r="119" ht="16" spans="1:9">
      <c r="A119" s="835" t="s">
        <v>867</v>
      </c>
      <c r="B119" s="392" t="s">
        <v>868</v>
      </c>
      <c r="C119" s="393">
        <v>45323</v>
      </c>
      <c r="D119" s="397">
        <f>10000</f>
        <v>10000</v>
      </c>
      <c r="E119" s="397"/>
      <c r="F119" s="399">
        <f>5000+5000</f>
        <v>10000</v>
      </c>
      <c r="G119" s="397">
        <f>13125+2500</f>
        <v>15625</v>
      </c>
      <c r="H119" s="395">
        <f t="shared" si="1"/>
        <v>35625</v>
      </c>
      <c r="I119" s="408"/>
    </row>
    <row r="120" ht="16" spans="1:9">
      <c r="A120" s="835" t="s">
        <v>869</v>
      </c>
      <c r="B120" s="392" t="s">
        <v>870</v>
      </c>
      <c r="C120" s="393">
        <v>45323</v>
      </c>
      <c r="D120" s="397">
        <f>10000</f>
        <v>10000</v>
      </c>
      <c r="E120" s="397"/>
      <c r="F120" s="399">
        <f>10000</f>
        <v>10000</v>
      </c>
      <c r="G120" s="397">
        <f>10000</f>
        <v>10000</v>
      </c>
      <c r="H120" s="395">
        <f t="shared" si="1"/>
        <v>30000</v>
      </c>
      <c r="I120" s="408"/>
    </row>
    <row r="121" ht="16" spans="1:9">
      <c r="A121" s="835" t="s">
        <v>871</v>
      </c>
      <c r="B121" s="392" t="s">
        <v>872</v>
      </c>
      <c r="C121" s="393">
        <v>45323</v>
      </c>
      <c r="D121" s="397">
        <v>10000</v>
      </c>
      <c r="E121" s="397"/>
      <c r="F121" s="399"/>
      <c r="G121" s="397">
        <v>63888.89</v>
      </c>
      <c r="H121" s="395">
        <f t="shared" si="1"/>
        <v>73888.89</v>
      </c>
      <c r="I121" s="408"/>
    </row>
    <row r="122" ht="16" spans="1:15">
      <c r="A122" s="835" t="s">
        <v>873</v>
      </c>
      <c r="B122" s="392" t="s">
        <v>874</v>
      </c>
      <c r="C122" s="393">
        <v>45323</v>
      </c>
      <c r="D122" s="397">
        <f>50000</f>
        <v>50000</v>
      </c>
      <c r="E122" s="397"/>
      <c r="F122" s="397">
        <f>50000</f>
        <v>50000</v>
      </c>
      <c r="G122" s="397"/>
      <c r="H122" s="395">
        <f t="shared" si="1"/>
        <v>100000</v>
      </c>
      <c r="I122" s="408"/>
      <c r="O122" s="407"/>
    </row>
    <row r="123" ht="17.5" spans="1:15">
      <c r="A123" s="835" t="s">
        <v>875</v>
      </c>
      <c r="B123" s="392" t="s">
        <v>180</v>
      </c>
      <c r="C123" s="393">
        <v>45323</v>
      </c>
      <c r="D123" s="397">
        <f>5000</f>
        <v>5000</v>
      </c>
      <c r="E123" s="397"/>
      <c r="F123" s="397"/>
      <c r="G123" s="417">
        <f>64806.29</f>
        <v>64806.29</v>
      </c>
      <c r="H123" s="395">
        <f t="shared" si="1"/>
        <v>69806.29</v>
      </c>
      <c r="I123" s="408"/>
      <c r="O123" s="407"/>
    </row>
    <row r="124" ht="17.5" spans="1:15">
      <c r="A124" s="835" t="s">
        <v>876</v>
      </c>
      <c r="B124" s="392" t="s">
        <v>877</v>
      </c>
      <c r="C124" s="393">
        <v>45323</v>
      </c>
      <c r="D124" s="399">
        <f>30000</f>
        <v>30000</v>
      </c>
      <c r="E124" s="399">
        <f>0</f>
        <v>0</v>
      </c>
      <c r="F124" s="399">
        <f>0</f>
        <v>0</v>
      </c>
      <c r="G124" s="422">
        <f>60000</f>
        <v>60000</v>
      </c>
      <c r="H124" s="395">
        <f t="shared" si="1"/>
        <v>90000</v>
      </c>
      <c r="I124" s="408"/>
      <c r="N124" s="407"/>
      <c r="O124" s="407"/>
    </row>
    <row r="125" ht="17.5" spans="1:15">
      <c r="A125" s="838" t="s">
        <v>878</v>
      </c>
      <c r="B125" s="392" t="s">
        <v>879</v>
      </c>
      <c r="C125" s="393">
        <v>45323</v>
      </c>
      <c r="D125" s="399">
        <f>20000</f>
        <v>20000</v>
      </c>
      <c r="E125" s="399"/>
      <c r="F125" s="416"/>
      <c r="G125" s="423">
        <f>17500</f>
        <v>17500</v>
      </c>
      <c r="H125" s="395">
        <f t="shared" si="1"/>
        <v>37500</v>
      </c>
      <c r="I125" s="408"/>
      <c r="N125" s="407"/>
      <c r="O125" s="407"/>
    </row>
    <row r="126" ht="16" spans="1:15">
      <c r="A126" s="838" t="s">
        <v>880</v>
      </c>
      <c r="B126" s="392" t="s">
        <v>244</v>
      </c>
      <c r="C126" s="393">
        <v>45323</v>
      </c>
      <c r="D126" s="397">
        <v>0</v>
      </c>
      <c r="E126" s="397">
        <v>0</v>
      </c>
      <c r="F126" s="397">
        <v>0</v>
      </c>
      <c r="G126" s="397">
        <f>100000</f>
        <v>100000</v>
      </c>
      <c r="H126" s="395">
        <f t="shared" si="1"/>
        <v>100000</v>
      </c>
      <c r="I126" s="408"/>
      <c r="N126" s="407"/>
      <c r="O126" s="411"/>
    </row>
    <row r="127" ht="16" spans="1:15">
      <c r="A127" s="838" t="s">
        <v>881</v>
      </c>
      <c r="B127" s="392" t="s">
        <v>882</v>
      </c>
      <c r="C127" s="393">
        <v>45323</v>
      </c>
      <c r="D127" s="397"/>
      <c r="E127" s="397"/>
      <c r="F127" s="397"/>
      <c r="G127" s="397"/>
      <c r="H127" s="395">
        <f t="shared" si="1"/>
        <v>0</v>
      </c>
      <c r="I127" s="407"/>
      <c r="N127" s="407"/>
      <c r="O127" s="409"/>
    </row>
    <row r="128" ht="16" spans="1:14">
      <c r="A128" s="838" t="s">
        <v>883</v>
      </c>
      <c r="B128" s="392" t="s">
        <v>884</v>
      </c>
      <c r="C128" s="393">
        <v>45323</v>
      </c>
      <c r="D128" s="395">
        <f>0</f>
        <v>0</v>
      </c>
      <c r="E128" s="397"/>
      <c r="F128" s="397"/>
      <c r="G128" s="397">
        <f>0</f>
        <v>0</v>
      </c>
      <c r="H128" s="395">
        <f t="shared" si="1"/>
        <v>0</v>
      </c>
      <c r="I128" s="407"/>
      <c r="N128" s="407"/>
    </row>
    <row r="129" ht="16" spans="1:11">
      <c r="A129" s="838" t="s">
        <v>885</v>
      </c>
      <c r="B129" s="392" t="s">
        <v>886</v>
      </c>
      <c r="C129" s="393">
        <v>45323</v>
      </c>
      <c r="D129" s="395">
        <f>50000</f>
        <v>50000</v>
      </c>
      <c r="E129" s="397"/>
      <c r="F129" s="397">
        <f>0</f>
        <v>0</v>
      </c>
      <c r="G129" s="397"/>
      <c r="H129" s="395">
        <f t="shared" si="1"/>
        <v>50000</v>
      </c>
      <c r="I129" s="408"/>
      <c r="K129" s="407"/>
    </row>
    <row r="130" ht="16" spans="1:15">
      <c r="A130" s="838" t="s">
        <v>885</v>
      </c>
      <c r="B130" s="392" t="s">
        <v>887</v>
      </c>
      <c r="C130" s="393">
        <v>45323</v>
      </c>
      <c r="D130" s="395"/>
      <c r="E130" s="397"/>
      <c r="F130" s="397"/>
      <c r="G130" s="397"/>
      <c r="H130" s="395">
        <f t="shared" si="1"/>
        <v>0</v>
      </c>
      <c r="I130" s="408"/>
      <c r="K130" s="407"/>
      <c r="O130" s="409"/>
    </row>
    <row r="131" ht="16" spans="1:12">
      <c r="A131" s="838" t="s">
        <v>888</v>
      </c>
      <c r="B131" s="392" t="s">
        <v>159</v>
      </c>
      <c r="C131" s="393">
        <v>45323</v>
      </c>
      <c r="D131" s="397">
        <f>50000</f>
        <v>50000</v>
      </c>
      <c r="E131" s="397">
        <f>0</f>
        <v>0</v>
      </c>
      <c r="F131" s="397">
        <v>0</v>
      </c>
      <c r="G131" s="397">
        <f>0</f>
        <v>0</v>
      </c>
      <c r="H131" s="395">
        <f t="shared" si="1"/>
        <v>50000</v>
      </c>
      <c r="I131" s="408"/>
      <c r="K131" s="407"/>
      <c r="L131" s="409"/>
    </row>
    <row r="132" ht="16" spans="1:14">
      <c r="A132" s="838" t="s">
        <v>889</v>
      </c>
      <c r="B132" s="392" t="s">
        <v>890</v>
      </c>
      <c r="C132" s="393">
        <v>45323</v>
      </c>
      <c r="D132" s="397">
        <f>0</f>
        <v>0</v>
      </c>
      <c r="E132" s="397">
        <f>0</f>
        <v>0</v>
      </c>
      <c r="F132" s="397">
        <f>0</f>
        <v>0</v>
      </c>
      <c r="G132" s="397">
        <v>0</v>
      </c>
      <c r="H132" s="395">
        <f t="shared" si="1"/>
        <v>0</v>
      </c>
      <c r="I132" s="407"/>
      <c r="K132" s="409"/>
      <c r="L132" s="409"/>
      <c r="N132" s="407"/>
    </row>
    <row r="133" ht="16" spans="1:14">
      <c r="A133" s="838" t="s">
        <v>891</v>
      </c>
      <c r="B133" s="392" t="s">
        <v>892</v>
      </c>
      <c r="C133" s="393">
        <v>45323</v>
      </c>
      <c r="D133" s="395">
        <f>50000</f>
        <v>50000</v>
      </c>
      <c r="E133" s="397"/>
      <c r="F133" s="397"/>
      <c r="G133" s="397">
        <v>59583.3333333333</v>
      </c>
      <c r="H133" s="395">
        <f t="shared" si="1"/>
        <v>109583.333333333</v>
      </c>
      <c r="I133" s="408"/>
      <c r="L133" s="409"/>
      <c r="N133" s="407"/>
    </row>
    <row r="134" ht="16" spans="1:14">
      <c r="A134" s="838" t="s">
        <v>893</v>
      </c>
      <c r="B134" s="392" t="s">
        <v>894</v>
      </c>
      <c r="C134" s="393">
        <v>45323</v>
      </c>
      <c r="D134" s="398"/>
      <c r="E134" s="398"/>
      <c r="F134" s="397"/>
      <c r="G134" s="397"/>
      <c r="H134" s="395">
        <f t="shared" ref="H134:H184" si="2">D134+E134+F134+G134</f>
        <v>0</v>
      </c>
      <c r="I134" s="407"/>
      <c r="N134" s="407"/>
    </row>
    <row r="135" ht="16" spans="1:14">
      <c r="A135" s="838" t="s">
        <v>895</v>
      </c>
      <c r="B135" s="392" t="s">
        <v>896</v>
      </c>
      <c r="C135" s="393">
        <v>45323</v>
      </c>
      <c r="D135" s="397">
        <f>10000</f>
        <v>10000</v>
      </c>
      <c r="E135" s="397">
        <f>0</f>
        <v>0</v>
      </c>
      <c r="F135" s="397"/>
      <c r="G135" s="397">
        <f>95833.33</f>
        <v>95833.33</v>
      </c>
      <c r="H135" s="395">
        <f t="shared" si="2"/>
        <v>105833.33</v>
      </c>
      <c r="I135" s="408"/>
      <c r="J135" s="407"/>
      <c r="L135" s="409"/>
      <c r="M135" s="407"/>
      <c r="N135" s="407"/>
    </row>
    <row r="136" ht="16" spans="1:14">
      <c r="A136" s="838" t="s">
        <v>897</v>
      </c>
      <c r="B136" s="392" t="s">
        <v>898</v>
      </c>
      <c r="C136" s="393">
        <v>45323</v>
      </c>
      <c r="D136" s="397">
        <f>10000</f>
        <v>10000</v>
      </c>
      <c r="E136" s="397">
        <v>0</v>
      </c>
      <c r="F136" s="397">
        <f>5000+5000</f>
        <v>10000</v>
      </c>
      <c r="G136" s="399">
        <f>22916.67+10000</f>
        <v>32916.67</v>
      </c>
      <c r="H136" s="395">
        <f t="shared" si="2"/>
        <v>52916.67</v>
      </c>
      <c r="I136" s="408"/>
      <c r="J136" s="407"/>
      <c r="M136" s="407"/>
      <c r="N136" s="407"/>
    </row>
    <row r="137" ht="16" spans="1:13">
      <c r="A137" s="838" t="s">
        <v>899</v>
      </c>
      <c r="B137" s="392" t="s">
        <v>900</v>
      </c>
      <c r="C137" s="393">
        <v>45323</v>
      </c>
      <c r="D137" s="399">
        <f>100000</f>
        <v>100000</v>
      </c>
      <c r="E137" s="397"/>
      <c r="F137" s="397"/>
      <c r="G137" s="399">
        <f>131250</f>
        <v>131250</v>
      </c>
      <c r="H137" s="395">
        <f t="shared" si="2"/>
        <v>231250</v>
      </c>
      <c r="I137" s="408"/>
      <c r="J137" s="407"/>
      <c r="M137" s="407"/>
    </row>
    <row r="138" ht="16" spans="1:13">
      <c r="A138" s="838" t="s">
        <v>901</v>
      </c>
      <c r="B138" s="392" t="s">
        <v>902</v>
      </c>
      <c r="C138" s="393">
        <v>45323</v>
      </c>
      <c r="D138" s="399">
        <f>50000</f>
        <v>50000</v>
      </c>
      <c r="E138" s="399">
        <f>0</f>
        <v>0</v>
      </c>
      <c r="F138" s="399"/>
      <c r="G138" s="399"/>
      <c r="H138" s="395">
        <f t="shared" si="2"/>
        <v>50000</v>
      </c>
      <c r="I138" s="408"/>
      <c r="J138" s="407"/>
      <c r="M138" s="407"/>
    </row>
    <row r="139" ht="16" spans="1:13">
      <c r="A139" s="838" t="s">
        <v>903</v>
      </c>
      <c r="B139" s="392" t="s">
        <v>268</v>
      </c>
      <c r="C139" s="393">
        <v>45323</v>
      </c>
      <c r="D139" s="399">
        <f>10000</f>
        <v>10000</v>
      </c>
      <c r="E139" s="399">
        <f>0</f>
        <v>0</v>
      </c>
      <c r="F139" s="399"/>
      <c r="G139" s="395">
        <f>90000</f>
        <v>90000</v>
      </c>
      <c r="H139" s="395">
        <f t="shared" si="2"/>
        <v>100000</v>
      </c>
      <c r="I139" s="408"/>
      <c r="J139" s="407"/>
      <c r="M139" s="407"/>
    </row>
    <row r="140" ht="16" spans="1:13">
      <c r="A140" s="838" t="s">
        <v>904</v>
      </c>
      <c r="B140" s="392" t="s">
        <v>149</v>
      </c>
      <c r="C140" s="393">
        <v>45323</v>
      </c>
      <c r="D140" s="399">
        <f>50000</f>
        <v>50000</v>
      </c>
      <c r="E140" s="399"/>
      <c r="F140" s="399"/>
      <c r="G140" s="395">
        <f>50000</f>
        <v>50000</v>
      </c>
      <c r="H140" s="395">
        <f t="shared" si="2"/>
        <v>100000</v>
      </c>
      <c r="I140" s="408"/>
      <c r="M140" s="407"/>
    </row>
    <row r="141" ht="16" spans="1:14">
      <c r="A141" s="838" t="s">
        <v>905</v>
      </c>
      <c r="B141" s="392" t="s">
        <v>906</v>
      </c>
      <c r="C141" s="393">
        <v>45323</v>
      </c>
      <c r="D141" s="399">
        <f>100000</f>
        <v>100000</v>
      </c>
      <c r="E141" s="399">
        <f>0</f>
        <v>0</v>
      </c>
      <c r="F141" s="399">
        <f>100000</f>
        <v>100000</v>
      </c>
      <c r="G141" s="399">
        <f>223611.11</f>
        <v>223611.11</v>
      </c>
      <c r="H141" s="395">
        <f t="shared" si="2"/>
        <v>423611.11</v>
      </c>
      <c r="I141" s="408"/>
      <c r="J141" s="407"/>
      <c r="M141" s="407"/>
      <c r="N141" s="409"/>
    </row>
    <row r="142" ht="16" spans="1:13">
      <c r="A142" s="838" t="s">
        <v>907</v>
      </c>
      <c r="B142" s="392" t="s">
        <v>908</v>
      </c>
      <c r="C142" s="393">
        <v>45323</v>
      </c>
      <c r="D142" s="399">
        <f>10000</f>
        <v>10000</v>
      </c>
      <c r="E142" s="399">
        <f>0</f>
        <v>0</v>
      </c>
      <c r="F142" s="399"/>
      <c r="G142" s="399">
        <f>70000</f>
        <v>70000</v>
      </c>
      <c r="H142" s="395">
        <f t="shared" si="2"/>
        <v>80000</v>
      </c>
      <c r="I142" s="408"/>
      <c r="J142" s="407"/>
      <c r="M142" s="407"/>
    </row>
    <row r="143" ht="16" spans="1:13">
      <c r="A143" s="838" t="s">
        <v>909</v>
      </c>
      <c r="B143" s="392" t="s">
        <v>309</v>
      </c>
      <c r="C143" s="393">
        <v>45323</v>
      </c>
      <c r="D143" s="399">
        <f>5000</f>
        <v>5000</v>
      </c>
      <c r="E143" s="399">
        <f>0</f>
        <v>0</v>
      </c>
      <c r="F143" s="399">
        <f>5000+5000</f>
        <v>10000</v>
      </c>
      <c r="G143" s="399">
        <f>15000</f>
        <v>15000</v>
      </c>
      <c r="H143" s="395">
        <f t="shared" si="2"/>
        <v>30000</v>
      </c>
      <c r="I143" s="408"/>
      <c r="M143" s="407"/>
    </row>
    <row r="144" ht="16" spans="1:13">
      <c r="A144" s="838" t="s">
        <v>910</v>
      </c>
      <c r="B144" s="392" t="s">
        <v>911</v>
      </c>
      <c r="C144" s="393">
        <v>45323</v>
      </c>
      <c r="D144" s="399">
        <f>0</f>
        <v>0</v>
      </c>
      <c r="E144" s="399">
        <v>0</v>
      </c>
      <c r="F144" s="399"/>
      <c r="G144" s="399">
        <f>0</f>
        <v>0</v>
      </c>
      <c r="H144" s="395">
        <f t="shared" si="2"/>
        <v>0</v>
      </c>
      <c r="I144" s="407"/>
      <c r="L144" s="407"/>
      <c r="M144" s="407"/>
    </row>
    <row r="145" ht="17.5" spans="1:13">
      <c r="A145" s="838" t="s">
        <v>912</v>
      </c>
      <c r="B145" s="392" t="s">
        <v>913</v>
      </c>
      <c r="C145" s="393">
        <v>45323</v>
      </c>
      <c r="D145" s="399"/>
      <c r="E145" s="399"/>
      <c r="F145" s="399"/>
      <c r="G145" s="417"/>
      <c r="H145" s="395">
        <f t="shared" si="2"/>
        <v>0</v>
      </c>
      <c r="I145" s="408"/>
      <c r="L145" s="407"/>
      <c r="M145" s="407"/>
    </row>
    <row r="146" ht="16" spans="1:12">
      <c r="A146" s="838" t="s">
        <v>914</v>
      </c>
      <c r="B146" s="392" t="s">
        <v>915</v>
      </c>
      <c r="C146" s="393">
        <v>45323</v>
      </c>
      <c r="D146" s="399">
        <f>200000</f>
        <v>200000</v>
      </c>
      <c r="E146" s="399">
        <f>0</f>
        <v>0</v>
      </c>
      <c r="F146" s="399"/>
      <c r="G146" s="399">
        <f>52500*2+275000</f>
        <v>380000</v>
      </c>
      <c r="H146" s="395">
        <f t="shared" si="2"/>
        <v>580000</v>
      </c>
      <c r="I146" s="408"/>
      <c r="L146" s="407"/>
    </row>
    <row r="147" ht="16" spans="1:12">
      <c r="A147" s="838" t="s">
        <v>916</v>
      </c>
      <c r="B147" s="392" t="s">
        <v>917</v>
      </c>
      <c r="C147" s="393">
        <v>45323</v>
      </c>
      <c r="D147" s="399">
        <f>25000</f>
        <v>25000</v>
      </c>
      <c r="E147" s="399"/>
      <c r="F147" s="399"/>
      <c r="G147" s="401"/>
      <c r="H147" s="395">
        <f t="shared" si="2"/>
        <v>25000</v>
      </c>
      <c r="I147" s="408"/>
      <c r="L147" s="407"/>
    </row>
    <row r="148" ht="16" spans="1:12">
      <c r="A148" s="838" t="s">
        <v>918</v>
      </c>
      <c r="B148" s="392" t="s">
        <v>919</v>
      </c>
      <c r="C148" s="393">
        <v>45323</v>
      </c>
      <c r="D148" s="399">
        <f>0</f>
        <v>0</v>
      </c>
      <c r="E148" s="399"/>
      <c r="F148" s="399"/>
      <c r="G148" s="399"/>
      <c r="H148" s="395">
        <f t="shared" si="2"/>
        <v>0</v>
      </c>
      <c r="I148" s="408"/>
      <c r="L148" s="407"/>
    </row>
    <row r="149" ht="16" spans="1:9">
      <c r="A149" s="838" t="s">
        <v>920</v>
      </c>
      <c r="B149" s="392" t="s">
        <v>123</v>
      </c>
      <c r="C149" s="393">
        <v>45323</v>
      </c>
      <c r="D149" s="399">
        <v>50000</v>
      </c>
      <c r="E149" s="399"/>
      <c r="F149" s="399"/>
      <c r="G149" s="399">
        <v>145000</v>
      </c>
      <c r="H149" s="395">
        <f t="shared" si="2"/>
        <v>195000</v>
      </c>
      <c r="I149" s="408"/>
    </row>
    <row r="150" ht="16" spans="1:12">
      <c r="A150" s="838" t="s">
        <v>921</v>
      </c>
      <c r="B150" s="392" t="s">
        <v>182</v>
      </c>
      <c r="C150" s="393">
        <v>45323</v>
      </c>
      <c r="D150" s="399">
        <f>10000</f>
        <v>10000</v>
      </c>
      <c r="E150" s="399">
        <f>0</f>
        <v>0</v>
      </c>
      <c r="F150" s="399"/>
      <c r="G150" s="397">
        <v>19583.33</v>
      </c>
      <c r="H150" s="395">
        <f t="shared" si="2"/>
        <v>29583.33</v>
      </c>
      <c r="I150" s="407"/>
      <c r="L150" s="407"/>
    </row>
    <row r="151" ht="16" spans="1:9">
      <c r="A151" s="838" t="s">
        <v>922</v>
      </c>
      <c r="B151" s="392" t="s">
        <v>923</v>
      </c>
      <c r="C151" s="393">
        <v>45323</v>
      </c>
      <c r="D151" s="399">
        <f>10000</f>
        <v>10000</v>
      </c>
      <c r="E151" s="399"/>
      <c r="F151" s="399"/>
      <c r="G151" s="399">
        <f>95833.33</f>
        <v>95833.33</v>
      </c>
      <c r="H151" s="395">
        <f t="shared" si="2"/>
        <v>105833.33</v>
      </c>
      <c r="I151" s="408"/>
    </row>
    <row r="152" ht="16" spans="1:9">
      <c r="A152" s="838" t="s">
        <v>924</v>
      </c>
      <c r="B152" s="392" t="s">
        <v>88</v>
      </c>
      <c r="C152" s="393">
        <v>45323</v>
      </c>
      <c r="D152" s="399">
        <f>0</f>
        <v>0</v>
      </c>
      <c r="E152" s="399"/>
      <c r="F152" s="399"/>
      <c r="G152" s="399">
        <f>26666.67</f>
        <v>26666.67</v>
      </c>
      <c r="H152" s="395">
        <f t="shared" si="2"/>
        <v>26666.67</v>
      </c>
      <c r="I152" s="408"/>
    </row>
    <row r="153" ht="16" spans="1:9">
      <c r="A153" s="838" t="s">
        <v>925</v>
      </c>
      <c r="B153" s="392" t="s">
        <v>85</v>
      </c>
      <c r="C153" s="393">
        <v>45323</v>
      </c>
      <c r="D153" s="399">
        <f>50000</f>
        <v>50000</v>
      </c>
      <c r="E153" s="399"/>
      <c r="F153" s="399"/>
      <c r="G153" s="399">
        <f>50000</f>
        <v>50000</v>
      </c>
      <c r="H153" s="395">
        <f t="shared" si="2"/>
        <v>100000</v>
      </c>
      <c r="I153" s="408"/>
    </row>
    <row r="154" ht="16" spans="1:9">
      <c r="A154" s="838" t="s">
        <v>926</v>
      </c>
      <c r="B154" s="392" t="s">
        <v>927</v>
      </c>
      <c r="C154" s="393">
        <v>45323</v>
      </c>
      <c r="D154" s="399">
        <f>30000</f>
        <v>30000</v>
      </c>
      <c r="E154" s="399"/>
      <c r="F154" s="399"/>
      <c r="G154" s="399"/>
      <c r="H154" s="395">
        <f t="shared" si="2"/>
        <v>30000</v>
      </c>
      <c r="I154" s="408"/>
    </row>
    <row r="155" ht="16" spans="1:9">
      <c r="A155" s="838" t="s">
        <v>928</v>
      </c>
      <c r="B155" s="392" t="s">
        <v>929</v>
      </c>
      <c r="C155" s="393">
        <v>45323</v>
      </c>
      <c r="D155" s="399">
        <f>0</f>
        <v>0</v>
      </c>
      <c r="E155" s="399"/>
      <c r="F155" s="399"/>
      <c r="G155" s="399"/>
      <c r="H155" s="395">
        <f t="shared" si="2"/>
        <v>0</v>
      </c>
      <c r="I155" s="407"/>
    </row>
    <row r="156" ht="16" spans="1:9">
      <c r="A156" s="838" t="s">
        <v>930</v>
      </c>
      <c r="B156" s="392" t="s">
        <v>931</v>
      </c>
      <c r="C156" s="393">
        <v>45323</v>
      </c>
      <c r="D156" s="399">
        <f>100000</f>
        <v>100000</v>
      </c>
      <c r="E156" s="399"/>
      <c r="F156" s="399"/>
      <c r="G156" s="399">
        <f>51500</f>
        <v>51500</v>
      </c>
      <c r="H156" s="395">
        <f t="shared" si="2"/>
        <v>151500</v>
      </c>
      <c r="I156" s="408"/>
    </row>
    <row r="157" ht="16" spans="1:9">
      <c r="A157" s="838" t="s">
        <v>932</v>
      </c>
      <c r="B157" s="392" t="s">
        <v>933</v>
      </c>
      <c r="C157" s="393">
        <v>45323</v>
      </c>
      <c r="D157" s="399">
        <f>10000</f>
        <v>10000</v>
      </c>
      <c r="E157" s="399"/>
      <c r="F157" s="399">
        <f>10000</f>
        <v>10000</v>
      </c>
      <c r="G157" s="399">
        <f>11518</f>
        <v>11518</v>
      </c>
      <c r="H157" s="395">
        <f t="shared" si="2"/>
        <v>31518</v>
      </c>
      <c r="I157" s="408"/>
    </row>
    <row r="158" ht="16" spans="1:9">
      <c r="A158" s="838" t="s">
        <v>934</v>
      </c>
      <c r="B158" s="392" t="s">
        <v>935</v>
      </c>
      <c r="C158" s="393">
        <v>45323</v>
      </c>
      <c r="D158" s="399">
        <f>20000</f>
        <v>20000</v>
      </c>
      <c r="E158" s="399"/>
      <c r="F158" s="399"/>
      <c r="G158" s="399"/>
      <c r="H158" s="395">
        <f t="shared" si="2"/>
        <v>20000</v>
      </c>
      <c r="I158" s="408"/>
    </row>
    <row r="159" ht="16" spans="1:9">
      <c r="A159" s="838" t="s">
        <v>936</v>
      </c>
      <c r="B159" s="392" t="s">
        <v>317</v>
      </c>
      <c r="C159" s="393">
        <v>45323</v>
      </c>
      <c r="D159" s="399">
        <v>10000</v>
      </c>
      <c r="E159" s="399"/>
      <c r="F159" s="399">
        <f>5000+5000</f>
        <v>10000</v>
      </c>
      <c r="G159" s="399"/>
      <c r="H159" s="395">
        <f t="shared" si="2"/>
        <v>20000</v>
      </c>
      <c r="I159" s="408"/>
    </row>
    <row r="160" ht="16" spans="1:9">
      <c r="A160" s="838" t="s">
        <v>937</v>
      </c>
      <c r="B160" s="392" t="s">
        <v>938</v>
      </c>
      <c r="C160" s="393">
        <v>45323</v>
      </c>
      <c r="D160" s="399">
        <v>200000</v>
      </c>
      <c r="E160" s="399"/>
      <c r="F160" s="399"/>
      <c r="G160" s="424">
        <f>0</f>
        <v>0</v>
      </c>
      <c r="H160" s="395">
        <f t="shared" si="2"/>
        <v>200000</v>
      </c>
      <c r="I160" s="408"/>
    </row>
    <row r="161" ht="16" spans="1:9">
      <c r="A161" s="838" t="s">
        <v>939</v>
      </c>
      <c r="B161" s="392" t="s">
        <v>940</v>
      </c>
      <c r="C161" s="393">
        <v>45323</v>
      </c>
      <c r="D161" s="399">
        <f>0</f>
        <v>0</v>
      </c>
      <c r="E161" s="399"/>
      <c r="F161" s="399"/>
      <c r="G161" s="399">
        <f>0</f>
        <v>0</v>
      </c>
      <c r="H161" s="395">
        <f t="shared" si="2"/>
        <v>0</v>
      </c>
      <c r="I161" s="407"/>
    </row>
    <row r="162" ht="16" spans="1:9">
      <c r="A162" s="838" t="s">
        <v>941</v>
      </c>
      <c r="B162" s="392" t="s">
        <v>942</v>
      </c>
      <c r="C162" s="393">
        <v>45323</v>
      </c>
      <c r="D162" s="399">
        <f>100000</f>
        <v>100000</v>
      </c>
      <c r="E162" s="399"/>
      <c r="F162" s="399"/>
      <c r="G162" s="399"/>
      <c r="H162" s="395">
        <f t="shared" si="2"/>
        <v>100000</v>
      </c>
      <c r="I162" s="408"/>
    </row>
    <row r="163" ht="16" spans="1:9">
      <c r="A163" s="838" t="s">
        <v>943</v>
      </c>
      <c r="B163" s="392" t="s">
        <v>944</v>
      </c>
      <c r="C163" s="393">
        <v>45323</v>
      </c>
      <c r="D163" s="399">
        <f>5000</f>
        <v>5000</v>
      </c>
      <c r="E163" s="399">
        <f>0</f>
        <v>0</v>
      </c>
      <c r="F163" s="399">
        <f>10000</f>
        <v>10000</v>
      </c>
      <c r="G163" s="399">
        <v>20000</v>
      </c>
      <c r="H163" s="395">
        <f t="shared" si="2"/>
        <v>35000</v>
      </c>
      <c r="I163" s="408"/>
    </row>
    <row r="164" ht="16" spans="1:9">
      <c r="A164" s="838" t="s">
        <v>945</v>
      </c>
      <c r="B164" s="392" t="s">
        <v>946</v>
      </c>
      <c r="C164" s="393">
        <v>45323</v>
      </c>
      <c r="D164" s="399">
        <f>20000</f>
        <v>20000</v>
      </c>
      <c r="E164" s="399"/>
      <c r="F164" s="399"/>
      <c r="G164" s="399"/>
      <c r="H164" s="395">
        <f t="shared" si="2"/>
        <v>20000</v>
      </c>
      <c r="I164" s="408"/>
    </row>
    <row r="165" ht="16" spans="1:9">
      <c r="A165" s="838" t="s">
        <v>947</v>
      </c>
      <c r="B165" s="392" t="s">
        <v>948</v>
      </c>
      <c r="C165" s="393">
        <v>45323</v>
      </c>
      <c r="D165" s="399">
        <f>50000</f>
        <v>50000</v>
      </c>
      <c r="E165" s="399"/>
      <c r="F165" s="399"/>
      <c r="G165" s="399">
        <f>91666.67</f>
        <v>91666.67</v>
      </c>
      <c r="H165" s="395">
        <f t="shared" si="2"/>
        <v>141666.67</v>
      </c>
      <c r="I165" s="408"/>
    </row>
    <row r="166" ht="16" spans="1:9">
      <c r="A166" s="838" t="s">
        <v>949</v>
      </c>
      <c r="B166" s="392" t="s">
        <v>163</v>
      </c>
      <c r="C166" s="393">
        <v>45323</v>
      </c>
      <c r="D166" s="399">
        <f>20000</f>
        <v>20000</v>
      </c>
      <c r="E166" s="399">
        <f>0</f>
        <v>0</v>
      </c>
      <c r="F166" s="399"/>
      <c r="G166" s="399">
        <f>43750</f>
        <v>43750</v>
      </c>
      <c r="H166" s="395">
        <f t="shared" si="2"/>
        <v>63750</v>
      </c>
      <c r="I166" s="408"/>
    </row>
    <row r="167" ht="16" spans="1:9">
      <c r="A167" s="838" t="s">
        <v>950</v>
      </c>
      <c r="B167" s="392" t="s">
        <v>951</v>
      </c>
      <c r="C167" s="393">
        <v>45323</v>
      </c>
      <c r="D167" s="399">
        <f>10000</f>
        <v>10000</v>
      </c>
      <c r="E167" s="399">
        <f>0</f>
        <v>0</v>
      </c>
      <c r="F167" s="399"/>
      <c r="G167" s="399"/>
      <c r="H167" s="395">
        <f t="shared" si="2"/>
        <v>10000</v>
      </c>
      <c r="I167" s="408"/>
    </row>
    <row r="168" ht="16" spans="1:9">
      <c r="A168" s="838" t="s">
        <v>952</v>
      </c>
      <c r="B168" s="392" t="s">
        <v>73</v>
      </c>
      <c r="C168" s="393">
        <v>45323</v>
      </c>
      <c r="D168" s="399">
        <f>10000</f>
        <v>10000</v>
      </c>
      <c r="E168" s="399">
        <f>0</f>
        <v>0</v>
      </c>
      <c r="F168" s="399"/>
      <c r="G168" s="399">
        <f>20000</f>
        <v>20000</v>
      </c>
      <c r="H168" s="395">
        <f t="shared" si="2"/>
        <v>30000</v>
      </c>
      <c r="I168" s="408"/>
    </row>
    <row r="169" ht="16" spans="1:9">
      <c r="A169" s="838" t="s">
        <v>953</v>
      </c>
      <c r="B169" s="392" t="s">
        <v>954</v>
      </c>
      <c r="C169" s="393">
        <v>45323</v>
      </c>
      <c r="D169" s="399">
        <v>20000</v>
      </c>
      <c r="E169" s="399">
        <f>0</f>
        <v>0</v>
      </c>
      <c r="F169" s="399"/>
      <c r="G169" s="399"/>
      <c r="H169" s="395">
        <f t="shared" si="2"/>
        <v>20000</v>
      </c>
      <c r="I169" s="408"/>
    </row>
    <row r="170" ht="16" spans="1:9">
      <c r="A170" s="838" t="s">
        <v>955</v>
      </c>
      <c r="B170" s="392" t="s">
        <v>956</v>
      </c>
      <c r="C170" s="393">
        <v>45323</v>
      </c>
      <c r="D170" s="399">
        <f>0</f>
        <v>0</v>
      </c>
      <c r="E170" s="399">
        <f>0</f>
        <v>0</v>
      </c>
      <c r="F170" s="399">
        <f>120000</f>
        <v>120000</v>
      </c>
      <c r="G170" s="399"/>
      <c r="H170" s="395">
        <f t="shared" si="2"/>
        <v>120000</v>
      </c>
      <c r="I170" s="408"/>
    </row>
    <row r="171" ht="16" spans="1:9">
      <c r="A171" s="838" t="s">
        <v>957</v>
      </c>
      <c r="B171" s="392" t="s">
        <v>958</v>
      </c>
      <c r="C171" s="393">
        <v>45323</v>
      </c>
      <c r="D171" s="399">
        <f>50000</f>
        <v>50000</v>
      </c>
      <c r="E171" s="399"/>
      <c r="F171" s="399"/>
      <c r="G171" s="399"/>
      <c r="H171" s="395">
        <f t="shared" si="2"/>
        <v>50000</v>
      </c>
      <c r="I171" s="408"/>
    </row>
    <row r="172" ht="16" spans="1:9">
      <c r="A172" s="838" t="s">
        <v>959</v>
      </c>
      <c r="B172" s="392" t="s">
        <v>137</v>
      </c>
      <c r="C172" s="393">
        <v>45323</v>
      </c>
      <c r="D172" s="399">
        <f>65000</f>
        <v>65000</v>
      </c>
      <c r="E172" s="399"/>
      <c r="F172" s="399"/>
      <c r="G172" s="399"/>
      <c r="H172" s="395">
        <f t="shared" si="2"/>
        <v>65000</v>
      </c>
      <c r="I172" s="408"/>
    </row>
    <row r="173" ht="16" spans="1:9">
      <c r="A173" s="838" t="s">
        <v>960</v>
      </c>
      <c r="B173" s="392" t="s">
        <v>277</v>
      </c>
      <c r="C173" s="393">
        <v>45323</v>
      </c>
      <c r="D173" s="399">
        <f>10000</f>
        <v>10000</v>
      </c>
      <c r="E173" s="399"/>
      <c r="F173" s="399"/>
      <c r="G173" s="399"/>
      <c r="H173" s="395">
        <f t="shared" si="2"/>
        <v>10000</v>
      </c>
      <c r="I173" s="408"/>
    </row>
    <row r="174" ht="16" spans="1:9">
      <c r="A174" s="838" t="s">
        <v>961</v>
      </c>
      <c r="B174" s="392" t="s">
        <v>962</v>
      </c>
      <c r="C174" s="393">
        <v>45323</v>
      </c>
      <c r="D174" s="399">
        <f>10000</f>
        <v>10000</v>
      </c>
      <c r="E174" s="399"/>
      <c r="F174" s="399"/>
      <c r="G174" s="399"/>
      <c r="H174" s="395">
        <f t="shared" si="2"/>
        <v>10000</v>
      </c>
      <c r="I174" s="408"/>
    </row>
    <row r="175" ht="16" spans="1:9">
      <c r="A175" s="838" t="s">
        <v>963</v>
      </c>
      <c r="B175" s="392" t="s">
        <v>964</v>
      </c>
      <c r="C175" s="393">
        <v>45323</v>
      </c>
      <c r="D175" s="399">
        <f>30000</f>
        <v>30000</v>
      </c>
      <c r="E175" s="399"/>
      <c r="F175" s="399"/>
      <c r="G175" s="399"/>
      <c r="H175" s="395">
        <f t="shared" si="2"/>
        <v>30000</v>
      </c>
      <c r="I175" s="408"/>
    </row>
    <row r="176" ht="16" spans="1:9">
      <c r="A176" s="838" t="s">
        <v>965</v>
      </c>
      <c r="B176" s="392" t="s">
        <v>90</v>
      </c>
      <c r="C176" s="393">
        <v>45323</v>
      </c>
      <c r="D176" s="399">
        <f>20000</f>
        <v>20000</v>
      </c>
      <c r="E176" s="399"/>
      <c r="F176" s="399"/>
      <c r="G176" s="399"/>
      <c r="H176" s="395">
        <f t="shared" si="2"/>
        <v>20000</v>
      </c>
      <c r="I176" s="408"/>
    </row>
    <row r="177" ht="16" spans="1:9">
      <c r="A177" s="838" t="s">
        <v>966</v>
      </c>
      <c r="B177" s="392" t="s">
        <v>967</v>
      </c>
      <c r="C177" s="393">
        <v>45323</v>
      </c>
      <c r="D177" s="399">
        <f>30000</f>
        <v>30000</v>
      </c>
      <c r="E177" s="399"/>
      <c r="F177" s="399"/>
      <c r="G177" s="399"/>
      <c r="H177" s="395">
        <f t="shared" si="2"/>
        <v>30000</v>
      </c>
      <c r="I177" s="408"/>
    </row>
    <row r="178" ht="16" spans="1:9">
      <c r="A178" s="838" t="s">
        <v>968</v>
      </c>
      <c r="B178" s="392" t="s">
        <v>969</v>
      </c>
      <c r="C178" s="393">
        <v>45323</v>
      </c>
      <c r="D178" s="399">
        <v>30000</v>
      </c>
      <c r="E178" s="399"/>
      <c r="F178" s="399"/>
      <c r="G178" s="399"/>
      <c r="H178" s="395">
        <f t="shared" si="2"/>
        <v>30000</v>
      </c>
      <c r="I178" s="408"/>
    </row>
    <row r="179" ht="16" spans="1:9">
      <c r="A179" s="838" t="s">
        <v>970</v>
      </c>
      <c r="B179" s="392" t="s">
        <v>971</v>
      </c>
      <c r="C179" s="393">
        <v>45323</v>
      </c>
      <c r="D179" s="399">
        <f>50000</f>
        <v>50000</v>
      </c>
      <c r="E179" s="399"/>
      <c r="F179" s="399"/>
      <c r="G179" s="399"/>
      <c r="H179" s="395">
        <f t="shared" si="2"/>
        <v>50000</v>
      </c>
      <c r="I179" s="408"/>
    </row>
    <row r="180" ht="16" spans="1:9">
      <c r="A180" s="838" t="s">
        <v>972</v>
      </c>
      <c r="B180" s="392" t="s">
        <v>973</v>
      </c>
      <c r="C180" s="393">
        <v>45323</v>
      </c>
      <c r="D180" s="399">
        <v>5000</v>
      </c>
      <c r="E180" s="399"/>
      <c r="F180" s="399">
        <f>10000</f>
        <v>10000</v>
      </c>
      <c r="G180" s="399"/>
      <c r="H180" s="395">
        <f t="shared" si="2"/>
        <v>15000</v>
      </c>
      <c r="I180" s="408"/>
    </row>
    <row r="181" ht="16" spans="1:9">
      <c r="A181" s="838" t="s">
        <v>974</v>
      </c>
      <c r="B181" s="392" t="s">
        <v>331</v>
      </c>
      <c r="C181" s="393">
        <v>45323</v>
      </c>
      <c r="D181" s="399">
        <f>10000</f>
        <v>10000</v>
      </c>
      <c r="E181" s="399"/>
      <c r="F181" s="399">
        <f>10000</f>
        <v>10000</v>
      </c>
      <c r="G181" s="399"/>
      <c r="H181" s="395">
        <f t="shared" si="2"/>
        <v>20000</v>
      </c>
      <c r="I181" s="408"/>
    </row>
    <row r="182" ht="16" spans="1:9">
      <c r="A182" s="838" t="s">
        <v>972</v>
      </c>
      <c r="B182" s="392" t="s">
        <v>975</v>
      </c>
      <c r="C182" s="393">
        <v>45323</v>
      </c>
      <c r="D182" s="399">
        <f>10000</f>
        <v>10000</v>
      </c>
      <c r="E182" s="399"/>
      <c r="F182" s="399"/>
      <c r="G182" s="399"/>
      <c r="H182" s="395">
        <f t="shared" si="2"/>
        <v>10000</v>
      </c>
      <c r="I182" s="408"/>
    </row>
    <row r="183" ht="16" spans="1:9">
      <c r="A183" s="838" t="s">
        <v>972</v>
      </c>
      <c r="B183" s="392" t="s">
        <v>326</v>
      </c>
      <c r="C183" s="393">
        <v>45323</v>
      </c>
      <c r="D183" s="399">
        <f>10000</f>
        <v>10000</v>
      </c>
      <c r="E183" s="399"/>
      <c r="F183" s="399"/>
      <c r="G183" s="399"/>
      <c r="H183" s="395">
        <f t="shared" si="2"/>
        <v>10000</v>
      </c>
      <c r="I183" s="408"/>
    </row>
    <row r="184" ht="16" spans="1:9">
      <c r="A184" s="838" t="s">
        <v>972</v>
      </c>
      <c r="B184" s="392" t="s">
        <v>976</v>
      </c>
      <c r="C184" s="393">
        <v>45323</v>
      </c>
      <c r="D184" s="399">
        <f>10000</f>
        <v>10000</v>
      </c>
      <c r="E184" s="399"/>
      <c r="F184" s="399"/>
      <c r="G184" s="399"/>
      <c r="H184" s="395">
        <f t="shared" si="2"/>
        <v>10000</v>
      </c>
      <c r="I184" s="408"/>
    </row>
    <row r="185" ht="16" spans="1:12">
      <c r="A185" s="392"/>
      <c r="B185" s="392"/>
      <c r="C185" s="425"/>
      <c r="D185" s="426">
        <f>SUM(D5:D184)</f>
        <v>4415500</v>
      </c>
      <c r="E185" s="426">
        <f>SUM(E5:E184)</f>
        <v>0</v>
      </c>
      <c r="F185" s="426">
        <f>SUM(F5:F184)</f>
        <v>708000</v>
      </c>
      <c r="G185" s="426">
        <f>SUM(G5:G184)</f>
        <v>7015945.68847222</v>
      </c>
      <c r="H185" s="427">
        <f>SUM(H5:H184)</f>
        <v>12139445.6884722</v>
      </c>
      <c r="I185" s="407"/>
      <c r="J185" s="407"/>
      <c r="L185" s="407"/>
    </row>
    <row r="186" ht="22" spans="1:12">
      <c r="A186" s="428"/>
      <c r="B186" s="429" t="s">
        <v>96</v>
      </c>
      <c r="C186" s="392"/>
      <c r="D186" s="430">
        <f>D185+E185+F185</f>
        <v>5123500</v>
      </c>
      <c r="E186" s="431"/>
      <c r="F186" s="431"/>
      <c r="G186" s="431"/>
      <c r="H186" s="431"/>
      <c r="I186" s="409"/>
      <c r="J186" s="409"/>
      <c r="L186" s="407"/>
    </row>
    <row r="187" ht="15" spans="1:12">
      <c r="A187" s="384"/>
      <c r="B187" s="387" t="s">
        <v>977</v>
      </c>
      <c r="C187" s="387"/>
      <c r="D187" s="432"/>
      <c r="E187" s="392"/>
      <c r="F187" s="409"/>
      <c r="G187" s="433"/>
      <c r="H187" s="407"/>
      <c r="I187" s="407"/>
      <c r="L187" s="434"/>
    </row>
    <row r="188" ht="15" spans="1:9">
      <c r="A188" s="384"/>
      <c r="B188" s="392"/>
      <c r="C188" s="387" t="s">
        <v>978</v>
      </c>
      <c r="D188" s="387" t="s">
        <v>979</v>
      </c>
      <c r="E188" s="392"/>
      <c r="F188" s="433"/>
      <c r="G188" s="433"/>
      <c r="H188" s="434"/>
      <c r="I188" s="407"/>
    </row>
    <row r="189" ht="17.5" spans="1:11">
      <c r="A189" s="392"/>
      <c r="B189" s="392" t="s">
        <v>980</v>
      </c>
      <c r="C189" s="415">
        <f>22000</f>
        <v>22000</v>
      </c>
      <c r="D189" s="435">
        <f>20000</f>
        <v>20000</v>
      </c>
      <c r="E189" s="436">
        <f>D189-C189</f>
        <v>-2000</v>
      </c>
      <c r="F189" t="s">
        <v>981</v>
      </c>
      <c r="G189" s="407"/>
      <c r="H189" s="407"/>
      <c r="I189" s="407"/>
      <c r="K189" s="407"/>
    </row>
    <row r="190" ht="17.5" spans="1:11">
      <c r="A190" s="392"/>
      <c r="B190" s="392" t="s">
        <v>982</v>
      </c>
      <c r="C190" s="415">
        <f>52000</f>
        <v>52000</v>
      </c>
      <c r="D190" s="437">
        <f>50000</f>
        <v>50000</v>
      </c>
      <c r="E190" s="415">
        <f t="shared" ref="E190:E191" si="3">D190-C190</f>
        <v>-2000</v>
      </c>
      <c r="G190" s="407"/>
      <c r="H190" s="407"/>
      <c r="I190" s="407"/>
      <c r="K190" s="407"/>
    </row>
    <row r="191" ht="17.5" spans="1:11">
      <c r="A191" s="392"/>
      <c r="B191" s="392" t="s">
        <v>983</v>
      </c>
      <c r="C191" s="415">
        <f>17000</f>
        <v>17000</v>
      </c>
      <c r="D191" s="437">
        <f>15000</f>
        <v>15000</v>
      </c>
      <c r="E191" s="415">
        <f t="shared" si="3"/>
        <v>-2000</v>
      </c>
      <c r="F191" s="408"/>
      <c r="G191" s="407"/>
      <c r="H191" s="407"/>
      <c r="I191" s="407"/>
      <c r="K191" s="407"/>
    </row>
    <row r="192" ht="17.5" spans="1:11">
      <c r="A192" s="392"/>
      <c r="B192" s="392" t="s">
        <v>331</v>
      </c>
      <c r="C192" s="415">
        <v>22000</v>
      </c>
      <c r="D192" s="437">
        <f>20000</f>
        <v>20000</v>
      </c>
      <c r="E192" s="415">
        <f t="shared" ref="E192:E195" si="4">D192-C192</f>
        <v>-2000</v>
      </c>
      <c r="F192" s="408"/>
      <c r="G192" s="407"/>
      <c r="H192" s="407"/>
      <c r="I192" s="407"/>
      <c r="K192" s="407"/>
    </row>
    <row r="193" ht="17.5" spans="1:11">
      <c r="A193" s="392"/>
      <c r="B193" s="392" t="s">
        <v>975</v>
      </c>
      <c r="C193" s="415">
        <v>12000</v>
      </c>
      <c r="D193" s="437">
        <f>10000</f>
        <v>10000</v>
      </c>
      <c r="E193" s="415">
        <f t="shared" si="4"/>
        <v>-2000</v>
      </c>
      <c r="F193" s="408"/>
      <c r="G193" s="407"/>
      <c r="H193" s="407"/>
      <c r="I193" s="407"/>
      <c r="K193" s="407"/>
    </row>
    <row r="194" ht="17.5" spans="1:11">
      <c r="A194" s="392"/>
      <c r="B194" s="392" t="s">
        <v>326</v>
      </c>
      <c r="C194" s="415">
        <v>12000</v>
      </c>
      <c r="D194" s="437">
        <f>10000</f>
        <v>10000</v>
      </c>
      <c r="E194" s="415">
        <f t="shared" si="4"/>
        <v>-2000</v>
      </c>
      <c r="F194" s="408"/>
      <c r="G194" s="407"/>
      <c r="H194" s="407"/>
      <c r="I194" s="407"/>
      <c r="K194" s="407"/>
    </row>
    <row r="195" ht="17.5" spans="1:11">
      <c r="A195" s="392"/>
      <c r="B195" s="392" t="s">
        <v>976</v>
      </c>
      <c r="C195" s="415">
        <v>12000</v>
      </c>
      <c r="D195" s="437">
        <f>10000</f>
        <v>10000</v>
      </c>
      <c r="E195" s="415">
        <f t="shared" si="4"/>
        <v>-2000</v>
      </c>
      <c r="F195" s="408"/>
      <c r="G195" s="407"/>
      <c r="H195" s="407"/>
      <c r="I195" s="407"/>
      <c r="K195" s="407"/>
    </row>
    <row r="196" ht="17.5" spans="1:11">
      <c r="A196" s="384"/>
      <c r="B196" s="438" t="s">
        <v>513</v>
      </c>
      <c r="C196" s="402"/>
      <c r="D196" s="439">
        <f>0</f>
        <v>0</v>
      </c>
      <c r="E196" s="440">
        <f>SUM(E190:E195)</f>
        <v>-12000</v>
      </c>
      <c r="I196" s="411"/>
      <c r="K196" s="407"/>
    </row>
    <row r="197" ht="15" spans="1:11">
      <c r="A197" s="392"/>
      <c r="B197" s="392"/>
      <c r="C197" s="387"/>
      <c r="D197" s="392"/>
      <c r="E197" s="392"/>
      <c r="K197" s="407"/>
    </row>
    <row r="198" ht="15" spans="1:11">
      <c r="A198" s="392"/>
      <c r="B198" s="387" t="s">
        <v>984</v>
      </c>
      <c r="C198" s="387"/>
      <c r="D198" s="392"/>
      <c r="E198" s="392"/>
      <c r="K198" s="407"/>
    </row>
    <row r="199" ht="15" spans="1:11">
      <c r="A199" s="392"/>
      <c r="B199" s="387"/>
      <c r="C199" s="387" t="s">
        <v>978</v>
      </c>
      <c r="D199" s="387" t="s">
        <v>979</v>
      </c>
      <c r="E199" s="392"/>
      <c r="K199" s="407"/>
    </row>
    <row r="200" ht="17.5" spans="1:11">
      <c r="A200" s="441"/>
      <c r="B200" s="441" t="s">
        <v>985</v>
      </c>
      <c r="C200" s="395">
        <f>20000</f>
        <v>20000</v>
      </c>
      <c r="D200" s="397">
        <f>0</f>
        <v>0</v>
      </c>
      <c r="E200" s="415">
        <f>D200-C200</f>
        <v>-20000</v>
      </c>
      <c r="G200" s="407"/>
      <c r="K200" s="407"/>
    </row>
    <row r="201" ht="17.5" spans="1:11">
      <c r="A201" s="441"/>
      <c r="B201" s="441" t="s">
        <v>986</v>
      </c>
      <c r="C201" s="395">
        <v>120000</v>
      </c>
      <c r="D201" s="397"/>
      <c r="E201" s="415">
        <f>D201-C201</f>
        <v>-120000</v>
      </c>
      <c r="G201" s="407"/>
      <c r="K201" s="407"/>
    </row>
    <row r="202" ht="17.5" spans="1:11">
      <c r="A202" s="441"/>
      <c r="B202" s="441"/>
      <c r="C202" s="395"/>
      <c r="D202" s="397"/>
      <c r="E202" s="415"/>
      <c r="G202" s="407"/>
      <c r="K202" s="407"/>
    </row>
    <row r="203" ht="17.5" spans="1:11">
      <c r="A203" s="441"/>
      <c r="B203" s="441"/>
      <c r="C203" s="415"/>
      <c r="D203" s="415"/>
      <c r="E203" s="415"/>
      <c r="G203" s="407"/>
      <c r="K203" s="407"/>
    </row>
    <row r="204" ht="17.5" spans="1:11">
      <c r="A204" s="441"/>
      <c r="B204" s="441"/>
      <c r="C204" s="395"/>
      <c r="D204" s="397"/>
      <c r="E204" s="415"/>
      <c r="G204" s="407"/>
      <c r="H204" s="407"/>
      <c r="K204" s="407"/>
    </row>
    <row r="205" ht="17.5" spans="1:11">
      <c r="A205" s="384"/>
      <c r="B205" s="384"/>
      <c r="C205" s="384"/>
      <c r="D205" s="384"/>
      <c r="E205" s="440">
        <f>SUM(E200:E204)</f>
        <v>-140000</v>
      </c>
      <c r="G205" s="407"/>
      <c r="K205" s="407"/>
    </row>
    <row r="206" ht="30" customHeight="1" spans="1:11">
      <c r="A206" s="384"/>
      <c r="B206" s="438" t="s">
        <v>987</v>
      </c>
      <c r="C206" s="384"/>
      <c r="D206" s="384"/>
      <c r="E206" s="442">
        <f>E196+E205</f>
        <v>-152000</v>
      </c>
      <c r="G206" s="407"/>
      <c r="K206" s="407"/>
    </row>
    <row r="207" ht="18.5" spans="5:11">
      <c r="E207" s="443"/>
      <c r="K207" s="407"/>
    </row>
    <row r="208" ht="16" spans="1:11">
      <c r="A208" s="838" t="s">
        <v>714</v>
      </c>
      <c r="B208" s="392" t="s">
        <v>715</v>
      </c>
      <c r="C208" s="393">
        <v>45292</v>
      </c>
      <c r="D208" s="397">
        <v>10000</v>
      </c>
      <c r="E208" s="397">
        <v>0</v>
      </c>
      <c r="F208" s="397">
        <v>0</v>
      </c>
      <c r="G208" s="397">
        <f>40000</f>
        <v>40000</v>
      </c>
      <c r="H208" s="395">
        <f t="shared" ref="H208:H223" si="5">D208+E208+F208+G208</f>
        <v>50000</v>
      </c>
      <c r="I208" s="407"/>
      <c r="K208" s="407"/>
    </row>
    <row r="209" ht="16" spans="1:11">
      <c r="A209" s="838" t="s">
        <v>762</v>
      </c>
      <c r="B209" s="392" t="s">
        <v>763</v>
      </c>
      <c r="C209" s="393">
        <v>45292</v>
      </c>
      <c r="D209" s="399">
        <v>30000</v>
      </c>
      <c r="E209" s="399">
        <v>0</v>
      </c>
      <c r="F209" s="399">
        <v>0</v>
      </c>
      <c r="G209" s="399">
        <f>0</f>
        <v>0</v>
      </c>
      <c r="H209" s="395">
        <f t="shared" si="5"/>
        <v>30000</v>
      </c>
      <c r="K209" s="407"/>
    </row>
    <row r="210" ht="16" spans="1:14">
      <c r="A210" s="838" t="s">
        <v>797</v>
      </c>
      <c r="B210" s="392" t="s">
        <v>798</v>
      </c>
      <c r="C210" s="393">
        <v>45292</v>
      </c>
      <c r="D210" s="399">
        <v>10000</v>
      </c>
      <c r="E210" s="399">
        <v>0</v>
      </c>
      <c r="F210" s="399"/>
      <c r="G210" s="399">
        <f>20000</f>
        <v>20000</v>
      </c>
      <c r="H210" s="395">
        <f t="shared" si="5"/>
        <v>30000</v>
      </c>
      <c r="K210" s="407"/>
      <c r="N210" s="407"/>
    </row>
    <row r="211" ht="16" spans="1:14">
      <c r="A211" s="838" t="s">
        <v>871</v>
      </c>
      <c r="B211" s="392" t="s">
        <v>872</v>
      </c>
      <c r="C211" s="393">
        <v>45292</v>
      </c>
      <c r="D211" s="399"/>
      <c r="E211" s="399"/>
      <c r="F211" s="399"/>
      <c r="G211" s="399"/>
      <c r="H211" s="395">
        <f t="shared" si="5"/>
        <v>0</v>
      </c>
      <c r="I211" s="407"/>
      <c r="K211" s="407"/>
      <c r="N211" s="407"/>
    </row>
    <row r="212" ht="16" spans="1:14">
      <c r="A212" s="838" t="s">
        <v>988</v>
      </c>
      <c r="B212" s="392" t="s">
        <v>989</v>
      </c>
      <c r="C212" s="393">
        <v>45292</v>
      </c>
      <c r="D212" s="399">
        <f>5000</f>
        <v>5000</v>
      </c>
      <c r="E212" s="399">
        <f>0</f>
        <v>0</v>
      </c>
      <c r="F212" s="399">
        <f>5000+5000</f>
        <v>10000</v>
      </c>
      <c r="G212" s="399">
        <f>14350</f>
        <v>14350</v>
      </c>
      <c r="H212" s="395">
        <f t="shared" si="5"/>
        <v>29350</v>
      </c>
      <c r="I212" s="409"/>
      <c r="K212" s="407"/>
      <c r="N212" s="407"/>
    </row>
    <row r="213" ht="16" spans="1:14">
      <c r="A213" s="838" t="s">
        <v>990</v>
      </c>
      <c r="B213" s="392" t="s">
        <v>991</v>
      </c>
      <c r="C213" s="393">
        <v>45292</v>
      </c>
      <c r="D213" s="399">
        <f>0</f>
        <v>0</v>
      </c>
      <c r="E213" s="399"/>
      <c r="F213" s="399"/>
      <c r="G213" s="399"/>
      <c r="H213" s="395">
        <f t="shared" si="5"/>
        <v>0</v>
      </c>
      <c r="K213" s="407"/>
      <c r="N213" s="407"/>
    </row>
    <row r="214" ht="16" spans="1:14">
      <c r="A214" s="838" t="s">
        <v>992</v>
      </c>
      <c r="B214" s="392" t="s">
        <v>993</v>
      </c>
      <c r="C214" s="393">
        <v>45292</v>
      </c>
      <c r="D214" s="399">
        <f>5000</f>
        <v>5000</v>
      </c>
      <c r="E214" s="399"/>
      <c r="F214" s="399"/>
      <c r="G214" s="399">
        <f>0</f>
        <v>0</v>
      </c>
      <c r="H214" s="395">
        <f t="shared" si="5"/>
        <v>5000</v>
      </c>
      <c r="K214" s="407"/>
      <c r="N214" s="407"/>
    </row>
    <row r="215" ht="16" spans="1:14">
      <c r="A215" s="838" t="s">
        <v>994</v>
      </c>
      <c r="B215" s="392" t="s">
        <v>995</v>
      </c>
      <c r="C215" s="393">
        <v>45292</v>
      </c>
      <c r="D215" s="399">
        <f>10000</f>
        <v>10000</v>
      </c>
      <c r="E215" s="399">
        <f>0</f>
        <v>0</v>
      </c>
      <c r="F215" s="399"/>
      <c r="G215" s="399">
        <f>20000</f>
        <v>20000</v>
      </c>
      <c r="H215" s="395">
        <f t="shared" si="5"/>
        <v>30000</v>
      </c>
      <c r="J215" s="407"/>
      <c r="K215" s="407"/>
      <c r="N215" s="407"/>
    </row>
    <row r="216" ht="16" spans="1:14">
      <c r="A216" s="838" t="s">
        <v>996</v>
      </c>
      <c r="B216" s="392" t="s">
        <v>997</v>
      </c>
      <c r="C216" s="393">
        <v>45292</v>
      </c>
      <c r="D216" s="399">
        <f>25000</f>
        <v>25000</v>
      </c>
      <c r="E216" s="399"/>
      <c r="F216" s="399"/>
      <c r="G216" s="399">
        <f>60640</f>
        <v>60640</v>
      </c>
      <c r="H216" s="395">
        <f t="shared" si="5"/>
        <v>85640</v>
      </c>
      <c r="J216" s="407"/>
      <c r="K216" s="407"/>
      <c r="N216" s="407"/>
    </row>
    <row r="217" ht="17.5" spans="1:14">
      <c r="A217" s="838" t="s">
        <v>998</v>
      </c>
      <c r="B217" s="392" t="s">
        <v>999</v>
      </c>
      <c r="C217" s="393">
        <v>45292</v>
      </c>
      <c r="D217" s="399">
        <v>10000</v>
      </c>
      <c r="E217" s="399"/>
      <c r="F217" s="399"/>
      <c r="G217" s="400">
        <f>0</f>
        <v>0</v>
      </c>
      <c r="H217" s="395">
        <f t="shared" si="5"/>
        <v>10000</v>
      </c>
      <c r="J217" s="407"/>
      <c r="K217" s="407"/>
      <c r="N217" s="407"/>
    </row>
    <row r="218" ht="16" spans="1:14">
      <c r="A218" s="838" t="s">
        <v>953</v>
      </c>
      <c r="B218" s="392" t="s">
        <v>954</v>
      </c>
      <c r="C218" s="393">
        <v>45292</v>
      </c>
      <c r="D218" s="399"/>
      <c r="E218" s="399">
        <f>0</f>
        <v>0</v>
      </c>
      <c r="F218" s="399"/>
      <c r="G218" s="399"/>
      <c r="H218" s="395">
        <f t="shared" si="5"/>
        <v>0</v>
      </c>
      <c r="J218" s="407"/>
      <c r="K218" s="407"/>
      <c r="N218" s="409"/>
    </row>
    <row r="219" ht="16" spans="1:14">
      <c r="A219" s="838" t="s">
        <v>968</v>
      </c>
      <c r="B219" s="392" t="s">
        <v>969</v>
      </c>
      <c r="C219" s="393">
        <v>45292</v>
      </c>
      <c r="D219" s="399"/>
      <c r="E219" s="399">
        <f>0</f>
        <v>0</v>
      </c>
      <c r="F219" s="399"/>
      <c r="G219" s="399"/>
      <c r="H219" s="395">
        <f t="shared" si="5"/>
        <v>0</v>
      </c>
      <c r="J219" s="407"/>
      <c r="K219" s="407"/>
      <c r="N219" s="409"/>
    </row>
    <row r="220" ht="16" spans="1:14">
      <c r="A220" s="838" t="s">
        <v>1000</v>
      </c>
      <c r="B220" s="392" t="s">
        <v>1001</v>
      </c>
      <c r="C220" s="393">
        <v>45292</v>
      </c>
      <c r="D220" s="399">
        <f>20000</f>
        <v>20000</v>
      </c>
      <c r="E220" s="399"/>
      <c r="F220" s="399"/>
      <c r="G220" s="399"/>
      <c r="H220" s="395">
        <f t="shared" si="5"/>
        <v>20000</v>
      </c>
      <c r="J220" s="407"/>
      <c r="K220" s="407"/>
      <c r="N220" s="409"/>
    </row>
    <row r="221" ht="16" spans="1:14">
      <c r="A221" s="838" t="s">
        <v>1002</v>
      </c>
      <c r="B221" s="392" t="s">
        <v>1003</v>
      </c>
      <c r="C221" s="393">
        <v>45292</v>
      </c>
      <c r="D221" s="399">
        <f>20000</f>
        <v>20000</v>
      </c>
      <c r="E221" s="399"/>
      <c r="F221" s="399"/>
      <c r="G221" s="399"/>
      <c r="H221" s="395">
        <f t="shared" si="5"/>
        <v>20000</v>
      </c>
      <c r="J221" s="407"/>
      <c r="K221" s="407"/>
      <c r="N221" s="409"/>
    </row>
    <row r="222" ht="16" spans="1:14">
      <c r="A222" s="838" t="s">
        <v>1004</v>
      </c>
      <c r="B222" s="392" t="s">
        <v>93</v>
      </c>
      <c r="C222" s="393">
        <v>45292</v>
      </c>
      <c r="D222" s="399">
        <f>50000</f>
        <v>50000</v>
      </c>
      <c r="E222" s="399"/>
      <c r="F222" s="399"/>
      <c r="G222" s="399"/>
      <c r="H222" s="395">
        <f t="shared" si="5"/>
        <v>50000</v>
      </c>
      <c r="J222" s="407"/>
      <c r="K222" s="407"/>
      <c r="N222" s="409"/>
    </row>
    <row r="223" ht="16" spans="1:14">
      <c r="A223" s="838" t="s">
        <v>1005</v>
      </c>
      <c r="B223" s="392" t="s">
        <v>980</v>
      </c>
      <c r="C223" s="393">
        <v>45292</v>
      </c>
      <c r="D223" s="399">
        <f>20000</f>
        <v>20000</v>
      </c>
      <c r="E223" s="399">
        <f>2000</f>
        <v>2000</v>
      </c>
      <c r="F223" s="399"/>
      <c r="G223" s="399"/>
      <c r="H223" s="395">
        <f t="shared" si="5"/>
        <v>22000</v>
      </c>
      <c r="J223" s="407"/>
      <c r="K223" s="407"/>
      <c r="N223" s="409"/>
    </row>
    <row r="224" ht="16" spans="1:14">
      <c r="A224" s="384"/>
      <c r="B224" s="384"/>
      <c r="C224" s="444"/>
      <c r="D224" s="427">
        <f>SUM(D208:D223)</f>
        <v>215000</v>
      </c>
      <c r="E224" s="427">
        <f>SUM(E208:E223)</f>
        <v>2000</v>
      </c>
      <c r="F224" s="427">
        <f>SUM(F208:F223)</f>
        <v>10000</v>
      </c>
      <c r="G224" s="427">
        <f>SUM(G208:G223)</f>
        <v>154990</v>
      </c>
      <c r="H224" s="427">
        <f>SUM(H208:H223)</f>
        <v>381990</v>
      </c>
      <c r="I224" s="411"/>
      <c r="J224" s="407"/>
      <c r="K224" s="407"/>
      <c r="N224" s="409"/>
    </row>
    <row r="225" ht="15" spans="1:13">
      <c r="A225" s="386"/>
      <c r="B225" s="386"/>
      <c r="C225" s="386"/>
      <c r="D225" s="445"/>
      <c r="E225" s="445"/>
      <c r="F225" s="445"/>
      <c r="G225" s="445"/>
      <c r="H225" s="445"/>
      <c r="I225" s="407"/>
      <c r="J225" s="407"/>
      <c r="K225" s="407"/>
      <c r="L225" s="407"/>
      <c r="M225" s="407"/>
    </row>
    <row r="226" ht="15" spans="1:13">
      <c r="A226" s="386"/>
      <c r="B226" s="386"/>
      <c r="C226" s="386"/>
      <c r="D226" s="446">
        <f>D185+D224</f>
        <v>4630500</v>
      </c>
      <c r="E226" s="446">
        <f>E185+E224</f>
        <v>2000</v>
      </c>
      <c r="F226" s="446">
        <f>F185+F224</f>
        <v>718000</v>
      </c>
      <c r="G226" s="446">
        <f>G185+G224</f>
        <v>7170935.68847222</v>
      </c>
      <c r="H226" s="446">
        <f>H185+H224</f>
        <v>12521435.6884722</v>
      </c>
      <c r="I226" s="407"/>
      <c r="J226" s="407"/>
      <c r="K226" s="407"/>
      <c r="L226" s="407"/>
      <c r="M226" s="407"/>
    </row>
    <row r="227" ht="16" spans="2:13">
      <c r="B227" s="420"/>
      <c r="E227" s="409"/>
      <c r="F227" s="433"/>
      <c r="H227" s="433"/>
      <c r="I227" s="407"/>
      <c r="J227" s="434"/>
      <c r="K227" s="407"/>
      <c r="M227" s="407"/>
    </row>
    <row r="228" spans="8:13">
      <c r="H228" s="407"/>
      <c r="I228" s="411"/>
      <c r="J228" s="407"/>
      <c r="K228" s="407"/>
      <c r="L228" s="411"/>
      <c r="M228" s="407"/>
    </row>
    <row r="229" spans="4:13">
      <c r="D229" s="409"/>
      <c r="G229" s="409"/>
      <c r="H229" s="407"/>
      <c r="I229" s="409"/>
      <c r="J229" s="407"/>
      <c r="K229" s="407"/>
      <c r="M229" s="407"/>
    </row>
    <row r="230" spans="5:13">
      <c r="E230" s="409"/>
      <c r="H230" s="407"/>
      <c r="K230" s="407"/>
      <c r="M230" s="407"/>
    </row>
    <row r="231" spans="8:13">
      <c r="H231" s="407"/>
      <c r="K231" s="407"/>
      <c r="M231" s="407"/>
    </row>
    <row r="232" ht="14.5" spans="8:13">
      <c r="H232" s="407"/>
      <c r="K232" s="407"/>
      <c r="M232" s="434"/>
    </row>
    <row r="233" spans="8:11">
      <c r="H233" s="407"/>
      <c r="K233" s="407"/>
    </row>
    <row r="234" spans="8:11">
      <c r="H234" s="407"/>
      <c r="K234" s="407"/>
    </row>
    <row r="235" spans="8:13">
      <c r="H235" s="407"/>
      <c r="K235" s="407"/>
      <c r="M235" s="409"/>
    </row>
    <row r="236" spans="8:11">
      <c r="H236" s="407"/>
      <c r="K236" s="407"/>
    </row>
    <row r="237" spans="11:11">
      <c r="K237" s="407"/>
    </row>
    <row r="238" ht="14.5" spans="11:11">
      <c r="K238" s="434"/>
    </row>
  </sheetData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7"/>
  <sheetViews>
    <sheetView zoomScaleSheetLayoutView="50" workbookViewId="0">
      <pane xSplit="3" ySplit="7" topLeftCell="D15" activePane="bottomRight" state="frozen"/>
      <selection/>
      <selection pane="topRight"/>
      <selection pane="bottomLeft"/>
      <selection pane="bottomRight" activeCell="G93" sqref="G93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2.7090909090909" style="1" customWidth="1"/>
    <col min="5" max="5" width="18.7090909090909" style="1" customWidth="1"/>
    <col min="6" max="6" width="16.1363636363636" style="1" customWidth="1"/>
    <col min="7" max="7" width="18.1363636363636" style="1" customWidth="1"/>
    <col min="8" max="16384" width="9.13636363636364" style="1"/>
  </cols>
  <sheetData>
    <row r="1" ht="27" customHeight="1" spans="1:5">
      <c r="A1" s="370" t="s">
        <v>0</v>
      </c>
      <c r="B1" s="370"/>
      <c r="C1" s="370"/>
      <c r="D1" s="370"/>
      <c r="E1" s="370"/>
    </row>
    <row r="2" ht="33.75" customHeight="1" spans="1:5">
      <c r="A2" s="236" t="s">
        <v>1006</v>
      </c>
      <c r="B2" s="77"/>
      <c r="C2" s="77"/>
      <c r="D2" s="76"/>
      <c r="E2" s="78"/>
    </row>
    <row r="3" ht="9.75" customHeight="1"/>
    <row r="4" ht="49.5" customHeight="1" spans="1:7">
      <c r="A4" s="4"/>
      <c r="B4" s="5" t="s">
        <v>2</v>
      </c>
      <c r="C4" s="6" t="s">
        <v>3</v>
      </c>
      <c r="D4" s="79" t="s">
        <v>4</v>
      </c>
      <c r="E4" s="80" t="s">
        <v>500</v>
      </c>
      <c r="F4" s="80" t="s">
        <v>1007</v>
      </c>
      <c r="G4" s="80" t="s">
        <v>1008</v>
      </c>
    </row>
    <row r="5" ht="17.25" customHeight="1" spans="3:7">
      <c r="C5" s="81"/>
      <c r="D5" s="8"/>
      <c r="E5" s="82" t="s">
        <v>19</v>
      </c>
      <c r="F5" s="82" t="s">
        <v>19</v>
      </c>
      <c r="G5" s="82" t="s">
        <v>19</v>
      </c>
    </row>
    <row r="6" customHeight="1" spans="1:7">
      <c r="A6" s="9" t="s">
        <v>20</v>
      </c>
      <c r="B6" s="8" t="s">
        <v>21</v>
      </c>
      <c r="C6" s="8"/>
      <c r="D6" s="8"/>
      <c r="E6" s="82"/>
      <c r="F6" s="21"/>
      <c r="G6" s="82"/>
    </row>
    <row r="7" customHeight="1" spans="1:7">
      <c r="A7" s="10">
        <v>1</v>
      </c>
      <c r="B7" s="11" t="s">
        <v>22</v>
      </c>
      <c r="C7" s="12" t="s">
        <v>23</v>
      </c>
      <c r="D7" s="12" t="s">
        <v>24</v>
      </c>
      <c r="E7" s="84">
        <v>2000000</v>
      </c>
      <c r="F7" s="84"/>
      <c r="G7" s="84">
        <f>E7</f>
        <v>2000000</v>
      </c>
    </row>
    <row r="8" customHeight="1" spans="1:7">
      <c r="A8" s="10">
        <v>2</v>
      </c>
      <c r="B8" s="11" t="s">
        <v>25</v>
      </c>
      <c r="C8" s="12" t="s">
        <v>26</v>
      </c>
      <c r="D8" s="10" t="s">
        <v>27</v>
      </c>
      <c r="E8" s="84">
        <v>350000</v>
      </c>
      <c r="F8" s="84"/>
      <c r="G8" s="84">
        <f t="shared" ref="G8:G16" si="0">E8</f>
        <v>350000</v>
      </c>
    </row>
    <row r="9" customHeight="1" spans="1:7">
      <c r="A9" s="10">
        <v>3</v>
      </c>
      <c r="B9" s="14" t="s">
        <v>28</v>
      </c>
      <c r="C9" s="4" t="s">
        <v>29</v>
      </c>
      <c r="D9" s="10" t="s">
        <v>27</v>
      </c>
      <c r="E9" s="84">
        <v>700000</v>
      </c>
      <c r="F9" s="84"/>
      <c r="G9" s="84">
        <f t="shared" si="0"/>
        <v>700000</v>
      </c>
    </row>
    <row r="10" customHeight="1" spans="1:7">
      <c r="A10" s="10">
        <v>4</v>
      </c>
      <c r="B10" s="11" t="s">
        <v>30</v>
      </c>
      <c r="C10" s="17" t="s">
        <v>31</v>
      </c>
      <c r="D10" s="10" t="s">
        <v>27</v>
      </c>
      <c r="E10" s="84">
        <v>700000</v>
      </c>
      <c r="F10" s="84"/>
      <c r="G10" s="84">
        <f t="shared" si="0"/>
        <v>700000</v>
      </c>
    </row>
    <row r="11" customHeight="1" spans="1:7">
      <c r="A11" s="10">
        <v>5</v>
      </c>
      <c r="B11" s="14" t="s">
        <v>32</v>
      </c>
      <c r="C11" s="4" t="s">
        <v>33</v>
      </c>
      <c r="D11" s="10" t="s">
        <v>27</v>
      </c>
      <c r="E11" s="84">
        <v>700000</v>
      </c>
      <c r="F11" s="84"/>
      <c r="G11" s="84">
        <f t="shared" si="0"/>
        <v>700000</v>
      </c>
    </row>
    <row r="12" customHeight="1" spans="1:7">
      <c r="A12" s="10">
        <v>6</v>
      </c>
      <c r="B12" s="18" t="s">
        <v>576</v>
      </c>
      <c r="C12" s="10" t="s">
        <v>577</v>
      </c>
      <c r="D12" s="10" t="s">
        <v>27</v>
      </c>
      <c r="E12" s="84">
        <v>700000</v>
      </c>
      <c r="F12" s="84"/>
      <c r="G12" s="84">
        <f t="shared" si="0"/>
        <v>700000</v>
      </c>
    </row>
    <row r="13" customHeight="1" spans="1:7">
      <c r="A13" s="10">
        <v>7</v>
      </c>
      <c r="B13" s="11" t="s">
        <v>34</v>
      </c>
      <c r="C13" s="12" t="s">
        <v>35</v>
      </c>
      <c r="D13" s="15" t="s">
        <v>36</v>
      </c>
      <c r="E13" s="84">
        <v>700000</v>
      </c>
      <c r="F13" s="84"/>
      <c r="G13" s="84">
        <f t="shared" si="0"/>
        <v>700000</v>
      </c>
    </row>
    <row r="14" customHeight="1" spans="1:7">
      <c r="A14" s="10">
        <v>8</v>
      </c>
      <c r="B14" s="11" t="s">
        <v>37</v>
      </c>
      <c r="C14" s="4" t="s">
        <v>38</v>
      </c>
      <c r="D14" s="10" t="s">
        <v>39</v>
      </c>
      <c r="E14" s="84">
        <v>700000</v>
      </c>
      <c r="F14" s="84"/>
      <c r="G14" s="84">
        <f t="shared" si="0"/>
        <v>700000</v>
      </c>
    </row>
    <row r="15" customHeight="1" spans="1:7">
      <c r="A15" s="10">
        <v>9</v>
      </c>
      <c r="B15" s="11" t="s">
        <v>40</v>
      </c>
      <c r="C15" s="4" t="s">
        <v>41</v>
      </c>
      <c r="D15" s="15" t="s">
        <v>42</v>
      </c>
      <c r="E15" s="84">
        <v>500000</v>
      </c>
      <c r="F15" s="84"/>
      <c r="G15" s="84">
        <f t="shared" si="0"/>
        <v>500000</v>
      </c>
    </row>
    <row r="16" customHeight="1" spans="1:7">
      <c r="A16" s="10">
        <v>10</v>
      </c>
      <c r="B16" s="14" t="s">
        <v>43</v>
      </c>
      <c r="C16" s="17" t="s">
        <v>133</v>
      </c>
      <c r="D16" s="15" t="s">
        <v>222</v>
      </c>
      <c r="E16" s="84">
        <v>500000</v>
      </c>
      <c r="F16" s="84"/>
      <c r="G16" s="84">
        <f t="shared" si="0"/>
        <v>500000</v>
      </c>
    </row>
    <row r="17" customHeight="1" spans="1:7">
      <c r="A17" s="10">
        <v>11</v>
      </c>
      <c r="B17" s="11" t="s">
        <v>48</v>
      </c>
      <c r="C17" s="4" t="s">
        <v>579</v>
      </c>
      <c r="D17" s="10" t="s">
        <v>192</v>
      </c>
      <c r="E17" s="84">
        <v>500000</v>
      </c>
      <c r="F17" s="84">
        <f>E17</f>
        <v>500000</v>
      </c>
      <c r="G17" s="84"/>
    </row>
    <row r="18" customHeight="1" spans="1:7">
      <c r="A18" s="10">
        <v>12</v>
      </c>
      <c r="B18" s="11" t="s">
        <v>50</v>
      </c>
      <c r="C18" s="12" t="s">
        <v>51</v>
      </c>
      <c r="D18" s="15" t="s">
        <v>52</v>
      </c>
      <c r="E18" s="84">
        <v>500000</v>
      </c>
      <c r="F18" s="84">
        <f t="shared" ref="F18:F30" si="1">E18</f>
        <v>500000</v>
      </c>
      <c r="G18" s="84"/>
    </row>
    <row r="19" customHeight="1" spans="1:7">
      <c r="A19" s="10">
        <v>13</v>
      </c>
      <c r="B19" s="18" t="s">
        <v>53</v>
      </c>
      <c r="C19" s="4" t="s">
        <v>54</v>
      </c>
      <c r="D19" s="15" t="s">
        <v>55</v>
      </c>
      <c r="E19" s="84">
        <v>500000</v>
      </c>
      <c r="F19" s="84">
        <f t="shared" si="1"/>
        <v>500000</v>
      </c>
      <c r="G19" s="84"/>
    </row>
    <row r="20" ht="18.75" customHeight="1" spans="1:7">
      <c r="A20" s="10">
        <v>14</v>
      </c>
      <c r="B20" s="11" t="s">
        <v>60</v>
      </c>
      <c r="C20" s="12" t="s">
        <v>61</v>
      </c>
      <c r="D20" s="15" t="s">
        <v>62</v>
      </c>
      <c r="E20" s="84">
        <v>400000</v>
      </c>
      <c r="F20" s="84">
        <f t="shared" si="1"/>
        <v>400000</v>
      </c>
      <c r="G20" s="84"/>
    </row>
    <row r="21" customHeight="1" spans="1:7">
      <c r="A21" s="10">
        <v>15</v>
      </c>
      <c r="B21" s="14" t="s">
        <v>63</v>
      </c>
      <c r="C21" s="17" t="s">
        <v>64</v>
      </c>
      <c r="D21" s="10" t="s">
        <v>65</v>
      </c>
      <c r="E21" s="84">
        <v>400000</v>
      </c>
      <c r="F21" s="84">
        <f t="shared" si="1"/>
        <v>400000</v>
      </c>
      <c r="G21" s="84"/>
    </row>
    <row r="22" customHeight="1" spans="1:7">
      <c r="A22" s="10">
        <v>16</v>
      </c>
      <c r="B22" s="14" t="s">
        <v>68</v>
      </c>
      <c r="C22" s="17" t="s">
        <v>69</v>
      </c>
      <c r="D22" s="10" t="s">
        <v>70</v>
      </c>
      <c r="E22" s="84">
        <v>300000</v>
      </c>
      <c r="F22" s="84">
        <f t="shared" si="1"/>
        <v>300000</v>
      </c>
      <c r="G22" s="84"/>
    </row>
    <row r="23" ht="18.75" customHeight="1" spans="1:7">
      <c r="A23" s="10">
        <v>17</v>
      </c>
      <c r="B23" s="4" t="s">
        <v>73</v>
      </c>
      <c r="C23" s="4" t="s">
        <v>74</v>
      </c>
      <c r="D23" s="10" t="s">
        <v>75</v>
      </c>
      <c r="E23" s="84">
        <v>300000</v>
      </c>
      <c r="F23" s="84">
        <f t="shared" si="1"/>
        <v>300000</v>
      </c>
      <c r="G23" s="84"/>
    </row>
    <row r="24" ht="18.75" customHeight="1" spans="1:7">
      <c r="A24" s="10">
        <v>18</v>
      </c>
      <c r="B24" s="18" t="s">
        <v>76</v>
      </c>
      <c r="C24" s="12" t="s">
        <v>74</v>
      </c>
      <c r="D24" s="15" t="s">
        <v>75</v>
      </c>
      <c r="E24" s="84">
        <v>300000</v>
      </c>
      <c r="F24" s="84">
        <f t="shared" si="1"/>
        <v>300000</v>
      </c>
      <c r="G24" s="84"/>
    </row>
    <row r="25" ht="18.75" customHeight="1" spans="1:7">
      <c r="A25" s="10">
        <v>19</v>
      </c>
      <c r="B25" s="18" t="s">
        <v>78</v>
      </c>
      <c r="C25" s="12" t="s">
        <v>79</v>
      </c>
      <c r="D25" s="15" t="s">
        <v>80</v>
      </c>
      <c r="E25" s="84">
        <v>300000</v>
      </c>
      <c r="F25" s="84">
        <f t="shared" si="1"/>
        <v>300000</v>
      </c>
      <c r="G25" s="84"/>
    </row>
    <row r="26" ht="18.75" customHeight="1" spans="1:7">
      <c r="A26" s="10">
        <v>20</v>
      </c>
      <c r="B26" s="18" t="s">
        <v>81</v>
      </c>
      <c r="C26" s="4" t="s">
        <v>82</v>
      </c>
      <c r="D26" s="10" t="s">
        <v>83</v>
      </c>
      <c r="E26" s="84">
        <v>300000</v>
      </c>
      <c r="F26" s="84">
        <f t="shared" si="1"/>
        <v>300000</v>
      </c>
      <c r="G26" s="84"/>
    </row>
    <row r="27" ht="18.75" customHeight="1" spans="1:7">
      <c r="A27" s="10">
        <v>21</v>
      </c>
      <c r="B27" s="18" t="s">
        <v>85</v>
      </c>
      <c r="C27" s="17" t="s">
        <v>86</v>
      </c>
      <c r="D27" s="15" t="s">
        <v>80</v>
      </c>
      <c r="E27" s="84">
        <v>300000</v>
      </c>
      <c r="F27" s="84">
        <f t="shared" si="1"/>
        <v>300000</v>
      </c>
      <c r="G27" s="84"/>
    </row>
    <row r="28" ht="18.75" customHeight="1" spans="1:7">
      <c r="A28" s="10">
        <v>22</v>
      </c>
      <c r="B28" s="18" t="s">
        <v>88</v>
      </c>
      <c r="C28" s="4" t="s">
        <v>89</v>
      </c>
      <c r="D28" s="10" t="s">
        <v>171</v>
      </c>
      <c r="E28" s="84">
        <v>300000</v>
      </c>
      <c r="F28" s="84">
        <f t="shared" si="1"/>
        <v>300000</v>
      </c>
      <c r="G28" s="84"/>
    </row>
    <row r="29" ht="18.75" customHeight="1" spans="1:7">
      <c r="A29" s="10">
        <v>23</v>
      </c>
      <c r="B29" s="18" t="s">
        <v>1009</v>
      </c>
      <c r="C29" s="12" t="s">
        <v>91</v>
      </c>
      <c r="D29" s="10" t="s">
        <v>171</v>
      </c>
      <c r="E29" s="84">
        <v>300000</v>
      </c>
      <c r="F29" s="84">
        <f t="shared" si="1"/>
        <v>300000</v>
      </c>
      <c r="G29" s="84"/>
    </row>
    <row r="30" ht="18.75" customHeight="1" spans="1:7">
      <c r="A30" s="10">
        <v>24</v>
      </c>
      <c r="B30" s="18" t="s">
        <v>90</v>
      </c>
      <c r="C30" s="12" t="s">
        <v>91</v>
      </c>
      <c r="D30" s="15" t="s">
        <v>92</v>
      </c>
      <c r="E30" s="84">
        <v>300000</v>
      </c>
      <c r="F30" s="84">
        <f t="shared" si="1"/>
        <v>300000</v>
      </c>
      <c r="G30" s="84"/>
    </row>
    <row r="31" ht="26.25" customHeight="1" spans="1:7">
      <c r="A31" s="10"/>
      <c r="B31" s="20" t="s">
        <v>96</v>
      </c>
      <c r="C31" s="21">
        <v>24</v>
      </c>
      <c r="D31" s="15"/>
      <c r="E31" s="89">
        <f>SUM(E7:E30)</f>
        <v>12550000</v>
      </c>
      <c r="F31" s="89">
        <f>SUM(F7:F30)</f>
        <v>5000000</v>
      </c>
      <c r="G31" s="89">
        <f>SUM(G7:G30)</f>
        <v>7550000</v>
      </c>
    </row>
    <row r="32" ht="18.75" customHeight="1" spans="1:7">
      <c r="A32" s="10"/>
      <c r="B32" s="22"/>
      <c r="C32" s="4"/>
      <c r="D32" s="15"/>
      <c r="E32" s="84"/>
      <c r="F32" s="89"/>
      <c r="G32" s="89"/>
    </row>
    <row r="33" ht="18.75" customHeight="1" spans="1:7">
      <c r="A33" s="10"/>
      <c r="B33" s="20" t="s">
        <v>97</v>
      </c>
      <c r="C33" s="4"/>
      <c r="D33" s="15"/>
      <c r="E33" s="84"/>
      <c r="F33" s="84"/>
      <c r="G33" s="84"/>
    </row>
    <row r="34" ht="18.75" customHeight="1" spans="1:7">
      <c r="A34" s="10">
        <v>1</v>
      </c>
      <c r="B34" s="18" t="s">
        <v>98</v>
      </c>
      <c r="C34" s="4" t="s">
        <v>99</v>
      </c>
      <c r="D34" s="10" t="s">
        <v>100</v>
      </c>
      <c r="E34" s="84">
        <v>1000000</v>
      </c>
      <c r="F34" s="84"/>
      <c r="G34" s="84">
        <f>E34</f>
        <v>1000000</v>
      </c>
    </row>
    <row r="35" ht="18.75" customHeight="1" spans="1:7">
      <c r="A35" s="10">
        <v>2</v>
      </c>
      <c r="B35" s="18" t="s">
        <v>101</v>
      </c>
      <c r="C35" s="4" t="s">
        <v>615</v>
      </c>
      <c r="D35" s="10" t="s">
        <v>92</v>
      </c>
      <c r="E35" s="84">
        <v>300000</v>
      </c>
      <c r="F35" s="84">
        <f>E35</f>
        <v>300000</v>
      </c>
      <c r="G35" s="84"/>
    </row>
    <row r="36" ht="18.75" customHeight="1" spans="1:7">
      <c r="A36" s="10">
        <v>3</v>
      </c>
      <c r="B36" s="11" t="s">
        <v>103</v>
      </c>
      <c r="C36" s="12" t="s">
        <v>612</v>
      </c>
      <c r="D36" s="15" t="s">
        <v>104</v>
      </c>
      <c r="E36" s="84">
        <v>300000</v>
      </c>
      <c r="F36" s="84">
        <f>E36</f>
        <v>300000</v>
      </c>
      <c r="G36" s="84"/>
    </row>
    <row r="37" ht="19.5" customHeight="1" spans="1:7">
      <c r="A37" s="10"/>
      <c r="B37" s="14"/>
      <c r="C37" s="21">
        <v>3</v>
      </c>
      <c r="D37" s="10"/>
      <c r="E37" s="89">
        <f>SUM(E34:E36)</f>
        <v>1600000</v>
      </c>
      <c r="F37" s="89">
        <f t="shared" ref="F37:G37" si="2">SUM(F34:F36)</f>
        <v>600000</v>
      </c>
      <c r="G37" s="89">
        <f t="shared" si="2"/>
        <v>1000000</v>
      </c>
    </row>
    <row r="38" customHeight="1" spans="1:7">
      <c r="A38" s="10"/>
      <c r="B38" s="14"/>
      <c r="C38" s="4"/>
      <c r="D38" s="10"/>
      <c r="E38" s="84"/>
      <c r="F38" s="89"/>
      <c r="G38" s="89"/>
    </row>
    <row r="39" customHeight="1" spans="1:7">
      <c r="A39" s="10"/>
      <c r="B39" s="23" t="s">
        <v>107</v>
      </c>
      <c r="C39" s="5"/>
      <c r="D39" s="24"/>
      <c r="E39" s="84"/>
      <c r="F39" s="89"/>
      <c r="G39" s="89"/>
    </row>
    <row r="40" customHeight="1" spans="1:7">
      <c r="A40" s="10">
        <v>1</v>
      </c>
      <c r="B40" s="11" t="s">
        <v>501</v>
      </c>
      <c r="C40" s="4" t="s">
        <v>502</v>
      </c>
      <c r="D40" s="10" t="s">
        <v>100</v>
      </c>
      <c r="E40" s="84">
        <v>1000000</v>
      </c>
      <c r="F40" s="84"/>
      <c r="G40" s="84">
        <f>E40</f>
        <v>1000000</v>
      </c>
    </row>
    <row r="41" customHeight="1" spans="1:7">
      <c r="A41" s="10">
        <v>2</v>
      </c>
      <c r="B41" s="11" t="s">
        <v>491</v>
      </c>
      <c r="C41" s="4" t="s">
        <v>44</v>
      </c>
      <c r="D41" s="10" t="s">
        <v>36</v>
      </c>
      <c r="E41" s="84">
        <v>700000</v>
      </c>
      <c r="F41" s="84"/>
      <c r="G41" s="84">
        <f t="shared" ref="G41:G47" si="3">E41</f>
        <v>700000</v>
      </c>
    </row>
    <row r="42" customHeight="1" spans="1:7">
      <c r="A42" s="10">
        <v>3</v>
      </c>
      <c r="B42" s="11" t="s">
        <v>108</v>
      </c>
      <c r="C42" s="4" t="s">
        <v>109</v>
      </c>
      <c r="D42" s="10" t="s">
        <v>110</v>
      </c>
      <c r="E42" s="84">
        <v>700000</v>
      </c>
      <c r="F42" s="84"/>
      <c r="G42" s="84">
        <f t="shared" si="3"/>
        <v>700000</v>
      </c>
    </row>
    <row r="43" customHeight="1" spans="1:7">
      <c r="A43" s="10">
        <v>4</v>
      </c>
      <c r="B43" s="11" t="s">
        <v>111</v>
      </c>
      <c r="C43" s="4" t="s">
        <v>112</v>
      </c>
      <c r="D43" s="10" t="s">
        <v>36</v>
      </c>
      <c r="E43" s="84">
        <v>700000</v>
      </c>
      <c r="F43" s="84"/>
      <c r="G43" s="84">
        <f t="shared" si="3"/>
        <v>700000</v>
      </c>
    </row>
    <row r="44" customHeight="1" spans="1:7">
      <c r="A44" s="10">
        <v>5</v>
      </c>
      <c r="B44" s="11" t="s">
        <v>113</v>
      </c>
      <c r="C44" s="4" t="s">
        <v>112</v>
      </c>
      <c r="D44" s="10" t="s">
        <v>36</v>
      </c>
      <c r="E44" s="84">
        <v>700000</v>
      </c>
      <c r="F44" s="84"/>
      <c r="G44" s="84">
        <f t="shared" si="3"/>
        <v>700000</v>
      </c>
    </row>
    <row r="45" customHeight="1" spans="1:7">
      <c r="A45" s="10">
        <v>6</v>
      </c>
      <c r="B45" s="11" t="s">
        <v>114</v>
      </c>
      <c r="C45" s="4" t="s">
        <v>112</v>
      </c>
      <c r="D45" s="10" t="s">
        <v>39</v>
      </c>
      <c r="E45" s="84">
        <v>700000</v>
      </c>
      <c r="F45" s="84"/>
      <c r="G45" s="84">
        <f t="shared" si="3"/>
        <v>700000</v>
      </c>
    </row>
    <row r="46" customHeight="1" spans="1:7">
      <c r="A46" s="10">
        <v>7</v>
      </c>
      <c r="B46" s="14" t="s">
        <v>115</v>
      </c>
      <c r="C46" s="4" t="s">
        <v>133</v>
      </c>
      <c r="D46" s="16" t="s">
        <v>222</v>
      </c>
      <c r="E46" s="84">
        <v>500000</v>
      </c>
      <c r="F46" s="84"/>
      <c r="G46" s="84">
        <f t="shared" si="3"/>
        <v>500000</v>
      </c>
    </row>
    <row r="47" customHeight="1" spans="1:7">
      <c r="A47" s="10">
        <v>8</v>
      </c>
      <c r="B47" s="11" t="s">
        <v>45</v>
      </c>
      <c r="C47" s="4" t="s">
        <v>46</v>
      </c>
      <c r="D47" s="10" t="s">
        <v>47</v>
      </c>
      <c r="E47" s="84">
        <v>500000</v>
      </c>
      <c r="F47" s="84"/>
      <c r="G47" s="84">
        <f t="shared" si="3"/>
        <v>500000</v>
      </c>
    </row>
    <row r="48" customHeight="1" spans="1:7">
      <c r="A48" s="10">
        <v>9</v>
      </c>
      <c r="B48" s="11" t="s">
        <v>116</v>
      </c>
      <c r="C48" s="4" t="s">
        <v>117</v>
      </c>
      <c r="D48" s="10" t="s">
        <v>104</v>
      </c>
      <c r="E48" s="84">
        <v>300000</v>
      </c>
      <c r="F48" s="84">
        <f>E48</f>
        <v>300000</v>
      </c>
      <c r="G48" s="84"/>
    </row>
    <row r="49" customHeight="1" spans="1:7">
      <c r="A49" s="10">
        <v>10</v>
      </c>
      <c r="B49" s="11" t="s">
        <v>118</v>
      </c>
      <c r="C49" s="4" t="s">
        <v>117</v>
      </c>
      <c r="D49" s="10" t="s">
        <v>80</v>
      </c>
      <c r="E49" s="84">
        <v>300000</v>
      </c>
      <c r="F49" s="84">
        <f t="shared" ref="F49:F51" si="4">E49</f>
        <v>300000</v>
      </c>
      <c r="G49" s="84"/>
    </row>
    <row r="50" customHeight="1" spans="1:7">
      <c r="A50" s="10">
        <v>11</v>
      </c>
      <c r="B50" s="11" t="s">
        <v>580</v>
      </c>
      <c r="C50" s="4" t="s">
        <v>117</v>
      </c>
      <c r="D50" s="10" t="s">
        <v>80</v>
      </c>
      <c r="E50" s="84">
        <v>300000</v>
      </c>
      <c r="F50" s="84">
        <f t="shared" si="4"/>
        <v>300000</v>
      </c>
      <c r="G50" s="84"/>
    </row>
    <row r="51" customHeight="1" spans="1:7">
      <c r="A51" s="10">
        <v>12</v>
      </c>
      <c r="B51" s="11" t="s">
        <v>119</v>
      </c>
      <c r="C51" s="4" t="s">
        <v>117</v>
      </c>
      <c r="D51" s="10" t="s">
        <v>80</v>
      </c>
      <c r="E51" s="84">
        <v>300000</v>
      </c>
      <c r="F51" s="84">
        <f t="shared" si="4"/>
        <v>300000</v>
      </c>
      <c r="G51" s="84"/>
    </row>
    <row r="52" ht="25.5" customHeight="1" spans="1:7">
      <c r="A52" s="10"/>
      <c r="B52" s="20" t="s">
        <v>96</v>
      </c>
      <c r="C52" s="21">
        <v>12</v>
      </c>
      <c r="D52" s="21"/>
      <c r="E52" s="89">
        <f>SUM(E40:E51)</f>
        <v>6700000</v>
      </c>
      <c r="F52" s="91">
        <f t="shared" ref="F52:G52" si="5">SUM(F40:F51)</f>
        <v>1200000</v>
      </c>
      <c r="G52" s="91">
        <f t="shared" si="5"/>
        <v>5500000</v>
      </c>
    </row>
    <row r="53" customHeight="1" spans="1:7">
      <c r="A53" s="10"/>
      <c r="B53" s="22"/>
      <c r="C53" s="21"/>
      <c r="D53" s="21"/>
      <c r="E53" s="84"/>
      <c r="F53" s="92"/>
      <c r="G53" s="92"/>
    </row>
    <row r="54" customHeight="1" spans="1:7">
      <c r="A54" s="10"/>
      <c r="B54" s="20" t="s">
        <v>120</v>
      </c>
      <c r="C54" s="21"/>
      <c r="D54" s="21"/>
      <c r="E54" s="84"/>
      <c r="F54" s="92"/>
      <c r="G54" s="92"/>
    </row>
    <row r="55" customHeight="1" spans="1:7">
      <c r="A55" s="10">
        <v>1</v>
      </c>
      <c r="B55" s="11" t="s">
        <v>503</v>
      </c>
      <c r="C55" s="12" t="s">
        <v>122</v>
      </c>
      <c r="D55" s="15" t="s">
        <v>100</v>
      </c>
      <c r="E55" s="84">
        <v>500000</v>
      </c>
      <c r="F55" s="84"/>
      <c r="G55" s="84">
        <f>E55</f>
        <v>500000</v>
      </c>
    </row>
    <row r="56" customHeight="1" spans="1:7">
      <c r="A56" s="10">
        <v>2</v>
      </c>
      <c r="B56" s="11" t="s">
        <v>123</v>
      </c>
      <c r="C56" s="12" t="s">
        <v>124</v>
      </c>
      <c r="D56" s="15" t="s">
        <v>125</v>
      </c>
      <c r="E56" s="84">
        <v>700000</v>
      </c>
      <c r="F56" s="84"/>
      <c r="G56" s="84">
        <f>E56</f>
        <v>700000</v>
      </c>
    </row>
    <row r="57" customHeight="1" spans="1:7">
      <c r="A57" s="10"/>
      <c r="B57" s="20" t="s">
        <v>96</v>
      </c>
      <c r="C57" s="21">
        <v>2</v>
      </c>
      <c r="D57" s="21"/>
      <c r="E57" s="84">
        <f>SUM(E55:E56)</f>
        <v>1200000</v>
      </c>
      <c r="F57" s="91"/>
      <c r="G57" s="91">
        <f>SUM(G55:G56)</f>
        <v>1200000</v>
      </c>
    </row>
    <row r="58" customHeight="1" spans="1:7">
      <c r="A58" s="10"/>
      <c r="B58" s="20"/>
      <c r="C58" s="21"/>
      <c r="D58" s="21"/>
      <c r="E58" s="84"/>
      <c r="F58" s="92"/>
      <c r="G58" s="92"/>
    </row>
    <row r="59" customHeight="1" spans="1:7">
      <c r="A59" s="10"/>
      <c r="B59" s="20" t="s">
        <v>126</v>
      </c>
      <c r="C59" s="21"/>
      <c r="D59" s="21"/>
      <c r="E59" s="84"/>
      <c r="F59" s="92"/>
      <c r="G59" s="92"/>
    </row>
    <row r="60" customHeight="1" spans="1:7">
      <c r="A60" s="10">
        <v>1</v>
      </c>
      <c r="B60" s="11" t="s">
        <v>127</v>
      </c>
      <c r="C60" s="17" t="s">
        <v>128</v>
      </c>
      <c r="D60" s="10" t="s">
        <v>100</v>
      </c>
      <c r="E60" s="84">
        <v>500000</v>
      </c>
      <c r="F60" s="84"/>
      <c r="G60" s="84">
        <f>E60</f>
        <v>500000</v>
      </c>
    </row>
    <row r="61" customHeight="1" spans="1:7">
      <c r="A61" s="10">
        <v>2</v>
      </c>
      <c r="B61" s="351" t="s">
        <v>129</v>
      </c>
      <c r="C61" s="17" t="s">
        <v>130</v>
      </c>
      <c r="D61" s="15" t="s">
        <v>131</v>
      </c>
      <c r="E61" s="84">
        <v>350000</v>
      </c>
      <c r="F61" s="84"/>
      <c r="G61" s="84">
        <f t="shared" ref="G61:G62" si="6">E61</f>
        <v>350000</v>
      </c>
    </row>
    <row r="62" customHeight="1" spans="1:7">
      <c r="A62" s="10">
        <v>3</v>
      </c>
      <c r="B62" s="11" t="s">
        <v>132</v>
      </c>
      <c r="C62" s="4" t="s">
        <v>133</v>
      </c>
      <c r="D62" s="10" t="s">
        <v>47</v>
      </c>
      <c r="E62" s="84">
        <v>500000</v>
      </c>
      <c r="F62" s="84"/>
      <c r="G62" s="84">
        <f t="shared" si="6"/>
        <v>500000</v>
      </c>
    </row>
    <row r="63" customHeight="1" spans="1:7">
      <c r="A63" s="10">
        <v>4</v>
      </c>
      <c r="B63" s="18" t="s">
        <v>486</v>
      </c>
      <c r="C63" s="17" t="s">
        <v>165</v>
      </c>
      <c r="D63" s="15" t="s">
        <v>52</v>
      </c>
      <c r="E63" s="84">
        <v>500000</v>
      </c>
      <c r="F63" s="84">
        <f>E63</f>
        <v>500000</v>
      </c>
      <c r="G63" s="84"/>
    </row>
    <row r="64" customHeight="1" spans="1:7">
      <c r="A64" s="10">
        <v>5</v>
      </c>
      <c r="B64" s="14" t="s">
        <v>519</v>
      </c>
      <c r="C64" s="17" t="s">
        <v>133</v>
      </c>
      <c r="D64" s="15" t="s">
        <v>42</v>
      </c>
      <c r="E64" s="84">
        <v>500000</v>
      </c>
      <c r="F64" s="84"/>
      <c r="G64" s="84">
        <f>E64</f>
        <v>500000</v>
      </c>
    </row>
    <row r="65" customHeight="1" spans="1:7">
      <c r="A65" s="10">
        <v>7</v>
      </c>
      <c r="B65" s="11" t="s">
        <v>134</v>
      </c>
      <c r="C65" s="4" t="s">
        <v>117</v>
      </c>
      <c r="D65" s="10" t="s">
        <v>135</v>
      </c>
      <c r="E65" s="84">
        <v>400000</v>
      </c>
      <c r="F65" s="84">
        <f>E65</f>
        <v>400000</v>
      </c>
      <c r="G65" s="84"/>
    </row>
    <row r="66" customHeight="1" spans="1:7">
      <c r="A66" s="10">
        <v>8</v>
      </c>
      <c r="B66" s="11" t="s">
        <v>136</v>
      </c>
      <c r="C66" s="17" t="s">
        <v>67</v>
      </c>
      <c r="D66" s="10" t="s">
        <v>135</v>
      </c>
      <c r="E66" s="84">
        <v>400000</v>
      </c>
      <c r="F66" s="84">
        <f t="shared" ref="F66:F70" si="7">E66</f>
        <v>400000</v>
      </c>
      <c r="G66" s="84"/>
    </row>
    <row r="67" customHeight="1" spans="1:7">
      <c r="A67" s="10">
        <v>9</v>
      </c>
      <c r="B67" s="11" t="s">
        <v>137</v>
      </c>
      <c r="C67" s="17" t="s">
        <v>67</v>
      </c>
      <c r="D67" s="10" t="s">
        <v>135</v>
      </c>
      <c r="E67" s="84">
        <v>400000</v>
      </c>
      <c r="F67" s="84">
        <f t="shared" si="7"/>
        <v>400000</v>
      </c>
      <c r="G67" s="84"/>
    </row>
    <row r="68" customHeight="1" spans="1:7">
      <c r="A68" s="10">
        <v>10</v>
      </c>
      <c r="B68" s="11" t="s">
        <v>138</v>
      </c>
      <c r="C68" s="4" t="s">
        <v>139</v>
      </c>
      <c r="D68" s="10" t="s">
        <v>62</v>
      </c>
      <c r="E68" s="84">
        <v>400000</v>
      </c>
      <c r="F68" s="84">
        <f t="shared" si="7"/>
        <v>400000</v>
      </c>
      <c r="G68" s="84"/>
    </row>
    <row r="69" ht="21.6" customHeight="1" spans="1:7">
      <c r="A69" s="10">
        <v>11</v>
      </c>
      <c r="B69" s="11" t="s">
        <v>140</v>
      </c>
      <c r="C69" s="4" t="s">
        <v>117</v>
      </c>
      <c r="D69" s="10" t="s">
        <v>104</v>
      </c>
      <c r="E69" s="84">
        <v>300000</v>
      </c>
      <c r="F69" s="84">
        <f t="shared" si="7"/>
        <v>300000</v>
      </c>
      <c r="G69" s="84"/>
    </row>
    <row r="70" customHeight="1" spans="1:7">
      <c r="A70" s="10">
        <v>12</v>
      </c>
      <c r="B70" s="11" t="s">
        <v>77</v>
      </c>
      <c r="C70" s="17" t="s">
        <v>64</v>
      </c>
      <c r="D70" s="10" t="s">
        <v>75</v>
      </c>
      <c r="E70" s="84">
        <v>300000</v>
      </c>
      <c r="F70" s="84">
        <f t="shared" si="7"/>
        <v>300000</v>
      </c>
      <c r="G70" s="84"/>
    </row>
    <row r="71" ht="27" customHeight="1" spans="1:7">
      <c r="A71" s="10"/>
      <c r="B71" s="20" t="s">
        <v>96</v>
      </c>
      <c r="C71" s="21">
        <v>12</v>
      </c>
      <c r="D71" s="21"/>
      <c r="E71" s="89">
        <f>SUM(E60:E70)</f>
        <v>4550000</v>
      </c>
      <c r="F71" s="91">
        <f t="shared" ref="F71:G71" si="8">SUM(F60:F70)</f>
        <v>2700000</v>
      </c>
      <c r="G71" s="91">
        <f t="shared" si="8"/>
        <v>1850000</v>
      </c>
    </row>
    <row r="72" customHeight="1" spans="1:7">
      <c r="A72" s="10"/>
      <c r="B72" s="22"/>
      <c r="C72" s="21"/>
      <c r="D72" s="21"/>
      <c r="E72" s="84"/>
      <c r="F72" s="92"/>
      <c r="G72" s="92"/>
    </row>
    <row r="73" customHeight="1" spans="1:7">
      <c r="A73" s="10"/>
      <c r="B73" s="20" t="s">
        <v>141</v>
      </c>
      <c r="C73" s="21"/>
      <c r="D73" s="21"/>
      <c r="E73" s="84"/>
      <c r="F73" s="92"/>
      <c r="G73" s="92"/>
    </row>
    <row r="74" customHeight="1" spans="1:7">
      <c r="A74" s="10">
        <v>1</v>
      </c>
      <c r="B74" s="11" t="s">
        <v>142</v>
      </c>
      <c r="C74" s="4" t="s">
        <v>143</v>
      </c>
      <c r="D74" s="10" t="s">
        <v>100</v>
      </c>
      <c r="E74" s="84">
        <v>1000000</v>
      </c>
      <c r="F74" s="84"/>
      <c r="G74" s="84">
        <f>E74</f>
        <v>1000000</v>
      </c>
    </row>
    <row r="75" customHeight="1" spans="1:7">
      <c r="A75" s="10">
        <v>2</v>
      </c>
      <c r="B75" s="14" t="s">
        <v>520</v>
      </c>
      <c r="C75" s="4" t="s">
        <v>572</v>
      </c>
      <c r="D75" s="15" t="s">
        <v>573</v>
      </c>
      <c r="E75" s="84">
        <v>700000</v>
      </c>
      <c r="F75" s="84"/>
      <c r="G75" s="84">
        <f t="shared" ref="G75:G77" si="9">E75</f>
        <v>700000</v>
      </c>
    </row>
    <row r="76" customHeight="1" spans="1:7">
      <c r="A76" s="10">
        <v>3</v>
      </c>
      <c r="B76" s="18" t="s">
        <v>521</v>
      </c>
      <c r="C76" s="12" t="s">
        <v>574</v>
      </c>
      <c r="D76" s="10" t="s">
        <v>125</v>
      </c>
      <c r="E76" s="84">
        <v>700000</v>
      </c>
      <c r="F76" s="84"/>
      <c r="G76" s="84">
        <f t="shared" si="9"/>
        <v>700000</v>
      </c>
    </row>
    <row r="77" customHeight="1" spans="1:7">
      <c r="A77" s="10">
        <v>4</v>
      </c>
      <c r="B77" s="11" t="s">
        <v>146</v>
      </c>
      <c r="C77" s="4" t="s">
        <v>147</v>
      </c>
      <c r="D77" s="15" t="s">
        <v>148</v>
      </c>
      <c r="E77" s="84">
        <v>500000</v>
      </c>
      <c r="F77" s="84"/>
      <c r="G77" s="84">
        <f t="shared" si="9"/>
        <v>500000</v>
      </c>
    </row>
    <row r="78" customHeight="1" spans="1:7">
      <c r="A78" s="10">
        <v>5</v>
      </c>
      <c r="B78" s="11" t="s">
        <v>149</v>
      </c>
      <c r="C78" s="4" t="s">
        <v>152</v>
      </c>
      <c r="D78" s="10" t="s">
        <v>265</v>
      </c>
      <c r="E78" s="84">
        <v>300000</v>
      </c>
      <c r="F78" s="84">
        <f>E78</f>
        <v>300000</v>
      </c>
      <c r="G78" s="84"/>
    </row>
    <row r="79" customHeight="1" spans="1:7">
      <c r="A79" s="10">
        <v>6</v>
      </c>
      <c r="B79" s="11" t="s">
        <v>151</v>
      </c>
      <c r="C79" s="4" t="s">
        <v>152</v>
      </c>
      <c r="D79" s="10" t="s">
        <v>80</v>
      </c>
      <c r="E79" s="84">
        <v>300000</v>
      </c>
      <c r="F79" s="84">
        <f t="shared" ref="F79:F80" si="10">E79</f>
        <v>300000</v>
      </c>
      <c r="G79" s="84"/>
    </row>
    <row r="80" customHeight="1" spans="1:7">
      <c r="A80" s="10">
        <v>7</v>
      </c>
      <c r="B80" s="11" t="s">
        <v>153</v>
      </c>
      <c r="C80" s="4" t="s">
        <v>154</v>
      </c>
      <c r="D80" s="10" t="s">
        <v>92</v>
      </c>
      <c r="E80" s="84">
        <v>300000</v>
      </c>
      <c r="F80" s="84">
        <f t="shared" si="10"/>
        <v>300000</v>
      </c>
      <c r="G80" s="84"/>
    </row>
    <row r="81" customHeight="1" spans="1:7">
      <c r="A81" s="10"/>
      <c r="B81" s="20" t="s">
        <v>96</v>
      </c>
      <c r="C81" s="21">
        <v>7</v>
      </c>
      <c r="D81" s="21"/>
      <c r="E81" s="89">
        <f>SUM(E74:E80)</f>
        <v>3800000</v>
      </c>
      <c r="F81" s="91">
        <f t="shared" ref="F81:G81" si="11">SUM(F74:F80)</f>
        <v>900000</v>
      </c>
      <c r="G81" s="91">
        <f t="shared" si="11"/>
        <v>2900000</v>
      </c>
    </row>
    <row r="82" customHeight="1" spans="1:7">
      <c r="A82" s="10"/>
      <c r="B82" s="20"/>
      <c r="C82" s="21"/>
      <c r="D82" s="21"/>
      <c r="E82" s="84"/>
      <c r="F82" s="92"/>
      <c r="G82" s="92"/>
    </row>
    <row r="83" customHeight="1" spans="1:7">
      <c r="A83" s="10"/>
      <c r="B83" s="20" t="s">
        <v>155</v>
      </c>
      <c r="C83" s="25"/>
      <c r="D83" s="21"/>
      <c r="E83" s="84"/>
      <c r="F83" s="92"/>
      <c r="G83" s="92"/>
    </row>
    <row r="84" customHeight="1" spans="1:7">
      <c r="A84" s="10">
        <v>1</v>
      </c>
      <c r="B84" s="11" t="s">
        <v>156</v>
      </c>
      <c r="C84" s="4" t="s">
        <v>112</v>
      </c>
      <c r="D84" s="10" t="s">
        <v>36</v>
      </c>
      <c r="E84" s="84">
        <f>700000</f>
        <v>700000</v>
      </c>
      <c r="F84" s="84"/>
      <c r="G84" s="84">
        <f>E84</f>
        <v>700000</v>
      </c>
    </row>
    <row r="85" customHeight="1" spans="1:7">
      <c r="A85" s="10">
        <v>2</v>
      </c>
      <c r="B85" s="11" t="s">
        <v>157</v>
      </c>
      <c r="C85" s="4" t="s">
        <v>112</v>
      </c>
      <c r="D85" s="10" t="s">
        <v>36</v>
      </c>
      <c r="E85" s="84">
        <f t="shared" ref="E85:E87" si="12">700000</f>
        <v>700000</v>
      </c>
      <c r="F85" s="84"/>
      <c r="G85" s="84">
        <f t="shared" ref="G85:G87" si="13">E85</f>
        <v>700000</v>
      </c>
    </row>
    <row r="86" customHeight="1" spans="1:7">
      <c r="A86" s="10">
        <v>3</v>
      </c>
      <c r="B86" s="14" t="s">
        <v>201</v>
      </c>
      <c r="C86" s="4" t="s">
        <v>112</v>
      </c>
      <c r="D86" s="10" t="s">
        <v>131</v>
      </c>
      <c r="E86" s="84">
        <f t="shared" si="12"/>
        <v>700000</v>
      </c>
      <c r="F86" s="84"/>
      <c r="G86" s="84">
        <f t="shared" si="13"/>
        <v>700000</v>
      </c>
    </row>
    <row r="87" customHeight="1" spans="1:7">
      <c r="A87" s="10">
        <v>4</v>
      </c>
      <c r="B87" s="11" t="s">
        <v>158</v>
      </c>
      <c r="C87" s="4" t="s">
        <v>112</v>
      </c>
      <c r="D87" s="10" t="s">
        <v>39</v>
      </c>
      <c r="E87" s="84">
        <f t="shared" si="12"/>
        <v>700000</v>
      </c>
      <c r="F87" s="84"/>
      <c r="G87" s="84">
        <f t="shared" si="13"/>
        <v>700000</v>
      </c>
    </row>
    <row r="88" ht="21.6" customHeight="1" spans="1:7">
      <c r="A88" s="10">
        <v>5</v>
      </c>
      <c r="B88" s="11" t="s">
        <v>159</v>
      </c>
      <c r="C88" s="4" t="s">
        <v>483</v>
      </c>
      <c r="D88" s="15" t="s">
        <v>192</v>
      </c>
      <c r="E88" s="84">
        <v>500000</v>
      </c>
      <c r="F88" s="84">
        <f>E88</f>
        <v>500000</v>
      </c>
      <c r="G88" s="84"/>
    </row>
    <row r="89" ht="21.6" customHeight="1" spans="1:7">
      <c r="A89" s="10">
        <v>6</v>
      </c>
      <c r="B89" s="11" t="s">
        <v>160</v>
      </c>
      <c r="C89" s="12" t="s">
        <v>165</v>
      </c>
      <c r="D89" s="15" t="s">
        <v>52</v>
      </c>
      <c r="E89" s="84">
        <v>500000</v>
      </c>
      <c r="F89" s="84">
        <f>E89</f>
        <v>500000</v>
      </c>
      <c r="G89" s="84"/>
    </row>
    <row r="90" ht="21.6" customHeight="1" spans="1:7">
      <c r="A90" s="10">
        <v>7</v>
      </c>
      <c r="B90" s="11" t="s">
        <v>161</v>
      </c>
      <c r="C90" s="12" t="s">
        <v>133</v>
      </c>
      <c r="D90" s="15" t="s">
        <v>162</v>
      </c>
      <c r="E90" s="84">
        <v>250000</v>
      </c>
      <c r="F90" s="84"/>
      <c r="G90" s="84">
        <f>E90</f>
        <v>250000</v>
      </c>
    </row>
    <row r="91" ht="21.6" customHeight="1" spans="1:7">
      <c r="A91" s="10">
        <v>8</v>
      </c>
      <c r="B91" s="11" t="s">
        <v>163</v>
      </c>
      <c r="C91" s="17" t="s">
        <v>67</v>
      </c>
      <c r="D91" s="15" t="s">
        <v>135</v>
      </c>
      <c r="E91" s="84">
        <v>400000</v>
      </c>
      <c r="F91" s="84">
        <f>E91</f>
        <v>400000</v>
      </c>
      <c r="G91" s="84"/>
    </row>
    <row r="92" ht="21.6" customHeight="1" spans="1:7">
      <c r="A92" s="10">
        <v>9</v>
      </c>
      <c r="B92" s="11" t="s">
        <v>164</v>
      </c>
      <c r="C92" s="17" t="s">
        <v>67</v>
      </c>
      <c r="D92" s="15" t="s">
        <v>166</v>
      </c>
      <c r="E92" s="84">
        <v>500000</v>
      </c>
      <c r="F92" s="84">
        <f t="shared" ref="F92:F94" si="14">E92</f>
        <v>500000</v>
      </c>
      <c r="G92" s="84"/>
    </row>
    <row r="93" ht="21.6" customHeight="1" spans="1:7">
      <c r="A93" s="10">
        <v>10</v>
      </c>
      <c r="B93" s="11" t="s">
        <v>167</v>
      </c>
      <c r="C93" s="4" t="s">
        <v>168</v>
      </c>
      <c r="D93" s="10" t="s">
        <v>104</v>
      </c>
      <c r="E93" s="84">
        <v>300000</v>
      </c>
      <c r="F93" s="84">
        <f t="shared" si="14"/>
        <v>300000</v>
      </c>
      <c r="G93" s="84"/>
    </row>
    <row r="94" ht="21.6" customHeight="1" spans="1:7">
      <c r="A94" s="10">
        <v>11</v>
      </c>
      <c r="B94" s="11" t="s">
        <v>169</v>
      </c>
      <c r="C94" s="17" t="s">
        <v>170</v>
      </c>
      <c r="D94" s="15" t="s">
        <v>171</v>
      </c>
      <c r="E94" s="84">
        <v>300000</v>
      </c>
      <c r="F94" s="84">
        <f t="shared" si="14"/>
        <v>300000</v>
      </c>
      <c r="G94" s="84"/>
    </row>
    <row r="95" customHeight="1" spans="1:7">
      <c r="A95" s="10"/>
      <c r="B95" s="20" t="s">
        <v>96</v>
      </c>
      <c r="C95" s="21">
        <v>11</v>
      </c>
      <c r="D95" s="21"/>
      <c r="E95" s="89">
        <f>SUM(E84:E94)</f>
        <v>5550000</v>
      </c>
      <c r="F95" s="91">
        <f t="shared" ref="F95:G95" si="15">SUM(F84:F94)</f>
        <v>2500000</v>
      </c>
      <c r="G95" s="91">
        <f t="shared" si="15"/>
        <v>3050000</v>
      </c>
    </row>
    <row r="96" customHeight="1" spans="1:7">
      <c r="A96" s="10"/>
      <c r="B96" s="22"/>
      <c r="C96" s="21"/>
      <c r="D96" s="21"/>
      <c r="E96" s="84"/>
      <c r="F96" s="92"/>
      <c r="G96" s="92"/>
    </row>
    <row r="97" customHeight="1" spans="1:7">
      <c r="A97" s="10"/>
      <c r="B97" s="20" t="s">
        <v>172</v>
      </c>
      <c r="C97" s="21"/>
      <c r="D97" s="21"/>
      <c r="E97" s="84"/>
      <c r="F97" s="92"/>
      <c r="G97" s="92"/>
    </row>
    <row r="98" customHeight="1" spans="1:7">
      <c r="A98" s="10">
        <v>1</v>
      </c>
      <c r="B98" s="14" t="s">
        <v>173</v>
      </c>
      <c r="C98" s="4" t="s">
        <v>174</v>
      </c>
      <c r="D98" s="16" t="s">
        <v>189</v>
      </c>
      <c r="E98" s="84">
        <v>700000</v>
      </c>
      <c r="F98" s="84"/>
      <c r="G98" s="84">
        <v>700000</v>
      </c>
    </row>
    <row r="99" customHeight="1" spans="1:7">
      <c r="A99" s="10">
        <v>2</v>
      </c>
      <c r="B99" s="11" t="s">
        <v>176</v>
      </c>
      <c r="C99" s="4" t="s">
        <v>177</v>
      </c>
      <c r="D99" s="15" t="s">
        <v>148</v>
      </c>
      <c r="E99" s="84">
        <v>500000</v>
      </c>
      <c r="F99" s="84"/>
      <c r="G99" s="84">
        <v>500000</v>
      </c>
    </row>
    <row r="100" customHeight="1" spans="1:7">
      <c r="A100" s="10">
        <v>3</v>
      </c>
      <c r="B100" s="11" t="s">
        <v>180</v>
      </c>
      <c r="C100" s="4" t="s">
        <v>181</v>
      </c>
      <c r="D100" s="15" t="s">
        <v>62</v>
      </c>
      <c r="E100" s="84">
        <v>400000</v>
      </c>
      <c r="F100" s="84">
        <v>400000</v>
      </c>
      <c r="G100" s="84"/>
    </row>
    <row r="101" customHeight="1" spans="1:7">
      <c r="A101" s="10">
        <v>4</v>
      </c>
      <c r="B101" s="11" t="s">
        <v>182</v>
      </c>
      <c r="C101" s="4" t="s">
        <v>183</v>
      </c>
      <c r="D101" s="15" t="s">
        <v>104</v>
      </c>
      <c r="E101" s="84">
        <v>300000</v>
      </c>
      <c r="F101" s="84">
        <v>300000</v>
      </c>
      <c r="G101" s="84"/>
    </row>
    <row r="102" customHeight="1" spans="1:7">
      <c r="A102" s="4"/>
      <c r="B102" s="20" t="s">
        <v>96</v>
      </c>
      <c r="C102" s="21">
        <v>4</v>
      </c>
      <c r="D102" s="26"/>
      <c r="E102" s="91">
        <f>SUM(E98:E101)</f>
        <v>1900000</v>
      </c>
      <c r="F102" s="91">
        <f t="shared" ref="F102:G102" si="16">SUM(F98:F101)</f>
        <v>700000</v>
      </c>
      <c r="G102" s="91">
        <f t="shared" si="16"/>
        <v>1200000</v>
      </c>
    </row>
    <row r="103" customHeight="1" spans="1:7">
      <c r="A103" s="4"/>
      <c r="B103" s="22"/>
      <c r="C103" s="21"/>
      <c r="D103" s="26"/>
      <c r="E103" s="92"/>
      <c r="F103" s="92"/>
      <c r="G103" s="92"/>
    </row>
    <row r="104" customHeight="1" spans="1:7">
      <c r="A104" s="4"/>
      <c r="B104" s="20" t="s">
        <v>184</v>
      </c>
      <c r="C104" s="4"/>
      <c r="D104" s="4"/>
      <c r="E104" s="96"/>
      <c r="F104" s="96"/>
      <c r="G104" s="96"/>
    </row>
    <row r="105" customHeight="1" spans="1:7">
      <c r="A105" s="4">
        <v>1</v>
      </c>
      <c r="B105" s="11" t="s">
        <v>185</v>
      </c>
      <c r="C105" s="12" t="s">
        <v>186</v>
      </c>
      <c r="D105" s="15" t="s">
        <v>100</v>
      </c>
      <c r="E105" s="84">
        <v>1000000</v>
      </c>
      <c r="F105" s="84"/>
      <c r="G105" s="84">
        <f>E105</f>
        <v>1000000</v>
      </c>
    </row>
    <row r="106" customHeight="1" spans="1:7">
      <c r="A106" s="4">
        <v>2</v>
      </c>
      <c r="B106" s="11" t="s">
        <v>187</v>
      </c>
      <c r="C106" s="4" t="s">
        <v>188</v>
      </c>
      <c r="D106" s="16" t="s">
        <v>189</v>
      </c>
      <c r="E106" s="84">
        <v>700000</v>
      </c>
      <c r="F106" s="84"/>
      <c r="G106" s="84">
        <f>E106</f>
        <v>700000</v>
      </c>
    </row>
    <row r="107" customHeight="1" spans="1:7">
      <c r="A107" s="4">
        <v>3</v>
      </c>
      <c r="B107" s="11" t="s">
        <v>190</v>
      </c>
      <c r="C107" s="4" t="s">
        <v>191</v>
      </c>
      <c r="D107" s="10" t="s">
        <v>192</v>
      </c>
      <c r="E107" s="84">
        <v>500000</v>
      </c>
      <c r="F107" s="84">
        <f>E107</f>
        <v>500000</v>
      </c>
      <c r="G107" s="84"/>
    </row>
    <row r="108" customHeight="1" spans="1:7">
      <c r="A108" s="4">
        <v>4</v>
      </c>
      <c r="B108" s="11" t="s">
        <v>193</v>
      </c>
      <c r="C108" s="4" t="s">
        <v>191</v>
      </c>
      <c r="D108" s="10" t="s">
        <v>192</v>
      </c>
      <c r="E108" s="84">
        <v>500000</v>
      </c>
      <c r="F108" s="84">
        <f>E108</f>
        <v>500000</v>
      </c>
      <c r="G108" s="84"/>
    </row>
    <row r="109" customHeight="1" spans="1:7">
      <c r="A109" s="4">
        <v>5</v>
      </c>
      <c r="B109" s="11" t="s">
        <v>194</v>
      </c>
      <c r="C109" s="4" t="s">
        <v>195</v>
      </c>
      <c r="D109" s="15" t="s">
        <v>196</v>
      </c>
      <c r="E109" s="371">
        <v>300000</v>
      </c>
      <c r="F109" s="84">
        <f t="shared" ref="F109:F111" si="17">E109</f>
        <v>300000</v>
      </c>
      <c r="G109" s="84"/>
    </row>
    <row r="110" customHeight="1" spans="1:7">
      <c r="A110" s="4">
        <v>6</v>
      </c>
      <c r="B110" s="18" t="s">
        <v>197</v>
      </c>
      <c r="C110" s="4" t="s">
        <v>195</v>
      </c>
      <c r="D110" s="10" t="s">
        <v>198</v>
      </c>
      <c r="E110" s="371">
        <v>300000</v>
      </c>
      <c r="F110" s="84">
        <f t="shared" si="17"/>
        <v>300000</v>
      </c>
      <c r="G110" s="84"/>
    </row>
    <row r="111" customHeight="1" spans="1:7">
      <c r="A111" s="4">
        <v>7</v>
      </c>
      <c r="B111" s="18" t="s">
        <v>199</v>
      </c>
      <c r="C111" s="4" t="s">
        <v>195</v>
      </c>
      <c r="D111" s="15" t="s">
        <v>171</v>
      </c>
      <c r="E111" s="371">
        <v>300000</v>
      </c>
      <c r="F111" s="84">
        <f t="shared" si="17"/>
        <v>300000</v>
      </c>
      <c r="G111" s="84"/>
    </row>
    <row r="112" ht="25.5" customHeight="1" spans="1:7">
      <c r="A112" s="4"/>
      <c r="B112" s="20" t="s">
        <v>96</v>
      </c>
      <c r="C112" s="21">
        <v>7</v>
      </c>
      <c r="D112" s="4"/>
      <c r="E112" s="97">
        <f>SUM(E105:E111)</f>
        <v>3600000</v>
      </c>
      <c r="F112" s="97">
        <f t="shared" ref="F112:G112" si="18">SUM(F105:F111)</f>
        <v>1900000</v>
      </c>
      <c r="G112" s="97">
        <f t="shared" si="18"/>
        <v>1700000</v>
      </c>
    </row>
    <row r="113" customHeight="1" spans="1:7">
      <c r="A113" s="4"/>
      <c r="B113" s="20"/>
      <c r="C113" s="21"/>
      <c r="D113" s="4"/>
      <c r="E113" s="97"/>
      <c r="F113" s="97"/>
      <c r="G113" s="97"/>
    </row>
    <row r="114" customHeight="1" spans="1:7">
      <c r="A114" s="10"/>
      <c r="B114" s="20" t="s">
        <v>200</v>
      </c>
      <c r="C114" s="21"/>
      <c r="D114" s="21"/>
      <c r="E114" s="92"/>
      <c r="F114" s="92"/>
      <c r="G114" s="92"/>
    </row>
    <row r="115" customHeight="1" spans="1:7">
      <c r="A115" s="10">
        <v>1</v>
      </c>
      <c r="B115" s="11" t="s">
        <v>202</v>
      </c>
      <c r="C115" s="4" t="s">
        <v>203</v>
      </c>
      <c r="D115" s="15" t="s">
        <v>62</v>
      </c>
      <c r="E115" s="372">
        <v>400000</v>
      </c>
      <c r="F115" s="372">
        <f>E115</f>
        <v>400000</v>
      </c>
      <c r="G115" s="372"/>
    </row>
    <row r="116" ht="18.75" customHeight="1" spans="1:7">
      <c r="A116" s="10">
        <v>2</v>
      </c>
      <c r="B116" s="11" t="s">
        <v>204</v>
      </c>
      <c r="C116" s="12" t="s">
        <v>581</v>
      </c>
      <c r="D116" s="15" t="s">
        <v>253</v>
      </c>
      <c r="E116" s="372">
        <v>400000</v>
      </c>
      <c r="F116" s="372">
        <f>E116</f>
        <v>400000</v>
      </c>
      <c r="G116" s="372"/>
    </row>
    <row r="117" customHeight="1" spans="1:7">
      <c r="A117" s="4"/>
      <c r="B117" s="20" t="s">
        <v>96</v>
      </c>
      <c r="C117" s="21">
        <v>2</v>
      </c>
      <c r="D117" s="26"/>
      <c r="E117" s="373">
        <f>SUM(E115:E116)</f>
        <v>800000</v>
      </c>
      <c r="F117" s="373">
        <f>SUM(F115:F116)</f>
        <v>800000</v>
      </c>
      <c r="G117" s="91"/>
    </row>
    <row r="118" ht="24.75" customHeight="1" spans="1:4">
      <c r="A118" s="4"/>
      <c r="B118" s="22"/>
      <c r="C118" s="10"/>
      <c r="D118" s="4"/>
    </row>
    <row r="119" customHeight="1" spans="1:7">
      <c r="A119" s="4"/>
      <c r="B119" s="20" t="s">
        <v>213</v>
      </c>
      <c r="C119" s="21"/>
      <c r="D119" s="21"/>
      <c r="E119" s="98"/>
      <c r="F119" s="98"/>
      <c r="G119" s="98"/>
    </row>
    <row r="120" customHeight="1" spans="1:7">
      <c r="A120" s="4">
        <v>1</v>
      </c>
      <c r="B120" s="11" t="s">
        <v>214</v>
      </c>
      <c r="C120" s="12" t="s">
        <v>215</v>
      </c>
      <c r="D120" s="15" t="s">
        <v>100</v>
      </c>
      <c r="E120" s="84">
        <v>1000000</v>
      </c>
      <c r="F120" s="84"/>
      <c r="G120" s="84">
        <f>E120</f>
        <v>1000000</v>
      </c>
    </row>
    <row r="121" customHeight="1" spans="1:7">
      <c r="A121" s="4">
        <v>2</v>
      </c>
      <c r="B121" s="11" t="s">
        <v>216</v>
      </c>
      <c r="C121" s="12" t="s">
        <v>217</v>
      </c>
      <c r="D121" s="15" t="s">
        <v>110</v>
      </c>
      <c r="E121" s="84">
        <v>700000</v>
      </c>
      <c r="F121" s="84"/>
      <c r="G121" s="84">
        <f t="shared" ref="G121:G126" si="19">E121</f>
        <v>700000</v>
      </c>
    </row>
    <row r="122" customHeight="1" spans="1:7">
      <c r="A122" s="4">
        <v>3</v>
      </c>
      <c r="B122" s="14" t="s">
        <v>218</v>
      </c>
      <c r="C122" s="12" t="s">
        <v>219</v>
      </c>
      <c r="D122" s="15" t="s">
        <v>36</v>
      </c>
      <c r="E122" s="84">
        <v>700000</v>
      </c>
      <c r="F122" s="84"/>
      <c r="G122" s="84">
        <f t="shared" si="19"/>
        <v>700000</v>
      </c>
    </row>
    <row r="123" customHeight="1" spans="1:7">
      <c r="A123" s="4">
        <v>4</v>
      </c>
      <c r="B123" s="14" t="s">
        <v>523</v>
      </c>
      <c r="C123" s="12" t="s">
        <v>219</v>
      </c>
      <c r="D123" s="15" t="s">
        <v>131</v>
      </c>
      <c r="E123" s="84">
        <v>700000</v>
      </c>
      <c r="F123" s="84"/>
      <c r="G123" s="84">
        <f t="shared" si="19"/>
        <v>700000</v>
      </c>
    </row>
    <row r="124" customHeight="1" spans="1:7">
      <c r="A124" s="4">
        <v>5</v>
      </c>
      <c r="B124" s="11" t="s">
        <v>220</v>
      </c>
      <c r="C124" s="12" t="s">
        <v>221</v>
      </c>
      <c r="D124" s="15" t="s">
        <v>222</v>
      </c>
      <c r="E124" s="84">
        <v>500000</v>
      </c>
      <c r="F124" s="84"/>
      <c r="G124" s="84">
        <f t="shared" si="19"/>
        <v>500000</v>
      </c>
    </row>
    <row r="125" customHeight="1" spans="1:7">
      <c r="A125" s="4">
        <v>6</v>
      </c>
      <c r="B125" s="11" t="s">
        <v>223</v>
      </c>
      <c r="C125" s="12" t="s">
        <v>224</v>
      </c>
      <c r="D125" s="15" t="s">
        <v>47</v>
      </c>
      <c r="E125" s="84">
        <v>500000</v>
      </c>
      <c r="F125" s="84"/>
      <c r="G125" s="84">
        <f t="shared" si="19"/>
        <v>500000</v>
      </c>
    </row>
    <row r="126" customHeight="1" spans="1:7">
      <c r="A126" s="4">
        <v>7</v>
      </c>
      <c r="B126" s="11" t="s">
        <v>225</v>
      </c>
      <c r="C126" s="12" t="s">
        <v>221</v>
      </c>
      <c r="D126" s="15" t="s">
        <v>148</v>
      </c>
      <c r="E126" s="84">
        <v>500000</v>
      </c>
      <c r="F126" s="84"/>
      <c r="G126" s="84">
        <f t="shared" si="19"/>
        <v>500000</v>
      </c>
    </row>
    <row r="127" customHeight="1" spans="1:7">
      <c r="A127" s="4">
        <v>8</v>
      </c>
      <c r="B127" s="11" t="s">
        <v>226</v>
      </c>
      <c r="C127" s="12" t="s">
        <v>227</v>
      </c>
      <c r="D127" s="10" t="s">
        <v>75</v>
      </c>
      <c r="E127" s="84">
        <v>300000</v>
      </c>
      <c r="F127" s="84">
        <f>E127</f>
        <v>300000</v>
      </c>
      <c r="G127" s="84"/>
    </row>
    <row r="128" customHeight="1" spans="1:7">
      <c r="A128" s="4">
        <v>9</v>
      </c>
      <c r="B128" s="18" t="s">
        <v>228</v>
      </c>
      <c r="C128" s="12" t="s">
        <v>229</v>
      </c>
      <c r="D128" s="15" t="s">
        <v>92</v>
      </c>
      <c r="E128" s="84">
        <v>300000</v>
      </c>
      <c r="F128" s="84">
        <f t="shared" ref="F128:F129" si="20">E128</f>
        <v>300000</v>
      </c>
      <c r="G128" s="84"/>
    </row>
    <row r="129" customHeight="1" spans="1:7">
      <c r="A129" s="4">
        <v>10</v>
      </c>
      <c r="B129" s="18" t="s">
        <v>230</v>
      </c>
      <c r="C129" s="12" t="s">
        <v>231</v>
      </c>
      <c r="D129" s="15" t="s">
        <v>92</v>
      </c>
      <c r="E129" s="84">
        <v>300000</v>
      </c>
      <c r="F129" s="84">
        <f t="shared" si="20"/>
        <v>300000</v>
      </c>
      <c r="G129" s="84"/>
    </row>
    <row r="130" customHeight="1" spans="1:7">
      <c r="A130" s="4"/>
      <c r="B130" s="20" t="s">
        <v>96</v>
      </c>
      <c r="C130" s="26" t="s">
        <v>233</v>
      </c>
      <c r="D130" s="15"/>
      <c r="E130" s="92">
        <f>SUM(E120:E129)</f>
        <v>5500000</v>
      </c>
      <c r="F130" s="92">
        <f t="shared" ref="F130:G130" si="21">SUM(F120:F129)</f>
        <v>900000</v>
      </c>
      <c r="G130" s="92">
        <f t="shared" si="21"/>
        <v>4600000</v>
      </c>
    </row>
    <row r="131" ht="28.5" customHeight="1" spans="1:7">
      <c r="A131" s="4"/>
      <c r="B131" s="22"/>
      <c r="C131" s="26"/>
      <c r="D131" s="15"/>
      <c r="E131" s="4"/>
      <c r="F131" s="4"/>
      <c r="G131" s="4"/>
    </row>
    <row r="132" customHeight="1" spans="1:7">
      <c r="A132" s="4"/>
      <c r="B132" s="20" t="s">
        <v>234</v>
      </c>
      <c r="C132" s="12"/>
      <c r="D132" s="15"/>
      <c r="E132" s="92"/>
      <c r="F132" s="92"/>
      <c r="G132" s="92"/>
    </row>
    <row r="133" customHeight="1" spans="1:7">
      <c r="A133" s="27">
        <v>1</v>
      </c>
      <c r="B133" s="11" t="s">
        <v>235</v>
      </c>
      <c r="C133" s="12" t="s">
        <v>236</v>
      </c>
      <c r="D133" s="15" t="s">
        <v>100</v>
      </c>
      <c r="E133" s="84">
        <v>500000</v>
      </c>
      <c r="F133" s="84"/>
      <c r="G133" s="84">
        <f>E133</f>
        <v>500000</v>
      </c>
    </row>
    <row r="134" customHeight="1" spans="1:7">
      <c r="A134" s="27">
        <v>2</v>
      </c>
      <c r="B134" s="11" t="s">
        <v>524</v>
      </c>
      <c r="C134" s="12" t="s">
        <v>575</v>
      </c>
      <c r="D134" s="15" t="s">
        <v>189</v>
      </c>
      <c r="E134" s="84">
        <v>700000</v>
      </c>
      <c r="F134" s="84"/>
      <c r="G134" s="84">
        <f t="shared" ref="G134:G138" si="22">E134</f>
        <v>700000</v>
      </c>
    </row>
    <row r="135" customHeight="1" spans="1:7">
      <c r="A135" s="27">
        <v>3</v>
      </c>
      <c r="B135" s="14" t="s">
        <v>237</v>
      </c>
      <c r="C135" s="4" t="s">
        <v>238</v>
      </c>
      <c r="D135" s="16" t="s">
        <v>189</v>
      </c>
      <c r="E135" s="84">
        <v>700000</v>
      </c>
      <c r="F135" s="84"/>
      <c r="G135" s="84">
        <f t="shared" si="22"/>
        <v>700000</v>
      </c>
    </row>
    <row r="136" customHeight="1" spans="1:7">
      <c r="A136" s="27">
        <v>4</v>
      </c>
      <c r="B136" s="11" t="s">
        <v>239</v>
      </c>
      <c r="C136" s="12" t="s">
        <v>582</v>
      </c>
      <c r="D136" s="15" t="s">
        <v>42</v>
      </c>
      <c r="E136" s="84">
        <v>500000</v>
      </c>
      <c r="F136" s="84"/>
      <c r="G136" s="84">
        <f t="shared" si="22"/>
        <v>500000</v>
      </c>
    </row>
    <row r="137" customHeight="1" spans="1:7">
      <c r="A137" s="27">
        <v>5</v>
      </c>
      <c r="B137" s="11" t="s">
        <v>241</v>
      </c>
      <c r="C137" s="4" t="s">
        <v>583</v>
      </c>
      <c r="D137" s="15" t="s">
        <v>42</v>
      </c>
      <c r="E137" s="84">
        <v>500000</v>
      </c>
      <c r="F137" s="84"/>
      <c r="G137" s="84">
        <f t="shared" si="22"/>
        <v>500000</v>
      </c>
    </row>
    <row r="138" customHeight="1" spans="1:7">
      <c r="A138" s="27">
        <v>6</v>
      </c>
      <c r="B138" s="11" t="s">
        <v>243</v>
      </c>
      <c r="C138" s="4" t="s">
        <v>583</v>
      </c>
      <c r="D138" s="15" t="s">
        <v>42</v>
      </c>
      <c r="E138" s="84">
        <v>500000</v>
      </c>
      <c r="F138" s="84"/>
      <c r="G138" s="84">
        <f t="shared" si="22"/>
        <v>500000</v>
      </c>
    </row>
    <row r="139" customHeight="1" spans="1:7">
      <c r="A139" s="27">
        <v>7</v>
      </c>
      <c r="B139" s="11" t="s">
        <v>178</v>
      </c>
      <c r="C139" s="12" t="s">
        <v>584</v>
      </c>
      <c r="D139" s="15" t="s">
        <v>253</v>
      </c>
      <c r="E139" s="84">
        <v>400000</v>
      </c>
      <c r="F139" s="84">
        <f>E139</f>
        <v>400000</v>
      </c>
      <c r="G139" s="84"/>
    </row>
    <row r="140" customHeight="1" spans="1:7">
      <c r="A140" s="27">
        <v>8</v>
      </c>
      <c r="B140" s="11" t="s">
        <v>244</v>
      </c>
      <c r="C140" s="12" t="s">
        <v>584</v>
      </c>
      <c r="D140" s="15" t="s">
        <v>253</v>
      </c>
      <c r="E140" s="84">
        <v>400000</v>
      </c>
      <c r="F140" s="84">
        <f t="shared" ref="F140:F191" si="23">E140</f>
        <v>400000</v>
      </c>
      <c r="G140" s="84"/>
    </row>
    <row r="141" customHeight="1" spans="1:7">
      <c r="A141" s="27">
        <v>9</v>
      </c>
      <c r="B141" s="11" t="s">
        <v>245</v>
      </c>
      <c r="C141" s="4" t="s">
        <v>585</v>
      </c>
      <c r="D141" s="15" t="s">
        <v>253</v>
      </c>
      <c r="E141" s="84">
        <v>400000</v>
      </c>
      <c r="F141" s="84">
        <f t="shared" si="23"/>
        <v>400000</v>
      </c>
      <c r="G141" s="84"/>
    </row>
    <row r="142" customHeight="1" spans="1:7">
      <c r="A142" s="27">
        <v>10</v>
      </c>
      <c r="B142" s="11" t="s">
        <v>247</v>
      </c>
      <c r="C142" s="12" t="s">
        <v>248</v>
      </c>
      <c r="D142" s="15" t="s">
        <v>62</v>
      </c>
      <c r="E142" s="84">
        <v>400000</v>
      </c>
      <c r="F142" s="84">
        <f t="shared" si="23"/>
        <v>400000</v>
      </c>
      <c r="G142" s="84"/>
    </row>
    <row r="143" customHeight="1" spans="1:7">
      <c r="A143" s="27">
        <v>11</v>
      </c>
      <c r="B143" s="11" t="s">
        <v>249</v>
      </c>
      <c r="C143" s="12" t="s">
        <v>250</v>
      </c>
      <c r="D143" s="15" t="s">
        <v>135</v>
      </c>
      <c r="E143" s="84">
        <v>400000</v>
      </c>
      <c r="F143" s="84">
        <f t="shared" si="23"/>
        <v>400000</v>
      </c>
      <c r="G143" s="84"/>
    </row>
    <row r="144" customHeight="1" spans="1:7">
      <c r="A144" s="27">
        <v>12</v>
      </c>
      <c r="B144" s="11" t="s">
        <v>251</v>
      </c>
      <c r="C144" s="12" t="s">
        <v>252</v>
      </c>
      <c r="D144" s="15" t="s">
        <v>253</v>
      </c>
      <c r="E144" s="84">
        <v>400000</v>
      </c>
      <c r="F144" s="84">
        <f t="shared" si="23"/>
        <v>400000</v>
      </c>
      <c r="G144" s="84"/>
    </row>
    <row r="145" customHeight="1" spans="1:7">
      <c r="A145" s="27">
        <v>13</v>
      </c>
      <c r="B145" s="18" t="s">
        <v>254</v>
      </c>
      <c r="C145" s="4" t="s">
        <v>255</v>
      </c>
      <c r="D145" s="15" t="s">
        <v>65</v>
      </c>
      <c r="E145" s="84">
        <v>400000</v>
      </c>
      <c r="F145" s="84">
        <f t="shared" si="23"/>
        <v>400000</v>
      </c>
      <c r="G145" s="84"/>
    </row>
    <row r="146" customHeight="1" spans="1:7">
      <c r="A146" s="27">
        <v>14</v>
      </c>
      <c r="B146" s="11" t="s">
        <v>256</v>
      </c>
      <c r="C146" s="4" t="s">
        <v>586</v>
      </c>
      <c r="D146" s="15" t="s">
        <v>265</v>
      </c>
      <c r="E146" s="371">
        <v>300000</v>
      </c>
      <c r="F146" s="84">
        <f t="shared" si="23"/>
        <v>300000</v>
      </c>
      <c r="G146" s="84"/>
    </row>
    <row r="147" customHeight="1" spans="1:7">
      <c r="A147" s="27">
        <v>15</v>
      </c>
      <c r="B147" s="11" t="s">
        <v>257</v>
      </c>
      <c r="C147" s="4" t="s">
        <v>586</v>
      </c>
      <c r="D147" s="15" t="s">
        <v>587</v>
      </c>
      <c r="E147" s="371">
        <v>300000</v>
      </c>
      <c r="F147" s="84">
        <f t="shared" si="23"/>
        <v>300000</v>
      </c>
      <c r="G147" s="84"/>
    </row>
    <row r="148" customHeight="1" spans="1:7">
      <c r="A148" s="27">
        <v>16</v>
      </c>
      <c r="B148" s="11" t="s">
        <v>258</v>
      </c>
      <c r="C148" s="4" t="s">
        <v>586</v>
      </c>
      <c r="D148" s="15" t="s">
        <v>587</v>
      </c>
      <c r="E148" s="371">
        <v>300000</v>
      </c>
      <c r="F148" s="84">
        <f t="shared" si="23"/>
        <v>300000</v>
      </c>
      <c r="G148" s="84"/>
    </row>
    <row r="149" customHeight="1" spans="1:7">
      <c r="A149" s="27">
        <v>17</v>
      </c>
      <c r="B149" s="11" t="s">
        <v>259</v>
      </c>
      <c r="C149" s="12" t="s">
        <v>260</v>
      </c>
      <c r="D149" s="15" t="s">
        <v>104</v>
      </c>
      <c r="E149" s="371">
        <v>300000</v>
      </c>
      <c r="F149" s="84">
        <f t="shared" si="23"/>
        <v>300000</v>
      </c>
      <c r="G149" s="84"/>
    </row>
    <row r="150" customHeight="1" spans="1:7">
      <c r="A150" s="27">
        <v>18</v>
      </c>
      <c r="B150" s="11" t="s">
        <v>261</v>
      </c>
      <c r="C150" s="12" t="s">
        <v>262</v>
      </c>
      <c r="D150" s="10" t="s">
        <v>80</v>
      </c>
      <c r="E150" s="371">
        <v>300000</v>
      </c>
      <c r="F150" s="84">
        <f t="shared" si="23"/>
        <v>300000</v>
      </c>
      <c r="G150" s="84"/>
    </row>
    <row r="151" customHeight="1" spans="1:7">
      <c r="A151" s="27">
        <v>19</v>
      </c>
      <c r="B151" s="11" t="s">
        <v>263</v>
      </c>
      <c r="C151" s="12" t="s">
        <v>264</v>
      </c>
      <c r="D151" s="15" t="s">
        <v>265</v>
      </c>
      <c r="E151" s="371">
        <v>300000</v>
      </c>
      <c r="F151" s="84">
        <f t="shared" si="23"/>
        <v>300000</v>
      </c>
      <c r="G151" s="84"/>
    </row>
    <row r="152" customHeight="1" spans="1:7">
      <c r="A152" s="27">
        <v>20</v>
      </c>
      <c r="B152" s="11" t="s">
        <v>266</v>
      </c>
      <c r="C152" s="12" t="s">
        <v>267</v>
      </c>
      <c r="D152" s="15" t="s">
        <v>75</v>
      </c>
      <c r="E152" s="371">
        <v>300000</v>
      </c>
      <c r="F152" s="84">
        <f t="shared" si="23"/>
        <v>300000</v>
      </c>
      <c r="G152" s="84"/>
    </row>
    <row r="153" customHeight="1" spans="1:7">
      <c r="A153" s="27">
        <v>21</v>
      </c>
      <c r="B153" s="11" t="s">
        <v>268</v>
      </c>
      <c r="C153" s="12" t="s">
        <v>269</v>
      </c>
      <c r="D153" s="15" t="s">
        <v>265</v>
      </c>
      <c r="E153" s="371">
        <v>300000</v>
      </c>
      <c r="F153" s="84">
        <f t="shared" si="23"/>
        <v>300000</v>
      </c>
      <c r="G153" s="84"/>
    </row>
    <row r="154" customHeight="1" spans="1:7">
      <c r="A154" s="27">
        <v>22</v>
      </c>
      <c r="B154" s="11" t="s">
        <v>270</v>
      </c>
      <c r="C154" s="12" t="s">
        <v>271</v>
      </c>
      <c r="D154" s="15" t="s">
        <v>75</v>
      </c>
      <c r="E154" s="371">
        <v>300000</v>
      </c>
      <c r="F154" s="84">
        <f t="shared" si="23"/>
        <v>300000</v>
      </c>
      <c r="G154" s="84"/>
    </row>
    <row r="155" customHeight="1" spans="1:7">
      <c r="A155" s="27">
        <v>23</v>
      </c>
      <c r="B155" s="18" t="s">
        <v>272</v>
      </c>
      <c r="C155" s="12" t="s">
        <v>273</v>
      </c>
      <c r="D155" s="15" t="s">
        <v>83</v>
      </c>
      <c r="E155" s="371">
        <v>300000</v>
      </c>
      <c r="F155" s="84">
        <f t="shared" si="23"/>
        <v>300000</v>
      </c>
      <c r="G155" s="84"/>
    </row>
    <row r="156" customHeight="1" spans="1:7">
      <c r="A156" s="27">
        <v>24</v>
      </c>
      <c r="B156" s="18" t="s">
        <v>275</v>
      </c>
      <c r="C156" s="12" t="s">
        <v>276</v>
      </c>
      <c r="D156" s="15" t="s">
        <v>92</v>
      </c>
      <c r="E156" s="371">
        <v>300000</v>
      </c>
      <c r="F156" s="84">
        <f t="shared" si="23"/>
        <v>300000</v>
      </c>
      <c r="G156" s="84"/>
    </row>
    <row r="157" customHeight="1" spans="1:7">
      <c r="A157" s="27">
        <v>25</v>
      </c>
      <c r="B157" s="18" t="s">
        <v>277</v>
      </c>
      <c r="C157" s="12" t="s">
        <v>278</v>
      </c>
      <c r="D157" s="15" t="s">
        <v>92</v>
      </c>
      <c r="E157" s="371">
        <v>300000</v>
      </c>
      <c r="F157" s="84">
        <f t="shared" si="23"/>
        <v>300000</v>
      </c>
      <c r="G157" s="84"/>
    </row>
    <row r="158" customHeight="1" spans="1:7">
      <c r="A158" s="27">
        <v>26</v>
      </c>
      <c r="B158" s="18" t="s">
        <v>279</v>
      </c>
      <c r="C158" s="12" t="s">
        <v>280</v>
      </c>
      <c r="D158" s="15" t="s">
        <v>92</v>
      </c>
      <c r="E158" s="371">
        <v>300000</v>
      </c>
      <c r="F158" s="84">
        <f t="shared" si="23"/>
        <v>300000</v>
      </c>
      <c r="G158" s="84"/>
    </row>
    <row r="159" customHeight="1" spans="1:7">
      <c r="A159" s="27">
        <v>27</v>
      </c>
      <c r="B159" s="18" t="s">
        <v>281</v>
      </c>
      <c r="C159" s="12" t="s">
        <v>282</v>
      </c>
      <c r="D159" s="15" t="s">
        <v>171</v>
      </c>
      <c r="E159" s="371">
        <v>300000</v>
      </c>
      <c r="F159" s="84">
        <f t="shared" si="23"/>
        <v>300000</v>
      </c>
      <c r="G159" s="84"/>
    </row>
    <row r="160" customHeight="1" spans="1:7">
      <c r="A160" s="27">
        <v>28</v>
      </c>
      <c r="B160" s="18" t="s">
        <v>283</v>
      </c>
      <c r="C160" s="12" t="s">
        <v>278</v>
      </c>
      <c r="D160" s="15" t="s">
        <v>92</v>
      </c>
      <c r="E160" s="371">
        <v>300000</v>
      </c>
      <c r="F160" s="84">
        <f t="shared" si="23"/>
        <v>300000</v>
      </c>
      <c r="G160" s="84"/>
    </row>
    <row r="161" customHeight="1" spans="1:7">
      <c r="A161" s="27">
        <v>29</v>
      </c>
      <c r="B161" s="11" t="s">
        <v>287</v>
      </c>
      <c r="C161" s="12" t="s">
        <v>288</v>
      </c>
      <c r="D161" s="15" t="s">
        <v>289</v>
      </c>
      <c r="E161" s="374">
        <v>100000</v>
      </c>
      <c r="F161" s="84">
        <f t="shared" si="23"/>
        <v>100000</v>
      </c>
      <c r="G161" s="84"/>
    </row>
    <row r="162" customHeight="1" spans="1:7">
      <c r="A162" s="27">
        <v>30</v>
      </c>
      <c r="B162" s="11" t="s">
        <v>290</v>
      </c>
      <c r="C162" s="12" t="s">
        <v>288</v>
      </c>
      <c r="D162" s="15" t="s">
        <v>289</v>
      </c>
      <c r="E162" s="374">
        <v>100000</v>
      </c>
      <c r="F162" s="84">
        <f t="shared" si="23"/>
        <v>100000</v>
      </c>
      <c r="G162" s="84"/>
    </row>
    <row r="163" customHeight="1" spans="1:7">
      <c r="A163" s="27">
        <v>31</v>
      </c>
      <c r="B163" s="11" t="s">
        <v>291</v>
      </c>
      <c r="C163" s="12" t="s">
        <v>288</v>
      </c>
      <c r="D163" s="15" t="s">
        <v>289</v>
      </c>
      <c r="E163" s="374">
        <v>100000</v>
      </c>
      <c r="F163" s="84">
        <f t="shared" si="23"/>
        <v>100000</v>
      </c>
      <c r="G163" s="84"/>
    </row>
    <row r="164" customHeight="1" spans="1:7">
      <c r="A164" s="27">
        <v>32</v>
      </c>
      <c r="B164" s="11" t="s">
        <v>292</v>
      </c>
      <c r="C164" s="12" t="s">
        <v>288</v>
      </c>
      <c r="D164" s="15" t="s">
        <v>289</v>
      </c>
      <c r="E164" s="374">
        <v>100000</v>
      </c>
      <c r="F164" s="84">
        <f t="shared" si="23"/>
        <v>100000</v>
      </c>
      <c r="G164" s="84"/>
    </row>
    <row r="165" customHeight="1" spans="1:7">
      <c r="A165" s="27">
        <v>33</v>
      </c>
      <c r="B165" s="11" t="s">
        <v>293</v>
      </c>
      <c r="C165" s="12" t="s">
        <v>288</v>
      </c>
      <c r="D165" s="15" t="s">
        <v>289</v>
      </c>
      <c r="E165" s="374">
        <v>100000</v>
      </c>
      <c r="F165" s="84">
        <f t="shared" si="23"/>
        <v>100000</v>
      </c>
      <c r="G165" s="84"/>
    </row>
    <row r="166" customHeight="1" spans="1:7">
      <c r="A166" s="27">
        <v>34</v>
      </c>
      <c r="B166" s="11" t="s">
        <v>294</v>
      </c>
      <c r="C166" s="12" t="s">
        <v>288</v>
      </c>
      <c r="D166" s="15" t="s">
        <v>295</v>
      </c>
      <c r="E166" s="374">
        <v>100000</v>
      </c>
      <c r="F166" s="84">
        <f t="shared" si="23"/>
        <v>100000</v>
      </c>
      <c r="G166" s="84"/>
    </row>
    <row r="167" customHeight="1" spans="1:7">
      <c r="A167" s="27">
        <v>35</v>
      </c>
      <c r="B167" s="11" t="s">
        <v>296</v>
      </c>
      <c r="C167" s="12" t="s">
        <v>288</v>
      </c>
      <c r="D167" s="15" t="s">
        <v>295</v>
      </c>
      <c r="E167" s="374">
        <v>100000</v>
      </c>
      <c r="F167" s="84">
        <f t="shared" si="23"/>
        <v>100000</v>
      </c>
      <c r="G167" s="84"/>
    </row>
    <row r="168" customHeight="1" spans="1:7">
      <c r="A168" s="27">
        <v>36</v>
      </c>
      <c r="B168" s="14" t="s">
        <v>297</v>
      </c>
      <c r="C168" s="12" t="s">
        <v>288</v>
      </c>
      <c r="D168" s="15" t="s">
        <v>295</v>
      </c>
      <c r="E168" s="374">
        <v>100000</v>
      </c>
      <c r="F168" s="84">
        <f t="shared" si="23"/>
        <v>100000</v>
      </c>
      <c r="G168" s="84"/>
    </row>
    <row r="169" customHeight="1" spans="1:7">
      <c r="A169" s="27">
        <v>37</v>
      </c>
      <c r="B169" s="11" t="s">
        <v>298</v>
      </c>
      <c r="C169" s="12" t="s">
        <v>288</v>
      </c>
      <c r="D169" s="15" t="s">
        <v>295</v>
      </c>
      <c r="E169" s="374">
        <v>100000</v>
      </c>
      <c r="F169" s="84">
        <f t="shared" si="23"/>
        <v>100000</v>
      </c>
      <c r="G169" s="84"/>
    </row>
    <row r="170" customHeight="1" spans="1:7">
      <c r="A170" s="27">
        <v>38</v>
      </c>
      <c r="B170" s="18" t="s">
        <v>299</v>
      </c>
      <c r="C170" s="12" t="s">
        <v>288</v>
      </c>
      <c r="D170" s="15" t="s">
        <v>295</v>
      </c>
      <c r="E170" s="374">
        <v>100000</v>
      </c>
      <c r="F170" s="84">
        <f t="shared" si="23"/>
        <v>100000</v>
      </c>
      <c r="G170" s="84"/>
    </row>
    <row r="171" customHeight="1" spans="1:7">
      <c r="A171" s="27">
        <v>39</v>
      </c>
      <c r="B171" s="18" t="s">
        <v>300</v>
      </c>
      <c r="C171" s="12" t="s">
        <v>288</v>
      </c>
      <c r="D171" s="15" t="s">
        <v>295</v>
      </c>
      <c r="E171" s="374">
        <v>100000</v>
      </c>
      <c r="F171" s="84">
        <f t="shared" si="23"/>
        <v>100000</v>
      </c>
      <c r="G171" s="84"/>
    </row>
    <row r="172" customHeight="1" spans="1:7">
      <c r="A172" s="27">
        <v>40</v>
      </c>
      <c r="B172" s="11" t="s">
        <v>301</v>
      </c>
      <c r="C172" s="12" t="s">
        <v>302</v>
      </c>
      <c r="D172" s="15" t="s">
        <v>303</v>
      </c>
      <c r="E172" s="374">
        <v>100000</v>
      </c>
      <c r="F172" s="84">
        <f t="shared" si="23"/>
        <v>100000</v>
      </c>
      <c r="G172" s="84"/>
    </row>
    <row r="173" customHeight="1" spans="1:7">
      <c r="A173" s="27">
        <v>41</v>
      </c>
      <c r="B173" s="11" t="s">
        <v>304</v>
      </c>
      <c r="C173" s="12" t="s">
        <v>302</v>
      </c>
      <c r="D173" s="15" t="s">
        <v>303</v>
      </c>
      <c r="E173" s="374">
        <v>100000</v>
      </c>
      <c r="F173" s="84">
        <f t="shared" si="23"/>
        <v>100000</v>
      </c>
      <c r="G173" s="84"/>
    </row>
    <row r="174" customHeight="1" spans="1:7">
      <c r="A174" s="27">
        <v>42</v>
      </c>
      <c r="B174" s="18" t="s">
        <v>305</v>
      </c>
      <c r="C174" s="12" t="s">
        <v>302</v>
      </c>
      <c r="D174" s="15" t="s">
        <v>306</v>
      </c>
      <c r="E174" s="374">
        <v>100000</v>
      </c>
      <c r="F174" s="84">
        <f t="shared" si="23"/>
        <v>100000</v>
      </c>
      <c r="G174" s="84"/>
    </row>
    <row r="175" customHeight="1" spans="1:7">
      <c r="A175" s="27">
        <v>43</v>
      </c>
      <c r="B175" s="11" t="s">
        <v>307</v>
      </c>
      <c r="C175" s="12" t="s">
        <v>308</v>
      </c>
      <c r="D175" s="15" t="s">
        <v>588</v>
      </c>
      <c r="E175" s="374">
        <v>100000</v>
      </c>
      <c r="F175" s="84">
        <f t="shared" si="23"/>
        <v>100000</v>
      </c>
      <c r="G175" s="84"/>
    </row>
    <row r="176" customHeight="1" spans="1:7">
      <c r="A176" s="27">
        <v>44</v>
      </c>
      <c r="B176" s="11" t="s">
        <v>309</v>
      </c>
      <c r="C176" s="12" t="s">
        <v>310</v>
      </c>
      <c r="D176" s="15" t="s">
        <v>311</v>
      </c>
      <c r="E176" s="374">
        <v>100000</v>
      </c>
      <c r="F176" s="84">
        <f t="shared" si="23"/>
        <v>100000</v>
      </c>
      <c r="G176" s="84"/>
    </row>
    <row r="177" customHeight="1" spans="1:7">
      <c r="A177" s="27">
        <v>45</v>
      </c>
      <c r="B177" s="11" t="s">
        <v>312</v>
      </c>
      <c r="C177" s="12" t="s">
        <v>310</v>
      </c>
      <c r="D177" s="15" t="s">
        <v>311</v>
      </c>
      <c r="E177" s="374">
        <v>100000</v>
      </c>
      <c r="F177" s="84">
        <f t="shared" si="23"/>
        <v>100000</v>
      </c>
      <c r="G177" s="84"/>
    </row>
    <row r="178" customHeight="1" spans="1:7">
      <c r="A178" s="27">
        <v>46</v>
      </c>
      <c r="B178" s="11" t="s">
        <v>313</v>
      </c>
      <c r="C178" s="12" t="s">
        <v>310</v>
      </c>
      <c r="D178" s="15" t="s">
        <v>311</v>
      </c>
      <c r="E178" s="374">
        <v>100000</v>
      </c>
      <c r="F178" s="84">
        <f t="shared" si="23"/>
        <v>100000</v>
      </c>
      <c r="G178" s="84"/>
    </row>
    <row r="179" customHeight="1" spans="1:7">
      <c r="A179" s="27">
        <v>47</v>
      </c>
      <c r="B179" s="11" t="s">
        <v>314</v>
      </c>
      <c r="C179" s="12" t="s">
        <v>310</v>
      </c>
      <c r="D179" s="15" t="s">
        <v>311</v>
      </c>
      <c r="E179" s="374">
        <v>100000</v>
      </c>
      <c r="F179" s="84">
        <f t="shared" si="23"/>
        <v>100000</v>
      </c>
      <c r="G179" s="84"/>
    </row>
    <row r="180" customHeight="1" spans="1:7">
      <c r="A180" s="27">
        <v>48</v>
      </c>
      <c r="B180" s="11" t="s">
        <v>315</v>
      </c>
      <c r="C180" s="12" t="s">
        <v>310</v>
      </c>
      <c r="D180" s="15" t="s">
        <v>311</v>
      </c>
      <c r="E180" s="374">
        <v>100000</v>
      </c>
      <c r="F180" s="84">
        <f t="shared" si="23"/>
        <v>100000</v>
      </c>
      <c r="G180" s="84"/>
    </row>
    <row r="181" customHeight="1" spans="1:7">
      <c r="A181" s="27">
        <v>49</v>
      </c>
      <c r="B181" s="18" t="s">
        <v>316</v>
      </c>
      <c r="C181" s="12" t="s">
        <v>310</v>
      </c>
      <c r="D181" s="15" t="s">
        <v>311</v>
      </c>
      <c r="E181" s="374">
        <v>100000</v>
      </c>
      <c r="F181" s="84">
        <f t="shared" si="23"/>
        <v>100000</v>
      </c>
      <c r="G181" s="84"/>
    </row>
    <row r="182" customHeight="1" spans="1:7">
      <c r="A182" s="27">
        <v>50</v>
      </c>
      <c r="B182" s="18" t="s">
        <v>317</v>
      </c>
      <c r="C182" s="12" t="s">
        <v>310</v>
      </c>
      <c r="D182" s="15" t="s">
        <v>311</v>
      </c>
      <c r="E182" s="374">
        <v>100000</v>
      </c>
      <c r="F182" s="84">
        <f t="shared" si="23"/>
        <v>100000</v>
      </c>
      <c r="G182" s="84"/>
    </row>
    <row r="183" customHeight="1" spans="1:7">
      <c r="A183" s="27">
        <v>51</v>
      </c>
      <c r="B183" s="11" t="s">
        <v>318</v>
      </c>
      <c r="C183" s="12" t="s">
        <v>308</v>
      </c>
      <c r="D183" s="15" t="s">
        <v>311</v>
      </c>
      <c r="E183" s="374">
        <v>100000</v>
      </c>
      <c r="F183" s="84">
        <f t="shared" si="23"/>
        <v>100000</v>
      </c>
      <c r="G183" s="84"/>
    </row>
    <row r="184" customHeight="1" spans="1:7">
      <c r="A184" s="27">
        <v>52</v>
      </c>
      <c r="B184" s="11" t="s">
        <v>319</v>
      </c>
      <c r="C184" s="12" t="s">
        <v>308</v>
      </c>
      <c r="D184" s="15" t="s">
        <v>311</v>
      </c>
      <c r="E184" s="374">
        <v>100000</v>
      </c>
      <c r="F184" s="84">
        <f t="shared" si="23"/>
        <v>100000</v>
      </c>
      <c r="G184" s="84"/>
    </row>
    <row r="185" customHeight="1" spans="1:7">
      <c r="A185" s="27">
        <v>53</v>
      </c>
      <c r="B185" s="18" t="s">
        <v>320</v>
      </c>
      <c r="C185" s="12" t="s">
        <v>321</v>
      </c>
      <c r="D185" s="15" t="s">
        <v>322</v>
      </c>
      <c r="E185" s="374">
        <v>100000</v>
      </c>
      <c r="F185" s="84">
        <f t="shared" si="23"/>
        <v>100000</v>
      </c>
      <c r="G185" s="84"/>
    </row>
    <row r="186" customHeight="1" spans="1:7">
      <c r="A186" s="27">
        <v>54</v>
      </c>
      <c r="B186" s="18" t="s">
        <v>325</v>
      </c>
      <c r="C186" s="12" t="s">
        <v>310</v>
      </c>
      <c r="D186" s="15" t="s">
        <v>589</v>
      </c>
      <c r="E186" s="374">
        <v>100000</v>
      </c>
      <c r="F186" s="84">
        <f t="shared" si="23"/>
        <v>100000</v>
      </c>
      <c r="G186" s="84"/>
    </row>
    <row r="187" customHeight="1" spans="1:7">
      <c r="A187" s="27">
        <v>55</v>
      </c>
      <c r="B187" s="18" t="s">
        <v>326</v>
      </c>
      <c r="C187" s="12" t="s">
        <v>327</v>
      </c>
      <c r="D187" s="15" t="s">
        <v>328</v>
      </c>
      <c r="E187" s="374">
        <v>100000</v>
      </c>
      <c r="F187" s="84">
        <f t="shared" si="23"/>
        <v>100000</v>
      </c>
      <c r="G187" s="375"/>
    </row>
    <row r="188" customHeight="1" spans="1:7">
      <c r="A188" s="27">
        <v>56</v>
      </c>
      <c r="B188" s="18" t="s">
        <v>329</v>
      </c>
      <c r="C188" s="12" t="s">
        <v>327</v>
      </c>
      <c r="D188" s="15" t="s">
        <v>328</v>
      </c>
      <c r="E188" s="374">
        <v>100000</v>
      </c>
      <c r="F188" s="84">
        <f t="shared" si="23"/>
        <v>100000</v>
      </c>
      <c r="G188" s="375"/>
    </row>
    <row r="189" customHeight="1" spans="1:7">
      <c r="A189" s="27">
        <v>57</v>
      </c>
      <c r="B189" s="18" t="s">
        <v>330</v>
      </c>
      <c r="C189" s="12" t="s">
        <v>327</v>
      </c>
      <c r="D189" s="15" t="s">
        <v>328</v>
      </c>
      <c r="E189" s="374">
        <v>100000</v>
      </c>
      <c r="F189" s="84">
        <f t="shared" si="23"/>
        <v>100000</v>
      </c>
      <c r="G189" s="375"/>
    </row>
    <row r="190" customHeight="1" spans="1:7">
      <c r="A190" s="27">
        <v>58</v>
      </c>
      <c r="B190" s="18" t="s">
        <v>331</v>
      </c>
      <c r="C190" s="12" t="s">
        <v>332</v>
      </c>
      <c r="D190" s="15" t="s">
        <v>333</v>
      </c>
      <c r="E190" s="374">
        <v>100000</v>
      </c>
      <c r="F190" s="84">
        <f t="shared" si="23"/>
        <v>100000</v>
      </c>
      <c r="G190" s="84"/>
    </row>
    <row r="191" customHeight="1" spans="1:7">
      <c r="A191" s="27">
        <v>59</v>
      </c>
      <c r="B191" s="18" t="s">
        <v>334</v>
      </c>
      <c r="C191" s="12" t="s">
        <v>332</v>
      </c>
      <c r="D191" s="15" t="s">
        <v>333</v>
      </c>
      <c r="E191" s="374">
        <v>100000</v>
      </c>
      <c r="F191" s="84">
        <f t="shared" si="23"/>
        <v>100000</v>
      </c>
      <c r="G191" s="84"/>
    </row>
    <row r="192" customHeight="1" spans="1:7">
      <c r="A192" s="27"/>
      <c r="B192" s="8" t="s">
        <v>96</v>
      </c>
      <c r="C192" s="28" t="s">
        <v>590</v>
      </c>
      <c r="D192" s="29"/>
      <c r="E192" s="91">
        <f>SUM(E133:E191)</f>
        <v>13800000</v>
      </c>
      <c r="F192" s="91">
        <f t="shared" ref="F192:G192" si="24">SUM(F133:F191)</f>
        <v>10400000</v>
      </c>
      <c r="G192" s="91">
        <f t="shared" si="24"/>
        <v>3400000</v>
      </c>
    </row>
    <row r="193" customHeight="1" spans="1:4">
      <c r="A193" s="4"/>
      <c r="B193" s="30"/>
      <c r="C193" s="31"/>
      <c r="D193" s="32"/>
    </row>
    <row r="194" ht="33" customHeight="1" spans="1:7">
      <c r="A194" s="4"/>
      <c r="B194" s="30" t="s">
        <v>336</v>
      </c>
      <c r="C194" s="31">
        <f>C192+C130+C117+C112+C102+C95+C81+C71+C57+C52+J1+C37+C31</f>
        <v>153</v>
      </c>
      <c r="D194" s="31"/>
      <c r="E194" s="376">
        <f>E192+E130+E117+E112+E102+E95+E81+E71+E57+E52+E37+E31</f>
        <v>61550000</v>
      </c>
      <c r="F194" s="376">
        <f t="shared" ref="F194:G194" si="25">F192+F130+F117+F112+F102+F95+F81+F71+F57+F52+F37+F31</f>
        <v>27600000</v>
      </c>
      <c r="G194" s="376">
        <f t="shared" si="25"/>
        <v>33950000</v>
      </c>
    </row>
    <row r="195" customHeight="1" spans="2:7">
      <c r="B195" s="33"/>
      <c r="D195" s="34"/>
      <c r="E195" s="377"/>
      <c r="F195" s="377"/>
      <c r="G195" s="377"/>
    </row>
    <row r="196" ht="36.75" customHeight="1" spans="1:7">
      <c r="A196" s="378"/>
      <c r="B196" s="379"/>
      <c r="C196" s="380"/>
      <c r="D196" s="380"/>
      <c r="E196" s="381"/>
      <c r="F196" s="381"/>
      <c r="G196" s="382"/>
    </row>
    <row r="197" customHeight="1" spans="5:7">
      <c r="E197" s="104"/>
      <c r="F197" s="104"/>
      <c r="G197" s="104"/>
    </row>
    <row r="198" customHeight="1" spans="5:7">
      <c r="E198" s="104"/>
      <c r="F198" s="104"/>
      <c r="G198" s="104"/>
    </row>
    <row r="199" customHeight="1" spans="5:7">
      <c r="E199" s="104"/>
      <c r="F199" s="104"/>
      <c r="G199" s="104"/>
    </row>
    <row r="200" customHeight="1" spans="5:7">
      <c r="E200" s="104"/>
      <c r="F200" s="104"/>
      <c r="G200" s="104"/>
    </row>
    <row r="201" customHeight="1" spans="5:7">
      <c r="E201" s="104"/>
      <c r="F201" s="104"/>
      <c r="G201" s="104"/>
    </row>
    <row r="202" customHeight="1" spans="5:7">
      <c r="E202" s="104"/>
      <c r="F202" s="104"/>
      <c r="G202" s="104"/>
    </row>
    <row r="203" customHeight="1" spans="5:7">
      <c r="E203" s="104"/>
      <c r="F203" s="104"/>
      <c r="G203" s="104"/>
    </row>
    <row r="204" customHeight="1" spans="5:7">
      <c r="E204" s="104"/>
      <c r="F204" s="104"/>
      <c r="G204" s="104"/>
    </row>
    <row r="205" customHeight="1" spans="5:7">
      <c r="E205" s="104"/>
      <c r="F205" s="104"/>
      <c r="G205" s="104"/>
    </row>
    <row r="206" customHeight="1" spans="5:7">
      <c r="E206" s="104"/>
      <c r="F206" s="104"/>
      <c r="G206" s="104"/>
    </row>
    <row r="207" customHeight="1" spans="5:7">
      <c r="E207" s="104"/>
      <c r="F207" s="104"/>
      <c r="G207" s="104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zoomScaleSheetLayoutView="50" workbookViewId="0">
      <pane xSplit="3" ySplit="6" topLeftCell="D7" activePane="bottomRight" state="frozen"/>
      <selection/>
      <selection pane="topRight"/>
      <selection pane="bottomLeft"/>
      <selection pane="bottomRight" activeCell="X12" sqref="X12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30" width="14.2818181818182" style="1" customWidth="1"/>
    <col min="31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1010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1011</v>
      </c>
      <c r="E4" s="80" t="s">
        <v>5</v>
      </c>
      <c r="F4" s="21" t="s">
        <v>643</v>
      </c>
      <c r="G4" s="21" t="s">
        <v>644</v>
      </c>
      <c r="H4" s="80" t="s">
        <v>645</v>
      </c>
      <c r="I4" s="21" t="s">
        <v>646</v>
      </c>
      <c r="J4" s="21" t="s">
        <v>647</v>
      </c>
      <c r="K4" s="21" t="s">
        <v>648</v>
      </c>
      <c r="L4" s="80" t="s">
        <v>7</v>
      </c>
      <c r="M4" s="80" t="s">
        <v>7</v>
      </c>
      <c r="N4" s="21" t="s">
        <v>649</v>
      </c>
      <c r="O4" s="21" t="s">
        <v>649</v>
      </c>
      <c r="P4" s="80" t="s">
        <v>8</v>
      </c>
      <c r="Q4" s="306" t="s">
        <v>472</v>
      </c>
      <c r="R4" s="7" t="s">
        <v>473</v>
      </c>
      <c r="S4" s="306" t="s">
        <v>474</v>
      </c>
      <c r="T4" s="80" t="s">
        <v>475</v>
      </c>
      <c r="U4" s="80" t="s">
        <v>476</v>
      </c>
      <c r="V4" s="80" t="s">
        <v>477</v>
      </c>
      <c r="W4" s="80" t="s">
        <v>478</v>
      </c>
      <c r="X4" s="80" t="s">
        <v>479</v>
      </c>
      <c r="Y4" s="319" t="s">
        <v>480</v>
      </c>
      <c r="Z4" s="320" t="s">
        <v>481</v>
      </c>
      <c r="AA4" s="80" t="s">
        <v>448</v>
      </c>
      <c r="AB4" s="321" t="s">
        <v>482</v>
      </c>
    </row>
    <row r="5" ht="17.25" customHeight="1" spans="3:28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7" t="s">
        <v>19</v>
      </c>
      <c r="T5" s="82"/>
      <c r="U5" s="82" t="s">
        <v>19</v>
      </c>
      <c r="V5" s="82"/>
      <c r="W5" s="308" t="s">
        <v>19</v>
      </c>
      <c r="X5" s="82"/>
      <c r="Y5" s="82"/>
      <c r="Z5" s="230"/>
      <c r="AA5" s="82"/>
      <c r="AB5" s="230"/>
    </row>
    <row r="6" customHeight="1" spans="1:28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30">
      <c r="A7" s="10">
        <v>1</v>
      </c>
      <c r="B7" s="12" t="s">
        <v>1012</v>
      </c>
      <c r="C7" s="1" t="s">
        <v>1013</v>
      </c>
      <c r="D7" s="15" t="s">
        <v>1014</v>
      </c>
      <c r="E7" s="85">
        <v>13492.21</v>
      </c>
      <c r="F7" s="85"/>
      <c r="G7" s="85">
        <f t="shared" ref="G7" si="0">E7*300%</f>
        <v>40476.63</v>
      </c>
      <c r="H7" s="85">
        <f t="shared" ref="H7" si="1">E7*7.5%</f>
        <v>1011.91575</v>
      </c>
      <c r="I7" s="85"/>
      <c r="J7" s="85">
        <f>E7*50%</f>
        <v>6746.105</v>
      </c>
      <c r="K7" s="85">
        <f t="shared" ref="K7" si="2">E7*350%</f>
        <v>47222.735</v>
      </c>
      <c r="L7" s="85">
        <f>E7*100%</f>
        <v>13492.21</v>
      </c>
      <c r="M7" s="220"/>
      <c r="N7" s="220">
        <f>50000</f>
        <v>50000</v>
      </c>
      <c r="O7" s="85">
        <f>E7*10%</f>
        <v>1349.221</v>
      </c>
      <c r="P7" s="85">
        <v>10000</v>
      </c>
      <c r="Q7" s="219">
        <f ca="1">SUM(E7:Q7)</f>
        <v>183791.02675</v>
      </c>
      <c r="R7" s="369" t="s">
        <v>83</v>
      </c>
      <c r="S7" s="219">
        <f>205204.08</f>
        <v>205204.08</v>
      </c>
      <c r="T7" s="85">
        <f>205204.08-183791.03</f>
        <v>21413.05</v>
      </c>
      <c r="U7" s="85"/>
      <c r="V7" s="85"/>
      <c r="W7" s="309">
        <v>18102.9</v>
      </c>
      <c r="X7" s="85">
        <f>21640.88</f>
        <v>21640.88</v>
      </c>
      <c r="Y7" s="85">
        <f>X7-W7</f>
        <v>3537.98</v>
      </c>
      <c r="Z7" s="231">
        <f>T7-Y7</f>
        <v>17875.07</v>
      </c>
      <c r="AA7" s="85">
        <f>8/30</f>
        <v>0.266666666666667</v>
      </c>
      <c r="AB7" s="231">
        <f>Z7*AA7</f>
        <v>4766.68533333333</v>
      </c>
      <c r="AC7" s="13"/>
      <c r="AD7" s="35"/>
    </row>
    <row r="8" ht="26.25" customHeight="1" spans="1:29">
      <c r="A8" s="10"/>
      <c r="B8" s="20" t="s">
        <v>96</v>
      </c>
      <c r="C8" s="21"/>
      <c r="D8" s="15"/>
      <c r="E8" s="221">
        <f t="shared" ref="E8:P8" si="3">SUM(E7:E7)</f>
        <v>13492.21</v>
      </c>
      <c r="F8" s="221">
        <f t="shared" si="3"/>
        <v>0</v>
      </c>
      <c r="G8" s="221">
        <f t="shared" si="3"/>
        <v>40476.63</v>
      </c>
      <c r="H8" s="221">
        <f t="shared" si="3"/>
        <v>1011.91575</v>
      </c>
      <c r="I8" s="221">
        <f t="shared" si="3"/>
        <v>0</v>
      </c>
      <c r="J8" s="221">
        <f t="shared" si="3"/>
        <v>6746.105</v>
      </c>
      <c r="K8" s="221">
        <f t="shared" si="3"/>
        <v>47222.735</v>
      </c>
      <c r="L8" s="221">
        <f t="shared" si="3"/>
        <v>13492.21</v>
      </c>
      <c r="M8" s="221">
        <f t="shared" si="3"/>
        <v>0</v>
      </c>
      <c r="N8" s="221">
        <f t="shared" si="3"/>
        <v>50000</v>
      </c>
      <c r="O8" s="221">
        <f t="shared" si="3"/>
        <v>1349.221</v>
      </c>
      <c r="P8" s="221">
        <f t="shared" si="3"/>
        <v>10000</v>
      </c>
      <c r="Q8" s="348">
        <f>E8+F8+G8+H8+I8+J8+K8+L8+M8+N8+O8+P8</f>
        <v>183791.02675</v>
      </c>
      <c r="R8" s="15"/>
      <c r="S8" s="221">
        <f t="shared" ref="S8:Z8" si="4">SUM(S7:S7)</f>
        <v>205204.08</v>
      </c>
      <c r="T8" s="221">
        <f t="shared" si="4"/>
        <v>21413.05</v>
      </c>
      <c r="U8" s="221">
        <f t="shared" si="4"/>
        <v>0</v>
      </c>
      <c r="V8" s="221">
        <f t="shared" si="4"/>
        <v>0</v>
      </c>
      <c r="W8" s="221">
        <f t="shared" si="4"/>
        <v>18102.9</v>
      </c>
      <c r="X8" s="221">
        <f t="shared" si="4"/>
        <v>21640.88</v>
      </c>
      <c r="Y8" s="221">
        <f t="shared" si="4"/>
        <v>3537.98</v>
      </c>
      <c r="Z8" s="232">
        <f t="shared" si="4"/>
        <v>17875.07</v>
      </c>
      <c r="AA8" s="221"/>
      <c r="AB8" s="232">
        <f>SUM(AB7:AB7)</f>
        <v>4766.68533333333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107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108</v>
      </c>
      <c r="C11" s="4" t="s">
        <v>112</v>
      </c>
      <c r="D11" s="10" t="s">
        <v>36</v>
      </c>
      <c r="E11" s="85">
        <v>33507.5</v>
      </c>
      <c r="F11" s="85"/>
      <c r="G11" s="85">
        <f>E11*300%</f>
        <v>100522.5</v>
      </c>
      <c r="H11" s="85">
        <f>E11*7.5%</f>
        <v>2513.0625</v>
      </c>
      <c r="I11" s="85">
        <v>40122.19</v>
      </c>
      <c r="J11" s="85">
        <f>E11*50%</f>
        <v>16753.75</v>
      </c>
      <c r="K11" s="85">
        <f>E11*350%</f>
        <v>117276.25</v>
      </c>
      <c r="L11" s="85">
        <f>E11*100%</f>
        <v>33507.5</v>
      </c>
      <c r="M11" s="220">
        <f>160000</f>
        <v>160000</v>
      </c>
      <c r="N11" s="220"/>
      <c r="O11" s="85">
        <f>E11*10%</f>
        <v>3350.75</v>
      </c>
      <c r="P11" s="85">
        <v>20000</v>
      </c>
      <c r="Q11" s="219">
        <f ca="1">SUM(E11:Q11)</f>
        <v>527553.5025</v>
      </c>
      <c r="R11" s="369" t="s">
        <v>1015</v>
      </c>
      <c r="S11" s="219">
        <f>'SALARY STRUCTURE'!H19+180000</f>
        <v>604023.333333333</v>
      </c>
      <c r="T11" s="85">
        <f>604023.33-527553.5</f>
        <v>76469.83</v>
      </c>
      <c r="U11" s="85">
        <f>837.69</f>
        <v>837.69</v>
      </c>
      <c r="V11" s="85">
        <f>1028.94</f>
        <v>1028.94</v>
      </c>
      <c r="W11" s="309">
        <f>79956.94</f>
        <v>79956.94</v>
      </c>
      <c r="X11" s="85">
        <f>94639.15</f>
        <v>94639.15</v>
      </c>
      <c r="Y11" s="85">
        <f t="shared" ref="Y11:Y18" si="5">X11-W11</f>
        <v>14682.21</v>
      </c>
      <c r="Z11" s="231">
        <f t="shared" ref="Z11:Z18" si="6">T11-Y11</f>
        <v>61787.62</v>
      </c>
      <c r="AA11" s="85">
        <v>9</v>
      </c>
      <c r="AB11" s="231">
        <f t="shared" ref="AB11:AB18" si="7">Z11*AA11</f>
        <v>556088.58</v>
      </c>
      <c r="AC11" s="13"/>
    </row>
    <row r="12" customHeight="1" spans="1:28">
      <c r="A12" s="10">
        <v>3</v>
      </c>
      <c r="B12" s="11" t="s">
        <v>114</v>
      </c>
      <c r="C12" s="4" t="s">
        <v>46</v>
      </c>
      <c r="D12" s="10" t="s">
        <v>222</v>
      </c>
      <c r="E12" s="85">
        <v>27611.23</v>
      </c>
      <c r="F12" s="85"/>
      <c r="G12" s="85">
        <f t="shared" ref="G12" si="8">E12*300%</f>
        <v>82833.69</v>
      </c>
      <c r="H12" s="85">
        <f t="shared" ref="H12" si="9">E12*7.5%</f>
        <v>2070.84225</v>
      </c>
      <c r="I12" s="85"/>
      <c r="J12" s="85">
        <f t="shared" ref="J12" si="10">E12*50%</f>
        <v>13805.615</v>
      </c>
      <c r="K12" s="85">
        <f t="shared" ref="K12" si="11">E12*350%</f>
        <v>96639.305</v>
      </c>
      <c r="L12" s="85">
        <f t="shared" ref="L12" si="12">E12*100%</f>
        <v>27611.23</v>
      </c>
      <c r="M12" s="220">
        <f t="shared" ref="M12" si="13">140000</f>
        <v>140000</v>
      </c>
      <c r="N12" s="220"/>
      <c r="O12" s="85">
        <f t="shared" ref="O12" si="14">E12*10%</f>
        <v>2761.123</v>
      </c>
      <c r="P12" s="85">
        <v>20000</v>
      </c>
      <c r="Q12" s="219">
        <f ca="1">SUM(E12:Q12)</f>
        <v>413333.03525</v>
      </c>
      <c r="R12" s="369" t="s">
        <v>39</v>
      </c>
      <c r="S12" s="85">
        <f>'SALARY STRUCTURE'!H18+160000</f>
        <v>504720.166666667</v>
      </c>
      <c r="T12" s="85">
        <f>504720.05-413333.04</f>
        <v>91387.01</v>
      </c>
      <c r="U12" s="85">
        <v>0</v>
      </c>
      <c r="V12" s="85"/>
      <c r="W12" s="85">
        <v>57889.8647946667</v>
      </c>
      <c r="X12" s="339">
        <f>75436.17</f>
        <v>75436.17</v>
      </c>
      <c r="Y12" s="85">
        <f t="shared" si="5"/>
        <v>17546.3052053333</v>
      </c>
      <c r="Z12" s="231">
        <f t="shared" si="6"/>
        <v>73840.7047946667</v>
      </c>
      <c r="AA12" s="13">
        <v>0</v>
      </c>
      <c r="AB12" s="335">
        <f t="shared" si="7"/>
        <v>0</v>
      </c>
    </row>
    <row r="13" ht="25.5" customHeight="1" spans="1:29">
      <c r="A13" s="10"/>
      <c r="B13" s="20" t="s">
        <v>96</v>
      </c>
      <c r="C13" s="21"/>
      <c r="D13" s="21"/>
      <c r="E13" s="93">
        <f>SUM(E11:E12)</f>
        <v>61118.73</v>
      </c>
      <c r="F13" s="93">
        <f t="shared" ref="F13:AB13" si="15">SUM(F11:F12)</f>
        <v>0</v>
      </c>
      <c r="G13" s="93">
        <f t="shared" si="15"/>
        <v>183356.19</v>
      </c>
      <c r="H13" s="93">
        <f t="shared" si="15"/>
        <v>4583.90475</v>
      </c>
      <c r="I13" s="93">
        <f t="shared" si="15"/>
        <v>40122.19</v>
      </c>
      <c r="J13" s="93">
        <f t="shared" si="15"/>
        <v>30559.365</v>
      </c>
      <c r="K13" s="93">
        <f t="shared" si="15"/>
        <v>213915.555</v>
      </c>
      <c r="L13" s="93">
        <f t="shared" si="15"/>
        <v>61118.73</v>
      </c>
      <c r="M13" s="93">
        <f t="shared" si="15"/>
        <v>300000</v>
      </c>
      <c r="N13" s="93">
        <f t="shared" si="15"/>
        <v>0</v>
      </c>
      <c r="O13" s="93">
        <f t="shared" si="15"/>
        <v>6111.873</v>
      </c>
      <c r="P13" s="93">
        <f t="shared" si="15"/>
        <v>40000</v>
      </c>
      <c r="Q13" s="93">
        <f ca="1" t="shared" si="15"/>
        <v>61118.73</v>
      </c>
      <c r="R13" s="93">
        <f t="shared" si="15"/>
        <v>0</v>
      </c>
      <c r="S13" s="93">
        <f t="shared" si="15"/>
        <v>1108743.5</v>
      </c>
      <c r="T13" s="93">
        <f t="shared" si="15"/>
        <v>167856.84</v>
      </c>
      <c r="U13" s="93">
        <f t="shared" si="15"/>
        <v>837.69</v>
      </c>
      <c r="V13" s="93">
        <f t="shared" si="15"/>
        <v>1028.94</v>
      </c>
      <c r="W13" s="93">
        <f t="shared" si="15"/>
        <v>137846.804794667</v>
      </c>
      <c r="X13" s="93">
        <f t="shared" si="15"/>
        <v>170075.32</v>
      </c>
      <c r="Y13" s="93">
        <f t="shared" si="15"/>
        <v>32228.5152053333</v>
      </c>
      <c r="Z13" s="93">
        <f t="shared" si="15"/>
        <v>135628.324794667</v>
      </c>
      <c r="AA13" s="93">
        <f t="shared" si="15"/>
        <v>9</v>
      </c>
      <c r="AB13" s="93">
        <f t="shared" si="15"/>
        <v>556088.58</v>
      </c>
      <c r="AC13" s="13"/>
    </row>
    <row r="14" customHeight="1" spans="1:29">
      <c r="A14" s="10"/>
      <c r="B14" s="20"/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ref="T14" si="16">S14-Q14</f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4"/>
      <c r="B15" s="22"/>
      <c r="C15" s="10"/>
      <c r="D15" s="4"/>
      <c r="E15" s="224"/>
      <c r="F15" s="224"/>
      <c r="G15" s="224"/>
      <c r="H15" s="224"/>
      <c r="I15" s="224"/>
      <c r="J15" s="224"/>
      <c r="K15" s="224"/>
      <c r="L15" s="220"/>
      <c r="M15" s="220"/>
      <c r="N15" s="224"/>
      <c r="O15" s="224"/>
      <c r="P15" s="224"/>
      <c r="Q15" s="315"/>
      <c r="R15" s="4"/>
      <c r="S15" s="315"/>
      <c r="T15" s="85"/>
      <c r="U15" s="224"/>
      <c r="V15" s="224"/>
      <c r="W15" s="316"/>
      <c r="X15" s="224"/>
      <c r="Y15" s="85">
        <f t="shared" si="5"/>
        <v>0</v>
      </c>
      <c r="Z15" s="231">
        <f t="shared" si="6"/>
        <v>0</v>
      </c>
      <c r="AA15" s="224"/>
      <c r="AB15" s="231">
        <f t="shared" si="7"/>
        <v>0</v>
      </c>
      <c r="AC15" s="13"/>
    </row>
    <row r="16" customHeight="1" spans="1:29">
      <c r="A16" s="4"/>
      <c r="B16" s="20" t="s">
        <v>213</v>
      </c>
      <c r="C16" s="21"/>
      <c r="D16" s="21"/>
      <c r="E16" s="146"/>
      <c r="F16" s="146"/>
      <c r="G16" s="146"/>
      <c r="H16" s="146"/>
      <c r="I16" s="146"/>
      <c r="J16" s="146"/>
      <c r="K16" s="146"/>
      <c r="L16" s="220"/>
      <c r="M16" s="220"/>
      <c r="N16" s="146"/>
      <c r="O16" s="146"/>
      <c r="P16" s="146"/>
      <c r="Q16" s="312"/>
      <c r="R16" s="21"/>
      <c r="S16" s="312"/>
      <c r="T16" s="85"/>
      <c r="U16" s="146"/>
      <c r="V16" s="146"/>
      <c r="W16" s="313"/>
      <c r="X16" s="146"/>
      <c r="Y16" s="85">
        <f t="shared" si="5"/>
        <v>0</v>
      </c>
      <c r="Z16" s="231">
        <f t="shared" si="6"/>
        <v>0</v>
      </c>
      <c r="AA16" s="146"/>
      <c r="AB16" s="231">
        <f t="shared" si="7"/>
        <v>0</v>
      </c>
      <c r="AC16" s="13"/>
    </row>
    <row r="17" customHeight="1" spans="1:29">
      <c r="A17" s="4">
        <v>3</v>
      </c>
      <c r="B17" s="11" t="s">
        <v>216</v>
      </c>
      <c r="C17" s="12" t="s">
        <v>219</v>
      </c>
      <c r="D17" s="15" t="s">
        <v>36</v>
      </c>
      <c r="E17" s="85">
        <v>33507.5</v>
      </c>
      <c r="F17" s="85"/>
      <c r="G17" s="85">
        <f t="shared" ref="G17:G18" si="17">E17*300%</f>
        <v>100522.5</v>
      </c>
      <c r="H17" s="85">
        <f t="shared" ref="H17:H18" si="18">E17*7.5%</f>
        <v>2513.0625</v>
      </c>
      <c r="I17" s="85">
        <v>40122.19</v>
      </c>
      <c r="J17" s="85">
        <f t="shared" ref="J17:J18" si="19">E17*50%</f>
        <v>16753.75</v>
      </c>
      <c r="K17" s="85">
        <f t="shared" ref="K17:K18" si="20">E17*350%</f>
        <v>117276.25</v>
      </c>
      <c r="L17" s="85">
        <f t="shared" ref="L17:L18" si="21">E17*100%</f>
        <v>33507.5</v>
      </c>
      <c r="M17" s="220">
        <f>80000</f>
        <v>80000</v>
      </c>
      <c r="N17" s="85">
        <f>E17*10%</f>
        <v>3350.75</v>
      </c>
      <c r="O17" s="85">
        <v>20000</v>
      </c>
      <c r="P17" s="85">
        <v>100000</v>
      </c>
      <c r="Q17" s="219">
        <f>SUM(E17:P17)</f>
        <v>547553.5025</v>
      </c>
      <c r="R17" s="369" t="s">
        <v>1015</v>
      </c>
      <c r="S17" s="219">
        <f>'SALARY STRUCTURE'!H19+190000</f>
        <v>614023.333333333</v>
      </c>
      <c r="T17" s="85">
        <f>S17-Q17</f>
        <v>66469.8308333331</v>
      </c>
      <c r="U17" s="85">
        <f>837.69</f>
        <v>837.69</v>
      </c>
      <c r="V17" s="85">
        <f>1028.94</f>
        <v>1028.94</v>
      </c>
      <c r="W17" s="309">
        <f>83626.1</f>
        <v>83626.1</v>
      </c>
      <c r="X17" s="85">
        <f>96398.31</f>
        <v>96398.31</v>
      </c>
      <c r="Y17" s="85">
        <f t="shared" si="5"/>
        <v>12772.21</v>
      </c>
      <c r="Z17" s="231">
        <f t="shared" si="6"/>
        <v>53697.6208333331</v>
      </c>
      <c r="AA17" s="85">
        <v>11</v>
      </c>
      <c r="AB17" s="231">
        <f t="shared" si="7"/>
        <v>590673.829166664</v>
      </c>
      <c r="AC17" s="13"/>
    </row>
    <row r="18" customHeight="1" spans="1:29">
      <c r="A18" s="4"/>
      <c r="B18" s="11" t="s">
        <v>223</v>
      </c>
      <c r="C18" s="12" t="s">
        <v>224</v>
      </c>
      <c r="D18" s="15" t="s">
        <v>52</v>
      </c>
      <c r="E18" s="85">
        <v>25523.45</v>
      </c>
      <c r="F18" s="85"/>
      <c r="G18" s="85">
        <f t="shared" si="17"/>
        <v>76570.35</v>
      </c>
      <c r="H18" s="85">
        <f t="shared" si="18"/>
        <v>1914.25875</v>
      </c>
      <c r="I18" s="85"/>
      <c r="J18" s="85">
        <f t="shared" si="19"/>
        <v>12761.725</v>
      </c>
      <c r="K18" s="85">
        <f t="shared" si="20"/>
        <v>89332.075</v>
      </c>
      <c r="L18" s="85">
        <f t="shared" si="21"/>
        <v>25523.45</v>
      </c>
      <c r="M18" s="220"/>
      <c r="N18" s="220">
        <f t="shared" ref="N18" si="22">70000</f>
        <v>70000</v>
      </c>
      <c r="O18" s="85">
        <f t="shared" ref="O18" si="23">E18*10%</f>
        <v>2552.345</v>
      </c>
      <c r="P18" s="85">
        <v>15000</v>
      </c>
      <c r="Q18" s="219">
        <f ca="1">SUM(E18:Q18)</f>
        <v>319177.65375</v>
      </c>
      <c r="R18" s="10" t="s">
        <v>1016</v>
      </c>
      <c r="S18" s="85">
        <f>'MARCH 2025'!J132</f>
        <v>526622.25</v>
      </c>
      <c r="T18" s="85">
        <f>327211.37-319177.65</f>
        <v>8033.71999999997</v>
      </c>
      <c r="U18" s="85">
        <v>638.09</v>
      </c>
      <c r="V18" s="85">
        <v>690.28</v>
      </c>
      <c r="W18" s="85">
        <v>40684.6</v>
      </c>
      <c r="X18" s="339">
        <v>42034.24</v>
      </c>
      <c r="Y18" s="85">
        <f t="shared" si="5"/>
        <v>1349.64</v>
      </c>
      <c r="Z18" s="231">
        <f t="shared" si="6"/>
        <v>6684.07999999997</v>
      </c>
      <c r="AA18" s="85">
        <v>0</v>
      </c>
      <c r="AB18" s="231">
        <f t="shared" si="7"/>
        <v>0</v>
      </c>
      <c r="AC18" s="13"/>
    </row>
    <row r="19" ht="28.5" customHeight="1" spans="1:29">
      <c r="A19" s="4"/>
      <c r="B19" s="20" t="s">
        <v>96</v>
      </c>
      <c r="C19" s="26"/>
      <c r="D19" s="15"/>
      <c r="E19" s="146">
        <f t="shared" ref="E19:L19" si="24">SUM(E17:E17)</f>
        <v>33507.5</v>
      </c>
      <c r="F19" s="146">
        <f t="shared" si="24"/>
        <v>0</v>
      </c>
      <c r="G19" s="146">
        <f t="shared" si="24"/>
        <v>100522.5</v>
      </c>
      <c r="H19" s="146">
        <f t="shared" si="24"/>
        <v>2513.0625</v>
      </c>
      <c r="I19" s="146">
        <f t="shared" si="24"/>
        <v>40122.19</v>
      </c>
      <c r="J19" s="146">
        <f t="shared" si="24"/>
        <v>16753.75</v>
      </c>
      <c r="K19" s="146">
        <f t="shared" si="24"/>
        <v>117276.25</v>
      </c>
      <c r="L19" s="146">
        <f t="shared" si="24"/>
        <v>33507.5</v>
      </c>
      <c r="M19" s="146" t="e">
        <f>SUM(#REF!)</f>
        <v>#REF!</v>
      </c>
      <c r="N19" s="146">
        <f>SUM(M17:M17)</f>
        <v>80000</v>
      </c>
      <c r="O19" s="146">
        <f>SUM(N17:N17)</f>
        <v>3350.75</v>
      </c>
      <c r="P19" s="146">
        <f>SUM(O17:O17)</f>
        <v>20000</v>
      </c>
      <c r="Q19" s="146">
        <f>SUM(P17:P17)</f>
        <v>100000</v>
      </c>
      <c r="R19" s="15"/>
      <c r="S19" s="146">
        <f t="shared" ref="S19:Z19" si="25">SUM(S17:S17)</f>
        <v>614023.333333333</v>
      </c>
      <c r="T19" s="146">
        <f t="shared" si="25"/>
        <v>66469.8308333331</v>
      </c>
      <c r="U19" s="146">
        <f t="shared" si="25"/>
        <v>837.69</v>
      </c>
      <c r="V19" s="146">
        <f t="shared" si="25"/>
        <v>1028.94</v>
      </c>
      <c r="W19" s="146">
        <f t="shared" si="25"/>
        <v>83626.1</v>
      </c>
      <c r="X19" s="146">
        <f t="shared" si="25"/>
        <v>96398.31</v>
      </c>
      <c r="Y19" s="146">
        <f t="shared" si="25"/>
        <v>12772.21</v>
      </c>
      <c r="Z19" s="233">
        <f t="shared" si="25"/>
        <v>53697.6208333331</v>
      </c>
      <c r="AA19" s="146"/>
      <c r="AB19" s="233">
        <f>SUM(AB17:AB17)</f>
        <v>590673.829166664</v>
      </c>
      <c r="AC19" s="13"/>
    </row>
    <row r="20" ht="18.75" customHeight="1" spans="1:29">
      <c r="A20" s="4"/>
      <c r="B20" s="20"/>
      <c r="C20" s="26"/>
      <c r="D20" s="15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5"/>
      <c r="S20" s="146"/>
      <c r="T20" s="146"/>
      <c r="U20" s="146"/>
      <c r="V20" s="146"/>
      <c r="W20" s="146"/>
      <c r="X20" s="146"/>
      <c r="Y20" s="146"/>
      <c r="Z20" s="233"/>
      <c r="AA20" s="146"/>
      <c r="AB20" s="233"/>
      <c r="AC20" s="13"/>
    </row>
    <row r="21" ht="28.5" customHeight="1" spans="1:29">
      <c r="A21" s="4"/>
      <c r="B21" s="20" t="s">
        <v>213</v>
      </c>
      <c r="C21" s="26"/>
      <c r="D21" s="15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5"/>
      <c r="S21" s="146"/>
      <c r="T21" s="146"/>
      <c r="U21" s="146"/>
      <c r="V21" s="146"/>
      <c r="W21" s="146"/>
      <c r="X21" s="146"/>
      <c r="Y21" s="146"/>
      <c r="Z21" s="233"/>
      <c r="AA21" s="146"/>
      <c r="AB21" s="233"/>
      <c r="AC21" s="13"/>
    </row>
    <row r="22" customHeight="1" spans="1:29">
      <c r="A22" s="27">
        <v>15</v>
      </c>
      <c r="B22" s="11" t="s">
        <v>301</v>
      </c>
      <c r="C22" s="12" t="s">
        <v>308</v>
      </c>
      <c r="D22" s="15" t="s">
        <v>588</v>
      </c>
      <c r="E22" s="85">
        <v>5428.12</v>
      </c>
      <c r="F22" s="85">
        <f t="shared" ref="F22:F24" si="26">E22*300%</f>
        <v>16284.36</v>
      </c>
      <c r="G22" s="85">
        <f t="shared" ref="G22:G24" si="27">E22*7.5%</f>
        <v>407.109</v>
      </c>
      <c r="H22" s="85"/>
      <c r="I22" s="85">
        <f t="shared" ref="I22:I24" si="28">E22*50%</f>
        <v>2714.06</v>
      </c>
      <c r="J22" s="85">
        <f t="shared" ref="J22:J24" si="29">E22*350%</f>
        <v>18998.42</v>
      </c>
      <c r="K22" s="85">
        <f t="shared" ref="K22:K24" si="30">E22*100%</f>
        <v>5428.12</v>
      </c>
      <c r="L22" s="220"/>
      <c r="M22" s="220">
        <f>20000</f>
        <v>20000</v>
      </c>
      <c r="N22" s="85">
        <f t="shared" ref="N22:N24" si="31">E22*10%</f>
        <v>542.812</v>
      </c>
      <c r="O22" s="85">
        <v>5000</v>
      </c>
      <c r="P22" s="85">
        <f>7000</f>
        <v>7000</v>
      </c>
      <c r="Q22" s="219">
        <f t="shared" ref="Q22:Q24" si="32">SUM(E22:P22)</f>
        <v>81803.001</v>
      </c>
      <c r="R22" s="15" t="s">
        <v>303</v>
      </c>
      <c r="S22" s="219" t="e">
        <f>'SALARY STRUCTURE'!#REF!+30000</f>
        <v>#REF!</v>
      </c>
      <c r="T22" s="85" t="e">
        <f t="shared" ref="T22:T24" si="33">S22-Q22</f>
        <v>#REF!</v>
      </c>
      <c r="U22" s="85"/>
      <c r="V22" s="85"/>
      <c r="W22" s="309">
        <v>4365.33075466667</v>
      </c>
      <c r="X22" s="85">
        <f>'[10]October 2023'!$Z$164</f>
        <v>8312.59</v>
      </c>
      <c r="Y22" s="85">
        <f t="shared" ref="Y22:Y24" si="34">X22-W22</f>
        <v>3947.25924533333</v>
      </c>
      <c r="Z22" s="231" t="e">
        <f t="shared" ref="Z22:Z24" si="35">T22-Y22</f>
        <v>#REF!</v>
      </c>
      <c r="AA22" s="85">
        <f>(10/31)+2</f>
        <v>2.32258064516129</v>
      </c>
      <c r="AB22" s="231" t="e">
        <f t="shared" ref="AB22:AB24" si="36">Z22*AA22</f>
        <v>#REF!</v>
      </c>
      <c r="AC22" s="13"/>
    </row>
    <row r="23" s="297" customFormat="1" customHeight="1" spans="1:29">
      <c r="A23" s="300">
        <v>16</v>
      </c>
      <c r="B23" s="301" t="s">
        <v>304</v>
      </c>
      <c r="C23" s="302" t="s">
        <v>308</v>
      </c>
      <c r="D23" s="303" t="s">
        <v>588</v>
      </c>
      <c r="E23" s="62">
        <v>5428.12</v>
      </c>
      <c r="F23" s="62">
        <f t="shared" si="26"/>
        <v>16284.36</v>
      </c>
      <c r="G23" s="62">
        <f t="shared" si="27"/>
        <v>407.109</v>
      </c>
      <c r="H23" s="62"/>
      <c r="I23" s="62">
        <f t="shared" si="28"/>
        <v>2714.06</v>
      </c>
      <c r="J23" s="62">
        <f t="shared" si="29"/>
        <v>18998.42</v>
      </c>
      <c r="K23" s="62">
        <f t="shared" si="30"/>
        <v>5428.12</v>
      </c>
      <c r="L23" s="304"/>
      <c r="M23" s="304">
        <f>20000</f>
        <v>20000</v>
      </c>
      <c r="N23" s="62">
        <f t="shared" si="31"/>
        <v>542.812</v>
      </c>
      <c r="O23" s="62">
        <v>5000</v>
      </c>
      <c r="P23" s="62">
        <f>7000</f>
        <v>7000</v>
      </c>
      <c r="Q23" s="62">
        <f t="shared" si="32"/>
        <v>81803.001</v>
      </c>
      <c r="R23" s="303" t="s">
        <v>303</v>
      </c>
      <c r="S23" s="62" t="e">
        <f>'SALARY STRUCTURE'!#REF!+30000</f>
        <v>#REF!</v>
      </c>
      <c r="T23" s="62" t="e">
        <f t="shared" si="33"/>
        <v>#REF!</v>
      </c>
      <c r="U23" s="62"/>
      <c r="V23" s="62"/>
      <c r="W23" s="317">
        <f>4365.33075466667</f>
        <v>4365.33075466667</v>
      </c>
      <c r="X23" s="62">
        <f>'[10]October 2023'!$Z$164</f>
        <v>8312.59</v>
      </c>
      <c r="Y23" s="62">
        <f t="shared" si="34"/>
        <v>3947.25924533333</v>
      </c>
      <c r="Z23" s="62" t="e">
        <f t="shared" si="35"/>
        <v>#REF!</v>
      </c>
      <c r="AA23" s="62">
        <f>(17/31)+1</f>
        <v>1.54838709677419</v>
      </c>
      <c r="AB23" s="62" t="e">
        <f t="shared" si="36"/>
        <v>#REF!</v>
      </c>
      <c r="AC23" s="324"/>
    </row>
    <row r="24" customHeight="1" spans="1:29">
      <c r="A24" s="27">
        <v>17</v>
      </c>
      <c r="B24" s="18" t="s">
        <v>305</v>
      </c>
      <c r="C24" s="12" t="s">
        <v>308</v>
      </c>
      <c r="D24" s="15" t="s">
        <v>1017</v>
      </c>
      <c r="E24" s="85">
        <f>5598.92</f>
        <v>5598.92</v>
      </c>
      <c r="F24" s="85">
        <f t="shared" si="26"/>
        <v>16796.76</v>
      </c>
      <c r="G24" s="85">
        <f t="shared" si="27"/>
        <v>419.919</v>
      </c>
      <c r="H24" s="85"/>
      <c r="I24" s="85">
        <f t="shared" si="28"/>
        <v>2799.46</v>
      </c>
      <c r="J24" s="85">
        <f t="shared" si="29"/>
        <v>19596.22</v>
      </c>
      <c r="K24" s="85">
        <f t="shared" si="30"/>
        <v>5598.92</v>
      </c>
      <c r="L24" s="220"/>
      <c r="M24" s="220">
        <f>20000</f>
        <v>20000</v>
      </c>
      <c r="N24" s="85">
        <f t="shared" si="31"/>
        <v>559.892</v>
      </c>
      <c r="O24" s="85">
        <v>5000</v>
      </c>
      <c r="P24" s="85">
        <f>7000</f>
        <v>7000</v>
      </c>
      <c r="Q24" s="219">
        <f t="shared" si="32"/>
        <v>83370.091</v>
      </c>
      <c r="R24" s="15" t="s">
        <v>303</v>
      </c>
      <c r="S24" s="219">
        <v>115104.916666667</v>
      </c>
      <c r="T24" s="85">
        <f t="shared" si="33"/>
        <v>31734.825666667</v>
      </c>
      <c r="U24" s="85"/>
      <c r="V24" s="85"/>
      <c r="W24" s="309">
        <v>4504.41092</v>
      </c>
      <c r="X24" s="85">
        <f>'[10]October 2023'!$Z$164</f>
        <v>8312.59</v>
      </c>
      <c r="Y24" s="85">
        <f t="shared" si="34"/>
        <v>3808.17908</v>
      </c>
      <c r="Z24" s="231">
        <f t="shared" si="35"/>
        <v>27926.646586667</v>
      </c>
      <c r="AA24" s="85">
        <v>8</v>
      </c>
      <c r="AB24" s="231">
        <f t="shared" si="36"/>
        <v>223413.172693336</v>
      </c>
      <c r="AC24" s="13"/>
    </row>
    <row r="25" customHeight="1" spans="1:29">
      <c r="A25" s="4"/>
      <c r="B25" s="22"/>
      <c r="C25" s="26"/>
      <c r="D25" s="15"/>
      <c r="E25" s="146"/>
      <c r="F25" s="146"/>
      <c r="G25" s="146"/>
      <c r="H25" s="146"/>
      <c r="I25" s="146"/>
      <c r="J25" s="146"/>
      <c r="K25" s="146"/>
      <c r="L25" s="220">
        <f>226713.38+70000</f>
        <v>296713.38</v>
      </c>
      <c r="M25" s="220"/>
      <c r="N25" s="146"/>
      <c r="O25" s="146"/>
      <c r="P25" s="146"/>
      <c r="Q25" s="312"/>
      <c r="R25" s="15"/>
      <c r="S25" s="312"/>
      <c r="T25" s="85"/>
      <c r="U25" s="146"/>
      <c r="V25" s="146"/>
      <c r="W25" s="313"/>
      <c r="X25" s="146"/>
      <c r="Y25" s="85"/>
      <c r="Z25" s="231"/>
      <c r="AA25" s="146"/>
      <c r="AB25" s="231"/>
      <c r="AC25" s="13"/>
    </row>
    <row r="26" customHeight="1" spans="1:29">
      <c r="A26" s="4"/>
      <c r="B26" s="22"/>
      <c r="C26" s="26"/>
      <c r="D26" s="15"/>
      <c r="E26" s="146"/>
      <c r="F26" s="146"/>
      <c r="G26" s="146"/>
      <c r="H26" s="146"/>
      <c r="I26" s="146"/>
      <c r="J26" s="146"/>
      <c r="K26" s="146"/>
      <c r="L26" s="220"/>
      <c r="M26" s="220"/>
      <c r="N26" s="146"/>
      <c r="O26" s="146"/>
      <c r="P26" s="146"/>
      <c r="Q26" s="312"/>
      <c r="R26" s="15"/>
      <c r="S26" s="312"/>
      <c r="T26" s="85"/>
      <c r="U26" s="146"/>
      <c r="V26" s="146"/>
      <c r="W26" s="313"/>
      <c r="X26" s="146"/>
      <c r="Y26" s="85"/>
      <c r="Z26" s="231"/>
      <c r="AA26" s="146"/>
      <c r="AB26" s="231"/>
      <c r="AC26" s="13"/>
    </row>
    <row r="27" ht="19.5" customHeight="1" spans="1:29">
      <c r="A27" s="4"/>
      <c r="B27" s="30" t="s">
        <v>336</v>
      </c>
      <c r="C27" s="31"/>
      <c r="D27" s="32"/>
      <c r="E27" s="227">
        <f>E19+E13+E8</f>
        <v>108118.44</v>
      </c>
      <c r="F27" s="227">
        <f t="shared" ref="F27:AB27" si="37">F19+F13+F8</f>
        <v>0</v>
      </c>
      <c r="G27" s="227">
        <f t="shared" si="37"/>
        <v>324355.32</v>
      </c>
      <c r="H27" s="227">
        <f t="shared" si="37"/>
        <v>8108.883</v>
      </c>
      <c r="I27" s="227">
        <f t="shared" si="37"/>
        <v>80244.38</v>
      </c>
      <c r="J27" s="227">
        <f t="shared" si="37"/>
        <v>54059.22</v>
      </c>
      <c r="K27" s="227">
        <f t="shared" si="37"/>
        <v>378414.54</v>
      </c>
      <c r="L27" s="227">
        <f t="shared" si="37"/>
        <v>108118.44</v>
      </c>
      <c r="M27" s="227" t="e">
        <f t="shared" si="37"/>
        <v>#REF!</v>
      </c>
      <c r="N27" s="227">
        <f t="shared" si="37"/>
        <v>130000</v>
      </c>
      <c r="O27" s="227">
        <f t="shared" si="37"/>
        <v>10811.844</v>
      </c>
      <c r="P27" s="227">
        <f t="shared" si="37"/>
        <v>70000</v>
      </c>
      <c r="Q27" s="227">
        <f ca="1" t="shared" si="37"/>
        <v>82203.67</v>
      </c>
      <c r="R27" s="227">
        <f t="shared" si="37"/>
        <v>0</v>
      </c>
      <c r="S27" s="227">
        <f t="shared" si="37"/>
        <v>1927970.91333333</v>
      </c>
      <c r="T27" s="227">
        <f t="shared" si="37"/>
        <v>255739.720833333</v>
      </c>
      <c r="U27" s="227">
        <f t="shared" si="37"/>
        <v>1675.38</v>
      </c>
      <c r="V27" s="227">
        <f t="shared" si="37"/>
        <v>2057.88</v>
      </c>
      <c r="W27" s="227">
        <f t="shared" si="37"/>
        <v>239575.804794667</v>
      </c>
      <c r="X27" s="227">
        <f t="shared" si="37"/>
        <v>288114.51</v>
      </c>
      <c r="Y27" s="227">
        <f t="shared" si="37"/>
        <v>48538.7052053333</v>
      </c>
      <c r="Z27" s="227">
        <f t="shared" si="37"/>
        <v>207201.015628</v>
      </c>
      <c r="AA27" s="227">
        <f t="shared" si="37"/>
        <v>9</v>
      </c>
      <c r="AB27" s="227">
        <f t="shared" si="37"/>
        <v>1151529.0945</v>
      </c>
      <c r="AC27" s="13"/>
    </row>
    <row r="28" customHeight="1" spans="2:29">
      <c r="B28" s="33"/>
      <c r="D28" s="34"/>
      <c r="E28" s="34"/>
      <c r="F28" s="34"/>
      <c r="G28" s="34"/>
      <c r="H28" s="34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228"/>
      <c r="U28" s="228"/>
      <c r="V28" s="228"/>
      <c r="W28" s="318"/>
      <c r="X28" s="229"/>
      <c r="Y28" s="229"/>
      <c r="Z28" s="229"/>
      <c r="AA28" s="229"/>
      <c r="AB28" s="229"/>
      <c r="AC28" s="35"/>
    </row>
    <row r="29" ht="36.75" customHeight="1" spans="2:28">
      <c r="B29" s="33"/>
      <c r="C29" s="34"/>
      <c r="D29" s="34"/>
      <c r="E29" s="34"/>
      <c r="F29" s="34"/>
      <c r="G29" s="34"/>
      <c r="H29" s="34"/>
      <c r="I29" s="228"/>
      <c r="J29" s="228"/>
      <c r="K29" s="228"/>
      <c r="L29" s="228"/>
      <c r="M29" s="228"/>
      <c r="N29" s="228"/>
      <c r="O29" s="228"/>
      <c r="Q29" s="228"/>
      <c r="R29" s="228"/>
      <c r="S29" s="228"/>
      <c r="T29" s="228"/>
      <c r="U29" s="228"/>
      <c r="V29" s="228"/>
      <c r="W29" s="318"/>
      <c r="X29" s="229"/>
      <c r="Y29" s="229"/>
      <c r="Z29" s="229"/>
      <c r="AA29" s="229"/>
      <c r="AB29" s="229"/>
    </row>
    <row r="32" customHeight="1" spans="17:20">
      <c r="Q32" s="35"/>
      <c r="R32" s="35"/>
      <c r="S32" s="35"/>
      <c r="T3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F176" sqref="F176"/>
    </sheetView>
  </sheetViews>
  <sheetFormatPr defaultColWidth="9.13636363636364" defaultRowHeight="20.1" customHeight="1" outlineLevelCol="5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1363636363636" style="1" customWidth="1"/>
    <col min="5" max="5" width="21.2818181818182" style="1" customWidth="1"/>
    <col min="6" max="6" width="21.7090909090909" style="1" customWidth="1"/>
    <col min="7" max="7" width="11.5727272727273" style="1" customWidth="1"/>
    <col min="8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1018</v>
      </c>
      <c r="B2" s="257"/>
      <c r="C2" s="236"/>
      <c r="D2" s="236"/>
      <c r="E2" s="236"/>
    </row>
    <row r="3" ht="9.75" customHeight="1" spans="5:5">
      <c r="E3" s="217" t="e">
        <f>'[1]FEB 08'!E11/'[1]FEB 08'!M11</f>
        <v>#REF!</v>
      </c>
    </row>
    <row r="4" ht="49.5" customHeight="1" spans="1:5">
      <c r="A4" s="4"/>
      <c r="B4" s="5" t="s">
        <v>2</v>
      </c>
      <c r="C4" s="6" t="s">
        <v>3</v>
      </c>
      <c r="D4" s="7" t="s">
        <v>4</v>
      </c>
      <c r="E4" s="357" t="s">
        <v>500</v>
      </c>
    </row>
    <row r="5" ht="17.25" customHeight="1" spans="3:5">
      <c r="C5" s="8"/>
      <c r="D5" s="8"/>
      <c r="E5" s="358" t="s">
        <v>19</v>
      </c>
    </row>
    <row r="6" customHeight="1" spans="1:5">
      <c r="A6" s="9" t="s">
        <v>20</v>
      </c>
      <c r="B6" s="8" t="s">
        <v>21</v>
      </c>
      <c r="C6" s="8"/>
      <c r="D6" s="8"/>
      <c r="E6" s="358"/>
    </row>
    <row r="7" customHeight="1" spans="1:6">
      <c r="A7" s="10">
        <v>1</v>
      </c>
      <c r="B7" s="11" t="s">
        <v>22</v>
      </c>
      <c r="C7" s="12" t="s">
        <v>23</v>
      </c>
      <c r="D7" s="12" t="s">
        <v>24</v>
      </c>
      <c r="E7" s="356">
        <v>540000</v>
      </c>
      <c r="F7" s="13"/>
    </row>
    <row r="8" customHeight="1" spans="1:6">
      <c r="A8" s="10">
        <v>2</v>
      </c>
      <c r="B8" s="11" t="s">
        <v>25</v>
      </c>
      <c r="C8" s="12" t="s">
        <v>26</v>
      </c>
      <c r="D8" s="10" t="s">
        <v>27</v>
      </c>
      <c r="E8" s="356">
        <v>180000</v>
      </c>
      <c r="F8" s="13"/>
    </row>
    <row r="9" customHeight="1" spans="1:6">
      <c r="A9" s="10">
        <v>3</v>
      </c>
      <c r="B9" s="14" t="s">
        <v>28</v>
      </c>
      <c r="C9" s="4" t="s">
        <v>29</v>
      </c>
      <c r="D9" s="15" t="s">
        <v>110</v>
      </c>
      <c r="E9" s="356">
        <v>180000</v>
      </c>
      <c r="F9" s="13"/>
    </row>
    <row r="10" customHeight="1" spans="1:6">
      <c r="A10" s="10">
        <v>4</v>
      </c>
      <c r="B10" s="11" t="s">
        <v>30</v>
      </c>
      <c r="C10" s="17" t="s">
        <v>31</v>
      </c>
      <c r="D10" s="16" t="s">
        <v>110</v>
      </c>
      <c r="E10" s="356">
        <v>180000</v>
      </c>
      <c r="F10" s="13"/>
    </row>
    <row r="11" customHeight="1" spans="1:6">
      <c r="A11" s="10">
        <v>5</v>
      </c>
      <c r="B11" s="14" t="s">
        <v>32</v>
      </c>
      <c r="C11" s="4" t="s">
        <v>33</v>
      </c>
      <c r="D11" s="16" t="s">
        <v>110</v>
      </c>
      <c r="E11" s="356">
        <v>180000</v>
      </c>
      <c r="F11" s="13"/>
    </row>
    <row r="12" customHeight="1" spans="1:6">
      <c r="A12" s="10">
        <v>6</v>
      </c>
      <c r="B12" s="18" t="s">
        <v>576</v>
      </c>
      <c r="C12" s="10" t="s">
        <v>577</v>
      </c>
      <c r="D12" s="15" t="s">
        <v>110</v>
      </c>
      <c r="E12" s="356">
        <v>180000</v>
      </c>
      <c r="F12" s="13"/>
    </row>
    <row r="13" customHeight="1" spans="1:6">
      <c r="A13" s="10">
        <v>7</v>
      </c>
      <c r="B13" s="11" t="s">
        <v>34</v>
      </c>
      <c r="C13" s="12" t="s">
        <v>35</v>
      </c>
      <c r="D13" s="15" t="s">
        <v>36</v>
      </c>
      <c r="E13" s="356">
        <v>126000</v>
      </c>
      <c r="F13" s="13"/>
    </row>
    <row r="14" customHeight="1" spans="1:6">
      <c r="A14" s="10">
        <v>8</v>
      </c>
      <c r="B14" s="11" t="s">
        <v>37</v>
      </c>
      <c r="C14" s="4" t="s">
        <v>38</v>
      </c>
      <c r="D14" s="10" t="s">
        <v>39</v>
      </c>
      <c r="E14" s="356">
        <v>126000</v>
      </c>
      <c r="F14" s="13"/>
    </row>
    <row r="15" customHeight="1" spans="1:6">
      <c r="A15" s="10">
        <v>9</v>
      </c>
      <c r="B15" s="11" t="s">
        <v>40</v>
      </c>
      <c r="C15" s="4" t="s">
        <v>41</v>
      </c>
      <c r="D15" s="15" t="s">
        <v>222</v>
      </c>
      <c r="E15" s="356">
        <f>90000</f>
        <v>90000</v>
      </c>
      <c r="F15" s="13"/>
    </row>
    <row r="16" customHeight="1" spans="1:6">
      <c r="A16" s="10">
        <v>10</v>
      </c>
      <c r="B16" s="14" t="s">
        <v>43</v>
      </c>
      <c r="C16" s="17" t="s">
        <v>133</v>
      </c>
      <c r="D16" s="15" t="s">
        <v>148</v>
      </c>
      <c r="E16" s="356">
        <f>90000</f>
        <v>90000</v>
      </c>
      <c r="F16" s="13"/>
    </row>
    <row r="17" customHeight="1" spans="1:5">
      <c r="A17" s="10">
        <v>11</v>
      </c>
      <c r="B17" s="11" t="s">
        <v>48</v>
      </c>
      <c r="C17" s="4" t="s">
        <v>579</v>
      </c>
      <c r="D17" s="10" t="s">
        <v>192</v>
      </c>
      <c r="E17" s="356">
        <f t="shared" ref="E17:E19" si="0">90000</f>
        <v>90000</v>
      </c>
    </row>
    <row r="18" customHeight="1" spans="1:6">
      <c r="A18" s="10">
        <v>12</v>
      </c>
      <c r="B18" s="11" t="s">
        <v>50</v>
      </c>
      <c r="C18" s="12" t="s">
        <v>51</v>
      </c>
      <c r="D18" s="15" t="s">
        <v>1019</v>
      </c>
      <c r="E18" s="356">
        <f t="shared" si="0"/>
        <v>90000</v>
      </c>
      <c r="F18" s="13"/>
    </row>
    <row r="19" customHeight="1" spans="1:6">
      <c r="A19" s="10">
        <v>13</v>
      </c>
      <c r="B19" s="18" t="s">
        <v>53</v>
      </c>
      <c r="C19" s="4" t="s">
        <v>54</v>
      </c>
      <c r="D19" s="15" t="s">
        <v>1020</v>
      </c>
      <c r="E19" s="356">
        <f t="shared" si="0"/>
        <v>90000</v>
      </c>
      <c r="F19" s="13"/>
    </row>
    <row r="20" ht="18.75" customHeight="1" spans="1:6">
      <c r="A20" s="10">
        <v>14</v>
      </c>
      <c r="B20" s="11" t="s">
        <v>60</v>
      </c>
      <c r="C20" s="12" t="s">
        <v>61</v>
      </c>
      <c r="D20" s="15" t="s">
        <v>135</v>
      </c>
      <c r="E20" s="356">
        <v>54000</v>
      </c>
      <c r="F20" s="13"/>
    </row>
    <row r="21" customHeight="1" spans="1:6">
      <c r="A21" s="10">
        <v>15</v>
      </c>
      <c r="B21" s="14" t="s">
        <v>63</v>
      </c>
      <c r="C21" s="17" t="s">
        <v>64</v>
      </c>
      <c r="D21" s="10" t="s">
        <v>65</v>
      </c>
      <c r="E21" s="356">
        <v>54000</v>
      </c>
      <c r="F21" s="13"/>
    </row>
    <row r="22" customHeight="1" spans="1:6">
      <c r="A22" s="10">
        <v>16</v>
      </c>
      <c r="B22" s="14" t="s">
        <v>68</v>
      </c>
      <c r="C22" s="17" t="s">
        <v>69</v>
      </c>
      <c r="D22" s="10" t="s">
        <v>70</v>
      </c>
      <c r="E22" s="356">
        <v>54000</v>
      </c>
      <c r="F22" s="13"/>
    </row>
    <row r="23" ht="18.75" customHeight="1" spans="1:6">
      <c r="A23" s="10">
        <v>17</v>
      </c>
      <c r="B23" s="4" t="s">
        <v>73</v>
      </c>
      <c r="C23" s="4" t="s">
        <v>74</v>
      </c>
      <c r="D23" s="10" t="s">
        <v>80</v>
      </c>
      <c r="E23" s="356">
        <v>54000</v>
      </c>
      <c r="F23" s="13"/>
    </row>
    <row r="24" ht="18.75" customHeight="1" spans="1:6">
      <c r="A24" s="10">
        <v>18</v>
      </c>
      <c r="B24" s="18" t="s">
        <v>76</v>
      </c>
      <c r="C24" s="12" t="s">
        <v>74</v>
      </c>
      <c r="D24" s="15" t="s">
        <v>80</v>
      </c>
      <c r="E24" s="356">
        <v>54000</v>
      </c>
      <c r="F24" s="13"/>
    </row>
    <row r="25" ht="18.75" customHeight="1" spans="1:6">
      <c r="A25" s="10">
        <v>19</v>
      </c>
      <c r="B25" s="18" t="s">
        <v>78</v>
      </c>
      <c r="C25" s="12" t="s">
        <v>79</v>
      </c>
      <c r="D25" s="15" t="s">
        <v>83</v>
      </c>
      <c r="E25" s="356">
        <v>54000</v>
      </c>
      <c r="F25" s="13"/>
    </row>
    <row r="26" ht="18.75" customHeight="1" spans="1:6">
      <c r="A26" s="10">
        <v>20</v>
      </c>
      <c r="B26" s="18" t="s">
        <v>81</v>
      </c>
      <c r="C26" s="4" t="s">
        <v>82</v>
      </c>
      <c r="D26" s="10" t="s">
        <v>83</v>
      </c>
      <c r="E26" s="356">
        <v>54000</v>
      </c>
      <c r="F26" s="13"/>
    </row>
    <row r="27" ht="18.75" customHeight="1" spans="1:6">
      <c r="A27" s="10">
        <v>21</v>
      </c>
      <c r="B27" s="18" t="s">
        <v>85</v>
      </c>
      <c r="C27" s="17" t="s">
        <v>86</v>
      </c>
      <c r="D27" s="15" t="s">
        <v>80</v>
      </c>
      <c r="E27" s="356">
        <v>54000</v>
      </c>
      <c r="F27" s="13"/>
    </row>
    <row r="28" ht="18.75" customHeight="1" spans="1:6">
      <c r="A28" s="10">
        <v>22</v>
      </c>
      <c r="B28" s="18" t="s">
        <v>88</v>
      </c>
      <c r="C28" s="4" t="s">
        <v>89</v>
      </c>
      <c r="D28" s="10" t="s">
        <v>92</v>
      </c>
      <c r="E28" s="356">
        <v>54000</v>
      </c>
      <c r="F28" s="13"/>
    </row>
    <row r="29" ht="18.75" customHeight="1" spans="1:6">
      <c r="A29" s="10">
        <v>23</v>
      </c>
      <c r="B29" s="18" t="s">
        <v>1009</v>
      </c>
      <c r="C29" s="12" t="s">
        <v>91</v>
      </c>
      <c r="D29" s="15" t="s">
        <v>92</v>
      </c>
      <c r="E29" s="356">
        <v>54000</v>
      </c>
      <c r="F29" s="13"/>
    </row>
    <row r="30" ht="18.75" customHeight="1" spans="1:6">
      <c r="A30" s="10">
        <v>24</v>
      </c>
      <c r="B30" s="18" t="s">
        <v>90</v>
      </c>
      <c r="C30" s="12" t="s">
        <v>91</v>
      </c>
      <c r="D30" s="15" t="s">
        <v>95</v>
      </c>
      <c r="E30" s="356">
        <v>54000</v>
      </c>
      <c r="F30" s="13"/>
    </row>
    <row r="31" ht="26.25" customHeight="1" spans="1:6">
      <c r="A31" s="10"/>
      <c r="B31" s="20" t="s">
        <v>96</v>
      </c>
      <c r="C31" s="21">
        <v>24</v>
      </c>
      <c r="D31" s="15"/>
      <c r="E31" s="359">
        <f>SUM(E7:E30)</f>
        <v>2736000</v>
      </c>
      <c r="F31" s="13"/>
    </row>
    <row r="32" ht="18.75" customHeight="1" spans="1:6">
      <c r="A32" s="10"/>
      <c r="B32" s="22"/>
      <c r="C32" s="4"/>
      <c r="D32" s="15"/>
      <c r="E32" s="359"/>
      <c r="F32" s="13"/>
    </row>
    <row r="33" ht="18.75" customHeight="1" spans="1:6">
      <c r="A33" s="10"/>
      <c r="B33" s="20" t="s">
        <v>97</v>
      </c>
      <c r="C33" s="4"/>
      <c r="D33" s="15"/>
      <c r="E33" s="356"/>
      <c r="F33" s="13"/>
    </row>
    <row r="34" ht="18.75" customHeight="1" spans="1:6">
      <c r="A34" s="10">
        <v>1</v>
      </c>
      <c r="B34" s="18" t="s">
        <v>98</v>
      </c>
      <c r="C34" s="4" t="s">
        <v>99</v>
      </c>
      <c r="D34" s="10" t="s">
        <v>100</v>
      </c>
      <c r="E34" s="356">
        <v>270000</v>
      </c>
      <c r="F34" s="13"/>
    </row>
    <row r="35" ht="18.75" customHeight="1" spans="1:6">
      <c r="A35" s="10">
        <v>2</v>
      </c>
      <c r="B35" s="18" t="s">
        <v>101</v>
      </c>
      <c r="C35" s="4" t="s">
        <v>615</v>
      </c>
      <c r="D35" s="10" t="s">
        <v>95</v>
      </c>
      <c r="E35" s="356">
        <v>54000</v>
      </c>
      <c r="F35" s="13"/>
    </row>
    <row r="36" ht="18.75" customHeight="1" spans="1:6">
      <c r="A36" s="10">
        <v>3</v>
      </c>
      <c r="B36" s="11" t="s">
        <v>103</v>
      </c>
      <c r="C36" s="12" t="s">
        <v>612</v>
      </c>
      <c r="D36" s="15" t="s">
        <v>70</v>
      </c>
      <c r="E36" s="356">
        <v>54000</v>
      </c>
      <c r="F36" s="13"/>
    </row>
    <row r="37" ht="19.5" customHeight="1" spans="1:6">
      <c r="A37" s="10"/>
      <c r="B37" s="14"/>
      <c r="C37" s="21">
        <v>3</v>
      </c>
      <c r="D37" s="10"/>
      <c r="E37" s="359">
        <f>SUM(E34:E36)</f>
        <v>378000</v>
      </c>
      <c r="F37" s="13"/>
    </row>
    <row r="38" customHeight="1" spans="1:6">
      <c r="A38" s="10"/>
      <c r="B38" s="14"/>
      <c r="C38" s="4"/>
      <c r="D38" s="10"/>
      <c r="E38" s="359"/>
      <c r="F38" s="13"/>
    </row>
    <row r="39" customHeight="1" spans="1:6">
      <c r="A39" s="10"/>
      <c r="B39" s="23" t="s">
        <v>107</v>
      </c>
      <c r="C39" s="5"/>
      <c r="D39" s="24"/>
      <c r="E39" s="359"/>
      <c r="F39" s="13"/>
    </row>
    <row r="40" customHeight="1" spans="1:6">
      <c r="A40" s="10">
        <v>1</v>
      </c>
      <c r="B40" s="11" t="s">
        <v>501</v>
      </c>
      <c r="C40" s="4" t="s">
        <v>502</v>
      </c>
      <c r="D40" s="10" t="s">
        <v>100</v>
      </c>
      <c r="E40" s="356">
        <v>270000</v>
      </c>
      <c r="F40" s="13"/>
    </row>
    <row r="41" customHeight="1" spans="1:6">
      <c r="A41" s="10">
        <v>2</v>
      </c>
      <c r="B41" s="11" t="s">
        <v>108</v>
      </c>
      <c r="C41" s="4" t="s">
        <v>109</v>
      </c>
      <c r="D41" s="10" t="s">
        <v>1015</v>
      </c>
      <c r="E41" s="356">
        <f>180000</f>
        <v>180000</v>
      </c>
      <c r="F41" s="13"/>
    </row>
    <row r="42" customHeight="1" spans="1:6">
      <c r="A42" s="10">
        <v>3</v>
      </c>
      <c r="B42" s="11" t="s">
        <v>491</v>
      </c>
      <c r="C42" s="4" t="s">
        <v>44</v>
      </c>
      <c r="D42" s="10" t="s">
        <v>36</v>
      </c>
      <c r="E42" s="356">
        <v>126000</v>
      </c>
      <c r="F42" s="13"/>
    </row>
    <row r="43" customHeight="1" spans="1:6">
      <c r="A43" s="10">
        <v>4</v>
      </c>
      <c r="B43" s="11" t="s">
        <v>111</v>
      </c>
      <c r="C43" s="4" t="s">
        <v>112</v>
      </c>
      <c r="D43" s="10" t="s">
        <v>36</v>
      </c>
      <c r="E43" s="356">
        <v>126000</v>
      </c>
      <c r="F43" s="13"/>
    </row>
    <row r="44" customHeight="1" spans="1:6">
      <c r="A44" s="10">
        <v>5</v>
      </c>
      <c r="B44" s="11" t="s">
        <v>113</v>
      </c>
      <c r="C44" s="4" t="s">
        <v>112</v>
      </c>
      <c r="D44" s="10" t="s">
        <v>131</v>
      </c>
      <c r="E44" s="356">
        <v>126000</v>
      </c>
      <c r="F44" s="13"/>
    </row>
    <row r="45" customHeight="1" spans="1:6">
      <c r="A45" s="10">
        <v>6</v>
      </c>
      <c r="B45" s="11" t="s">
        <v>114</v>
      </c>
      <c r="C45" s="4" t="s">
        <v>112</v>
      </c>
      <c r="D45" s="10" t="s">
        <v>39</v>
      </c>
      <c r="E45" s="356">
        <v>126000</v>
      </c>
      <c r="F45" s="13"/>
    </row>
    <row r="46" customHeight="1" spans="1:6">
      <c r="A46" s="10">
        <v>7</v>
      </c>
      <c r="B46" s="14" t="s">
        <v>115</v>
      </c>
      <c r="C46" s="4" t="s">
        <v>133</v>
      </c>
      <c r="D46" s="16" t="s">
        <v>222</v>
      </c>
      <c r="E46" s="356">
        <v>90000</v>
      </c>
      <c r="F46" s="13"/>
    </row>
    <row r="47" customHeight="1" spans="1:6">
      <c r="A47" s="10">
        <v>8</v>
      </c>
      <c r="B47" s="11" t="s">
        <v>45</v>
      </c>
      <c r="C47" s="4" t="s">
        <v>46</v>
      </c>
      <c r="D47" s="10" t="s">
        <v>47</v>
      </c>
      <c r="E47" s="356">
        <v>90000</v>
      </c>
      <c r="F47" s="13"/>
    </row>
    <row r="48" customHeight="1" spans="1:6">
      <c r="A48" s="10">
        <v>9</v>
      </c>
      <c r="B48" s="11" t="s">
        <v>116</v>
      </c>
      <c r="C48" s="4" t="s">
        <v>117</v>
      </c>
      <c r="D48" s="10" t="s">
        <v>70</v>
      </c>
      <c r="E48" s="356">
        <v>54000</v>
      </c>
      <c r="F48" s="13"/>
    </row>
    <row r="49" customHeight="1" spans="1:6">
      <c r="A49" s="10">
        <v>10</v>
      </c>
      <c r="B49" s="11" t="s">
        <v>118</v>
      </c>
      <c r="C49" s="4" t="s">
        <v>117</v>
      </c>
      <c r="D49" s="10" t="s">
        <v>83</v>
      </c>
      <c r="E49" s="356">
        <v>54000</v>
      </c>
      <c r="F49" s="13"/>
    </row>
    <row r="50" customHeight="1" spans="1:6">
      <c r="A50" s="10">
        <v>11</v>
      </c>
      <c r="B50" s="11" t="s">
        <v>580</v>
      </c>
      <c r="C50" s="4" t="s">
        <v>117</v>
      </c>
      <c r="D50" s="10" t="s">
        <v>83</v>
      </c>
      <c r="E50" s="356">
        <v>54000</v>
      </c>
      <c r="F50" s="13"/>
    </row>
    <row r="51" customHeight="1" spans="1:6">
      <c r="A51" s="10">
        <v>12</v>
      </c>
      <c r="B51" s="11" t="s">
        <v>119</v>
      </c>
      <c r="C51" s="4" t="s">
        <v>117</v>
      </c>
      <c r="D51" s="10" t="s">
        <v>83</v>
      </c>
      <c r="E51" s="356">
        <v>54000</v>
      </c>
      <c r="F51" s="13"/>
    </row>
    <row r="52" ht="25.5" customHeight="1" spans="1:6">
      <c r="A52" s="10"/>
      <c r="B52" s="20" t="s">
        <v>96</v>
      </c>
      <c r="C52" s="21">
        <v>12</v>
      </c>
      <c r="D52" s="21"/>
      <c r="E52" s="360">
        <f>SUM(E40:E51)</f>
        <v>1350000</v>
      </c>
      <c r="F52" s="13"/>
    </row>
    <row r="53" customHeight="1" spans="1:6">
      <c r="A53" s="10"/>
      <c r="B53" s="22"/>
      <c r="C53" s="21"/>
      <c r="D53" s="21"/>
      <c r="E53" s="361"/>
      <c r="F53" s="13"/>
    </row>
    <row r="54" customHeight="1" spans="1:6">
      <c r="A54" s="10"/>
      <c r="B54" s="20" t="s">
        <v>120</v>
      </c>
      <c r="C54" s="21"/>
      <c r="D54" s="21"/>
      <c r="E54" s="361"/>
      <c r="F54" s="13"/>
    </row>
    <row r="55" customHeight="1" spans="1:6">
      <c r="A55" s="10">
        <v>1</v>
      </c>
      <c r="B55" s="11" t="s">
        <v>503</v>
      </c>
      <c r="C55" s="12" t="s">
        <v>122</v>
      </c>
      <c r="D55" s="15" t="s">
        <v>100</v>
      </c>
      <c r="E55" s="356">
        <v>270000</v>
      </c>
      <c r="F55" s="13"/>
    </row>
    <row r="56" customHeight="1" spans="1:6">
      <c r="A56" s="10">
        <v>2</v>
      </c>
      <c r="B56" s="11" t="s">
        <v>123</v>
      </c>
      <c r="C56" s="12" t="s">
        <v>124</v>
      </c>
      <c r="D56" s="15" t="s">
        <v>573</v>
      </c>
      <c r="E56" s="356">
        <v>126000</v>
      </c>
      <c r="F56" s="13"/>
    </row>
    <row r="57" customHeight="1" spans="1:6">
      <c r="A57" s="10"/>
      <c r="B57" s="20" t="s">
        <v>96</v>
      </c>
      <c r="C57" s="21">
        <v>2</v>
      </c>
      <c r="D57" s="21"/>
      <c r="E57" s="360">
        <f>SUM(E55:E56)</f>
        <v>396000</v>
      </c>
      <c r="F57" s="13"/>
    </row>
    <row r="58" customHeight="1" spans="1:6">
      <c r="A58" s="10"/>
      <c r="B58" s="20"/>
      <c r="C58" s="21"/>
      <c r="D58" s="21"/>
      <c r="E58" s="361"/>
      <c r="F58" s="13"/>
    </row>
    <row r="59" customHeight="1" spans="1:6">
      <c r="A59" s="10"/>
      <c r="B59" s="20" t="s">
        <v>126</v>
      </c>
      <c r="C59" s="21"/>
      <c r="D59" s="21"/>
      <c r="E59" s="361"/>
      <c r="F59" s="13"/>
    </row>
    <row r="60" customHeight="1" spans="1:6">
      <c r="A60" s="10">
        <v>1</v>
      </c>
      <c r="B60" s="11" t="s">
        <v>127</v>
      </c>
      <c r="C60" s="17" t="s">
        <v>128</v>
      </c>
      <c r="D60" s="10" t="s">
        <v>100</v>
      </c>
      <c r="E60" s="356">
        <v>270000</v>
      </c>
      <c r="F60" s="13"/>
    </row>
    <row r="61" customHeight="1" spans="1:6">
      <c r="A61" s="10">
        <v>2</v>
      </c>
      <c r="B61" s="351" t="s">
        <v>129</v>
      </c>
      <c r="C61" s="17" t="s">
        <v>130</v>
      </c>
      <c r="D61" s="15" t="s">
        <v>1021</v>
      </c>
      <c r="E61" s="356">
        <v>126000</v>
      </c>
      <c r="F61" s="13"/>
    </row>
    <row r="62" customHeight="1" spans="1:6">
      <c r="A62" s="10">
        <v>3</v>
      </c>
      <c r="B62" s="11" t="s">
        <v>132</v>
      </c>
      <c r="C62" s="4" t="s">
        <v>133</v>
      </c>
      <c r="D62" s="10" t="s">
        <v>47</v>
      </c>
      <c r="E62" s="356">
        <v>90000</v>
      </c>
      <c r="F62" s="13"/>
    </row>
    <row r="63" customHeight="1" spans="1:6">
      <c r="A63" s="10">
        <v>4</v>
      </c>
      <c r="B63" s="18" t="s">
        <v>486</v>
      </c>
      <c r="C63" s="17" t="s">
        <v>165</v>
      </c>
      <c r="D63" s="15" t="s">
        <v>1019</v>
      </c>
      <c r="E63" s="356">
        <v>90000</v>
      </c>
      <c r="F63" s="13"/>
    </row>
    <row r="64" customHeight="1" spans="1:6">
      <c r="A64" s="10">
        <v>5</v>
      </c>
      <c r="B64" s="14" t="s">
        <v>519</v>
      </c>
      <c r="C64" s="17" t="s">
        <v>133</v>
      </c>
      <c r="D64" s="15" t="s">
        <v>222</v>
      </c>
      <c r="E64" s="356">
        <v>90000</v>
      </c>
      <c r="F64" s="13"/>
    </row>
    <row r="65" customHeight="1" spans="1:6">
      <c r="A65" s="10">
        <v>7</v>
      </c>
      <c r="B65" s="11" t="s">
        <v>134</v>
      </c>
      <c r="C65" s="4" t="s">
        <v>117</v>
      </c>
      <c r="D65" s="10" t="s">
        <v>65</v>
      </c>
      <c r="E65" s="356">
        <v>54000</v>
      </c>
      <c r="F65" s="13"/>
    </row>
    <row r="66" customHeight="1" spans="1:6">
      <c r="A66" s="10">
        <v>8</v>
      </c>
      <c r="B66" s="11" t="s">
        <v>136</v>
      </c>
      <c r="C66" s="17" t="s">
        <v>67</v>
      </c>
      <c r="D66" s="15" t="s">
        <v>65</v>
      </c>
      <c r="E66" s="356">
        <v>54000</v>
      </c>
      <c r="F66" s="13"/>
    </row>
    <row r="67" customHeight="1" spans="1:6">
      <c r="A67" s="10">
        <v>9</v>
      </c>
      <c r="B67" s="11" t="s">
        <v>137</v>
      </c>
      <c r="C67" s="17" t="s">
        <v>67</v>
      </c>
      <c r="D67" s="15" t="s">
        <v>65</v>
      </c>
      <c r="E67" s="356">
        <v>54000</v>
      </c>
      <c r="F67" s="13"/>
    </row>
    <row r="68" customHeight="1" spans="1:6">
      <c r="A68" s="10">
        <v>10</v>
      </c>
      <c r="B68" s="11" t="s">
        <v>138</v>
      </c>
      <c r="C68" s="4" t="s">
        <v>139</v>
      </c>
      <c r="D68" s="10" t="s">
        <v>135</v>
      </c>
      <c r="E68" s="356">
        <v>54000</v>
      </c>
      <c r="F68" s="13"/>
    </row>
    <row r="69" ht="21.6" customHeight="1" spans="1:5">
      <c r="A69" s="10">
        <v>11</v>
      </c>
      <c r="B69" s="11" t="s">
        <v>140</v>
      </c>
      <c r="C69" s="4" t="s">
        <v>117</v>
      </c>
      <c r="D69" s="10" t="s">
        <v>70</v>
      </c>
      <c r="E69" s="356">
        <v>54000</v>
      </c>
    </row>
    <row r="70" customHeight="1" spans="1:6">
      <c r="A70" s="10">
        <v>12</v>
      </c>
      <c r="B70" s="11" t="s">
        <v>77</v>
      </c>
      <c r="C70" s="17" t="s">
        <v>64</v>
      </c>
      <c r="D70" s="10" t="s">
        <v>80</v>
      </c>
      <c r="E70" s="356">
        <v>54000</v>
      </c>
      <c r="F70" s="13"/>
    </row>
    <row r="71" ht="27" customHeight="1" spans="1:6">
      <c r="A71" s="10"/>
      <c r="B71" s="20" t="s">
        <v>96</v>
      </c>
      <c r="C71" s="21">
        <v>12</v>
      </c>
      <c r="D71" s="21"/>
      <c r="E71" s="360">
        <f>SUM(E60:E70)</f>
        <v>990000</v>
      </c>
      <c r="F71" s="13"/>
    </row>
    <row r="72" customHeight="1" spans="1:6">
      <c r="A72" s="10"/>
      <c r="B72" s="22"/>
      <c r="C72" s="21"/>
      <c r="D72" s="21"/>
      <c r="E72" s="361"/>
      <c r="F72" s="13"/>
    </row>
    <row r="73" customHeight="1" spans="1:6">
      <c r="A73" s="10"/>
      <c r="B73" s="20" t="s">
        <v>141</v>
      </c>
      <c r="C73" s="21"/>
      <c r="D73" s="21"/>
      <c r="E73" s="361"/>
      <c r="F73" s="13"/>
    </row>
    <row r="74" customHeight="1" spans="1:6">
      <c r="A74" s="10">
        <v>1</v>
      </c>
      <c r="B74" s="11" t="s">
        <v>142</v>
      </c>
      <c r="C74" s="4" t="s">
        <v>143</v>
      </c>
      <c r="D74" s="10" t="s">
        <v>100</v>
      </c>
      <c r="E74" s="356">
        <v>270000</v>
      </c>
      <c r="F74" s="13"/>
    </row>
    <row r="75" customHeight="1" spans="1:6">
      <c r="A75" s="10">
        <v>2</v>
      </c>
      <c r="B75" s="14" t="s">
        <v>520</v>
      </c>
      <c r="C75" s="4" t="s">
        <v>572</v>
      </c>
      <c r="D75" s="15" t="s">
        <v>1021</v>
      </c>
      <c r="E75" s="356">
        <v>126000</v>
      </c>
      <c r="F75" s="13"/>
    </row>
    <row r="76" customHeight="1" spans="1:6">
      <c r="A76" s="10">
        <v>3</v>
      </c>
      <c r="B76" s="18" t="s">
        <v>521</v>
      </c>
      <c r="C76" s="12" t="s">
        <v>574</v>
      </c>
      <c r="D76" s="10" t="s">
        <v>573</v>
      </c>
      <c r="E76" s="356">
        <v>126000</v>
      </c>
      <c r="F76" s="13"/>
    </row>
    <row r="77" customHeight="1" spans="1:6">
      <c r="A77" s="10">
        <v>4</v>
      </c>
      <c r="B77" s="11" t="s">
        <v>146</v>
      </c>
      <c r="C77" s="4" t="s">
        <v>147</v>
      </c>
      <c r="D77" s="15" t="s">
        <v>47</v>
      </c>
      <c r="E77" s="356">
        <v>90000</v>
      </c>
      <c r="F77" s="13"/>
    </row>
    <row r="78" customHeight="1" spans="1:6">
      <c r="A78" s="10">
        <v>5</v>
      </c>
      <c r="B78" s="11" t="s">
        <v>149</v>
      </c>
      <c r="C78" s="4" t="s">
        <v>152</v>
      </c>
      <c r="D78" s="10" t="s">
        <v>104</v>
      </c>
      <c r="E78" s="356">
        <v>54000</v>
      </c>
      <c r="F78" s="13"/>
    </row>
    <row r="79" customHeight="1" spans="1:6">
      <c r="A79" s="10">
        <v>6</v>
      </c>
      <c r="B79" s="11" t="s">
        <v>151</v>
      </c>
      <c r="C79" s="4" t="s">
        <v>152</v>
      </c>
      <c r="D79" s="10" t="s">
        <v>83</v>
      </c>
      <c r="E79" s="356">
        <v>54000</v>
      </c>
      <c r="F79" s="13"/>
    </row>
    <row r="80" customHeight="1" spans="1:6">
      <c r="A80" s="10">
        <v>7</v>
      </c>
      <c r="B80" s="11" t="s">
        <v>153</v>
      </c>
      <c r="C80" s="4" t="s">
        <v>154</v>
      </c>
      <c r="D80" s="10" t="s">
        <v>95</v>
      </c>
      <c r="E80" s="356">
        <v>54000</v>
      </c>
      <c r="F80" s="13"/>
    </row>
    <row r="81" customHeight="1" spans="1:6">
      <c r="A81" s="10"/>
      <c r="B81" s="20" t="s">
        <v>96</v>
      </c>
      <c r="C81" s="21">
        <v>7</v>
      </c>
      <c r="D81" s="21"/>
      <c r="E81" s="360">
        <f>SUM(E74:E80)</f>
        <v>774000</v>
      </c>
      <c r="F81" s="13"/>
    </row>
    <row r="82" customHeight="1" spans="1:6">
      <c r="A82" s="10"/>
      <c r="B82" s="20"/>
      <c r="C82" s="21"/>
      <c r="D82" s="21"/>
      <c r="E82" s="361"/>
      <c r="F82" s="13"/>
    </row>
    <row r="83" customHeight="1" spans="1:6">
      <c r="A83" s="10"/>
      <c r="B83" s="20" t="s">
        <v>155</v>
      </c>
      <c r="C83" s="25"/>
      <c r="D83" s="21"/>
      <c r="E83" s="361"/>
      <c r="F83" s="13"/>
    </row>
    <row r="84" customHeight="1" spans="1:6">
      <c r="A84" s="10">
        <v>1</v>
      </c>
      <c r="B84" s="11" t="s">
        <v>156</v>
      </c>
      <c r="C84" s="4" t="s">
        <v>112</v>
      </c>
      <c r="D84" s="10" t="s">
        <v>36</v>
      </c>
      <c r="E84" s="356">
        <v>126000</v>
      </c>
      <c r="F84" s="13"/>
    </row>
    <row r="85" customHeight="1" spans="1:6">
      <c r="A85" s="10">
        <v>2</v>
      </c>
      <c r="B85" s="11" t="s">
        <v>157</v>
      </c>
      <c r="C85" s="4" t="s">
        <v>112</v>
      </c>
      <c r="D85" s="10" t="s">
        <v>36</v>
      </c>
      <c r="E85" s="356">
        <v>126000</v>
      </c>
      <c r="F85" s="13"/>
    </row>
    <row r="86" customHeight="1" spans="1:6">
      <c r="A86" s="10">
        <v>3</v>
      </c>
      <c r="B86" s="14" t="s">
        <v>201</v>
      </c>
      <c r="C86" s="4" t="s">
        <v>112</v>
      </c>
      <c r="D86" s="10" t="s">
        <v>39</v>
      </c>
      <c r="E86" s="356">
        <v>126000</v>
      </c>
      <c r="F86" s="13"/>
    </row>
    <row r="87" customHeight="1" spans="1:6">
      <c r="A87" s="10">
        <v>4</v>
      </c>
      <c r="B87" s="11" t="s">
        <v>158</v>
      </c>
      <c r="C87" s="4" t="s">
        <v>112</v>
      </c>
      <c r="D87" s="10" t="s">
        <v>39</v>
      </c>
      <c r="E87" s="356">
        <v>126000</v>
      </c>
      <c r="F87" s="13"/>
    </row>
    <row r="88" ht="21.6" customHeight="1" spans="1:6">
      <c r="A88" s="10">
        <v>5</v>
      </c>
      <c r="B88" s="11" t="s">
        <v>159</v>
      </c>
      <c r="C88" s="4" t="s">
        <v>483</v>
      </c>
      <c r="D88" s="15" t="s">
        <v>52</v>
      </c>
      <c r="E88" s="356">
        <v>90000</v>
      </c>
      <c r="F88" s="13"/>
    </row>
    <row r="89" ht="21.6" customHeight="1" spans="1:6">
      <c r="A89" s="10">
        <v>6</v>
      </c>
      <c r="B89" s="11" t="s">
        <v>160</v>
      </c>
      <c r="C89" s="12" t="s">
        <v>165</v>
      </c>
      <c r="D89" s="15" t="s">
        <v>1019</v>
      </c>
      <c r="E89" s="356">
        <v>90000</v>
      </c>
      <c r="F89" s="13"/>
    </row>
    <row r="90" ht="21.6" customHeight="1" spans="1:6">
      <c r="A90" s="10">
        <v>7</v>
      </c>
      <c r="B90" s="11" t="s">
        <v>161</v>
      </c>
      <c r="C90" s="12" t="s">
        <v>133</v>
      </c>
      <c r="D90" s="15" t="s">
        <v>162</v>
      </c>
      <c r="E90" s="356">
        <v>90000</v>
      </c>
      <c r="F90" s="13"/>
    </row>
    <row r="91" ht="21.6" customHeight="1" spans="1:6">
      <c r="A91" s="10">
        <v>8</v>
      </c>
      <c r="B91" s="11" t="s">
        <v>163</v>
      </c>
      <c r="C91" s="17" t="s">
        <v>67</v>
      </c>
      <c r="D91" s="15" t="s">
        <v>65</v>
      </c>
      <c r="E91" s="356">
        <v>54000</v>
      </c>
      <c r="F91" s="13"/>
    </row>
    <row r="92" ht="21.6" customHeight="1" spans="1:6">
      <c r="A92" s="10">
        <v>9</v>
      </c>
      <c r="B92" s="11" t="s">
        <v>164</v>
      </c>
      <c r="C92" s="17" t="s">
        <v>67</v>
      </c>
      <c r="D92" s="15" t="s">
        <v>65</v>
      </c>
      <c r="E92" s="356">
        <v>54000</v>
      </c>
      <c r="F92" s="13"/>
    </row>
    <row r="93" ht="21.6" customHeight="1" spans="1:6">
      <c r="A93" s="10">
        <v>10</v>
      </c>
      <c r="B93" s="11" t="s">
        <v>167</v>
      </c>
      <c r="C93" s="4" t="s">
        <v>168</v>
      </c>
      <c r="D93" s="10" t="s">
        <v>70</v>
      </c>
      <c r="E93" s="356">
        <v>54000</v>
      </c>
      <c r="F93" s="13"/>
    </row>
    <row r="94" ht="21.6" customHeight="1" spans="1:6">
      <c r="A94" s="10">
        <v>11</v>
      </c>
      <c r="B94" s="11" t="s">
        <v>169</v>
      </c>
      <c r="C94" s="17" t="s">
        <v>170</v>
      </c>
      <c r="D94" s="15" t="s">
        <v>92</v>
      </c>
      <c r="E94" s="356">
        <v>54000</v>
      </c>
      <c r="F94" s="13"/>
    </row>
    <row r="95" customHeight="1" spans="1:6">
      <c r="A95" s="10"/>
      <c r="B95" s="20" t="s">
        <v>96</v>
      </c>
      <c r="C95" s="21">
        <v>11</v>
      </c>
      <c r="D95" s="21"/>
      <c r="E95" s="360">
        <f>SUM(E84:E94)</f>
        <v>990000</v>
      </c>
      <c r="F95" s="13"/>
    </row>
    <row r="96" customHeight="1" spans="1:6">
      <c r="A96" s="10"/>
      <c r="B96" s="22"/>
      <c r="C96" s="21"/>
      <c r="D96" s="21"/>
      <c r="E96" s="361"/>
      <c r="F96" s="13"/>
    </row>
    <row r="97" customHeight="1" spans="1:6">
      <c r="A97" s="10"/>
      <c r="B97" s="20" t="s">
        <v>172</v>
      </c>
      <c r="C97" s="21"/>
      <c r="D97" s="21"/>
      <c r="E97" s="361"/>
      <c r="F97" s="13"/>
    </row>
    <row r="98" customHeight="1" spans="1:6">
      <c r="A98" s="10">
        <v>1</v>
      </c>
      <c r="B98" s="14" t="s">
        <v>173</v>
      </c>
      <c r="C98" s="4" t="s">
        <v>174</v>
      </c>
      <c r="D98" s="16" t="s">
        <v>110</v>
      </c>
      <c r="E98" s="356">
        <f>180000</f>
        <v>180000</v>
      </c>
      <c r="F98" s="13"/>
    </row>
    <row r="99" customHeight="1" spans="1:6">
      <c r="A99" s="10">
        <v>2</v>
      </c>
      <c r="B99" s="11" t="s">
        <v>176</v>
      </c>
      <c r="C99" s="4" t="s">
        <v>177</v>
      </c>
      <c r="D99" s="15" t="s">
        <v>47</v>
      </c>
      <c r="E99" s="356">
        <v>90000</v>
      </c>
      <c r="F99" s="13"/>
    </row>
    <row r="100" customHeight="1" spans="1:6">
      <c r="A100" s="10">
        <v>3</v>
      </c>
      <c r="B100" s="11" t="s">
        <v>180</v>
      </c>
      <c r="C100" s="4" t="s">
        <v>181</v>
      </c>
      <c r="D100" s="15" t="s">
        <v>135</v>
      </c>
      <c r="E100" s="356">
        <v>54000</v>
      </c>
      <c r="F100" s="13"/>
    </row>
    <row r="101" customHeight="1" spans="1:6">
      <c r="A101" s="10">
        <v>4</v>
      </c>
      <c r="B101" s="11" t="s">
        <v>182</v>
      </c>
      <c r="C101" s="4" t="s">
        <v>183</v>
      </c>
      <c r="D101" s="15" t="s">
        <v>70</v>
      </c>
      <c r="E101" s="356">
        <v>54000</v>
      </c>
      <c r="F101" s="13"/>
    </row>
    <row r="102" customHeight="1" spans="1:6">
      <c r="A102" s="4"/>
      <c r="B102" s="20" t="s">
        <v>96</v>
      </c>
      <c r="C102" s="21">
        <v>4</v>
      </c>
      <c r="D102" s="26"/>
      <c r="E102" s="360">
        <f>SUM(E98:E101)</f>
        <v>378000</v>
      </c>
      <c r="F102" s="13"/>
    </row>
    <row r="103" customHeight="1" spans="1:6">
      <c r="A103" s="4"/>
      <c r="B103" s="22"/>
      <c r="C103" s="21"/>
      <c r="D103" s="26"/>
      <c r="E103" s="361"/>
      <c r="F103" s="13"/>
    </row>
    <row r="104" customHeight="1" spans="1:6">
      <c r="A104" s="4"/>
      <c r="B104" s="20" t="s">
        <v>184</v>
      </c>
      <c r="C104" s="4"/>
      <c r="D104" s="4"/>
      <c r="E104" s="362"/>
      <c r="F104" s="13"/>
    </row>
    <row r="105" customHeight="1" spans="1:6">
      <c r="A105" s="4">
        <v>1</v>
      </c>
      <c r="B105" s="11" t="s">
        <v>185</v>
      </c>
      <c r="C105" s="12" t="s">
        <v>186</v>
      </c>
      <c r="D105" s="15" t="s">
        <v>100</v>
      </c>
      <c r="E105" s="356">
        <v>270000</v>
      </c>
      <c r="F105" s="13"/>
    </row>
    <row r="106" customHeight="1" spans="1:6">
      <c r="A106" s="4">
        <v>2</v>
      </c>
      <c r="B106" s="11" t="s">
        <v>187</v>
      </c>
      <c r="C106" s="4" t="s">
        <v>188</v>
      </c>
      <c r="D106" s="16" t="s">
        <v>110</v>
      </c>
      <c r="E106" s="356">
        <v>180000</v>
      </c>
      <c r="F106" s="13"/>
    </row>
    <row r="107" customHeight="1" spans="1:6">
      <c r="A107" s="4">
        <v>3</v>
      </c>
      <c r="B107" s="11" t="s">
        <v>190</v>
      </c>
      <c r="C107" s="4" t="s">
        <v>191</v>
      </c>
      <c r="D107" s="10" t="s">
        <v>192</v>
      </c>
      <c r="E107" s="356">
        <v>90000</v>
      </c>
      <c r="F107" s="13"/>
    </row>
    <row r="108" customHeight="1" spans="1:6">
      <c r="A108" s="4">
        <v>4</v>
      </c>
      <c r="B108" s="11" t="s">
        <v>193</v>
      </c>
      <c r="C108" s="4" t="s">
        <v>191</v>
      </c>
      <c r="D108" s="10" t="s">
        <v>192</v>
      </c>
      <c r="E108" s="356">
        <v>90000</v>
      </c>
      <c r="F108" s="13"/>
    </row>
    <row r="109" customHeight="1" spans="1:6">
      <c r="A109" s="4">
        <v>5</v>
      </c>
      <c r="B109" s="11" t="s">
        <v>194</v>
      </c>
      <c r="C109" s="4" t="s">
        <v>195</v>
      </c>
      <c r="D109" s="15" t="s">
        <v>198</v>
      </c>
      <c r="E109" s="363">
        <v>54000</v>
      </c>
      <c r="F109" s="13"/>
    </row>
    <row r="110" customHeight="1" spans="1:6">
      <c r="A110" s="4">
        <v>6</v>
      </c>
      <c r="B110" s="18" t="s">
        <v>197</v>
      </c>
      <c r="C110" s="4" t="s">
        <v>195</v>
      </c>
      <c r="D110" s="10" t="s">
        <v>1014</v>
      </c>
      <c r="E110" s="363">
        <v>54000</v>
      </c>
      <c r="F110" s="13"/>
    </row>
    <row r="111" customHeight="1" spans="1:6">
      <c r="A111" s="4">
        <v>7</v>
      </c>
      <c r="B111" s="18" t="s">
        <v>199</v>
      </c>
      <c r="C111" s="4" t="s">
        <v>195</v>
      </c>
      <c r="D111" s="15" t="s">
        <v>92</v>
      </c>
      <c r="E111" s="363">
        <v>54000</v>
      </c>
      <c r="F111" s="13"/>
    </row>
    <row r="112" ht="25.5" customHeight="1" spans="1:6">
      <c r="A112" s="4"/>
      <c r="B112" s="20" t="s">
        <v>96</v>
      </c>
      <c r="C112" s="21">
        <v>7</v>
      </c>
      <c r="D112" s="4"/>
      <c r="E112" s="364">
        <f>SUM(E105:E111)</f>
        <v>792000</v>
      </c>
      <c r="F112" s="13"/>
    </row>
    <row r="113" customHeight="1" spans="1:6">
      <c r="A113" s="4"/>
      <c r="B113" s="20"/>
      <c r="C113" s="21"/>
      <c r="D113" s="4"/>
      <c r="E113" s="364"/>
      <c r="F113" s="13"/>
    </row>
    <row r="114" customHeight="1" spans="1:6">
      <c r="A114" s="10"/>
      <c r="B114" s="20" t="s">
        <v>200</v>
      </c>
      <c r="C114" s="21"/>
      <c r="D114" s="21"/>
      <c r="E114" s="361"/>
      <c r="F114" s="13"/>
    </row>
    <row r="115" ht="18.75" customHeight="1" spans="1:6">
      <c r="A115" s="10">
        <v>1</v>
      </c>
      <c r="B115" s="11" t="s">
        <v>202</v>
      </c>
      <c r="C115" s="4" t="s">
        <v>203</v>
      </c>
      <c r="D115" s="15" t="s">
        <v>135</v>
      </c>
      <c r="E115" s="356">
        <v>54000</v>
      </c>
      <c r="F115" s="13"/>
    </row>
    <row r="116" customHeight="1" spans="1:6">
      <c r="A116" s="10">
        <v>2</v>
      </c>
      <c r="B116" s="11" t="s">
        <v>204</v>
      </c>
      <c r="C116" s="12" t="s">
        <v>581</v>
      </c>
      <c r="D116" s="15" t="s">
        <v>62</v>
      </c>
      <c r="E116" s="356">
        <v>54000</v>
      </c>
      <c r="F116" s="13"/>
    </row>
    <row r="117" ht="24.75" customHeight="1" spans="1:6">
      <c r="A117" s="4"/>
      <c r="B117" s="20" t="s">
        <v>96</v>
      </c>
      <c r="C117" s="21">
        <v>2</v>
      </c>
      <c r="D117" s="26"/>
      <c r="E117" s="360">
        <f>SUM(E115:E116)</f>
        <v>108000</v>
      </c>
      <c r="F117" s="13"/>
    </row>
    <row r="118" customHeight="1" spans="1:6">
      <c r="A118" s="4"/>
      <c r="B118" s="22"/>
      <c r="C118" s="10"/>
      <c r="D118" s="4"/>
      <c r="E118" s="365"/>
      <c r="F118" s="13"/>
    </row>
    <row r="119" customHeight="1" spans="1:6">
      <c r="A119" s="4"/>
      <c r="B119" s="20" t="s">
        <v>213</v>
      </c>
      <c r="C119" s="21"/>
      <c r="D119" s="21"/>
      <c r="E119" s="361"/>
      <c r="F119" s="13"/>
    </row>
    <row r="120" customHeight="1" spans="1:6">
      <c r="A120" s="4">
        <v>1</v>
      </c>
      <c r="B120" s="11" t="s">
        <v>214</v>
      </c>
      <c r="C120" s="12" t="s">
        <v>215</v>
      </c>
      <c r="D120" s="15" t="s">
        <v>100</v>
      </c>
      <c r="E120" s="356">
        <f>270000</f>
        <v>270000</v>
      </c>
      <c r="F120" s="13"/>
    </row>
    <row r="121" customHeight="1" spans="1:6">
      <c r="A121" s="4">
        <v>2</v>
      </c>
      <c r="B121" s="11" t="s">
        <v>216</v>
      </c>
      <c r="C121" s="12" t="s">
        <v>217</v>
      </c>
      <c r="D121" s="15" t="s">
        <v>1015</v>
      </c>
      <c r="E121" s="356">
        <v>180000</v>
      </c>
      <c r="F121" s="13"/>
    </row>
    <row r="122" customHeight="1" spans="1:6">
      <c r="A122" s="4">
        <v>3</v>
      </c>
      <c r="B122" s="14" t="s">
        <v>218</v>
      </c>
      <c r="C122" s="12" t="s">
        <v>219</v>
      </c>
      <c r="D122" s="15" t="s">
        <v>36</v>
      </c>
      <c r="E122" s="356">
        <v>126000</v>
      </c>
      <c r="F122" s="13"/>
    </row>
    <row r="123" customHeight="1" spans="1:6">
      <c r="A123" s="4">
        <v>4</v>
      </c>
      <c r="B123" s="14" t="s">
        <v>523</v>
      </c>
      <c r="C123" s="12" t="s">
        <v>219</v>
      </c>
      <c r="D123" s="15" t="s">
        <v>39</v>
      </c>
      <c r="E123" s="356">
        <v>126000</v>
      </c>
      <c r="F123" s="13"/>
    </row>
    <row r="124" customHeight="1" spans="1:6">
      <c r="A124" s="4">
        <v>5</v>
      </c>
      <c r="B124" s="11" t="s">
        <v>220</v>
      </c>
      <c r="C124" s="12" t="s">
        <v>221</v>
      </c>
      <c r="D124" s="15" t="s">
        <v>148</v>
      </c>
      <c r="E124" s="356">
        <v>90000</v>
      </c>
      <c r="F124" s="13"/>
    </row>
    <row r="125" customHeight="1" spans="1:6">
      <c r="A125" s="4">
        <v>6</v>
      </c>
      <c r="B125" s="11" t="s">
        <v>223</v>
      </c>
      <c r="C125" s="12" t="s">
        <v>224</v>
      </c>
      <c r="D125" s="15" t="s">
        <v>47</v>
      </c>
      <c r="E125" s="356">
        <v>90000</v>
      </c>
      <c r="F125" s="13"/>
    </row>
    <row r="126" customHeight="1" spans="1:6">
      <c r="A126" s="4">
        <v>7</v>
      </c>
      <c r="B126" s="11" t="s">
        <v>225</v>
      </c>
      <c r="C126" s="12" t="s">
        <v>221</v>
      </c>
      <c r="D126" s="15" t="s">
        <v>47</v>
      </c>
      <c r="E126" s="356">
        <v>90000</v>
      </c>
      <c r="F126" s="13"/>
    </row>
    <row r="127" customHeight="1" spans="1:6">
      <c r="A127" s="4">
        <v>8</v>
      </c>
      <c r="B127" s="11" t="s">
        <v>226</v>
      </c>
      <c r="C127" s="12" t="s">
        <v>227</v>
      </c>
      <c r="D127" s="10" t="s">
        <v>80</v>
      </c>
      <c r="E127" s="356">
        <v>54000</v>
      </c>
      <c r="F127" s="13"/>
    </row>
    <row r="128" customHeight="1" spans="1:6">
      <c r="A128" s="4">
        <v>9</v>
      </c>
      <c r="B128" s="18" t="s">
        <v>228</v>
      </c>
      <c r="C128" s="12" t="s">
        <v>229</v>
      </c>
      <c r="D128" s="15" t="s">
        <v>95</v>
      </c>
      <c r="E128" s="356">
        <v>54000</v>
      </c>
      <c r="F128" s="13"/>
    </row>
    <row r="129" customHeight="1" spans="1:6">
      <c r="A129" s="4">
        <v>10</v>
      </c>
      <c r="B129" s="18" t="s">
        <v>230</v>
      </c>
      <c r="C129" s="12" t="s">
        <v>231</v>
      </c>
      <c r="D129" s="15" t="s">
        <v>95</v>
      </c>
      <c r="E129" s="356">
        <v>54000</v>
      </c>
      <c r="F129" s="13"/>
    </row>
    <row r="130" ht="28.5" customHeight="1" spans="1:6">
      <c r="A130" s="4"/>
      <c r="B130" s="20" t="s">
        <v>96</v>
      </c>
      <c r="C130" s="26" t="s">
        <v>233</v>
      </c>
      <c r="D130" s="15"/>
      <c r="E130" s="361">
        <f>SUM(E120:E129)</f>
        <v>1134000</v>
      </c>
      <c r="F130" s="13"/>
    </row>
    <row r="131" customHeight="1" spans="1:6">
      <c r="A131" s="4"/>
      <c r="B131" s="22"/>
      <c r="C131" s="26"/>
      <c r="D131" s="15"/>
      <c r="E131" s="361"/>
      <c r="F131" s="13"/>
    </row>
    <row r="132" customHeight="1" spans="1:6">
      <c r="A132" s="4"/>
      <c r="B132" s="20" t="s">
        <v>234</v>
      </c>
      <c r="C132" s="12"/>
      <c r="D132" s="15"/>
      <c r="E132" s="356"/>
      <c r="F132" s="13"/>
    </row>
    <row r="133" customHeight="1" spans="1:6">
      <c r="A133" s="27">
        <v>1</v>
      </c>
      <c r="B133" s="11" t="s">
        <v>235</v>
      </c>
      <c r="C133" s="12" t="s">
        <v>236</v>
      </c>
      <c r="D133" s="15" t="s">
        <v>100</v>
      </c>
      <c r="E133" s="356">
        <f>270000</f>
        <v>270000</v>
      </c>
      <c r="F133" s="13"/>
    </row>
    <row r="134" customHeight="1" spans="1:6">
      <c r="A134" s="27">
        <v>2</v>
      </c>
      <c r="B134" s="11" t="s">
        <v>524</v>
      </c>
      <c r="C134" s="12" t="s">
        <v>575</v>
      </c>
      <c r="D134" s="15" t="s">
        <v>189</v>
      </c>
      <c r="E134" s="356">
        <v>180000</v>
      </c>
      <c r="F134" s="13"/>
    </row>
    <row r="135" customHeight="1" spans="1:6">
      <c r="A135" s="27">
        <v>3</v>
      </c>
      <c r="B135" s="14" t="s">
        <v>237</v>
      </c>
      <c r="C135" s="4" t="s">
        <v>238</v>
      </c>
      <c r="D135" s="16" t="s">
        <v>110</v>
      </c>
      <c r="E135" s="356">
        <v>180000</v>
      </c>
      <c r="F135" s="13"/>
    </row>
    <row r="136" customHeight="1" spans="1:6">
      <c r="A136" s="27">
        <v>4</v>
      </c>
      <c r="B136" s="11" t="s">
        <v>239</v>
      </c>
      <c r="C136" s="12" t="s">
        <v>582</v>
      </c>
      <c r="D136" s="15" t="s">
        <v>222</v>
      </c>
      <c r="E136" s="356">
        <v>90000</v>
      </c>
      <c r="F136" s="13"/>
    </row>
    <row r="137" customHeight="1" spans="1:6">
      <c r="A137" s="27">
        <v>5</v>
      </c>
      <c r="B137" s="11" t="s">
        <v>241</v>
      </c>
      <c r="C137" s="4" t="s">
        <v>583</v>
      </c>
      <c r="D137" s="15" t="s">
        <v>222</v>
      </c>
      <c r="E137" s="356">
        <v>90000</v>
      </c>
      <c r="F137" s="13"/>
    </row>
    <row r="138" customHeight="1" spans="1:6">
      <c r="A138" s="27">
        <v>6</v>
      </c>
      <c r="B138" s="11" t="s">
        <v>243</v>
      </c>
      <c r="C138" s="4" t="s">
        <v>583</v>
      </c>
      <c r="D138" s="15" t="s">
        <v>222</v>
      </c>
      <c r="E138" s="356">
        <v>90000</v>
      </c>
      <c r="F138" s="13"/>
    </row>
    <row r="139" customHeight="1" spans="1:6">
      <c r="A139" s="27">
        <v>7</v>
      </c>
      <c r="B139" s="11" t="s">
        <v>178</v>
      </c>
      <c r="C139" s="12" t="s">
        <v>584</v>
      </c>
      <c r="D139" s="15" t="s">
        <v>62</v>
      </c>
      <c r="E139" s="356">
        <v>54000</v>
      </c>
      <c r="F139" s="13"/>
    </row>
    <row r="140" customHeight="1" spans="1:6">
      <c r="A140" s="27">
        <v>8</v>
      </c>
      <c r="B140" s="11" t="s">
        <v>244</v>
      </c>
      <c r="C140" s="12" t="s">
        <v>584</v>
      </c>
      <c r="D140" s="15" t="s">
        <v>62</v>
      </c>
      <c r="E140" s="356">
        <v>54000</v>
      </c>
      <c r="F140" s="13"/>
    </row>
    <row r="141" customHeight="1" spans="1:6">
      <c r="A141" s="27">
        <v>9</v>
      </c>
      <c r="B141" s="11" t="s">
        <v>245</v>
      </c>
      <c r="C141" s="4" t="s">
        <v>585</v>
      </c>
      <c r="D141" s="15" t="s">
        <v>62</v>
      </c>
      <c r="E141" s="356">
        <v>54000</v>
      </c>
      <c r="F141" s="13"/>
    </row>
    <row r="142" customHeight="1" spans="1:6">
      <c r="A142" s="27">
        <v>10</v>
      </c>
      <c r="B142" s="11" t="s">
        <v>247</v>
      </c>
      <c r="C142" s="12" t="s">
        <v>248</v>
      </c>
      <c r="D142" s="15" t="s">
        <v>135</v>
      </c>
      <c r="E142" s="356">
        <v>54000</v>
      </c>
      <c r="F142" s="13"/>
    </row>
    <row r="143" customHeight="1" spans="1:6">
      <c r="A143" s="27">
        <v>11</v>
      </c>
      <c r="B143" s="11" t="s">
        <v>249</v>
      </c>
      <c r="C143" s="12" t="s">
        <v>250</v>
      </c>
      <c r="D143" s="15" t="s">
        <v>65</v>
      </c>
      <c r="E143" s="356">
        <v>54000</v>
      </c>
      <c r="F143" s="13"/>
    </row>
    <row r="144" customHeight="1" spans="1:6">
      <c r="A144" s="27">
        <v>12</v>
      </c>
      <c r="B144" s="11" t="s">
        <v>251</v>
      </c>
      <c r="C144" s="12" t="s">
        <v>252</v>
      </c>
      <c r="D144" s="15" t="s">
        <v>62</v>
      </c>
      <c r="E144" s="356">
        <v>54000</v>
      </c>
      <c r="F144" s="13"/>
    </row>
    <row r="145" customHeight="1" spans="1:6">
      <c r="A145" s="27">
        <v>13</v>
      </c>
      <c r="B145" s="18" t="s">
        <v>254</v>
      </c>
      <c r="C145" s="4" t="s">
        <v>255</v>
      </c>
      <c r="D145" s="15" t="s">
        <v>65</v>
      </c>
      <c r="E145" s="356">
        <v>54000</v>
      </c>
      <c r="F145" s="13"/>
    </row>
    <row r="146" customHeight="1" spans="1:6">
      <c r="A146" s="27">
        <v>14</v>
      </c>
      <c r="B146" s="11" t="s">
        <v>256</v>
      </c>
      <c r="C146" s="4" t="s">
        <v>586</v>
      </c>
      <c r="D146" s="15" t="s">
        <v>104</v>
      </c>
      <c r="E146" s="356">
        <v>54000</v>
      </c>
      <c r="F146" s="13"/>
    </row>
    <row r="147" customHeight="1" spans="1:6">
      <c r="A147" s="27">
        <v>15</v>
      </c>
      <c r="B147" s="11" t="s">
        <v>257</v>
      </c>
      <c r="C147" s="4" t="s">
        <v>586</v>
      </c>
      <c r="D147" s="15" t="s">
        <v>265</v>
      </c>
      <c r="E147" s="356">
        <v>54000</v>
      </c>
      <c r="F147" s="13"/>
    </row>
    <row r="148" customHeight="1" spans="1:6">
      <c r="A148" s="27">
        <v>16</v>
      </c>
      <c r="B148" s="11" t="s">
        <v>258</v>
      </c>
      <c r="C148" s="4" t="s">
        <v>586</v>
      </c>
      <c r="D148" s="15" t="s">
        <v>265</v>
      </c>
      <c r="E148" s="356">
        <v>54000</v>
      </c>
      <c r="F148" s="13"/>
    </row>
    <row r="149" customHeight="1" spans="1:6">
      <c r="A149" s="27">
        <v>17</v>
      </c>
      <c r="B149" s="11" t="s">
        <v>259</v>
      </c>
      <c r="C149" s="12" t="s">
        <v>260</v>
      </c>
      <c r="D149" s="15" t="s">
        <v>70</v>
      </c>
      <c r="E149" s="356">
        <v>54000</v>
      </c>
      <c r="F149" s="13"/>
    </row>
    <row r="150" customHeight="1" spans="1:6">
      <c r="A150" s="27">
        <v>18</v>
      </c>
      <c r="B150" s="11" t="s">
        <v>1022</v>
      </c>
      <c r="C150" s="12" t="s">
        <v>262</v>
      </c>
      <c r="D150" s="10" t="s">
        <v>83</v>
      </c>
      <c r="E150" s="356">
        <v>54000</v>
      </c>
      <c r="F150" s="13"/>
    </row>
    <row r="151" customHeight="1" spans="1:6">
      <c r="A151" s="27">
        <v>19</v>
      </c>
      <c r="B151" s="11" t="s">
        <v>263</v>
      </c>
      <c r="C151" s="12" t="s">
        <v>264</v>
      </c>
      <c r="D151" s="15" t="s">
        <v>104</v>
      </c>
      <c r="E151" s="356">
        <v>54000</v>
      </c>
      <c r="F151" s="13"/>
    </row>
    <row r="152" customHeight="1" spans="1:6">
      <c r="A152" s="27">
        <v>20</v>
      </c>
      <c r="B152" s="11" t="s">
        <v>266</v>
      </c>
      <c r="C152" s="12" t="s">
        <v>267</v>
      </c>
      <c r="D152" s="15" t="s">
        <v>80</v>
      </c>
      <c r="E152" s="356">
        <v>54000</v>
      </c>
      <c r="F152" s="13"/>
    </row>
    <row r="153" customHeight="1" spans="1:6">
      <c r="A153" s="27">
        <v>21</v>
      </c>
      <c r="B153" s="11" t="s">
        <v>268</v>
      </c>
      <c r="C153" s="12" t="s">
        <v>269</v>
      </c>
      <c r="D153" s="15" t="s">
        <v>104</v>
      </c>
      <c r="E153" s="356">
        <v>54000</v>
      </c>
      <c r="F153" s="13"/>
    </row>
    <row r="154" customHeight="1" spans="1:6">
      <c r="A154" s="27">
        <v>22</v>
      </c>
      <c r="B154" s="11" t="s">
        <v>270</v>
      </c>
      <c r="C154" s="12" t="s">
        <v>271</v>
      </c>
      <c r="D154" s="15" t="s">
        <v>80</v>
      </c>
      <c r="E154" s="356">
        <v>54000</v>
      </c>
      <c r="F154" s="13"/>
    </row>
    <row r="155" customHeight="1" spans="1:6">
      <c r="A155" s="27">
        <v>23</v>
      </c>
      <c r="B155" s="18" t="s">
        <v>272</v>
      </c>
      <c r="C155" s="12" t="s">
        <v>273</v>
      </c>
      <c r="D155" s="15" t="s">
        <v>83</v>
      </c>
      <c r="E155" s="356">
        <v>54000</v>
      </c>
      <c r="F155" s="13"/>
    </row>
    <row r="156" customHeight="1" spans="1:6">
      <c r="A156" s="27">
        <v>24</v>
      </c>
      <c r="B156" s="18" t="s">
        <v>275</v>
      </c>
      <c r="C156" s="12" t="s">
        <v>276</v>
      </c>
      <c r="D156" s="15" t="s">
        <v>95</v>
      </c>
      <c r="E156" s="356">
        <v>54000</v>
      </c>
      <c r="F156" s="13"/>
    </row>
    <row r="157" customHeight="1" spans="1:6">
      <c r="A157" s="27">
        <v>25</v>
      </c>
      <c r="B157" s="18" t="s">
        <v>277</v>
      </c>
      <c r="C157" s="12" t="s">
        <v>278</v>
      </c>
      <c r="D157" s="15" t="s">
        <v>95</v>
      </c>
      <c r="E157" s="356">
        <v>54000</v>
      </c>
      <c r="F157" s="13"/>
    </row>
    <row r="158" customHeight="1" spans="1:6">
      <c r="A158" s="27">
        <v>26</v>
      </c>
      <c r="B158" s="18" t="s">
        <v>279</v>
      </c>
      <c r="C158" s="12" t="s">
        <v>280</v>
      </c>
      <c r="D158" s="15" t="s">
        <v>95</v>
      </c>
      <c r="E158" s="356">
        <v>54000</v>
      </c>
      <c r="F158" s="13"/>
    </row>
    <row r="159" customHeight="1" spans="1:6">
      <c r="A159" s="27">
        <v>27</v>
      </c>
      <c r="B159" s="18" t="s">
        <v>281</v>
      </c>
      <c r="C159" s="12" t="s">
        <v>282</v>
      </c>
      <c r="D159" s="15" t="s">
        <v>92</v>
      </c>
      <c r="E159" s="356">
        <v>54000</v>
      </c>
      <c r="F159" s="13"/>
    </row>
    <row r="160" customHeight="1" spans="1:6">
      <c r="A160" s="27">
        <v>28</v>
      </c>
      <c r="B160" s="18" t="s">
        <v>283</v>
      </c>
      <c r="C160" s="12" t="s">
        <v>278</v>
      </c>
      <c r="D160" s="15" t="s">
        <v>95</v>
      </c>
      <c r="E160" s="356">
        <v>54000</v>
      </c>
      <c r="F160" s="13"/>
    </row>
    <row r="161" customHeight="1" spans="1:6">
      <c r="A161" s="27">
        <v>29</v>
      </c>
      <c r="B161" s="11" t="s">
        <v>287</v>
      </c>
      <c r="C161" s="12" t="s">
        <v>288</v>
      </c>
      <c r="D161" s="15" t="s">
        <v>295</v>
      </c>
      <c r="E161" s="366">
        <v>36000</v>
      </c>
      <c r="F161" s="13"/>
    </row>
    <row r="162" customHeight="1" spans="1:6">
      <c r="A162" s="27">
        <v>30</v>
      </c>
      <c r="B162" s="11" t="s">
        <v>290</v>
      </c>
      <c r="C162" s="12" t="s">
        <v>288</v>
      </c>
      <c r="D162" s="15" t="s">
        <v>295</v>
      </c>
      <c r="E162" s="366">
        <v>36000</v>
      </c>
      <c r="F162" s="13"/>
    </row>
    <row r="163" customHeight="1" spans="1:6">
      <c r="A163" s="27">
        <v>31</v>
      </c>
      <c r="B163" s="11" t="s">
        <v>291</v>
      </c>
      <c r="C163" s="12" t="s">
        <v>288</v>
      </c>
      <c r="D163" s="15" t="s">
        <v>295</v>
      </c>
      <c r="E163" s="366">
        <v>36000</v>
      </c>
      <c r="F163" s="13"/>
    </row>
    <row r="164" customHeight="1" spans="1:6">
      <c r="A164" s="27">
        <v>32</v>
      </c>
      <c r="B164" s="11" t="s">
        <v>292</v>
      </c>
      <c r="C164" s="12" t="s">
        <v>288</v>
      </c>
      <c r="D164" s="15" t="s">
        <v>295</v>
      </c>
      <c r="E164" s="366">
        <v>36000</v>
      </c>
      <c r="F164" s="13"/>
    </row>
    <row r="165" customHeight="1" spans="1:6">
      <c r="A165" s="27">
        <v>33</v>
      </c>
      <c r="B165" s="11" t="s">
        <v>293</v>
      </c>
      <c r="C165" s="12" t="s">
        <v>288</v>
      </c>
      <c r="D165" s="15" t="s">
        <v>295</v>
      </c>
      <c r="E165" s="366">
        <v>36000</v>
      </c>
      <c r="F165" s="13"/>
    </row>
    <row r="166" customHeight="1" spans="1:6">
      <c r="A166" s="27">
        <v>34</v>
      </c>
      <c r="B166" s="11" t="s">
        <v>294</v>
      </c>
      <c r="C166" s="12" t="s">
        <v>288</v>
      </c>
      <c r="D166" s="15" t="s">
        <v>306</v>
      </c>
      <c r="E166" s="366">
        <v>36000</v>
      </c>
      <c r="F166" s="13"/>
    </row>
    <row r="167" customHeight="1" spans="1:6">
      <c r="A167" s="27">
        <v>35</v>
      </c>
      <c r="B167" s="11" t="s">
        <v>296</v>
      </c>
      <c r="C167" s="12" t="s">
        <v>288</v>
      </c>
      <c r="D167" s="15" t="s">
        <v>306</v>
      </c>
      <c r="E167" s="366">
        <v>36000</v>
      </c>
      <c r="F167" s="13"/>
    </row>
    <row r="168" customHeight="1" spans="1:6">
      <c r="A168" s="27">
        <v>36</v>
      </c>
      <c r="B168" s="14" t="s">
        <v>297</v>
      </c>
      <c r="C168" s="12" t="s">
        <v>288</v>
      </c>
      <c r="D168" s="15" t="s">
        <v>306</v>
      </c>
      <c r="E168" s="366">
        <v>36000</v>
      </c>
      <c r="F168" s="13"/>
    </row>
    <row r="169" customHeight="1" spans="1:6">
      <c r="A169" s="27">
        <v>37</v>
      </c>
      <c r="B169" s="11" t="s">
        <v>298</v>
      </c>
      <c r="C169" s="12" t="s">
        <v>288</v>
      </c>
      <c r="D169" s="15" t="s">
        <v>306</v>
      </c>
      <c r="E169" s="366">
        <v>36000</v>
      </c>
      <c r="F169" s="13"/>
    </row>
    <row r="170" customHeight="1" spans="1:6">
      <c r="A170" s="27">
        <v>38</v>
      </c>
      <c r="B170" s="18" t="s">
        <v>299</v>
      </c>
      <c r="C170" s="12" t="s">
        <v>288</v>
      </c>
      <c r="D170" s="15" t="s">
        <v>306</v>
      </c>
      <c r="E170" s="366">
        <v>36000</v>
      </c>
      <c r="F170" s="13"/>
    </row>
    <row r="171" customHeight="1" spans="1:6">
      <c r="A171" s="27">
        <v>39</v>
      </c>
      <c r="B171" s="18" t="s">
        <v>300</v>
      </c>
      <c r="C171" s="12" t="s">
        <v>288</v>
      </c>
      <c r="D171" s="15" t="s">
        <v>306</v>
      </c>
      <c r="E171" s="366">
        <v>36000</v>
      </c>
      <c r="F171" s="13"/>
    </row>
    <row r="172" customHeight="1" spans="1:6">
      <c r="A172" s="27">
        <v>40</v>
      </c>
      <c r="B172" s="11" t="s">
        <v>301</v>
      </c>
      <c r="C172" s="12" t="s">
        <v>302</v>
      </c>
      <c r="D172" s="15" t="s">
        <v>303</v>
      </c>
      <c r="E172" s="366">
        <v>36000</v>
      </c>
      <c r="F172" s="13"/>
    </row>
    <row r="173" customHeight="1" spans="1:6">
      <c r="A173" s="27">
        <v>41</v>
      </c>
      <c r="B173" s="11" t="s">
        <v>304</v>
      </c>
      <c r="C173" s="12" t="s">
        <v>302</v>
      </c>
      <c r="D173" s="15" t="s">
        <v>303</v>
      </c>
      <c r="E173" s="366">
        <v>36000</v>
      </c>
      <c r="F173" s="13"/>
    </row>
    <row r="174" customHeight="1" spans="1:6">
      <c r="A174" s="27">
        <v>42</v>
      </c>
      <c r="B174" s="18" t="s">
        <v>305</v>
      </c>
      <c r="C174" s="12" t="s">
        <v>302</v>
      </c>
      <c r="D174" s="15" t="s">
        <v>303</v>
      </c>
      <c r="E174" s="366">
        <v>36000</v>
      </c>
      <c r="F174" s="13"/>
    </row>
    <row r="175" customHeight="1" spans="1:6">
      <c r="A175" s="27">
        <v>43</v>
      </c>
      <c r="B175" s="11" t="s">
        <v>307</v>
      </c>
      <c r="C175" s="12" t="s">
        <v>308</v>
      </c>
      <c r="D175" s="15" t="s">
        <v>1023</v>
      </c>
      <c r="E175" s="366">
        <v>36000</v>
      </c>
      <c r="F175" s="13"/>
    </row>
    <row r="176" customHeight="1" spans="1:6">
      <c r="A176" s="27">
        <v>44</v>
      </c>
      <c r="B176" s="11" t="s">
        <v>309</v>
      </c>
      <c r="C176" s="12" t="s">
        <v>310</v>
      </c>
      <c r="D176" s="15" t="s">
        <v>1024</v>
      </c>
      <c r="E176" s="366">
        <v>36000</v>
      </c>
      <c r="F176" s="13"/>
    </row>
    <row r="177" customHeight="1" spans="1:6">
      <c r="A177" s="27">
        <v>45</v>
      </c>
      <c r="B177" s="11" t="s">
        <v>312</v>
      </c>
      <c r="C177" s="12" t="s">
        <v>310</v>
      </c>
      <c r="D177" s="15" t="s">
        <v>1024</v>
      </c>
      <c r="E177" s="366">
        <v>36000</v>
      </c>
      <c r="F177" s="13"/>
    </row>
    <row r="178" customHeight="1" spans="1:6">
      <c r="A178" s="27">
        <v>46</v>
      </c>
      <c r="B178" s="11" t="s">
        <v>313</v>
      </c>
      <c r="C178" s="12" t="s">
        <v>310</v>
      </c>
      <c r="D178" s="15" t="s">
        <v>1024</v>
      </c>
      <c r="E178" s="366">
        <v>36000</v>
      </c>
      <c r="F178" s="13"/>
    </row>
    <row r="179" customHeight="1" spans="1:6">
      <c r="A179" s="27">
        <v>47</v>
      </c>
      <c r="B179" s="11" t="s">
        <v>314</v>
      </c>
      <c r="C179" s="12" t="s">
        <v>310</v>
      </c>
      <c r="D179" s="15" t="s">
        <v>1024</v>
      </c>
      <c r="E179" s="366">
        <v>36000</v>
      </c>
      <c r="F179" s="13"/>
    </row>
    <row r="180" customHeight="1" spans="1:6">
      <c r="A180" s="27">
        <v>48</v>
      </c>
      <c r="B180" s="11" t="s">
        <v>315</v>
      </c>
      <c r="C180" s="12" t="s">
        <v>310</v>
      </c>
      <c r="D180" s="15" t="s">
        <v>1024</v>
      </c>
      <c r="E180" s="366">
        <v>36000</v>
      </c>
      <c r="F180" s="13"/>
    </row>
    <row r="181" customHeight="1" spans="1:6">
      <c r="A181" s="27">
        <v>49</v>
      </c>
      <c r="B181" s="18" t="s">
        <v>316</v>
      </c>
      <c r="C181" s="12" t="s">
        <v>310</v>
      </c>
      <c r="D181" s="15" t="s">
        <v>1024</v>
      </c>
      <c r="E181" s="366">
        <v>36000</v>
      </c>
      <c r="F181" s="13"/>
    </row>
    <row r="182" customHeight="1" spans="1:6">
      <c r="A182" s="27">
        <v>50</v>
      </c>
      <c r="B182" s="18" t="s">
        <v>317</v>
      </c>
      <c r="C182" s="12" t="s">
        <v>310</v>
      </c>
      <c r="D182" s="15" t="s">
        <v>1024</v>
      </c>
      <c r="E182" s="366">
        <v>36000</v>
      </c>
      <c r="F182" s="13"/>
    </row>
    <row r="183" customHeight="1" spans="1:6">
      <c r="A183" s="27">
        <v>51</v>
      </c>
      <c r="B183" s="11" t="s">
        <v>318</v>
      </c>
      <c r="C183" s="12" t="s">
        <v>308</v>
      </c>
      <c r="D183" s="15" t="s">
        <v>1024</v>
      </c>
      <c r="E183" s="366">
        <v>36000</v>
      </c>
      <c r="F183" s="13"/>
    </row>
    <row r="184" customHeight="1" spans="1:6">
      <c r="A184" s="27">
        <v>52</v>
      </c>
      <c r="B184" s="11" t="s">
        <v>319</v>
      </c>
      <c r="C184" s="12" t="s">
        <v>308</v>
      </c>
      <c r="D184" s="15" t="s">
        <v>1024</v>
      </c>
      <c r="E184" s="366">
        <v>36000</v>
      </c>
      <c r="F184" s="13"/>
    </row>
    <row r="185" customHeight="1" spans="1:6">
      <c r="A185" s="27">
        <v>53</v>
      </c>
      <c r="B185" s="18" t="s">
        <v>320</v>
      </c>
      <c r="C185" s="12" t="s">
        <v>321</v>
      </c>
      <c r="D185" s="15" t="s">
        <v>333</v>
      </c>
      <c r="E185" s="366">
        <v>36000</v>
      </c>
      <c r="F185" s="13"/>
    </row>
    <row r="186" customHeight="1" spans="1:6">
      <c r="A186" s="27">
        <v>54</v>
      </c>
      <c r="B186" s="18" t="s">
        <v>325</v>
      </c>
      <c r="C186" s="12" t="s">
        <v>310</v>
      </c>
      <c r="D186" s="15" t="s">
        <v>1025</v>
      </c>
      <c r="E186" s="366">
        <v>36000</v>
      </c>
      <c r="F186" s="13"/>
    </row>
    <row r="187" customHeight="1" spans="1:6">
      <c r="A187" s="27">
        <v>55</v>
      </c>
      <c r="B187" s="18" t="s">
        <v>326</v>
      </c>
      <c r="C187" s="12" t="s">
        <v>327</v>
      </c>
      <c r="D187" s="15" t="s">
        <v>1026</v>
      </c>
      <c r="E187" s="366">
        <v>36000</v>
      </c>
      <c r="F187" s="13"/>
    </row>
    <row r="188" customHeight="1" spans="1:6">
      <c r="A188" s="27">
        <v>56</v>
      </c>
      <c r="B188" s="18" t="s">
        <v>329</v>
      </c>
      <c r="C188" s="12" t="s">
        <v>327</v>
      </c>
      <c r="D188" s="15" t="s">
        <v>1026</v>
      </c>
      <c r="E188" s="366">
        <v>36000</v>
      </c>
      <c r="F188" s="13"/>
    </row>
    <row r="189" customHeight="1" spans="1:6">
      <c r="A189" s="27">
        <v>57</v>
      </c>
      <c r="B189" s="18" t="s">
        <v>330</v>
      </c>
      <c r="C189" s="12" t="s">
        <v>327</v>
      </c>
      <c r="D189" s="15" t="s">
        <v>1026</v>
      </c>
      <c r="E189" s="366">
        <v>36000</v>
      </c>
      <c r="F189" s="13"/>
    </row>
    <row r="190" customHeight="1" spans="1:6">
      <c r="A190" s="27">
        <v>58</v>
      </c>
      <c r="B190" s="18" t="s">
        <v>331</v>
      </c>
      <c r="C190" s="12" t="s">
        <v>332</v>
      </c>
      <c r="D190" s="15" t="s">
        <v>324</v>
      </c>
      <c r="E190" s="366">
        <v>36000</v>
      </c>
      <c r="F190" s="13"/>
    </row>
    <row r="191" customHeight="1" spans="1:6">
      <c r="A191" s="27">
        <v>59</v>
      </c>
      <c r="B191" s="18" t="s">
        <v>334</v>
      </c>
      <c r="C191" s="12" t="s">
        <v>332</v>
      </c>
      <c r="D191" s="15" t="s">
        <v>324</v>
      </c>
      <c r="E191" s="366">
        <v>36000</v>
      </c>
      <c r="F191" s="13"/>
    </row>
    <row r="192" ht="24.75" customHeight="1" spans="1:6">
      <c r="A192" s="27"/>
      <c r="B192" s="8" t="s">
        <v>96</v>
      </c>
      <c r="C192" s="28" t="s">
        <v>590</v>
      </c>
      <c r="D192" s="29"/>
      <c r="E192" s="360">
        <f>SUM(E133:E191)</f>
        <v>3204000</v>
      </c>
      <c r="F192" s="13"/>
    </row>
    <row r="193" customHeight="1" spans="1:6">
      <c r="A193" s="367"/>
      <c r="B193" s="367"/>
      <c r="C193" s="367"/>
      <c r="D193" s="367"/>
      <c r="E193" s="367"/>
      <c r="F193" s="13"/>
    </row>
    <row r="194" ht="29.25" customHeight="1" spans="1:6">
      <c r="A194" s="4"/>
      <c r="B194" s="30" t="s">
        <v>336</v>
      </c>
      <c r="C194" s="31">
        <f>C31+C37+C52+C57+C71+C81+C95+C102+C112+C130+C192</f>
        <v>151</v>
      </c>
      <c r="D194" s="32"/>
      <c r="E194" s="368">
        <f>E192+E130+E117+E112+E102+E95+E81+E71+E57+E52+E37+E31</f>
        <v>13230000</v>
      </c>
      <c r="F194" s="13"/>
    </row>
    <row r="195" customHeight="1" spans="2:6">
      <c r="B195" s="33"/>
      <c r="D195" s="34"/>
      <c r="E195" s="34"/>
      <c r="F195" s="35"/>
    </row>
    <row r="196" ht="36.75" customHeight="1" spans="2:5">
      <c r="B196" s="33"/>
      <c r="C196" s="34"/>
      <c r="D196" s="34"/>
      <c r="E196" s="335"/>
    </row>
    <row r="197" customHeight="1" spans="5:5">
      <c r="E197" s="335"/>
    </row>
    <row r="198" customHeight="1" spans="5:5">
      <c r="E198" s="335"/>
    </row>
    <row r="199" customHeight="1" spans="5:5">
      <c r="E199" s="335"/>
    </row>
    <row r="200" customHeight="1" spans="5:5">
      <c r="E200" s="35"/>
    </row>
  </sheetData>
  <mergeCells count="2">
    <mergeCell ref="A1:E1"/>
    <mergeCell ref="A193:E193"/>
  </mergeCells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8"/>
  <sheetViews>
    <sheetView zoomScaleSheetLayoutView="50" workbookViewId="0">
      <pane xSplit="3" ySplit="7" topLeftCell="D8" activePane="bottomRight" state="frozen"/>
      <selection/>
      <selection pane="topRight"/>
      <selection pane="bottomLeft"/>
      <selection pane="bottomRight" activeCell="D118" sqref="D118"/>
    </sheetView>
  </sheetViews>
  <sheetFormatPr defaultColWidth="9.13636363636364" defaultRowHeight="20.1" customHeight="1" outlineLevelCol="6"/>
  <cols>
    <col min="1" max="1" width="5.42727272727273" style="1" customWidth="1"/>
    <col min="2" max="2" width="43.4272727272727" style="1" customWidth="1"/>
    <col min="3" max="3" width="40.4272727272727" style="1" customWidth="1"/>
    <col min="4" max="4" width="11.5727272727273" style="1" customWidth="1"/>
    <col min="5" max="6" width="19.2818181818182" style="1" customWidth="1"/>
    <col min="7" max="7" width="21.7090909090909" style="1" customWidth="1"/>
    <col min="8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6">
      <c r="A2" s="350" t="s">
        <v>1027</v>
      </c>
      <c r="B2" s="350"/>
      <c r="C2" s="350"/>
      <c r="D2" s="350"/>
      <c r="E2" s="350"/>
      <c r="F2" s="350"/>
    </row>
    <row r="3" ht="9.75" customHeight="1"/>
    <row r="4" ht="49.5" customHeight="1" spans="1:6">
      <c r="A4" s="4"/>
      <c r="B4" s="5" t="s">
        <v>2</v>
      </c>
      <c r="C4" s="6" t="s">
        <v>3</v>
      </c>
      <c r="D4" s="7" t="s">
        <v>4</v>
      </c>
      <c r="E4" s="306" t="s">
        <v>1028</v>
      </c>
      <c r="F4" s="321" t="s">
        <v>515</v>
      </c>
    </row>
    <row r="5" ht="17.25" customHeight="1" spans="3:6">
      <c r="C5" s="8"/>
      <c r="D5" s="8"/>
      <c r="E5" s="307" t="s">
        <v>19</v>
      </c>
      <c r="F5" s="230" t="s">
        <v>19</v>
      </c>
    </row>
    <row r="6" customHeight="1" spans="1:6">
      <c r="A6" s="9" t="s">
        <v>20</v>
      </c>
      <c r="B6" s="8" t="s">
        <v>21</v>
      </c>
      <c r="C6" s="8"/>
      <c r="D6" s="8"/>
      <c r="E6" s="307"/>
      <c r="F6" s="230"/>
    </row>
    <row r="7" customHeight="1" spans="1:7">
      <c r="A7" s="10">
        <v>1</v>
      </c>
      <c r="B7" s="11" t="s">
        <v>22</v>
      </c>
      <c r="C7" s="12" t="s">
        <v>23</v>
      </c>
      <c r="D7" s="12" t="s">
        <v>24</v>
      </c>
      <c r="E7" s="219">
        <v>1158849.84</v>
      </c>
      <c r="F7" s="231">
        <f>E7/2</f>
        <v>579424.92</v>
      </c>
      <c r="G7" s="13"/>
    </row>
    <row r="8" customHeight="1" spans="1:7">
      <c r="A8" s="10">
        <v>2</v>
      </c>
      <c r="B8" s="11" t="s">
        <v>25</v>
      </c>
      <c r="C8" s="12" t="s">
        <v>26</v>
      </c>
      <c r="D8" s="10" t="s">
        <v>27</v>
      </c>
      <c r="E8" s="219">
        <v>541465.02475</v>
      </c>
      <c r="F8" s="231">
        <f t="shared" ref="F8:F30" si="0">E8/2</f>
        <v>270732.512375</v>
      </c>
      <c r="G8" s="13"/>
    </row>
    <row r="9" customHeight="1" spans="1:7">
      <c r="A9" s="10">
        <v>3</v>
      </c>
      <c r="B9" s="14" t="s">
        <v>28</v>
      </c>
      <c r="C9" s="4" t="s">
        <v>29</v>
      </c>
      <c r="D9" s="15" t="s">
        <v>110</v>
      </c>
      <c r="E9" s="219">
        <v>727743.99575</v>
      </c>
      <c r="F9" s="231">
        <f t="shared" si="0"/>
        <v>363871.997875</v>
      </c>
      <c r="G9" s="13"/>
    </row>
    <row r="10" customHeight="1" spans="1:7">
      <c r="A10" s="10">
        <v>4</v>
      </c>
      <c r="B10" s="11" t="s">
        <v>30</v>
      </c>
      <c r="C10" s="17" t="s">
        <v>31</v>
      </c>
      <c r="D10" s="16" t="s">
        <v>110</v>
      </c>
      <c r="E10" s="219">
        <v>617743.99575</v>
      </c>
      <c r="F10" s="231">
        <f t="shared" si="0"/>
        <v>308871.997875</v>
      </c>
      <c r="G10" s="13"/>
    </row>
    <row r="11" customHeight="1" spans="1:7">
      <c r="A11" s="10">
        <v>5</v>
      </c>
      <c r="B11" s="14" t="s">
        <v>32</v>
      </c>
      <c r="C11" s="4" t="s">
        <v>33</v>
      </c>
      <c r="D11" s="16" t="s">
        <v>110</v>
      </c>
      <c r="E11" s="219">
        <v>677743.99575</v>
      </c>
      <c r="F11" s="231">
        <f t="shared" si="0"/>
        <v>338871.997875</v>
      </c>
      <c r="G11" s="13"/>
    </row>
    <row r="12" customHeight="1" spans="1:7">
      <c r="A12" s="10">
        <v>6</v>
      </c>
      <c r="B12" s="18" t="s">
        <v>576</v>
      </c>
      <c r="C12" s="10" t="s">
        <v>577</v>
      </c>
      <c r="D12" s="15" t="s">
        <v>110</v>
      </c>
      <c r="E12" s="219">
        <v>627743.99575</v>
      </c>
      <c r="F12" s="231">
        <f t="shared" si="0"/>
        <v>313871.997875</v>
      </c>
      <c r="G12" s="13"/>
    </row>
    <row r="13" customHeight="1" spans="1:7">
      <c r="A13" s="10">
        <v>7</v>
      </c>
      <c r="B13" s="11" t="s">
        <v>34</v>
      </c>
      <c r="C13" s="12" t="s">
        <v>35</v>
      </c>
      <c r="D13" s="15" t="s">
        <v>36</v>
      </c>
      <c r="E13" s="219">
        <v>497553.5025</v>
      </c>
      <c r="F13" s="231">
        <f t="shared" si="0"/>
        <v>248776.75125</v>
      </c>
      <c r="G13" s="13"/>
    </row>
    <row r="14" customHeight="1" spans="1:7">
      <c r="A14" s="10">
        <v>8</v>
      </c>
      <c r="B14" s="11" t="s">
        <v>37</v>
      </c>
      <c r="C14" s="4" t="s">
        <v>38</v>
      </c>
      <c r="D14" s="10" t="s">
        <v>39</v>
      </c>
      <c r="E14" s="85">
        <v>604729.222</v>
      </c>
      <c r="F14" s="231">
        <f t="shared" si="0"/>
        <v>302364.611</v>
      </c>
      <c r="G14" s="13"/>
    </row>
    <row r="15" customHeight="1" spans="1:7">
      <c r="A15" s="10">
        <v>9</v>
      </c>
      <c r="B15" s="11" t="s">
        <v>40</v>
      </c>
      <c r="C15" s="4" t="s">
        <v>41</v>
      </c>
      <c r="D15" s="15" t="s">
        <v>222</v>
      </c>
      <c r="E15" s="219">
        <v>343333.03525</v>
      </c>
      <c r="F15" s="231">
        <f t="shared" si="0"/>
        <v>171666.517625</v>
      </c>
      <c r="G15" s="13"/>
    </row>
    <row r="16" customHeight="1" spans="1:7">
      <c r="A16" s="10">
        <v>10</v>
      </c>
      <c r="B16" s="14" t="s">
        <v>43</v>
      </c>
      <c r="C16" s="17" t="s">
        <v>133</v>
      </c>
      <c r="D16" s="15" t="s">
        <v>148</v>
      </c>
      <c r="E16" s="219">
        <v>455272.06375</v>
      </c>
      <c r="F16" s="231">
        <f t="shared" si="0"/>
        <v>227636.031875</v>
      </c>
      <c r="G16" s="13"/>
    </row>
    <row r="17" customHeight="1" spans="1:6">
      <c r="A17" s="10">
        <v>11</v>
      </c>
      <c r="B17" s="11" t="s">
        <v>48</v>
      </c>
      <c r="C17" s="4" t="s">
        <v>579</v>
      </c>
      <c r="D17" s="10" t="s">
        <v>192</v>
      </c>
      <c r="E17" s="219">
        <v>326663.0775</v>
      </c>
      <c r="F17" s="231">
        <f t="shared" si="0"/>
        <v>163331.53875</v>
      </c>
    </row>
    <row r="18" customHeight="1" spans="1:7">
      <c r="A18" s="10">
        <v>12</v>
      </c>
      <c r="B18" s="11" t="s">
        <v>50</v>
      </c>
      <c r="C18" s="12" t="s">
        <v>51</v>
      </c>
      <c r="D18" s="15" t="s">
        <v>1019</v>
      </c>
      <c r="E18" s="219">
        <v>362001.0605</v>
      </c>
      <c r="F18" s="231">
        <f t="shared" si="0"/>
        <v>181000.53025</v>
      </c>
      <c r="G18" s="13"/>
    </row>
    <row r="19" customHeight="1" spans="1:7">
      <c r="A19" s="10">
        <v>13</v>
      </c>
      <c r="B19" s="18" t="s">
        <v>53</v>
      </c>
      <c r="C19" s="4" t="s">
        <v>54</v>
      </c>
      <c r="D19" s="15" t="s">
        <v>1020</v>
      </c>
      <c r="E19" s="219">
        <v>454201.026</v>
      </c>
      <c r="F19" s="231">
        <f t="shared" si="0"/>
        <v>227100.513</v>
      </c>
      <c r="G19" s="13"/>
    </row>
    <row r="20" ht="18.75" customHeight="1" spans="1:7">
      <c r="A20" s="10">
        <v>14</v>
      </c>
      <c r="B20" s="11" t="s">
        <v>60</v>
      </c>
      <c r="C20" s="12" t="s">
        <v>61</v>
      </c>
      <c r="D20" s="15" t="s">
        <v>135</v>
      </c>
      <c r="E20" s="219">
        <v>372454.074</v>
      </c>
      <c r="F20" s="231">
        <f t="shared" si="0"/>
        <v>186227.037</v>
      </c>
      <c r="G20" s="13"/>
    </row>
    <row r="21" customHeight="1" spans="1:7">
      <c r="A21" s="10">
        <v>15</v>
      </c>
      <c r="B21" s="14" t="s">
        <v>63</v>
      </c>
      <c r="C21" s="17" t="s">
        <v>64</v>
      </c>
      <c r="D21" s="10" t="s">
        <v>65</v>
      </c>
      <c r="E21" s="219">
        <v>400372.075</v>
      </c>
      <c r="F21" s="231">
        <f t="shared" si="0"/>
        <v>200186.0375</v>
      </c>
      <c r="G21" s="13"/>
    </row>
    <row r="22" customHeight="1" spans="1:7">
      <c r="A22" s="10">
        <v>16</v>
      </c>
      <c r="B22" s="14" t="s">
        <v>68</v>
      </c>
      <c r="C22" s="17" t="s">
        <v>69</v>
      </c>
      <c r="D22" s="10" t="s">
        <v>70</v>
      </c>
      <c r="E22" s="219">
        <v>328602.07775</v>
      </c>
      <c r="F22" s="231">
        <f t="shared" si="0"/>
        <v>164301.038875</v>
      </c>
      <c r="G22" s="13"/>
    </row>
    <row r="23" ht="18.75" customHeight="1" spans="1:7">
      <c r="A23" s="10">
        <v>17</v>
      </c>
      <c r="B23" s="4" t="s">
        <v>73</v>
      </c>
      <c r="C23" s="4" t="s">
        <v>74</v>
      </c>
      <c r="D23" s="10" t="s">
        <v>80</v>
      </c>
      <c r="E23" s="219">
        <v>205204.0845</v>
      </c>
      <c r="F23" s="231">
        <f t="shared" si="0"/>
        <v>102602.04225</v>
      </c>
      <c r="G23" s="13"/>
    </row>
    <row r="24" ht="18.75" customHeight="1" spans="1:7">
      <c r="A24" s="10">
        <v>18</v>
      </c>
      <c r="B24" s="18" t="s">
        <v>76</v>
      </c>
      <c r="C24" s="12" t="s">
        <v>74</v>
      </c>
      <c r="D24" s="15" t="s">
        <v>80</v>
      </c>
      <c r="E24" s="219">
        <v>209356.04725</v>
      </c>
      <c r="F24" s="231">
        <f t="shared" si="0"/>
        <v>104678.023625</v>
      </c>
      <c r="G24" s="13"/>
    </row>
    <row r="25" ht="18.75" customHeight="1" spans="1:7">
      <c r="A25" s="10">
        <v>19</v>
      </c>
      <c r="B25" s="18" t="s">
        <v>78</v>
      </c>
      <c r="C25" s="12" t="s">
        <v>79</v>
      </c>
      <c r="D25" s="15" t="s">
        <v>83</v>
      </c>
      <c r="E25" s="85">
        <v>205204.0845</v>
      </c>
      <c r="F25" s="231">
        <f t="shared" si="0"/>
        <v>102602.04225</v>
      </c>
      <c r="G25" s="13"/>
    </row>
    <row r="26" ht="18.75" customHeight="1" spans="1:7">
      <c r="A26" s="10">
        <v>20</v>
      </c>
      <c r="B26" s="18" t="s">
        <v>81</v>
      </c>
      <c r="C26" s="4" t="s">
        <v>82</v>
      </c>
      <c r="D26" s="10" t="s">
        <v>83</v>
      </c>
      <c r="E26" s="219">
        <v>205204.08</v>
      </c>
      <c r="F26" s="231">
        <f t="shared" si="0"/>
        <v>102602.04</v>
      </c>
      <c r="G26" s="13"/>
    </row>
    <row r="27" ht="18.75" customHeight="1" spans="1:7">
      <c r="A27" s="10">
        <v>21</v>
      </c>
      <c r="B27" s="18" t="s">
        <v>85</v>
      </c>
      <c r="C27" s="17" t="s">
        <v>86</v>
      </c>
      <c r="D27" s="15" t="s">
        <v>80</v>
      </c>
      <c r="E27" s="219">
        <v>209356.04725</v>
      </c>
      <c r="F27" s="231">
        <f t="shared" si="0"/>
        <v>104678.023625</v>
      </c>
      <c r="G27" s="13"/>
    </row>
    <row r="28" ht="18.75" customHeight="1" spans="1:7">
      <c r="A28" s="10">
        <v>22</v>
      </c>
      <c r="B28" s="18" t="s">
        <v>88</v>
      </c>
      <c r="C28" s="4" t="s">
        <v>89</v>
      </c>
      <c r="D28" s="10" t="s">
        <v>92</v>
      </c>
      <c r="E28" s="219">
        <v>176816.1</v>
      </c>
      <c r="F28" s="231">
        <f t="shared" si="0"/>
        <v>88408.05</v>
      </c>
      <c r="G28" s="13"/>
    </row>
    <row r="29" ht="18.75" customHeight="1" spans="1:7">
      <c r="A29" s="10">
        <v>23</v>
      </c>
      <c r="B29" s="18" t="s">
        <v>1009</v>
      </c>
      <c r="C29" s="12" t="s">
        <v>91</v>
      </c>
      <c r="D29" s="15" t="s">
        <v>92</v>
      </c>
      <c r="E29" s="219">
        <v>176816.1</v>
      </c>
      <c r="F29" s="231">
        <f t="shared" si="0"/>
        <v>88408.05</v>
      </c>
      <c r="G29" s="13"/>
    </row>
    <row r="30" ht="18.75" customHeight="1" spans="1:7">
      <c r="A30" s="10">
        <v>24</v>
      </c>
      <c r="B30" s="18" t="s">
        <v>90</v>
      </c>
      <c r="C30" s="12" t="s">
        <v>91</v>
      </c>
      <c r="D30" s="15" t="s">
        <v>95</v>
      </c>
      <c r="E30" s="219">
        <v>173329.0495</v>
      </c>
      <c r="F30" s="231">
        <f t="shared" si="0"/>
        <v>86664.52475</v>
      </c>
      <c r="G30" s="13"/>
    </row>
    <row r="31" ht="26.25" customHeight="1" spans="1:7">
      <c r="A31" s="10"/>
      <c r="B31" s="20" t="s">
        <v>96</v>
      </c>
      <c r="C31" s="21">
        <v>24</v>
      </c>
      <c r="D31" s="15"/>
      <c r="E31" s="221">
        <v>10062524.3495</v>
      </c>
      <c r="F31" s="221">
        <f>SUM(F7:F30)</f>
        <v>5028878.8275</v>
      </c>
      <c r="G31" s="13"/>
    </row>
    <row r="32" ht="18.75" customHeight="1" spans="1:7">
      <c r="A32" s="10"/>
      <c r="B32" s="22"/>
      <c r="C32" s="4"/>
      <c r="D32" s="15"/>
      <c r="E32" s="310"/>
      <c r="F32" s="232"/>
      <c r="G32" s="13"/>
    </row>
    <row r="33" ht="18.75" customHeight="1" spans="1:7">
      <c r="A33" s="10"/>
      <c r="B33" s="20" t="s">
        <v>97</v>
      </c>
      <c r="C33" s="4"/>
      <c r="D33" s="15"/>
      <c r="E33" s="219"/>
      <c r="F33" s="231"/>
      <c r="G33" s="13"/>
    </row>
    <row r="34" ht="18.75" customHeight="1" spans="1:7">
      <c r="A34" s="10">
        <v>1</v>
      </c>
      <c r="B34" s="18" t="s">
        <v>98</v>
      </c>
      <c r="C34" s="4" t="s">
        <v>99</v>
      </c>
      <c r="D34" s="10" t="s">
        <v>100</v>
      </c>
      <c r="E34" s="219">
        <v>950209.0635</v>
      </c>
      <c r="F34" s="231">
        <f>E34/2</f>
        <v>475104.53175</v>
      </c>
      <c r="G34" s="13"/>
    </row>
    <row r="35" ht="18.75" customHeight="1" spans="1:7">
      <c r="A35" s="10">
        <v>2</v>
      </c>
      <c r="B35" s="18" t="s">
        <v>101</v>
      </c>
      <c r="C35" s="4" t="s">
        <v>615</v>
      </c>
      <c r="D35" s="10" t="s">
        <v>95</v>
      </c>
      <c r="E35" s="219">
        <v>173329.0495</v>
      </c>
      <c r="F35" s="231">
        <f t="shared" ref="F35:F36" si="1">E35/2</f>
        <v>86664.52475</v>
      </c>
      <c r="G35" s="13"/>
    </row>
    <row r="36" ht="18.75" customHeight="1" spans="1:7">
      <c r="A36" s="10">
        <v>3</v>
      </c>
      <c r="B36" s="11" t="s">
        <v>103</v>
      </c>
      <c r="C36" s="12" t="s">
        <v>612</v>
      </c>
      <c r="D36" s="15" t="s">
        <v>70</v>
      </c>
      <c r="E36" s="219">
        <v>228602.07775</v>
      </c>
      <c r="F36" s="231">
        <f t="shared" si="1"/>
        <v>114301.038875</v>
      </c>
      <c r="G36" s="13"/>
    </row>
    <row r="37" ht="19.5" customHeight="1" spans="1:7">
      <c r="A37" s="10"/>
      <c r="B37" s="14"/>
      <c r="C37" s="21">
        <v>3</v>
      </c>
      <c r="D37" s="10"/>
      <c r="E37" s="221">
        <v>1352140.19075</v>
      </c>
      <c r="F37" s="221">
        <f>SUM(F34:F36)</f>
        <v>676070.095375</v>
      </c>
      <c r="G37" s="13"/>
    </row>
    <row r="38" customHeight="1" spans="1:7">
      <c r="A38" s="10"/>
      <c r="B38" s="14"/>
      <c r="C38" s="4"/>
      <c r="D38" s="10"/>
      <c r="E38" s="310"/>
      <c r="F38" s="231"/>
      <c r="G38" s="13"/>
    </row>
    <row r="39" customHeight="1" spans="1:7">
      <c r="A39" s="10"/>
      <c r="B39" s="23" t="s">
        <v>107</v>
      </c>
      <c r="C39" s="5"/>
      <c r="D39" s="24"/>
      <c r="E39" s="219"/>
      <c r="F39" s="231"/>
      <c r="G39" s="13"/>
    </row>
    <row r="40" customHeight="1" spans="1:7">
      <c r="A40" s="10">
        <v>1</v>
      </c>
      <c r="B40" s="11" t="s">
        <v>501</v>
      </c>
      <c r="C40" s="4" t="s">
        <v>502</v>
      </c>
      <c r="D40" s="10" t="s">
        <v>100</v>
      </c>
      <c r="E40" s="219">
        <v>1050209.0635</v>
      </c>
      <c r="F40" s="231">
        <f>E40/2</f>
        <v>525104.53175</v>
      </c>
      <c r="G40" s="13"/>
    </row>
    <row r="41" customHeight="1" spans="1:7">
      <c r="A41" s="10">
        <v>2</v>
      </c>
      <c r="B41" s="11" t="s">
        <v>491</v>
      </c>
      <c r="C41" s="4" t="s">
        <v>44</v>
      </c>
      <c r="D41" s="10" t="s">
        <v>36</v>
      </c>
      <c r="E41" s="219">
        <v>527553.5025</v>
      </c>
      <c r="F41" s="231">
        <f t="shared" ref="F41:F51" si="2">E41/2</f>
        <v>263776.75125</v>
      </c>
      <c r="G41" s="13"/>
    </row>
    <row r="42" customHeight="1" spans="1:7">
      <c r="A42" s="10">
        <v>3</v>
      </c>
      <c r="B42" s="11" t="s">
        <v>108</v>
      </c>
      <c r="C42" s="4" t="s">
        <v>109</v>
      </c>
      <c r="D42" s="10" t="s">
        <v>1015</v>
      </c>
      <c r="E42" s="219">
        <v>604023.33</v>
      </c>
      <c r="F42" s="231">
        <f t="shared" si="2"/>
        <v>302011.665</v>
      </c>
      <c r="G42" s="13"/>
    </row>
    <row r="43" customHeight="1" spans="1:7">
      <c r="A43" s="10">
        <v>4</v>
      </c>
      <c r="B43" s="11" t="s">
        <v>111</v>
      </c>
      <c r="C43" s="4" t="s">
        <v>112</v>
      </c>
      <c r="D43" s="10" t="s">
        <v>36</v>
      </c>
      <c r="E43" s="219">
        <v>527553.5025</v>
      </c>
      <c r="F43" s="231">
        <f t="shared" si="2"/>
        <v>263776.75125</v>
      </c>
      <c r="G43" s="13"/>
    </row>
    <row r="44" customHeight="1" spans="1:7">
      <c r="A44" s="10">
        <v>5</v>
      </c>
      <c r="B44" s="11" t="s">
        <v>113</v>
      </c>
      <c r="C44" s="4" t="s">
        <v>112</v>
      </c>
      <c r="D44" s="10" t="s">
        <v>131</v>
      </c>
      <c r="E44" s="219">
        <v>516137.05</v>
      </c>
      <c r="F44" s="231">
        <f t="shared" si="2"/>
        <v>258068.525</v>
      </c>
      <c r="G44" s="13"/>
    </row>
    <row r="45" customHeight="1" spans="1:7">
      <c r="A45" s="10">
        <v>6</v>
      </c>
      <c r="B45" s="11" t="s">
        <v>114</v>
      </c>
      <c r="C45" s="4" t="s">
        <v>112</v>
      </c>
      <c r="D45" s="10" t="s">
        <v>39</v>
      </c>
      <c r="E45" s="219">
        <v>504720.047</v>
      </c>
      <c r="F45" s="231">
        <f t="shared" si="2"/>
        <v>252360.0235</v>
      </c>
      <c r="G45" s="13"/>
    </row>
    <row r="46" customHeight="1" spans="1:7">
      <c r="A46" s="10">
        <v>7</v>
      </c>
      <c r="B46" s="14" t="s">
        <v>115</v>
      </c>
      <c r="C46" s="4" t="s">
        <v>133</v>
      </c>
      <c r="D46" s="16" t="s">
        <v>222</v>
      </c>
      <c r="E46" s="219">
        <v>413333.03525</v>
      </c>
      <c r="F46" s="231">
        <f t="shared" si="2"/>
        <v>206666.517625</v>
      </c>
      <c r="G46" s="13"/>
    </row>
    <row r="47" customHeight="1" spans="1:7">
      <c r="A47" s="10">
        <v>8</v>
      </c>
      <c r="B47" s="11" t="s">
        <v>45</v>
      </c>
      <c r="C47" s="4" t="s">
        <v>46</v>
      </c>
      <c r="D47" s="10" t="s">
        <v>47</v>
      </c>
      <c r="E47" s="85">
        <v>397211.3675</v>
      </c>
      <c r="F47" s="231">
        <f t="shared" si="2"/>
        <v>198605.68375</v>
      </c>
      <c r="G47" s="13"/>
    </row>
    <row r="48" customHeight="1" spans="1:7">
      <c r="A48" s="10">
        <v>9</v>
      </c>
      <c r="B48" s="11" t="s">
        <v>116</v>
      </c>
      <c r="C48" s="4" t="s">
        <v>117</v>
      </c>
      <c r="D48" s="10" t="s">
        <v>70</v>
      </c>
      <c r="E48" s="219">
        <v>268602.07775</v>
      </c>
      <c r="F48" s="231">
        <f t="shared" si="2"/>
        <v>134301.038875</v>
      </c>
      <c r="G48" s="13"/>
    </row>
    <row r="49" customHeight="1" spans="1:7">
      <c r="A49" s="10">
        <v>10</v>
      </c>
      <c r="B49" s="11" t="s">
        <v>118</v>
      </c>
      <c r="C49" s="4" t="s">
        <v>117</v>
      </c>
      <c r="D49" s="10" t="s">
        <v>83</v>
      </c>
      <c r="E49" s="219">
        <v>245204.0845</v>
      </c>
      <c r="F49" s="231">
        <f t="shared" si="2"/>
        <v>122602.04225</v>
      </c>
      <c r="G49" s="13"/>
    </row>
    <row r="50" customHeight="1" spans="1:7">
      <c r="A50" s="10">
        <v>11</v>
      </c>
      <c r="B50" s="11" t="s">
        <v>580</v>
      </c>
      <c r="C50" s="4" t="s">
        <v>117</v>
      </c>
      <c r="D50" s="10" t="s">
        <v>83</v>
      </c>
      <c r="E50" s="219">
        <v>245204.0845</v>
      </c>
      <c r="F50" s="231">
        <f t="shared" si="2"/>
        <v>122602.04225</v>
      </c>
      <c r="G50" s="13"/>
    </row>
    <row r="51" customHeight="1" spans="1:7">
      <c r="A51" s="10">
        <v>12</v>
      </c>
      <c r="B51" s="11" t="s">
        <v>119</v>
      </c>
      <c r="C51" s="4" t="s">
        <v>117</v>
      </c>
      <c r="D51" s="10" t="s">
        <v>83</v>
      </c>
      <c r="E51" s="219">
        <v>245204.0845</v>
      </c>
      <c r="F51" s="231">
        <f t="shared" si="2"/>
        <v>122602.04225</v>
      </c>
      <c r="G51" s="13"/>
    </row>
    <row r="52" ht="25.5" customHeight="1" spans="1:7">
      <c r="A52" s="10"/>
      <c r="B52" s="20" t="s">
        <v>96</v>
      </c>
      <c r="C52" s="21">
        <v>12</v>
      </c>
      <c r="D52" s="21"/>
      <c r="E52" s="93">
        <v>6101043.81325</v>
      </c>
      <c r="F52" s="322">
        <f>SUM(F40:F51)</f>
        <v>2772477.61475</v>
      </c>
      <c r="G52" s="13"/>
    </row>
    <row r="53" customHeight="1" spans="1:7">
      <c r="A53" s="10"/>
      <c r="B53" s="22"/>
      <c r="C53" s="21"/>
      <c r="D53" s="21"/>
      <c r="E53" s="312"/>
      <c r="F53" s="233"/>
      <c r="G53" s="13"/>
    </row>
    <row r="54" customHeight="1" spans="1:7">
      <c r="A54" s="10"/>
      <c r="B54" s="20" t="s">
        <v>120</v>
      </c>
      <c r="C54" s="21"/>
      <c r="D54" s="21"/>
      <c r="E54" s="312"/>
      <c r="F54" s="233"/>
      <c r="G54" s="13"/>
    </row>
    <row r="55" customHeight="1" spans="1:7">
      <c r="A55" s="10">
        <v>1</v>
      </c>
      <c r="B55" s="11" t="s">
        <v>503</v>
      </c>
      <c r="C55" s="12" t="s">
        <v>122</v>
      </c>
      <c r="D55" s="15" t="s">
        <v>100</v>
      </c>
      <c r="E55" s="219">
        <v>1050209.0635</v>
      </c>
      <c r="F55" s="231">
        <f>E55/2</f>
        <v>525104.53175</v>
      </c>
      <c r="G55" s="13"/>
    </row>
    <row r="56" customHeight="1" spans="1:7">
      <c r="A56" s="10">
        <v>2</v>
      </c>
      <c r="B56" s="11" t="s">
        <v>123</v>
      </c>
      <c r="C56" s="12" t="s">
        <v>124</v>
      </c>
      <c r="D56" s="15" t="s">
        <v>573</v>
      </c>
      <c r="E56" s="219">
        <v>436137.05</v>
      </c>
      <c r="F56" s="231">
        <f>E56/2</f>
        <v>218068.525</v>
      </c>
      <c r="G56" s="13"/>
    </row>
    <row r="57" customHeight="1" spans="1:7">
      <c r="A57" s="10"/>
      <c r="B57" s="20" t="s">
        <v>96</v>
      </c>
      <c r="C57" s="21">
        <v>2</v>
      </c>
      <c r="D57" s="21"/>
      <c r="E57" s="93">
        <v>1486346.1135</v>
      </c>
      <c r="F57" s="322">
        <f>SUM(F55:F56)</f>
        <v>743173.05675</v>
      </c>
      <c r="G57" s="13"/>
    </row>
    <row r="58" customHeight="1" spans="1:7">
      <c r="A58" s="10"/>
      <c r="B58" s="20"/>
      <c r="C58" s="21"/>
      <c r="D58" s="21"/>
      <c r="E58" s="312"/>
      <c r="F58" s="233"/>
      <c r="G58" s="13"/>
    </row>
    <row r="59" customHeight="1" spans="1:7">
      <c r="A59" s="10"/>
      <c r="B59" s="20" t="s">
        <v>126</v>
      </c>
      <c r="C59" s="21"/>
      <c r="D59" s="21"/>
      <c r="E59" s="312"/>
      <c r="F59" s="233"/>
      <c r="G59" s="13"/>
    </row>
    <row r="60" customHeight="1" spans="1:7">
      <c r="A60" s="10">
        <v>1</v>
      </c>
      <c r="B60" s="11" t="s">
        <v>127</v>
      </c>
      <c r="C60" s="17" t="s">
        <v>128</v>
      </c>
      <c r="D60" s="10" t="s">
        <v>100</v>
      </c>
      <c r="E60" s="219">
        <v>1050209.0635</v>
      </c>
      <c r="F60" s="231">
        <f>E60/2</f>
        <v>525104.53175</v>
      </c>
      <c r="G60" s="13"/>
    </row>
    <row r="61" customHeight="1" spans="1:7">
      <c r="A61" s="10">
        <v>2</v>
      </c>
      <c r="B61" s="351" t="s">
        <v>129</v>
      </c>
      <c r="C61" s="17" t="s">
        <v>130</v>
      </c>
      <c r="D61" s="15" t="s">
        <v>1021</v>
      </c>
      <c r="E61" s="219">
        <v>504720.047</v>
      </c>
      <c r="F61" s="231">
        <f t="shared" ref="F61:F70" si="3">E61/2</f>
        <v>252360.0235</v>
      </c>
      <c r="G61" s="13"/>
    </row>
    <row r="62" customHeight="1" spans="1:7">
      <c r="A62" s="10">
        <v>3</v>
      </c>
      <c r="B62" s="11" t="s">
        <v>132</v>
      </c>
      <c r="C62" s="4" t="s">
        <v>133</v>
      </c>
      <c r="D62" s="10" t="s">
        <v>47</v>
      </c>
      <c r="E62" s="85">
        <v>397211.3675</v>
      </c>
      <c r="F62" s="231">
        <f t="shared" si="3"/>
        <v>198605.68375</v>
      </c>
      <c r="G62" s="13"/>
    </row>
    <row r="63" customHeight="1" spans="1:7">
      <c r="A63" s="10">
        <v>4</v>
      </c>
      <c r="B63" s="18" t="s">
        <v>486</v>
      </c>
      <c r="C63" s="17" t="s">
        <v>165</v>
      </c>
      <c r="D63" s="15" t="s">
        <v>1019</v>
      </c>
      <c r="E63" s="219">
        <v>362001.0605</v>
      </c>
      <c r="F63" s="231">
        <f t="shared" si="3"/>
        <v>181000.53025</v>
      </c>
      <c r="G63" s="13"/>
    </row>
    <row r="64" customHeight="1" spans="1:7">
      <c r="A64" s="10">
        <v>5</v>
      </c>
      <c r="B64" s="14" t="s">
        <v>519</v>
      </c>
      <c r="C64" s="17" t="s">
        <v>133</v>
      </c>
      <c r="D64" s="15" t="s">
        <v>222</v>
      </c>
      <c r="E64" s="219">
        <v>413333.03525</v>
      </c>
      <c r="F64" s="231">
        <f t="shared" si="3"/>
        <v>206666.517625</v>
      </c>
      <c r="G64" s="13"/>
    </row>
    <row r="65" customHeight="1" spans="1:7">
      <c r="A65" s="10">
        <v>7</v>
      </c>
      <c r="B65" s="11" t="s">
        <v>134</v>
      </c>
      <c r="C65" s="4" t="s">
        <v>117</v>
      </c>
      <c r="D65" s="10" t="s">
        <v>65</v>
      </c>
      <c r="E65" s="219">
        <v>315372.075</v>
      </c>
      <c r="F65" s="231">
        <f t="shared" si="3"/>
        <v>157686.0375</v>
      </c>
      <c r="G65" s="13"/>
    </row>
    <row r="66" customHeight="1" spans="1:7">
      <c r="A66" s="10">
        <v>8</v>
      </c>
      <c r="B66" s="11" t="s">
        <v>136</v>
      </c>
      <c r="C66" s="17" t="s">
        <v>67</v>
      </c>
      <c r="D66" s="15" t="s">
        <v>65</v>
      </c>
      <c r="E66" s="219">
        <v>315372.075</v>
      </c>
      <c r="F66" s="231">
        <f t="shared" si="3"/>
        <v>157686.0375</v>
      </c>
      <c r="G66" s="13"/>
    </row>
    <row r="67" customHeight="1" spans="1:7">
      <c r="A67" s="10">
        <v>9</v>
      </c>
      <c r="B67" s="11" t="s">
        <v>137</v>
      </c>
      <c r="C67" s="17" t="s">
        <v>67</v>
      </c>
      <c r="D67" s="15" t="s">
        <v>65</v>
      </c>
      <c r="E67" s="219">
        <v>315372.075</v>
      </c>
      <c r="F67" s="231">
        <f t="shared" si="3"/>
        <v>157686.0375</v>
      </c>
      <c r="G67" s="13"/>
    </row>
    <row r="68" customHeight="1" spans="1:7">
      <c r="A68" s="10">
        <v>10</v>
      </c>
      <c r="B68" s="11" t="s">
        <v>138</v>
      </c>
      <c r="C68" s="4" t="s">
        <v>139</v>
      </c>
      <c r="D68" s="10" t="s">
        <v>135</v>
      </c>
      <c r="E68" s="219">
        <v>322454.074</v>
      </c>
      <c r="F68" s="231">
        <f t="shared" si="3"/>
        <v>161227.037</v>
      </c>
      <c r="G68" s="13"/>
    </row>
    <row r="69" ht="21.6" customHeight="1" spans="1:6">
      <c r="A69" s="10">
        <v>11</v>
      </c>
      <c r="B69" s="11" t="s">
        <v>140</v>
      </c>
      <c r="C69" s="4" t="s">
        <v>117</v>
      </c>
      <c r="D69" s="10" t="s">
        <v>70</v>
      </c>
      <c r="E69" s="219">
        <v>268602.07775</v>
      </c>
      <c r="F69" s="231">
        <f t="shared" si="3"/>
        <v>134301.038875</v>
      </c>
    </row>
    <row r="70" customHeight="1" spans="1:7">
      <c r="A70" s="10">
        <v>12</v>
      </c>
      <c r="B70" s="11" t="s">
        <v>77</v>
      </c>
      <c r="C70" s="17" t="s">
        <v>64</v>
      </c>
      <c r="D70" s="10" t="s">
        <v>80</v>
      </c>
      <c r="E70" s="219">
        <v>249356.04725</v>
      </c>
      <c r="F70" s="231">
        <f t="shared" si="3"/>
        <v>124678.023625</v>
      </c>
      <c r="G70" s="13"/>
    </row>
    <row r="71" ht="27" customHeight="1" spans="1:7">
      <c r="A71" s="10"/>
      <c r="B71" s="20" t="s">
        <v>96</v>
      </c>
      <c r="C71" s="21">
        <v>12</v>
      </c>
      <c r="D71" s="21"/>
      <c r="E71" s="93">
        <v>4514002.99775</v>
      </c>
      <c r="F71" s="93">
        <f>SUM(F60:F70)</f>
        <v>2257001.498875</v>
      </c>
      <c r="G71" s="13"/>
    </row>
    <row r="72" customHeight="1" spans="1:7">
      <c r="A72" s="10"/>
      <c r="B72" s="22"/>
      <c r="C72" s="21"/>
      <c r="D72" s="21"/>
      <c r="E72" s="312"/>
      <c r="F72" s="233"/>
      <c r="G72" s="13"/>
    </row>
    <row r="73" customHeight="1" spans="1:7">
      <c r="A73" s="10"/>
      <c r="B73" s="20" t="s">
        <v>141</v>
      </c>
      <c r="C73" s="21"/>
      <c r="D73" s="21"/>
      <c r="E73" s="312"/>
      <c r="F73" s="233"/>
      <c r="G73" s="13"/>
    </row>
    <row r="74" customHeight="1" spans="1:7">
      <c r="A74" s="10">
        <v>1</v>
      </c>
      <c r="B74" s="11" t="s">
        <v>142</v>
      </c>
      <c r="C74" s="4" t="s">
        <v>143</v>
      </c>
      <c r="D74" s="10" t="s">
        <v>100</v>
      </c>
      <c r="E74" s="219">
        <v>1050209.0635</v>
      </c>
      <c r="F74" s="231">
        <f>E74/2</f>
        <v>525104.53175</v>
      </c>
      <c r="G74" s="13"/>
    </row>
    <row r="75" customHeight="1" spans="1:7">
      <c r="A75" s="10">
        <v>2</v>
      </c>
      <c r="B75" s="14" t="s">
        <v>520</v>
      </c>
      <c r="C75" s="4" t="s">
        <v>572</v>
      </c>
      <c r="D75" s="15" t="s">
        <v>1021</v>
      </c>
      <c r="E75" s="219">
        <v>504720.047</v>
      </c>
      <c r="F75" s="231">
        <f t="shared" ref="F75:F80" si="4">E75/2</f>
        <v>252360.0235</v>
      </c>
      <c r="G75" s="13"/>
    </row>
    <row r="76" customHeight="1" spans="1:7">
      <c r="A76" s="10">
        <v>3</v>
      </c>
      <c r="B76" s="18" t="s">
        <v>521</v>
      </c>
      <c r="C76" s="12" t="s">
        <v>574</v>
      </c>
      <c r="D76" s="10" t="s">
        <v>573</v>
      </c>
      <c r="E76" s="219">
        <v>436137.05</v>
      </c>
      <c r="F76" s="231">
        <f t="shared" si="4"/>
        <v>218068.525</v>
      </c>
      <c r="G76" s="13"/>
    </row>
    <row r="77" customHeight="1" spans="1:7">
      <c r="A77" s="10">
        <v>4</v>
      </c>
      <c r="B77" s="11" t="s">
        <v>146</v>
      </c>
      <c r="C77" s="4" t="s">
        <v>147</v>
      </c>
      <c r="D77" s="15" t="s">
        <v>47</v>
      </c>
      <c r="E77" s="85">
        <v>397211.3675</v>
      </c>
      <c r="F77" s="231">
        <f t="shared" si="4"/>
        <v>198605.68375</v>
      </c>
      <c r="G77" s="13"/>
    </row>
    <row r="78" customHeight="1" spans="1:7">
      <c r="A78" s="10">
        <v>5</v>
      </c>
      <c r="B78" s="11" t="s">
        <v>149</v>
      </c>
      <c r="C78" s="4" t="s">
        <v>152</v>
      </c>
      <c r="D78" s="10" t="s">
        <v>104</v>
      </c>
      <c r="E78" s="219">
        <v>273169.1175</v>
      </c>
      <c r="F78" s="231">
        <f t="shared" si="4"/>
        <v>136584.55875</v>
      </c>
      <c r="G78" s="13"/>
    </row>
    <row r="79" customHeight="1" spans="1:7">
      <c r="A79" s="10">
        <v>6</v>
      </c>
      <c r="B79" s="11" t="s">
        <v>151</v>
      </c>
      <c r="C79" s="4" t="s">
        <v>152</v>
      </c>
      <c r="D79" s="10" t="s">
        <v>83</v>
      </c>
      <c r="E79" s="219">
        <v>245204.0845</v>
      </c>
      <c r="F79" s="231">
        <f t="shared" si="4"/>
        <v>122602.04225</v>
      </c>
      <c r="G79" s="13"/>
    </row>
    <row r="80" customHeight="1" spans="1:7">
      <c r="A80" s="10">
        <v>7</v>
      </c>
      <c r="B80" s="11" t="s">
        <v>153</v>
      </c>
      <c r="C80" s="4" t="s">
        <v>154</v>
      </c>
      <c r="D80" s="10" t="s">
        <v>95</v>
      </c>
      <c r="E80" s="219">
        <v>223338.2245</v>
      </c>
      <c r="F80" s="231">
        <f t="shared" si="4"/>
        <v>111669.11225</v>
      </c>
      <c r="G80" s="13"/>
    </row>
    <row r="81" customHeight="1" spans="1:7">
      <c r="A81" s="10"/>
      <c r="B81" s="20" t="s">
        <v>96</v>
      </c>
      <c r="C81" s="21">
        <v>7</v>
      </c>
      <c r="D81" s="21"/>
      <c r="E81" s="93">
        <v>3129988.9545</v>
      </c>
      <c r="F81" s="322">
        <f>SUM(F74:F80)</f>
        <v>1564994.47725</v>
      </c>
      <c r="G81" s="13"/>
    </row>
    <row r="82" customHeight="1" spans="1:7">
      <c r="A82" s="10"/>
      <c r="B82" s="20"/>
      <c r="C82" s="21"/>
      <c r="D82" s="21"/>
      <c r="E82" s="312"/>
      <c r="F82" s="231"/>
      <c r="G82" s="13"/>
    </row>
    <row r="83" customHeight="1" spans="1:7">
      <c r="A83" s="10"/>
      <c r="B83" s="20" t="s">
        <v>155</v>
      </c>
      <c r="C83" s="25"/>
      <c r="D83" s="21"/>
      <c r="E83" s="312"/>
      <c r="F83" s="231"/>
      <c r="G83" s="13"/>
    </row>
    <row r="84" customHeight="1" spans="1:7">
      <c r="A84" s="10">
        <v>1</v>
      </c>
      <c r="B84" s="11" t="s">
        <v>156</v>
      </c>
      <c r="C84" s="4" t="s">
        <v>112</v>
      </c>
      <c r="D84" s="10" t="s">
        <v>36</v>
      </c>
      <c r="E84" s="219">
        <v>627553.5025</v>
      </c>
      <c r="F84" s="231">
        <f>E84/2</f>
        <v>313776.75125</v>
      </c>
      <c r="G84" s="13"/>
    </row>
    <row r="85" customHeight="1" spans="1:7">
      <c r="A85" s="10">
        <v>2</v>
      </c>
      <c r="B85" s="11" t="s">
        <v>157</v>
      </c>
      <c r="C85" s="4" t="s">
        <v>112</v>
      </c>
      <c r="D85" s="10" t="s">
        <v>36</v>
      </c>
      <c r="E85" s="219">
        <v>527553.5025</v>
      </c>
      <c r="F85" s="231">
        <f t="shared" ref="F85:F94" si="5">E85/2</f>
        <v>263776.75125</v>
      </c>
      <c r="G85" s="13"/>
    </row>
    <row r="86" customHeight="1" spans="1:7">
      <c r="A86" s="10">
        <v>3</v>
      </c>
      <c r="B86" s="14" t="s">
        <v>201</v>
      </c>
      <c r="C86" s="4" t="s">
        <v>112</v>
      </c>
      <c r="D86" s="10" t="s">
        <v>39</v>
      </c>
      <c r="E86" s="85">
        <v>504720.047</v>
      </c>
      <c r="F86" s="231">
        <f t="shared" si="5"/>
        <v>252360.0235</v>
      </c>
      <c r="G86" s="13"/>
    </row>
    <row r="87" customHeight="1" spans="1:7">
      <c r="A87" s="10">
        <v>4</v>
      </c>
      <c r="B87" s="11" t="s">
        <v>158</v>
      </c>
      <c r="C87" s="4" t="s">
        <v>112</v>
      </c>
      <c r="D87" s="10" t="s">
        <v>39</v>
      </c>
      <c r="E87" s="85">
        <v>504729.222</v>
      </c>
      <c r="F87" s="231">
        <f t="shared" si="5"/>
        <v>252364.611</v>
      </c>
      <c r="G87" s="13"/>
    </row>
    <row r="88" ht="21.6" customHeight="1" spans="1:7">
      <c r="A88" s="10">
        <v>5</v>
      </c>
      <c r="B88" s="11" t="s">
        <v>159</v>
      </c>
      <c r="C88" s="4" t="s">
        <v>483</v>
      </c>
      <c r="D88" s="15" t="s">
        <v>52</v>
      </c>
      <c r="E88" s="219">
        <v>369177.65375</v>
      </c>
      <c r="F88" s="231">
        <f t="shared" si="5"/>
        <v>184588.826875</v>
      </c>
      <c r="G88" s="13"/>
    </row>
    <row r="89" ht="21.6" customHeight="1" spans="1:7">
      <c r="A89" s="10">
        <v>6</v>
      </c>
      <c r="B89" s="11" t="s">
        <v>160</v>
      </c>
      <c r="C89" s="12" t="s">
        <v>165</v>
      </c>
      <c r="D89" s="15" t="s">
        <v>1019</v>
      </c>
      <c r="E89" s="219">
        <v>362001.0605</v>
      </c>
      <c r="F89" s="231">
        <f t="shared" si="5"/>
        <v>181000.53025</v>
      </c>
      <c r="G89" s="13"/>
    </row>
    <row r="90" ht="21.6" customHeight="1" spans="1:7">
      <c r="A90" s="10">
        <v>7</v>
      </c>
      <c r="B90" s="11" t="s">
        <v>161</v>
      </c>
      <c r="C90" s="12" t="s">
        <v>133</v>
      </c>
      <c r="D90" s="15" t="s">
        <v>162</v>
      </c>
      <c r="E90" s="85">
        <v>389153.05675</v>
      </c>
      <c r="F90" s="231">
        <f t="shared" si="5"/>
        <v>194576.528375</v>
      </c>
      <c r="G90" s="13"/>
    </row>
    <row r="91" ht="21.6" customHeight="1" spans="1:7">
      <c r="A91" s="10">
        <v>8</v>
      </c>
      <c r="B91" s="11" t="s">
        <v>163</v>
      </c>
      <c r="C91" s="17" t="s">
        <v>67</v>
      </c>
      <c r="D91" s="15" t="s">
        <v>65</v>
      </c>
      <c r="E91" s="219">
        <v>315372.075</v>
      </c>
      <c r="F91" s="231">
        <f t="shared" si="5"/>
        <v>157686.0375</v>
      </c>
      <c r="G91" s="13"/>
    </row>
    <row r="92" ht="21.6" customHeight="1" spans="1:7">
      <c r="A92" s="10">
        <v>9</v>
      </c>
      <c r="B92" s="11" t="s">
        <v>164</v>
      </c>
      <c r="C92" s="17" t="s">
        <v>67</v>
      </c>
      <c r="D92" s="15" t="s">
        <v>65</v>
      </c>
      <c r="E92" s="219">
        <v>315372.075</v>
      </c>
      <c r="F92" s="231">
        <f t="shared" si="5"/>
        <v>157686.0375</v>
      </c>
      <c r="G92" s="13"/>
    </row>
    <row r="93" ht="21.6" customHeight="1" spans="1:7">
      <c r="A93" s="10">
        <v>10</v>
      </c>
      <c r="B93" s="11" t="s">
        <v>167</v>
      </c>
      <c r="C93" s="4" t="s">
        <v>168</v>
      </c>
      <c r="D93" s="10" t="s">
        <v>70</v>
      </c>
      <c r="E93" s="219">
        <v>268602.07775</v>
      </c>
      <c r="F93" s="231">
        <f t="shared" si="5"/>
        <v>134301.038875</v>
      </c>
      <c r="G93" s="13"/>
    </row>
    <row r="94" ht="21.6" customHeight="1" spans="1:7">
      <c r="A94" s="10">
        <v>11</v>
      </c>
      <c r="B94" s="11" t="s">
        <v>169</v>
      </c>
      <c r="C94" s="17" t="s">
        <v>170</v>
      </c>
      <c r="D94" s="15" t="s">
        <v>92</v>
      </c>
      <c r="E94" s="219">
        <v>223709.1095</v>
      </c>
      <c r="F94" s="231">
        <f t="shared" si="5"/>
        <v>111854.55475</v>
      </c>
      <c r="G94" s="13"/>
    </row>
    <row r="95" customHeight="1" spans="1:7">
      <c r="A95" s="10"/>
      <c r="B95" s="20" t="s">
        <v>96</v>
      </c>
      <c r="C95" s="21">
        <v>11</v>
      </c>
      <c r="D95" s="21"/>
      <c r="E95" s="93">
        <v>4407943.38225</v>
      </c>
      <c r="F95" s="322">
        <f>SUM(F84:F94)</f>
        <v>2203971.691125</v>
      </c>
      <c r="G95" s="13"/>
    </row>
    <row r="96" customHeight="1" spans="1:7">
      <c r="A96" s="10"/>
      <c r="B96" s="22"/>
      <c r="C96" s="21"/>
      <c r="D96" s="21"/>
      <c r="E96" s="312"/>
      <c r="F96" s="233"/>
      <c r="G96" s="13"/>
    </row>
    <row r="97" customHeight="1" spans="1:7">
      <c r="A97" s="10"/>
      <c r="B97" s="20" t="s">
        <v>172</v>
      </c>
      <c r="C97" s="21"/>
      <c r="D97" s="21"/>
      <c r="E97" s="312"/>
      <c r="F97" s="233"/>
      <c r="G97" s="13"/>
    </row>
    <row r="98" customHeight="1" spans="1:7">
      <c r="A98" s="10">
        <v>1</v>
      </c>
      <c r="B98" s="14" t="s">
        <v>173</v>
      </c>
      <c r="C98" s="4" t="s">
        <v>174</v>
      </c>
      <c r="D98" s="16" t="s">
        <v>110</v>
      </c>
      <c r="E98" s="219">
        <v>527744</v>
      </c>
      <c r="F98" s="231">
        <f>E98/2</f>
        <v>263872</v>
      </c>
      <c r="G98" s="13"/>
    </row>
    <row r="99" customHeight="1" spans="1:7">
      <c r="A99" s="10">
        <v>2</v>
      </c>
      <c r="B99" s="11" t="s">
        <v>176</v>
      </c>
      <c r="C99" s="4" t="s">
        <v>177</v>
      </c>
      <c r="D99" s="15" t="s">
        <v>47</v>
      </c>
      <c r="E99" s="85">
        <v>327211.3675</v>
      </c>
      <c r="F99" s="231">
        <f t="shared" ref="F99:F101" si="6">E99/2</f>
        <v>163605.68375</v>
      </c>
      <c r="G99" s="13"/>
    </row>
    <row r="100" customHeight="1" spans="1:7">
      <c r="A100" s="10">
        <v>3</v>
      </c>
      <c r="B100" s="11" t="s">
        <v>180</v>
      </c>
      <c r="C100" s="4" t="s">
        <v>181</v>
      </c>
      <c r="D100" s="15" t="s">
        <v>135</v>
      </c>
      <c r="E100" s="219">
        <v>272454.074</v>
      </c>
      <c r="F100" s="231">
        <f t="shared" si="6"/>
        <v>136227.037</v>
      </c>
      <c r="G100" s="13"/>
    </row>
    <row r="101" customHeight="1" spans="1:7">
      <c r="A101" s="10">
        <v>4</v>
      </c>
      <c r="B101" s="11" t="s">
        <v>182</v>
      </c>
      <c r="C101" s="4" t="s">
        <v>183</v>
      </c>
      <c r="D101" s="15" t="s">
        <v>70</v>
      </c>
      <c r="E101" s="85">
        <v>228602.07775</v>
      </c>
      <c r="F101" s="231">
        <f t="shared" si="6"/>
        <v>114301.038875</v>
      </c>
      <c r="G101" s="13"/>
    </row>
    <row r="102" customHeight="1" spans="1:7">
      <c r="A102" s="4"/>
      <c r="B102" s="20" t="s">
        <v>96</v>
      </c>
      <c r="C102" s="21">
        <v>4</v>
      </c>
      <c r="D102" s="26"/>
      <c r="E102" s="93">
        <v>1813825.685</v>
      </c>
      <c r="F102" s="93">
        <f>SUM(F98:F101)</f>
        <v>678005.759625</v>
      </c>
      <c r="G102" s="13"/>
    </row>
    <row r="103" customHeight="1" spans="1:7">
      <c r="A103" s="4"/>
      <c r="B103" s="22"/>
      <c r="C103" s="21"/>
      <c r="D103" s="26"/>
      <c r="E103" s="312"/>
      <c r="F103" s="233"/>
      <c r="G103" s="13"/>
    </row>
    <row r="104" customHeight="1" spans="1:7">
      <c r="A104" s="4"/>
      <c r="B104" s="20" t="s">
        <v>184</v>
      </c>
      <c r="C104" s="4"/>
      <c r="D104" s="4"/>
      <c r="E104" s="352"/>
      <c r="F104" s="234"/>
      <c r="G104" s="13"/>
    </row>
    <row r="105" customHeight="1" spans="1:7">
      <c r="A105" s="4">
        <v>1</v>
      </c>
      <c r="B105" s="11" t="s">
        <v>185</v>
      </c>
      <c r="C105" s="12" t="s">
        <v>186</v>
      </c>
      <c r="D105" s="15" t="s">
        <v>100</v>
      </c>
      <c r="E105" s="219">
        <v>1050209.0635</v>
      </c>
      <c r="F105" s="231">
        <f>E105/2</f>
        <v>525104.53175</v>
      </c>
      <c r="G105" s="13"/>
    </row>
    <row r="106" customHeight="1" spans="1:7">
      <c r="A106" s="4">
        <v>2</v>
      </c>
      <c r="B106" s="11" t="s">
        <v>187</v>
      </c>
      <c r="C106" s="4" t="s">
        <v>188</v>
      </c>
      <c r="D106" s="16" t="s">
        <v>110</v>
      </c>
      <c r="E106" s="219">
        <v>617743.99575</v>
      </c>
      <c r="F106" s="231">
        <f t="shared" ref="F106:F111" si="7">E106/2</f>
        <v>308871.997875</v>
      </c>
      <c r="G106" s="13"/>
    </row>
    <row r="107" customHeight="1" spans="1:7">
      <c r="A107" s="4">
        <v>3</v>
      </c>
      <c r="B107" s="11" t="s">
        <v>190</v>
      </c>
      <c r="C107" s="4" t="s">
        <v>191</v>
      </c>
      <c r="D107" s="10" t="s">
        <v>192</v>
      </c>
      <c r="E107" s="219">
        <v>418096.016025</v>
      </c>
      <c r="F107" s="231">
        <f t="shared" si="7"/>
        <v>209048.0080125</v>
      </c>
      <c r="G107" s="13"/>
    </row>
    <row r="108" customHeight="1" spans="1:7">
      <c r="A108" s="4">
        <v>4</v>
      </c>
      <c r="B108" s="11" t="s">
        <v>193</v>
      </c>
      <c r="C108" s="4" t="s">
        <v>191</v>
      </c>
      <c r="D108" s="10" t="s">
        <v>192</v>
      </c>
      <c r="E108" s="219">
        <v>416483.194155</v>
      </c>
      <c r="F108" s="231">
        <f t="shared" si="7"/>
        <v>208241.5970775</v>
      </c>
      <c r="G108" s="13"/>
    </row>
    <row r="109" customHeight="1" spans="1:7">
      <c r="A109" s="4">
        <v>5</v>
      </c>
      <c r="B109" s="11" t="s">
        <v>194</v>
      </c>
      <c r="C109" s="4" t="s">
        <v>195</v>
      </c>
      <c r="D109" s="15" t="s">
        <v>198</v>
      </c>
      <c r="E109" s="219">
        <v>262612.71748</v>
      </c>
      <c r="F109" s="231">
        <f t="shared" si="7"/>
        <v>131306.35874</v>
      </c>
      <c r="G109" s="13"/>
    </row>
    <row r="110" customHeight="1" spans="1:7">
      <c r="A110" s="4">
        <v>6</v>
      </c>
      <c r="B110" s="18" t="s">
        <v>197</v>
      </c>
      <c r="C110" s="4" t="s">
        <v>195</v>
      </c>
      <c r="D110" s="10" t="s">
        <v>1014</v>
      </c>
      <c r="E110" s="219">
        <v>258740.79775</v>
      </c>
      <c r="F110" s="231">
        <f t="shared" si="7"/>
        <v>129370.398875</v>
      </c>
      <c r="G110" s="13"/>
    </row>
    <row r="111" customHeight="1" spans="1:7">
      <c r="A111" s="4">
        <v>7</v>
      </c>
      <c r="B111" s="18" t="s">
        <v>199</v>
      </c>
      <c r="C111" s="4" t="s">
        <v>195</v>
      </c>
      <c r="D111" s="15" t="s">
        <v>92</v>
      </c>
      <c r="E111" s="219">
        <v>251382.295445</v>
      </c>
      <c r="F111" s="231">
        <f t="shared" si="7"/>
        <v>125691.1477225</v>
      </c>
      <c r="G111" s="13"/>
    </row>
    <row r="112" ht="25.5" customHeight="1" spans="1:7">
      <c r="A112" s="4"/>
      <c r="B112" s="20" t="s">
        <v>96</v>
      </c>
      <c r="C112" s="21">
        <v>7</v>
      </c>
      <c r="D112" s="4"/>
      <c r="E112" s="353">
        <v>3275268.080105</v>
      </c>
      <c r="F112" s="354">
        <f>SUM(F105:F111)</f>
        <v>1637634.0400525</v>
      </c>
      <c r="G112" s="13"/>
    </row>
    <row r="113" customHeight="1" spans="1:7">
      <c r="A113" s="4"/>
      <c r="B113" s="20"/>
      <c r="C113" s="21"/>
      <c r="D113" s="4"/>
      <c r="E113" s="353"/>
      <c r="F113" s="354"/>
      <c r="G113" s="13"/>
    </row>
    <row r="114" customHeight="1" spans="1:7">
      <c r="A114" s="10"/>
      <c r="B114" s="20" t="s">
        <v>200</v>
      </c>
      <c r="C114" s="21"/>
      <c r="D114" s="21"/>
      <c r="E114" s="312"/>
      <c r="F114" s="233"/>
      <c r="G114" s="13"/>
    </row>
    <row r="115" ht="18.75" customHeight="1" spans="1:7">
      <c r="A115" s="10">
        <v>1</v>
      </c>
      <c r="B115" s="11" t="s">
        <v>202</v>
      </c>
      <c r="C115" s="4" t="s">
        <v>203</v>
      </c>
      <c r="D115" s="15" t="s">
        <v>135</v>
      </c>
      <c r="E115" s="219">
        <v>322454.074</v>
      </c>
      <c r="F115" s="355">
        <f t="shared" ref="F115:F116" si="8">E115/2</f>
        <v>161227.037</v>
      </c>
      <c r="G115" s="13"/>
    </row>
    <row r="116" customHeight="1" spans="1:7">
      <c r="A116" s="10">
        <v>2</v>
      </c>
      <c r="B116" s="11" t="s">
        <v>204</v>
      </c>
      <c r="C116" s="12" t="s">
        <v>581</v>
      </c>
      <c r="D116" s="15" t="s">
        <v>62</v>
      </c>
      <c r="E116" s="219">
        <v>284536.9985</v>
      </c>
      <c r="F116" s="355">
        <f t="shared" si="8"/>
        <v>142268.49925</v>
      </c>
      <c r="G116" s="13"/>
    </row>
    <row r="117" ht="24.75" customHeight="1" spans="1:7">
      <c r="A117" s="4"/>
      <c r="B117" s="20" t="s">
        <v>96</v>
      </c>
      <c r="C117" s="21">
        <v>2</v>
      </c>
      <c r="D117" s="26"/>
      <c r="E117" s="93">
        <v>790446.845870968</v>
      </c>
      <c r="F117" s="322">
        <f>SUM(F115:F116)</f>
        <v>303495.53625</v>
      </c>
      <c r="G117" s="13"/>
    </row>
    <row r="118" customHeight="1" spans="1:7">
      <c r="A118" s="4"/>
      <c r="B118" s="22"/>
      <c r="C118" s="10"/>
      <c r="D118" s="4"/>
      <c r="E118" s="315"/>
      <c r="F118" s="235"/>
      <c r="G118" s="13"/>
    </row>
    <row r="119" customHeight="1" spans="1:7">
      <c r="A119" s="4"/>
      <c r="B119" s="20" t="s">
        <v>213</v>
      </c>
      <c r="C119" s="21"/>
      <c r="D119" s="21"/>
      <c r="E119" s="312"/>
      <c r="F119" s="231"/>
      <c r="G119" s="13"/>
    </row>
    <row r="120" customHeight="1" spans="1:7">
      <c r="A120" s="4">
        <v>1</v>
      </c>
      <c r="B120" s="11" t="s">
        <v>214</v>
      </c>
      <c r="C120" s="12" t="s">
        <v>215</v>
      </c>
      <c r="D120" s="15" t="s">
        <v>100</v>
      </c>
      <c r="E120" s="219">
        <v>1050209.0635</v>
      </c>
      <c r="F120" s="231">
        <f>E120/2</f>
        <v>525104.53175</v>
      </c>
      <c r="G120" s="13"/>
    </row>
    <row r="121" customHeight="1" spans="1:7">
      <c r="A121" s="4">
        <v>2</v>
      </c>
      <c r="B121" s="11" t="s">
        <v>216</v>
      </c>
      <c r="C121" s="12" t="s">
        <v>217</v>
      </c>
      <c r="D121" s="15" t="s">
        <v>1015</v>
      </c>
      <c r="E121" s="219">
        <v>614023.33</v>
      </c>
      <c r="F121" s="231">
        <f t="shared" ref="F121:F129" si="9">E121/2</f>
        <v>307011.665</v>
      </c>
      <c r="G121" s="13"/>
    </row>
    <row r="122" customHeight="1" spans="1:7">
      <c r="A122" s="4">
        <v>3</v>
      </c>
      <c r="B122" s="14" t="s">
        <v>218</v>
      </c>
      <c r="C122" s="12" t="s">
        <v>219</v>
      </c>
      <c r="D122" s="15" t="s">
        <v>36</v>
      </c>
      <c r="E122" s="219">
        <v>577553.5025</v>
      </c>
      <c r="F122" s="231">
        <f t="shared" si="9"/>
        <v>288776.75125</v>
      </c>
      <c r="G122" s="13"/>
    </row>
    <row r="123" customHeight="1" spans="1:7">
      <c r="A123" s="4">
        <v>4</v>
      </c>
      <c r="B123" s="14" t="s">
        <v>523</v>
      </c>
      <c r="C123" s="12" t="s">
        <v>219</v>
      </c>
      <c r="D123" s="15" t="s">
        <v>39</v>
      </c>
      <c r="E123" s="219">
        <v>424720.047</v>
      </c>
      <c r="F123" s="231">
        <f t="shared" si="9"/>
        <v>212360.0235</v>
      </c>
      <c r="G123" s="13"/>
    </row>
    <row r="124" customHeight="1" spans="1:7">
      <c r="A124" s="4">
        <v>5</v>
      </c>
      <c r="B124" s="11" t="s">
        <v>220</v>
      </c>
      <c r="C124" s="12" t="s">
        <v>221</v>
      </c>
      <c r="D124" s="15" t="s">
        <v>148</v>
      </c>
      <c r="E124" s="219">
        <v>335272.06375</v>
      </c>
      <c r="F124" s="231">
        <f t="shared" si="9"/>
        <v>167636.031875</v>
      </c>
      <c r="G124" s="13"/>
    </row>
    <row r="125" customHeight="1" spans="1:7">
      <c r="A125" s="4">
        <v>6</v>
      </c>
      <c r="B125" s="11" t="s">
        <v>223</v>
      </c>
      <c r="C125" s="12" t="s">
        <v>224</v>
      </c>
      <c r="D125" s="15" t="s">
        <v>47</v>
      </c>
      <c r="E125" s="219">
        <v>327211.3675</v>
      </c>
      <c r="F125" s="231">
        <f t="shared" si="9"/>
        <v>163605.68375</v>
      </c>
      <c r="G125" s="13"/>
    </row>
    <row r="126" customHeight="1" spans="1:7">
      <c r="A126" s="4">
        <v>7</v>
      </c>
      <c r="B126" s="11" t="s">
        <v>225</v>
      </c>
      <c r="C126" s="12" t="s">
        <v>221</v>
      </c>
      <c r="D126" s="15" t="s">
        <v>47</v>
      </c>
      <c r="E126" s="85">
        <v>327211.3675</v>
      </c>
      <c r="F126" s="231">
        <f t="shared" si="9"/>
        <v>163605.68375</v>
      </c>
      <c r="G126" s="13"/>
    </row>
    <row r="127" customHeight="1" spans="1:7">
      <c r="A127" s="4">
        <v>8</v>
      </c>
      <c r="B127" s="11" t="s">
        <v>226</v>
      </c>
      <c r="C127" s="12" t="s">
        <v>227</v>
      </c>
      <c r="D127" s="10" t="s">
        <v>80</v>
      </c>
      <c r="E127" s="219">
        <v>209356.04725</v>
      </c>
      <c r="F127" s="231">
        <f t="shared" si="9"/>
        <v>104678.023625</v>
      </c>
      <c r="G127" s="13"/>
    </row>
    <row r="128" customHeight="1" spans="1:7">
      <c r="A128" s="4">
        <v>9</v>
      </c>
      <c r="B128" s="18" t="s">
        <v>228</v>
      </c>
      <c r="C128" s="12" t="s">
        <v>229</v>
      </c>
      <c r="D128" s="15" t="s">
        <v>95</v>
      </c>
      <c r="E128" s="219">
        <v>173338.2245</v>
      </c>
      <c r="F128" s="231">
        <f t="shared" si="9"/>
        <v>86669.11225</v>
      </c>
      <c r="G128" s="13"/>
    </row>
    <row r="129" customHeight="1" spans="1:7">
      <c r="A129" s="4">
        <v>10</v>
      </c>
      <c r="B129" s="18" t="s">
        <v>230</v>
      </c>
      <c r="C129" s="12" t="s">
        <v>231</v>
      </c>
      <c r="D129" s="15" t="s">
        <v>95</v>
      </c>
      <c r="E129" s="219">
        <v>173329.0495</v>
      </c>
      <c r="F129" s="231">
        <f t="shared" si="9"/>
        <v>86664.52475</v>
      </c>
      <c r="G129" s="13"/>
    </row>
    <row r="130" ht="28.5" customHeight="1" spans="1:7">
      <c r="A130" s="4"/>
      <c r="B130" s="20" t="s">
        <v>96</v>
      </c>
      <c r="C130" s="26" t="s">
        <v>233</v>
      </c>
      <c r="D130" s="15"/>
      <c r="E130" s="146">
        <v>4802897.89591667</v>
      </c>
      <c r="F130" s="233">
        <f>SUM(F120:F129)</f>
        <v>2106112.0315</v>
      </c>
      <c r="G130" s="13"/>
    </row>
    <row r="131" customHeight="1" spans="1:7">
      <c r="A131" s="4"/>
      <c r="B131" s="22"/>
      <c r="C131" s="26"/>
      <c r="D131" s="15"/>
      <c r="E131" s="312"/>
      <c r="F131" s="233"/>
      <c r="G131" s="13"/>
    </row>
    <row r="132" customHeight="1" spans="1:7">
      <c r="A132" s="4"/>
      <c r="B132" s="20" t="s">
        <v>234</v>
      </c>
      <c r="C132" s="12"/>
      <c r="D132" s="15"/>
      <c r="E132" s="219"/>
      <c r="F132" s="231"/>
      <c r="G132" s="13"/>
    </row>
    <row r="133" customHeight="1" spans="1:7">
      <c r="A133" s="27">
        <v>1</v>
      </c>
      <c r="B133" s="11" t="s">
        <v>235</v>
      </c>
      <c r="C133" s="12" t="s">
        <v>236</v>
      </c>
      <c r="D133" s="15" t="s">
        <v>100</v>
      </c>
      <c r="E133" s="219">
        <v>950209.0635</v>
      </c>
      <c r="F133" s="231">
        <f>E133/2</f>
        <v>475104.53175</v>
      </c>
      <c r="G133" s="13"/>
    </row>
    <row r="134" customHeight="1" spans="1:7">
      <c r="A134" s="27">
        <v>2</v>
      </c>
      <c r="B134" s="11" t="s">
        <v>524</v>
      </c>
      <c r="C134" s="12" t="s">
        <v>575</v>
      </c>
      <c r="D134" s="15" t="s">
        <v>189</v>
      </c>
      <c r="E134" s="219">
        <v>541465.02475</v>
      </c>
      <c r="F134" s="231">
        <f t="shared" ref="F134:F191" si="10">E134/2</f>
        <v>270732.512375</v>
      </c>
      <c r="G134" s="13"/>
    </row>
    <row r="135" customHeight="1" spans="1:7">
      <c r="A135" s="27">
        <v>3</v>
      </c>
      <c r="B135" s="14" t="s">
        <v>237</v>
      </c>
      <c r="C135" s="4" t="s">
        <v>238</v>
      </c>
      <c r="D135" s="16" t="s">
        <v>110</v>
      </c>
      <c r="E135" s="219">
        <v>577743.99575</v>
      </c>
      <c r="F135" s="231">
        <f t="shared" si="10"/>
        <v>288871.997875</v>
      </c>
      <c r="G135" s="13"/>
    </row>
    <row r="136" customHeight="1" spans="1:7">
      <c r="A136" s="27">
        <v>4</v>
      </c>
      <c r="B136" s="11" t="s">
        <v>239</v>
      </c>
      <c r="C136" s="12" t="s">
        <v>582</v>
      </c>
      <c r="D136" s="15" t="s">
        <v>222</v>
      </c>
      <c r="E136" s="219">
        <v>343333.03525</v>
      </c>
      <c r="F136" s="231">
        <f t="shared" si="10"/>
        <v>171666.517625</v>
      </c>
      <c r="G136" s="13"/>
    </row>
    <row r="137" customHeight="1" spans="1:7">
      <c r="A137" s="27">
        <v>5</v>
      </c>
      <c r="B137" s="11" t="s">
        <v>241</v>
      </c>
      <c r="C137" s="4" t="s">
        <v>583</v>
      </c>
      <c r="D137" s="15" t="s">
        <v>222</v>
      </c>
      <c r="E137" s="219">
        <v>343333.03525</v>
      </c>
      <c r="F137" s="231">
        <f t="shared" si="10"/>
        <v>171666.517625</v>
      </c>
      <c r="G137" s="13"/>
    </row>
    <row r="138" customHeight="1" spans="1:7">
      <c r="A138" s="27">
        <v>6</v>
      </c>
      <c r="B138" s="11" t="s">
        <v>243</v>
      </c>
      <c r="C138" s="4" t="s">
        <v>583</v>
      </c>
      <c r="D138" s="15" t="s">
        <v>222</v>
      </c>
      <c r="E138" s="219">
        <v>343333.03525</v>
      </c>
      <c r="F138" s="231">
        <f t="shared" si="10"/>
        <v>171666.517625</v>
      </c>
      <c r="G138" s="13"/>
    </row>
    <row r="139" customHeight="1" spans="1:7">
      <c r="A139" s="27">
        <v>7</v>
      </c>
      <c r="B139" s="11" t="s">
        <v>178</v>
      </c>
      <c r="C139" s="12" t="s">
        <v>584</v>
      </c>
      <c r="D139" s="15" t="s">
        <v>62</v>
      </c>
      <c r="E139" s="219">
        <v>284536.9985</v>
      </c>
      <c r="F139" s="231">
        <f t="shared" si="10"/>
        <v>142268.49925</v>
      </c>
      <c r="G139" s="13"/>
    </row>
    <row r="140" customHeight="1" spans="1:7">
      <c r="A140" s="27">
        <v>8</v>
      </c>
      <c r="B140" s="11" t="s">
        <v>244</v>
      </c>
      <c r="C140" s="12" t="s">
        <v>584</v>
      </c>
      <c r="D140" s="15" t="s">
        <v>62</v>
      </c>
      <c r="E140" s="219">
        <v>284536.9985</v>
      </c>
      <c r="F140" s="231">
        <f t="shared" si="10"/>
        <v>142268.49925</v>
      </c>
      <c r="G140" s="13"/>
    </row>
    <row r="141" customHeight="1" spans="1:7">
      <c r="A141" s="27">
        <v>9</v>
      </c>
      <c r="B141" s="11" t="s">
        <v>245</v>
      </c>
      <c r="C141" s="4" t="s">
        <v>585</v>
      </c>
      <c r="D141" s="15" t="s">
        <v>62</v>
      </c>
      <c r="E141" s="219">
        <v>284536.9985</v>
      </c>
      <c r="F141" s="231">
        <f t="shared" si="10"/>
        <v>142268.49925</v>
      </c>
      <c r="G141" s="13"/>
    </row>
    <row r="142" customHeight="1" spans="1:7">
      <c r="A142" s="27">
        <v>10</v>
      </c>
      <c r="B142" s="11" t="s">
        <v>247</v>
      </c>
      <c r="C142" s="12" t="s">
        <v>248</v>
      </c>
      <c r="D142" s="15" t="s">
        <v>135</v>
      </c>
      <c r="E142" s="219">
        <v>272454.074</v>
      </c>
      <c r="F142" s="231">
        <f t="shared" si="10"/>
        <v>136227.037</v>
      </c>
      <c r="G142" s="13"/>
    </row>
    <row r="143" customHeight="1" spans="1:7">
      <c r="A143" s="27">
        <v>11</v>
      </c>
      <c r="B143" s="11" t="s">
        <v>249</v>
      </c>
      <c r="C143" s="12" t="s">
        <v>250</v>
      </c>
      <c r="D143" s="15" t="s">
        <v>65</v>
      </c>
      <c r="E143" s="85">
        <v>265372.075</v>
      </c>
      <c r="F143" s="231">
        <f t="shared" si="10"/>
        <v>132686.0375</v>
      </c>
      <c r="G143" s="13"/>
    </row>
    <row r="144" customHeight="1" spans="1:7">
      <c r="A144" s="27">
        <v>12</v>
      </c>
      <c r="B144" s="11" t="s">
        <v>251</v>
      </c>
      <c r="C144" s="12" t="s">
        <v>252</v>
      </c>
      <c r="D144" s="15" t="s">
        <v>62</v>
      </c>
      <c r="E144" s="219">
        <v>284536.9985</v>
      </c>
      <c r="F144" s="231">
        <f t="shared" si="10"/>
        <v>142268.49925</v>
      </c>
      <c r="G144" s="13"/>
    </row>
    <row r="145" customHeight="1" spans="1:7">
      <c r="A145" s="27">
        <v>13</v>
      </c>
      <c r="B145" s="18" t="s">
        <v>254</v>
      </c>
      <c r="C145" s="4" t="s">
        <v>255</v>
      </c>
      <c r="D145" s="15" t="s">
        <v>65</v>
      </c>
      <c r="E145" s="85">
        <v>265372.075</v>
      </c>
      <c r="F145" s="231">
        <f t="shared" si="10"/>
        <v>132686.0375</v>
      </c>
      <c r="G145" s="13"/>
    </row>
    <row r="146" customHeight="1" spans="1:7">
      <c r="A146" s="27">
        <v>14</v>
      </c>
      <c r="B146" s="11" t="s">
        <v>256</v>
      </c>
      <c r="C146" s="4" t="s">
        <v>586</v>
      </c>
      <c r="D146" s="15" t="s">
        <v>104</v>
      </c>
      <c r="E146" s="219">
        <v>237734.047</v>
      </c>
      <c r="F146" s="231">
        <f t="shared" si="10"/>
        <v>118867.0235</v>
      </c>
      <c r="G146" s="13"/>
    </row>
    <row r="147" customHeight="1" spans="1:7">
      <c r="A147" s="27">
        <v>15</v>
      </c>
      <c r="B147" s="11" t="s">
        <v>257</v>
      </c>
      <c r="C147" s="4" t="s">
        <v>586</v>
      </c>
      <c r="D147" s="15" t="s">
        <v>265</v>
      </c>
      <c r="E147" s="219">
        <v>237734.047</v>
      </c>
      <c r="F147" s="231">
        <f t="shared" si="10"/>
        <v>118867.0235</v>
      </c>
      <c r="G147" s="13"/>
    </row>
    <row r="148" customHeight="1" spans="1:7">
      <c r="A148" s="27">
        <v>16</v>
      </c>
      <c r="B148" s="11" t="s">
        <v>258</v>
      </c>
      <c r="C148" s="4" t="s">
        <v>586</v>
      </c>
      <c r="D148" s="15" t="s">
        <v>265</v>
      </c>
      <c r="E148" s="219">
        <v>237734.047</v>
      </c>
      <c r="F148" s="231">
        <f t="shared" si="10"/>
        <v>118867.0235</v>
      </c>
      <c r="G148" s="13"/>
    </row>
    <row r="149" customHeight="1" spans="1:7">
      <c r="A149" s="27">
        <v>17</v>
      </c>
      <c r="B149" s="11" t="s">
        <v>259</v>
      </c>
      <c r="C149" s="12" t="s">
        <v>260</v>
      </c>
      <c r="D149" s="15" t="s">
        <v>70</v>
      </c>
      <c r="E149" s="219">
        <v>228602.07775</v>
      </c>
      <c r="F149" s="231">
        <f t="shared" si="10"/>
        <v>114301.038875</v>
      </c>
      <c r="G149" s="13"/>
    </row>
    <row r="150" customHeight="1" spans="1:7">
      <c r="A150" s="27">
        <v>18</v>
      </c>
      <c r="B150" s="11" t="s">
        <v>1022</v>
      </c>
      <c r="C150" s="12" t="s">
        <v>262</v>
      </c>
      <c r="D150" s="10" t="s">
        <v>83</v>
      </c>
      <c r="E150" s="219">
        <v>205204.0845</v>
      </c>
      <c r="F150" s="231">
        <f t="shared" si="10"/>
        <v>102602.04225</v>
      </c>
      <c r="G150" s="13"/>
    </row>
    <row r="151" customHeight="1" spans="1:7">
      <c r="A151" s="27">
        <v>19</v>
      </c>
      <c r="B151" s="11" t="s">
        <v>263</v>
      </c>
      <c r="C151" s="12" t="s">
        <v>264</v>
      </c>
      <c r="D151" s="15" t="s">
        <v>104</v>
      </c>
      <c r="E151" s="219">
        <v>237734.047</v>
      </c>
      <c r="F151" s="231">
        <f t="shared" si="10"/>
        <v>118867.0235</v>
      </c>
      <c r="G151" s="13"/>
    </row>
    <row r="152" customHeight="1" spans="1:7">
      <c r="A152" s="27">
        <v>20</v>
      </c>
      <c r="B152" s="11" t="s">
        <v>266</v>
      </c>
      <c r="C152" s="12" t="s">
        <v>267</v>
      </c>
      <c r="D152" s="15" t="s">
        <v>80</v>
      </c>
      <c r="E152" s="219">
        <v>209356.04725</v>
      </c>
      <c r="F152" s="231">
        <f t="shared" si="10"/>
        <v>104678.023625</v>
      </c>
      <c r="G152" s="13"/>
    </row>
    <row r="153" customHeight="1" spans="1:7">
      <c r="A153" s="27">
        <v>21</v>
      </c>
      <c r="B153" s="11" t="s">
        <v>268</v>
      </c>
      <c r="C153" s="12" t="s">
        <v>269</v>
      </c>
      <c r="D153" s="15" t="s">
        <v>104</v>
      </c>
      <c r="E153" s="219">
        <v>237734.047</v>
      </c>
      <c r="F153" s="231">
        <f t="shared" si="10"/>
        <v>118867.0235</v>
      </c>
      <c r="G153" s="13"/>
    </row>
    <row r="154" customHeight="1" spans="1:7">
      <c r="A154" s="27">
        <v>22</v>
      </c>
      <c r="B154" s="11" t="s">
        <v>270</v>
      </c>
      <c r="C154" s="12" t="s">
        <v>271</v>
      </c>
      <c r="D154" s="15" t="s">
        <v>80</v>
      </c>
      <c r="E154" s="219">
        <v>209356.04725</v>
      </c>
      <c r="F154" s="231">
        <f t="shared" si="10"/>
        <v>104678.023625</v>
      </c>
      <c r="G154" s="13"/>
    </row>
    <row r="155" customHeight="1" spans="1:7">
      <c r="A155" s="27">
        <v>23</v>
      </c>
      <c r="B155" s="18" t="s">
        <v>272</v>
      </c>
      <c r="C155" s="12" t="s">
        <v>273</v>
      </c>
      <c r="D155" s="15" t="s">
        <v>83</v>
      </c>
      <c r="E155" s="85">
        <v>205204.0845</v>
      </c>
      <c r="F155" s="231">
        <f t="shared" si="10"/>
        <v>102602.04225</v>
      </c>
      <c r="G155" s="13"/>
    </row>
    <row r="156" customHeight="1" spans="1:7">
      <c r="A156" s="27">
        <v>24</v>
      </c>
      <c r="B156" s="18" t="s">
        <v>275</v>
      </c>
      <c r="C156" s="12" t="s">
        <v>276</v>
      </c>
      <c r="D156" s="15" t="s">
        <v>95</v>
      </c>
      <c r="E156" s="219">
        <v>173329.0495</v>
      </c>
      <c r="F156" s="231">
        <f t="shared" si="10"/>
        <v>86664.52475</v>
      </c>
      <c r="G156" s="13"/>
    </row>
    <row r="157" customHeight="1" spans="1:7">
      <c r="A157" s="27">
        <v>25</v>
      </c>
      <c r="B157" s="18" t="s">
        <v>277</v>
      </c>
      <c r="C157" s="12" t="s">
        <v>278</v>
      </c>
      <c r="D157" s="15" t="s">
        <v>95</v>
      </c>
      <c r="E157" s="219">
        <v>173338.2245</v>
      </c>
      <c r="F157" s="231">
        <f t="shared" si="10"/>
        <v>86669.11225</v>
      </c>
      <c r="G157" s="13"/>
    </row>
    <row r="158" customHeight="1" spans="1:7">
      <c r="A158" s="27">
        <v>26</v>
      </c>
      <c r="B158" s="18" t="s">
        <v>279</v>
      </c>
      <c r="C158" s="12" t="s">
        <v>280</v>
      </c>
      <c r="D158" s="15" t="s">
        <v>95</v>
      </c>
      <c r="E158" s="219">
        <v>173338.2245</v>
      </c>
      <c r="F158" s="231">
        <f t="shared" si="10"/>
        <v>86669.11225</v>
      </c>
      <c r="G158" s="13"/>
    </row>
    <row r="159" customHeight="1" spans="1:7">
      <c r="A159" s="27">
        <v>27</v>
      </c>
      <c r="B159" s="18" t="s">
        <v>281</v>
      </c>
      <c r="C159" s="12" t="s">
        <v>282</v>
      </c>
      <c r="D159" s="15" t="s">
        <v>92</v>
      </c>
      <c r="E159" s="219">
        <v>176816.1</v>
      </c>
      <c r="F159" s="231">
        <f t="shared" si="10"/>
        <v>88408.05</v>
      </c>
      <c r="G159" s="13"/>
    </row>
    <row r="160" customHeight="1" spans="1:7">
      <c r="A160" s="27">
        <v>28</v>
      </c>
      <c r="B160" s="18" t="s">
        <v>283</v>
      </c>
      <c r="C160" s="12" t="s">
        <v>278</v>
      </c>
      <c r="D160" s="15" t="s">
        <v>95</v>
      </c>
      <c r="E160" s="219">
        <v>173339.2245</v>
      </c>
      <c r="F160" s="231">
        <f t="shared" si="10"/>
        <v>86669.61225</v>
      </c>
      <c r="G160" s="13"/>
    </row>
    <row r="161" customHeight="1" spans="1:7">
      <c r="A161" s="27">
        <v>29</v>
      </c>
      <c r="B161" s="11" t="s">
        <v>287</v>
      </c>
      <c r="C161" s="12" t="s">
        <v>288</v>
      </c>
      <c r="D161" s="15" t="s">
        <v>295</v>
      </c>
      <c r="E161" s="219">
        <v>135590.73</v>
      </c>
      <c r="F161" s="231">
        <f t="shared" si="10"/>
        <v>67795.365</v>
      </c>
      <c r="G161" s="13"/>
    </row>
    <row r="162" customHeight="1" spans="1:7">
      <c r="A162" s="27">
        <v>30</v>
      </c>
      <c r="B162" s="11" t="s">
        <v>290</v>
      </c>
      <c r="C162" s="12" t="s">
        <v>288</v>
      </c>
      <c r="D162" s="15" t="s">
        <v>295</v>
      </c>
      <c r="E162" s="219">
        <v>138590.73</v>
      </c>
      <c r="F162" s="231">
        <f t="shared" si="10"/>
        <v>69295.365</v>
      </c>
      <c r="G162" s="13"/>
    </row>
    <row r="163" customHeight="1" spans="1:7">
      <c r="A163" s="27">
        <v>31</v>
      </c>
      <c r="B163" s="11" t="s">
        <v>291</v>
      </c>
      <c r="C163" s="12" t="s">
        <v>288</v>
      </c>
      <c r="D163" s="15" t="s">
        <v>295</v>
      </c>
      <c r="E163" s="219">
        <v>135590.73</v>
      </c>
      <c r="F163" s="231">
        <f t="shared" si="10"/>
        <v>67795.365</v>
      </c>
      <c r="G163" s="13"/>
    </row>
    <row r="164" customHeight="1" spans="1:7">
      <c r="A164" s="27">
        <v>32</v>
      </c>
      <c r="B164" s="11" t="s">
        <v>292</v>
      </c>
      <c r="C164" s="12" t="s">
        <v>288</v>
      </c>
      <c r="D164" s="15" t="s">
        <v>295</v>
      </c>
      <c r="E164" s="219">
        <v>135590.73</v>
      </c>
      <c r="F164" s="231">
        <f t="shared" si="10"/>
        <v>67795.365</v>
      </c>
      <c r="G164" s="13"/>
    </row>
    <row r="165" customHeight="1" spans="1:7">
      <c r="A165" s="27">
        <v>33</v>
      </c>
      <c r="B165" s="11" t="s">
        <v>293</v>
      </c>
      <c r="C165" s="12" t="s">
        <v>288</v>
      </c>
      <c r="D165" s="15" t="s">
        <v>295</v>
      </c>
      <c r="E165" s="219">
        <v>135590.73</v>
      </c>
      <c r="F165" s="231">
        <f t="shared" si="10"/>
        <v>67795.365</v>
      </c>
      <c r="G165" s="13"/>
    </row>
    <row r="166" customHeight="1" spans="1:7">
      <c r="A166" s="27">
        <v>34</v>
      </c>
      <c r="B166" s="11" t="s">
        <v>294</v>
      </c>
      <c r="C166" s="12" t="s">
        <v>288</v>
      </c>
      <c r="D166" s="15" t="s">
        <v>306</v>
      </c>
      <c r="E166" s="219">
        <v>125035.0345</v>
      </c>
      <c r="F166" s="231">
        <f t="shared" si="10"/>
        <v>62517.51725</v>
      </c>
      <c r="G166" s="13"/>
    </row>
    <row r="167" customHeight="1" spans="1:7">
      <c r="A167" s="27">
        <v>35</v>
      </c>
      <c r="B167" s="11" t="s">
        <v>296</v>
      </c>
      <c r="C167" s="12" t="s">
        <v>288</v>
      </c>
      <c r="D167" s="15" t="s">
        <v>306</v>
      </c>
      <c r="E167" s="219">
        <v>122035.0345</v>
      </c>
      <c r="F167" s="231">
        <f t="shared" si="10"/>
        <v>61017.51725</v>
      </c>
      <c r="G167" s="13"/>
    </row>
    <row r="168" customHeight="1" spans="1:7">
      <c r="A168" s="27">
        <v>36</v>
      </c>
      <c r="B168" s="14" t="s">
        <v>297</v>
      </c>
      <c r="C168" s="12" t="s">
        <v>288</v>
      </c>
      <c r="D168" s="15" t="s">
        <v>306</v>
      </c>
      <c r="E168" s="219">
        <v>125035.0345</v>
      </c>
      <c r="F168" s="231">
        <f t="shared" si="10"/>
        <v>62517.51725</v>
      </c>
      <c r="G168" s="13"/>
    </row>
    <row r="169" customHeight="1" spans="1:7">
      <c r="A169" s="27">
        <v>37</v>
      </c>
      <c r="B169" s="11" t="s">
        <v>298</v>
      </c>
      <c r="C169" s="12" t="s">
        <v>288</v>
      </c>
      <c r="D169" s="15" t="s">
        <v>306</v>
      </c>
      <c r="E169" s="219">
        <v>122035.0345</v>
      </c>
      <c r="F169" s="231">
        <f t="shared" si="10"/>
        <v>61017.51725</v>
      </c>
      <c r="G169" s="13"/>
    </row>
    <row r="170" customHeight="1" spans="1:7">
      <c r="A170" s="27">
        <v>38</v>
      </c>
      <c r="B170" s="18" t="s">
        <v>299</v>
      </c>
      <c r="C170" s="12" t="s">
        <v>288</v>
      </c>
      <c r="D170" s="15" t="s">
        <v>306</v>
      </c>
      <c r="E170" s="219">
        <v>122035.0345</v>
      </c>
      <c r="F170" s="231">
        <f t="shared" si="10"/>
        <v>61017.51725</v>
      </c>
      <c r="G170" s="13"/>
    </row>
    <row r="171" customHeight="1" spans="1:7">
      <c r="A171" s="27">
        <v>39</v>
      </c>
      <c r="B171" s="18" t="s">
        <v>300</v>
      </c>
      <c r="C171" s="12" t="s">
        <v>288</v>
      </c>
      <c r="D171" s="15" t="s">
        <v>306</v>
      </c>
      <c r="E171" s="219">
        <v>125035.0345</v>
      </c>
      <c r="F171" s="231">
        <f t="shared" si="10"/>
        <v>62517.51725</v>
      </c>
      <c r="G171" s="13"/>
    </row>
    <row r="172" customHeight="1" spans="1:7">
      <c r="A172" s="27">
        <v>40</v>
      </c>
      <c r="B172" s="11" t="s">
        <v>301</v>
      </c>
      <c r="C172" s="12" t="s">
        <v>302</v>
      </c>
      <c r="D172" s="15" t="s">
        <v>303</v>
      </c>
      <c r="E172" s="85">
        <v>122104.99825</v>
      </c>
      <c r="F172" s="231">
        <f t="shared" si="10"/>
        <v>61052.499125</v>
      </c>
      <c r="G172" s="13"/>
    </row>
    <row r="173" customHeight="1" spans="1:7">
      <c r="A173" s="27">
        <v>41</v>
      </c>
      <c r="B173" s="11" t="s">
        <v>304</v>
      </c>
      <c r="C173" s="12" t="s">
        <v>302</v>
      </c>
      <c r="D173" s="15" t="s">
        <v>303</v>
      </c>
      <c r="E173" s="85">
        <v>122104.99825</v>
      </c>
      <c r="F173" s="231">
        <f t="shared" si="10"/>
        <v>61052.499125</v>
      </c>
      <c r="G173" s="13"/>
    </row>
    <row r="174" customHeight="1" spans="1:7">
      <c r="A174" s="27">
        <v>42</v>
      </c>
      <c r="B174" s="18" t="s">
        <v>305</v>
      </c>
      <c r="C174" s="12" t="s">
        <v>302</v>
      </c>
      <c r="D174" s="15" t="s">
        <v>303</v>
      </c>
      <c r="E174" s="85">
        <v>122104.99825</v>
      </c>
      <c r="F174" s="231">
        <f t="shared" si="10"/>
        <v>61052.499125</v>
      </c>
      <c r="G174" s="13"/>
    </row>
    <row r="175" customHeight="1" spans="1:7">
      <c r="A175" s="27">
        <v>43</v>
      </c>
      <c r="B175" s="11" t="s">
        <v>307</v>
      </c>
      <c r="C175" s="12" t="s">
        <v>308</v>
      </c>
      <c r="D175" s="15" t="s">
        <v>1023</v>
      </c>
      <c r="E175" s="219">
        <v>80237.012</v>
      </c>
      <c r="F175" s="231">
        <f t="shared" si="10"/>
        <v>40118.506</v>
      </c>
      <c r="G175" s="13"/>
    </row>
    <row r="176" customHeight="1" spans="1:7">
      <c r="A176" s="27">
        <v>44</v>
      </c>
      <c r="B176" s="11" t="s">
        <v>309</v>
      </c>
      <c r="C176" s="12" t="s">
        <v>310</v>
      </c>
      <c r="D176" s="15" t="s">
        <v>1024</v>
      </c>
      <c r="E176" s="219">
        <v>78671.023</v>
      </c>
      <c r="F176" s="231">
        <f t="shared" si="10"/>
        <v>39335.5115</v>
      </c>
      <c r="G176" s="13"/>
    </row>
    <row r="177" customHeight="1" spans="1:7">
      <c r="A177" s="27">
        <v>45</v>
      </c>
      <c r="B177" s="11" t="s">
        <v>312</v>
      </c>
      <c r="C177" s="12" t="s">
        <v>310</v>
      </c>
      <c r="D177" s="15" t="s">
        <v>1024</v>
      </c>
      <c r="E177" s="219">
        <v>75671.023</v>
      </c>
      <c r="F177" s="231">
        <f t="shared" si="10"/>
        <v>37835.5115</v>
      </c>
      <c r="G177" s="13"/>
    </row>
    <row r="178" customHeight="1" spans="1:7">
      <c r="A178" s="27">
        <v>46</v>
      </c>
      <c r="B178" s="11" t="s">
        <v>313</v>
      </c>
      <c r="C178" s="12" t="s">
        <v>310</v>
      </c>
      <c r="D178" s="15" t="s">
        <v>1024</v>
      </c>
      <c r="E178" s="219">
        <v>78671.023</v>
      </c>
      <c r="F178" s="231">
        <f t="shared" si="10"/>
        <v>39335.5115</v>
      </c>
      <c r="G178" s="13"/>
    </row>
    <row r="179" customHeight="1" spans="1:7">
      <c r="A179" s="27">
        <v>47</v>
      </c>
      <c r="B179" s="11" t="s">
        <v>314</v>
      </c>
      <c r="C179" s="12" t="s">
        <v>310</v>
      </c>
      <c r="D179" s="15" t="s">
        <v>1024</v>
      </c>
      <c r="E179" s="219">
        <v>75671.023</v>
      </c>
      <c r="F179" s="231">
        <f t="shared" si="10"/>
        <v>37835.5115</v>
      </c>
      <c r="G179" s="13"/>
    </row>
    <row r="180" customHeight="1" spans="1:7">
      <c r="A180" s="27">
        <v>48</v>
      </c>
      <c r="B180" s="11" t="s">
        <v>315</v>
      </c>
      <c r="C180" s="12" t="s">
        <v>310</v>
      </c>
      <c r="D180" s="15" t="s">
        <v>1024</v>
      </c>
      <c r="E180" s="219">
        <v>78671.023</v>
      </c>
      <c r="F180" s="231">
        <f t="shared" si="10"/>
        <v>39335.5115</v>
      </c>
      <c r="G180" s="13"/>
    </row>
    <row r="181" customHeight="1" spans="1:7">
      <c r="A181" s="27">
        <v>49</v>
      </c>
      <c r="B181" s="18" t="s">
        <v>316</v>
      </c>
      <c r="C181" s="12" t="s">
        <v>310</v>
      </c>
      <c r="D181" s="15" t="s">
        <v>1024</v>
      </c>
      <c r="E181" s="219">
        <v>75671.023</v>
      </c>
      <c r="F181" s="231">
        <f t="shared" si="10"/>
        <v>37835.5115</v>
      </c>
      <c r="G181" s="13"/>
    </row>
    <row r="182" customHeight="1" spans="1:7">
      <c r="A182" s="27">
        <v>50</v>
      </c>
      <c r="B182" s="18" t="s">
        <v>317</v>
      </c>
      <c r="C182" s="12" t="s">
        <v>310</v>
      </c>
      <c r="D182" s="15" t="s">
        <v>1024</v>
      </c>
      <c r="E182" s="219">
        <v>78671.023</v>
      </c>
      <c r="F182" s="231">
        <f t="shared" si="10"/>
        <v>39335.5115</v>
      </c>
      <c r="G182" s="13"/>
    </row>
    <row r="183" customHeight="1" spans="1:7">
      <c r="A183" s="27">
        <v>51</v>
      </c>
      <c r="B183" s="11" t="s">
        <v>318</v>
      </c>
      <c r="C183" s="12" t="s">
        <v>308</v>
      </c>
      <c r="D183" s="15" t="s">
        <v>1024</v>
      </c>
      <c r="E183" s="219">
        <v>78671.023</v>
      </c>
      <c r="F183" s="231">
        <f t="shared" si="10"/>
        <v>39335.5115</v>
      </c>
      <c r="G183" s="13"/>
    </row>
    <row r="184" customHeight="1" spans="1:7">
      <c r="A184" s="27">
        <v>52</v>
      </c>
      <c r="B184" s="11" t="s">
        <v>319</v>
      </c>
      <c r="C184" s="12" t="s">
        <v>308</v>
      </c>
      <c r="D184" s="15" t="s">
        <v>1024</v>
      </c>
      <c r="E184" s="219">
        <v>78671.023</v>
      </c>
      <c r="F184" s="231">
        <f t="shared" si="10"/>
        <v>39335.5115</v>
      </c>
      <c r="G184" s="13"/>
    </row>
    <row r="185" customHeight="1" spans="1:7">
      <c r="A185" s="27">
        <v>53</v>
      </c>
      <c r="B185" s="18" t="s">
        <v>320</v>
      </c>
      <c r="C185" s="12" t="s">
        <v>321</v>
      </c>
      <c r="D185" s="15" t="s">
        <v>333</v>
      </c>
      <c r="E185" s="85">
        <v>77103.7495</v>
      </c>
      <c r="F185" s="231">
        <f t="shared" si="10"/>
        <v>38551.87475</v>
      </c>
      <c r="G185" s="13"/>
    </row>
    <row r="186" customHeight="1" spans="1:7">
      <c r="A186" s="27">
        <v>54</v>
      </c>
      <c r="B186" s="18" t="s">
        <v>325</v>
      </c>
      <c r="C186" s="12" t="s">
        <v>310</v>
      </c>
      <c r="D186" s="15" t="s">
        <v>1025</v>
      </c>
      <c r="E186" s="219">
        <v>67328.07025</v>
      </c>
      <c r="F186" s="231">
        <f t="shared" si="10"/>
        <v>33664.035125</v>
      </c>
      <c r="G186" s="13"/>
    </row>
    <row r="187" customHeight="1" spans="1:7">
      <c r="A187" s="27">
        <v>55</v>
      </c>
      <c r="B187" s="18" t="s">
        <v>326</v>
      </c>
      <c r="C187" s="12" t="s">
        <v>327</v>
      </c>
      <c r="D187" s="15" t="s">
        <v>1026</v>
      </c>
      <c r="E187" s="356">
        <v>61631.9965</v>
      </c>
      <c r="F187" s="231">
        <f t="shared" si="10"/>
        <v>30815.99825</v>
      </c>
      <c r="G187" s="13"/>
    </row>
    <row r="188" customHeight="1" spans="1:7">
      <c r="A188" s="27">
        <v>56</v>
      </c>
      <c r="B188" s="18" t="s">
        <v>329</v>
      </c>
      <c r="C188" s="12" t="s">
        <v>327</v>
      </c>
      <c r="D188" s="15" t="s">
        <v>1026</v>
      </c>
      <c r="E188" s="356">
        <v>61631.9965</v>
      </c>
      <c r="F188" s="231">
        <f t="shared" si="10"/>
        <v>30815.99825</v>
      </c>
      <c r="G188" s="13"/>
    </row>
    <row r="189" customHeight="1" spans="1:7">
      <c r="A189" s="27">
        <v>57</v>
      </c>
      <c r="B189" s="18" t="s">
        <v>330</v>
      </c>
      <c r="C189" s="12" t="s">
        <v>327</v>
      </c>
      <c r="D189" s="15" t="s">
        <v>1026</v>
      </c>
      <c r="E189" s="356">
        <v>61631.9965</v>
      </c>
      <c r="F189" s="231">
        <f t="shared" si="10"/>
        <v>30815.99825</v>
      </c>
      <c r="G189" s="13"/>
    </row>
    <row r="190" customHeight="1" spans="1:7">
      <c r="A190" s="27">
        <v>58</v>
      </c>
      <c r="B190" s="18" t="s">
        <v>331</v>
      </c>
      <c r="C190" s="12" t="s">
        <v>332</v>
      </c>
      <c r="D190" s="15" t="s">
        <v>324</v>
      </c>
      <c r="E190" s="219">
        <v>70538.03575</v>
      </c>
      <c r="F190" s="231">
        <f t="shared" si="10"/>
        <v>35269.017875</v>
      </c>
      <c r="G190" s="13"/>
    </row>
    <row r="191" customHeight="1" spans="1:7">
      <c r="A191" s="27">
        <v>59</v>
      </c>
      <c r="B191" s="18" t="s">
        <v>334</v>
      </c>
      <c r="C191" s="12" t="s">
        <v>332</v>
      </c>
      <c r="D191" s="15" t="s">
        <v>324</v>
      </c>
      <c r="E191" s="219">
        <v>70538.03575</v>
      </c>
      <c r="F191" s="231">
        <f t="shared" si="10"/>
        <v>35269.017875</v>
      </c>
      <c r="G191" s="13"/>
    </row>
    <row r="192" customHeight="1" spans="1:7">
      <c r="A192" s="27"/>
      <c r="B192" s="8" t="s">
        <v>96</v>
      </c>
      <c r="C192" s="28" t="s">
        <v>590</v>
      </c>
      <c r="D192" s="29"/>
      <c r="E192" s="93">
        <v>11195475.7585</v>
      </c>
      <c r="F192" s="322">
        <f>SUM(F133:F191)</f>
        <v>5597737.87925</v>
      </c>
      <c r="G192" s="13"/>
    </row>
    <row r="193" ht="19.5" customHeight="1" spans="1:7">
      <c r="A193" s="4"/>
      <c r="B193" s="30" t="s">
        <v>336</v>
      </c>
      <c r="C193" s="31">
        <f>C31+C37+C52+C57+C71+C81+C95+C102+C112+C130+C192</f>
        <v>151</v>
      </c>
      <c r="D193" s="32"/>
      <c r="E193" s="227">
        <v>52931904.0668926</v>
      </c>
      <c r="F193" s="227">
        <f>F192+F130+F117+F112+F102+F95+F81+F71+F57+F52+F37+F31</f>
        <v>25569552.5083025</v>
      </c>
      <c r="G193" s="13"/>
    </row>
    <row r="194" customHeight="1" spans="2:7">
      <c r="B194" s="33"/>
      <c r="D194" s="34"/>
      <c r="E194" s="228"/>
      <c r="F194" s="229"/>
      <c r="G194" s="35"/>
    </row>
    <row r="195" ht="36.75" customHeight="1" spans="2:6">
      <c r="B195" s="33"/>
      <c r="C195" s="34"/>
      <c r="D195" s="34"/>
      <c r="E195" s="228"/>
      <c r="F195" s="35"/>
    </row>
    <row r="198" customHeight="1" spans="5:5">
      <c r="E198" s="35"/>
    </row>
  </sheetData>
  <mergeCells count="1">
    <mergeCell ref="A2:F2"/>
  </mergeCells>
  <pageMargins left="0.236220472440945" right="0.236220472440945" top="0.984251968503937" bottom="0.984251968503937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5" sqref="G25"/>
    </sheetView>
  </sheetViews>
  <sheetFormatPr defaultColWidth="9" defaultRowHeight="12.5"/>
  <sheetData/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SheetLayoutView="50" workbookViewId="0">
      <pane xSplit="3" ySplit="6" topLeftCell="T7" activePane="bottomRight" state="frozen"/>
      <selection/>
      <selection pane="topRight"/>
      <selection pane="bottomLeft"/>
      <selection pane="bottomRight" activeCell="B16" sqref="B16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1010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4">
      <c r="A4" s="4"/>
      <c r="B4" s="6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643</v>
      </c>
      <c r="H4" s="24" t="s">
        <v>644</v>
      </c>
      <c r="I4" s="218" t="s">
        <v>645</v>
      </c>
      <c r="J4" s="24" t="s">
        <v>646</v>
      </c>
      <c r="K4" s="24" t="s">
        <v>647</v>
      </c>
      <c r="L4" s="24" t="s">
        <v>648</v>
      </c>
      <c r="M4" s="218" t="s">
        <v>7</v>
      </c>
      <c r="N4" s="218" t="s">
        <v>7</v>
      </c>
      <c r="O4" s="24" t="s">
        <v>649</v>
      </c>
      <c r="P4" s="24" t="s">
        <v>649</v>
      </c>
      <c r="Q4" s="218" t="s">
        <v>8</v>
      </c>
      <c r="R4" s="334" t="s">
        <v>9</v>
      </c>
      <c r="S4" s="24" t="s">
        <v>14</v>
      </c>
      <c r="T4" s="347" t="s">
        <v>16</v>
      </c>
      <c r="U4" s="80" t="s">
        <v>1029</v>
      </c>
      <c r="V4" s="321" t="s">
        <v>1030</v>
      </c>
      <c r="W4" s="80" t="s">
        <v>448</v>
      </c>
      <c r="X4" s="321" t="s">
        <v>482</v>
      </c>
    </row>
    <row r="5" ht="17.25" customHeight="1" spans="3:24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8" t="s">
        <v>19</v>
      </c>
      <c r="T5" s="82"/>
      <c r="U5" s="82"/>
      <c r="V5" s="230"/>
      <c r="W5" s="82"/>
      <c r="X5" s="230"/>
    </row>
    <row r="6" customHeight="1" spans="1:24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>
        <v>3</v>
      </c>
      <c r="B7" s="11" t="s">
        <v>48</v>
      </c>
      <c r="C7" s="4" t="s">
        <v>579</v>
      </c>
      <c r="D7" s="10" t="s">
        <v>192</v>
      </c>
      <c r="E7" s="85">
        <v>26339.3</v>
      </c>
      <c r="F7" s="85"/>
      <c r="G7" s="85">
        <f>E7*300%</f>
        <v>79017.9</v>
      </c>
      <c r="H7" s="85">
        <f>E7*7.5%</f>
        <v>1975.4475</v>
      </c>
      <c r="I7" s="85">
        <v>0</v>
      </c>
      <c r="J7" s="85">
        <f>E7*50%</f>
        <v>13169.65</v>
      </c>
      <c r="K7" s="85">
        <f>E7*350%</f>
        <v>92187.55</v>
      </c>
      <c r="L7" s="85">
        <f>E7*100%</f>
        <v>26339.3</v>
      </c>
      <c r="M7" s="220">
        <v>70000</v>
      </c>
      <c r="N7" s="220"/>
      <c r="O7" s="85">
        <f>E7*10%</f>
        <v>2633.93</v>
      </c>
      <c r="P7" s="85">
        <v>15000</v>
      </c>
      <c r="Q7" s="85"/>
      <c r="R7" s="219">
        <f>SUM(E7:Q7)</f>
        <v>326663.0775</v>
      </c>
      <c r="S7" s="85">
        <f>42046.06</f>
        <v>42046.06</v>
      </c>
      <c r="T7" s="85">
        <f>42046.06</f>
        <v>42046.06</v>
      </c>
      <c r="U7" s="85"/>
      <c r="V7" s="231">
        <f>R7-T7</f>
        <v>284617.0175</v>
      </c>
      <c r="W7" s="13">
        <v>1</v>
      </c>
      <c r="X7" s="335">
        <f>V7*W7</f>
        <v>284617.0175</v>
      </c>
    </row>
    <row r="8" ht="26.25" customHeight="1" spans="1:25">
      <c r="A8" s="10"/>
      <c r="B8" s="20" t="s">
        <v>96</v>
      </c>
      <c r="C8" s="21"/>
      <c r="D8" s="15"/>
      <c r="E8" s="221">
        <f t="shared" ref="E8:P8" si="0">SUM(E7:E7)</f>
        <v>26339.3</v>
      </c>
      <c r="F8" s="221">
        <f t="shared" si="0"/>
        <v>0</v>
      </c>
      <c r="G8" s="221">
        <f t="shared" si="0"/>
        <v>79017.9</v>
      </c>
      <c r="H8" s="221">
        <f t="shared" si="0"/>
        <v>1975.4475</v>
      </c>
      <c r="I8" s="221">
        <f t="shared" si="0"/>
        <v>0</v>
      </c>
      <c r="J8" s="221">
        <f t="shared" si="0"/>
        <v>13169.65</v>
      </c>
      <c r="K8" s="221">
        <f t="shared" si="0"/>
        <v>92187.55</v>
      </c>
      <c r="L8" s="221">
        <f t="shared" si="0"/>
        <v>26339.3</v>
      </c>
      <c r="M8" s="221">
        <f t="shared" si="0"/>
        <v>70000</v>
      </c>
      <c r="N8" s="221">
        <f t="shared" si="0"/>
        <v>0</v>
      </c>
      <c r="O8" s="221">
        <f t="shared" si="0"/>
        <v>2633.93</v>
      </c>
      <c r="P8" s="221">
        <f t="shared" si="0"/>
        <v>15000</v>
      </c>
      <c r="R8" s="348">
        <f>SUM(R7)</f>
        <v>326663.0775</v>
      </c>
      <c r="S8" s="221">
        <f>SUM(S7:S7)</f>
        <v>42046.06</v>
      </c>
      <c r="T8" s="221">
        <f>SUM(T7:T7)</f>
        <v>42046.06</v>
      </c>
      <c r="U8" s="221">
        <f>SUM(U7:U7)</f>
        <v>0</v>
      </c>
      <c r="V8" s="232">
        <f>SUM(V7:V7)</f>
        <v>284617.0175</v>
      </c>
      <c r="W8" s="221"/>
      <c r="X8" s="232">
        <f>SUM(X7:X7)</f>
        <v>284617.0175</v>
      </c>
      <c r="Y8" s="13"/>
    </row>
    <row r="9" customHeight="1" spans="1:25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349"/>
      <c r="S9" s="311"/>
      <c r="T9" s="221"/>
      <c r="U9" s="85"/>
      <c r="V9" s="231"/>
      <c r="W9" s="221"/>
      <c r="X9" s="231"/>
      <c r="Y9" s="13"/>
    </row>
    <row r="10" customHeight="1" spans="1:25">
      <c r="A10" s="10"/>
      <c r="B10" s="23" t="s">
        <v>1031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309"/>
      <c r="T10" s="85"/>
      <c r="U10" s="85"/>
      <c r="V10" s="231"/>
      <c r="W10" s="85"/>
      <c r="X10" s="231"/>
      <c r="Y10" s="13"/>
    </row>
    <row r="11" ht="21.6" customHeight="1" spans="1:24">
      <c r="A11" s="10">
        <v>10</v>
      </c>
      <c r="B11" s="11" t="s">
        <v>140</v>
      </c>
      <c r="C11" s="4" t="s">
        <v>117</v>
      </c>
      <c r="D11" s="10" t="s">
        <v>70</v>
      </c>
      <c r="E11" s="85">
        <v>17286.33</v>
      </c>
      <c r="F11" s="85"/>
      <c r="G11" s="85">
        <f t="shared" ref="G11" si="1">E11*300%</f>
        <v>51858.99</v>
      </c>
      <c r="H11" s="85">
        <f t="shared" ref="H11" si="2">E11*7.5%</f>
        <v>1296.47475</v>
      </c>
      <c r="I11" s="85"/>
      <c r="J11" s="85">
        <f t="shared" ref="J11" si="3">E11*50%</f>
        <v>8643.165</v>
      </c>
      <c r="K11" s="85">
        <f t="shared" ref="K11" si="4">E11*350%</f>
        <v>60502.155</v>
      </c>
      <c r="L11" s="85">
        <f t="shared" ref="L11" si="5">E11*100%</f>
        <v>17286.33</v>
      </c>
      <c r="M11" s="220">
        <v>100000</v>
      </c>
      <c r="N11" s="220"/>
      <c r="O11" s="85">
        <f t="shared" ref="O11" si="6">E11*10%</f>
        <v>1728.633</v>
      </c>
      <c r="P11" s="85">
        <v>10000</v>
      </c>
      <c r="Q11" s="85"/>
      <c r="R11" s="219">
        <f t="shared" ref="R11" si="7">SUM(E11:Q11)</f>
        <v>268602.07775</v>
      </c>
      <c r="S11" s="85">
        <f>32291.82</f>
        <v>32291.82</v>
      </c>
      <c r="T11" s="85">
        <f>32291.82</f>
        <v>32291.82</v>
      </c>
      <c r="U11" s="85"/>
      <c r="V11" s="231">
        <f>R11-T11</f>
        <v>236310.25775</v>
      </c>
      <c r="W11" s="13">
        <f>(25/31)+2</f>
        <v>2.80645161290323</v>
      </c>
      <c r="X11" s="1">
        <f>V11*W11</f>
        <v>663193.304008065</v>
      </c>
    </row>
    <row r="12" ht="25.5" customHeight="1" spans="1:25">
      <c r="A12" s="10"/>
      <c r="B12" s="20" t="s">
        <v>96</v>
      </c>
      <c r="C12" s="21"/>
      <c r="D12" s="21"/>
      <c r="E12" s="93">
        <f t="shared" ref="E12:X12" si="8">SUM(E11:E11)</f>
        <v>17286.33</v>
      </c>
      <c r="F12" s="93">
        <f t="shared" si="8"/>
        <v>0</v>
      </c>
      <c r="G12" s="93">
        <f t="shared" si="8"/>
        <v>51858.99</v>
      </c>
      <c r="H12" s="93">
        <f t="shared" si="8"/>
        <v>1296.47475</v>
      </c>
      <c r="I12" s="93">
        <f t="shared" si="8"/>
        <v>0</v>
      </c>
      <c r="J12" s="93">
        <f t="shared" si="8"/>
        <v>8643.165</v>
      </c>
      <c r="K12" s="93">
        <f t="shared" si="8"/>
        <v>60502.155</v>
      </c>
      <c r="L12" s="93">
        <f t="shared" si="8"/>
        <v>17286.33</v>
      </c>
      <c r="M12" s="93">
        <f t="shared" si="8"/>
        <v>100000</v>
      </c>
      <c r="N12" s="93">
        <f t="shared" si="8"/>
        <v>0</v>
      </c>
      <c r="O12" s="93">
        <f t="shared" si="8"/>
        <v>1728.633</v>
      </c>
      <c r="P12" s="93">
        <f t="shared" si="8"/>
        <v>10000</v>
      </c>
      <c r="Q12" s="93">
        <f t="shared" si="8"/>
        <v>0</v>
      </c>
      <c r="R12" s="93">
        <f t="shared" si="8"/>
        <v>268602.07775</v>
      </c>
      <c r="S12" s="93">
        <f t="shared" si="8"/>
        <v>32291.82</v>
      </c>
      <c r="T12" s="93">
        <f t="shared" si="8"/>
        <v>32291.82</v>
      </c>
      <c r="U12" s="93">
        <f t="shared" si="8"/>
        <v>0</v>
      </c>
      <c r="V12" s="93">
        <f t="shared" si="8"/>
        <v>236310.25775</v>
      </c>
      <c r="W12" s="93">
        <f t="shared" si="8"/>
        <v>2.80645161290323</v>
      </c>
      <c r="X12" s="93">
        <f t="shared" si="8"/>
        <v>663193.304008065</v>
      </c>
      <c r="Y12" s="13"/>
    </row>
    <row r="13" customHeight="1" spans="1:25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3"/>
      <c r="T13" s="146"/>
      <c r="U13" s="85"/>
      <c r="V13" s="231"/>
      <c r="W13" s="146"/>
      <c r="X13" s="231"/>
      <c r="Y13" s="13"/>
    </row>
    <row r="14" ht="19.5" customHeight="1" spans="1:25">
      <c r="A14" s="4"/>
      <c r="B14" s="30" t="s">
        <v>336</v>
      </c>
      <c r="C14" s="31"/>
      <c r="D14" s="32"/>
      <c r="E14" s="227">
        <f>E8+E12</f>
        <v>43625.63</v>
      </c>
      <c r="F14" s="227">
        <f t="shared" ref="F14:X14" si="9">F8+F12</f>
        <v>0</v>
      </c>
      <c r="G14" s="227">
        <f t="shared" si="9"/>
        <v>130876.89</v>
      </c>
      <c r="H14" s="227">
        <f t="shared" si="9"/>
        <v>3271.92225</v>
      </c>
      <c r="I14" s="227">
        <f t="shared" si="9"/>
        <v>0</v>
      </c>
      <c r="J14" s="227">
        <f t="shared" si="9"/>
        <v>21812.815</v>
      </c>
      <c r="K14" s="227">
        <f t="shared" si="9"/>
        <v>152689.705</v>
      </c>
      <c r="L14" s="227">
        <f t="shared" si="9"/>
        <v>43625.63</v>
      </c>
      <c r="M14" s="227">
        <f t="shared" si="9"/>
        <v>170000</v>
      </c>
      <c r="N14" s="227">
        <f t="shared" si="9"/>
        <v>0</v>
      </c>
      <c r="O14" s="227">
        <f t="shared" si="9"/>
        <v>4362.563</v>
      </c>
      <c r="P14" s="227">
        <f t="shared" si="9"/>
        <v>25000</v>
      </c>
      <c r="Q14" s="227">
        <f t="shared" si="9"/>
        <v>0</v>
      </c>
      <c r="R14" s="227">
        <f t="shared" si="9"/>
        <v>595265.15525</v>
      </c>
      <c r="S14" s="227">
        <f t="shared" si="9"/>
        <v>74337.88</v>
      </c>
      <c r="T14" s="227">
        <f t="shared" si="9"/>
        <v>74337.88</v>
      </c>
      <c r="U14" s="227">
        <f t="shared" si="9"/>
        <v>0</v>
      </c>
      <c r="V14" s="227">
        <f t="shared" si="9"/>
        <v>520927.27525</v>
      </c>
      <c r="W14" s="227"/>
      <c r="X14" s="227">
        <f t="shared" si="9"/>
        <v>947810.321508065</v>
      </c>
      <c r="Y14" s="13"/>
    </row>
    <row r="15" customHeight="1" spans="2:25">
      <c r="B15" s="33"/>
      <c r="D15" s="34"/>
      <c r="E15" s="34"/>
      <c r="F15" s="34"/>
      <c r="G15" s="34"/>
      <c r="H15" s="34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318"/>
      <c r="T15" s="229"/>
      <c r="U15" s="229"/>
      <c r="V15" s="229"/>
      <c r="W15" s="229"/>
      <c r="X15" s="229"/>
      <c r="Y15" s="35"/>
    </row>
    <row r="16" ht="36.75" customHeight="1" spans="2:24">
      <c r="B16" s="33"/>
      <c r="C16" s="34"/>
      <c r="D16" s="34"/>
      <c r="E16" s="34"/>
      <c r="F16" s="34"/>
      <c r="G16" s="34"/>
      <c r="H16" s="34"/>
      <c r="I16" s="228"/>
      <c r="J16" s="228"/>
      <c r="K16" s="228"/>
      <c r="L16" s="228"/>
      <c r="M16" s="228"/>
      <c r="N16" s="228"/>
      <c r="O16" s="228"/>
      <c r="Q16" s="228"/>
      <c r="R16" s="228"/>
      <c r="S16" s="318"/>
      <c r="T16" s="229"/>
      <c r="U16" s="229"/>
      <c r="V16" s="229"/>
      <c r="W16" s="229"/>
      <c r="X16" s="229"/>
    </row>
    <row r="19" customHeight="1" spans="17:18">
      <c r="Q19" s="35"/>
      <c r="R19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zoomScale="90" zoomScaleNormal="90" zoomScaleSheetLayoutView="50" workbookViewId="0">
      <pane xSplit="3" ySplit="6" topLeftCell="Z7" activePane="bottomRight" state="frozen"/>
      <selection/>
      <selection pane="topRight"/>
      <selection pane="bottomLeft"/>
      <selection pane="bottomRight" activeCell="AE8" sqref="AE8:AE10"/>
    </sheetView>
  </sheetViews>
  <sheetFormatPr defaultColWidth="9.13636363636364" defaultRowHeight="20.1" customHeight="1"/>
  <cols>
    <col min="1" max="1" width="5.42727272727273" style="1" customWidth="1"/>
    <col min="2" max="2" width="37.1363636363636" style="1" customWidth="1"/>
    <col min="3" max="3" width="37.2818181818182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18" width="19.2818181818182" style="1" customWidth="1"/>
    <col min="19" max="19" width="20.4272727272727" style="298" customWidth="1"/>
    <col min="20" max="20" width="16.4272727272727" style="1" customWidth="1"/>
    <col min="21" max="22" width="17.7090909090909" style="1" customWidth="1"/>
    <col min="23" max="23" width="14.5727272727273" style="1" customWidth="1"/>
    <col min="24" max="24" width="17.8545454545455" style="1" customWidth="1"/>
    <col min="25" max="25" width="21.7090909090909" style="1" customWidth="1"/>
    <col min="26" max="26" width="18.8545454545455" style="1" customWidth="1"/>
    <col min="27" max="27" width="17.7090909090909" style="1" customWidth="1"/>
    <col min="28" max="28" width="15.7090909090909" style="1" customWidth="1"/>
    <col min="29" max="29" width="18.2818181818182" style="1" customWidth="1"/>
    <col min="30" max="30" width="17.7090909090909" style="1" customWidth="1"/>
    <col min="31" max="31" width="19.8545454545455" style="1" customWidth="1"/>
    <col min="32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4">
      <c r="A2" s="76" t="s">
        <v>1010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305"/>
      <c r="T2" s="78"/>
      <c r="U2" s="78"/>
      <c r="V2" s="78"/>
      <c r="W2" s="78"/>
      <c r="X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2.25" customHeight="1" spans="1:31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6</v>
      </c>
      <c r="G4" s="24" t="s">
        <v>643</v>
      </c>
      <c r="H4" s="24" t="s">
        <v>644</v>
      </c>
      <c r="I4" s="218" t="s">
        <v>645</v>
      </c>
      <c r="J4" s="24" t="s">
        <v>646</v>
      </c>
      <c r="K4" s="24" t="s">
        <v>647</v>
      </c>
      <c r="L4" s="24" t="s">
        <v>648</v>
      </c>
      <c r="M4" s="218" t="s">
        <v>7</v>
      </c>
      <c r="N4" s="218" t="s">
        <v>7</v>
      </c>
      <c r="O4" s="24" t="s">
        <v>649</v>
      </c>
      <c r="P4" s="24" t="s">
        <v>649</v>
      </c>
      <c r="Q4" s="218" t="s">
        <v>8</v>
      </c>
      <c r="R4" s="334" t="s">
        <v>9</v>
      </c>
      <c r="S4" s="7" t="s">
        <v>473</v>
      </c>
      <c r="T4" s="306" t="s">
        <v>474</v>
      </c>
      <c r="U4" s="80" t="s">
        <v>475</v>
      </c>
      <c r="V4" s="80" t="s">
        <v>476</v>
      </c>
      <c r="W4" s="80" t="s">
        <v>477</v>
      </c>
      <c r="X4" s="80" t="s">
        <v>478</v>
      </c>
      <c r="Y4" s="80" t="s">
        <v>479</v>
      </c>
      <c r="Z4" s="319" t="s">
        <v>480</v>
      </c>
      <c r="AA4" s="320" t="s">
        <v>481</v>
      </c>
      <c r="AB4" s="80" t="s">
        <v>448</v>
      </c>
      <c r="AC4" s="321" t="s">
        <v>482</v>
      </c>
      <c r="AD4" s="321" t="s">
        <v>1032</v>
      </c>
      <c r="AE4" s="321" t="s">
        <v>1033</v>
      </c>
    </row>
    <row r="5" ht="17.25" customHeight="1" spans="3:24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8" t="s">
        <v>19</v>
      </c>
      <c r="T5" s="82"/>
      <c r="U5" s="82"/>
      <c r="V5" s="230"/>
      <c r="W5" s="82"/>
      <c r="X5" s="230"/>
    </row>
    <row r="6" customHeight="1" spans="1:24">
      <c r="A6" s="9" t="s">
        <v>20</v>
      </c>
      <c r="B6" s="8" t="s">
        <v>1034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8"/>
      <c r="T6" s="82"/>
      <c r="U6" s="82"/>
      <c r="V6" s="230"/>
      <c r="W6" s="82"/>
      <c r="X6" s="230"/>
    </row>
    <row r="7" customHeight="1" spans="1:24">
      <c r="A7" s="4"/>
      <c r="B7" s="11"/>
      <c r="C7" s="4"/>
      <c r="D7" s="10"/>
      <c r="E7" s="85"/>
      <c r="F7" s="85"/>
      <c r="G7" s="85"/>
      <c r="H7" s="85"/>
      <c r="I7" s="85"/>
      <c r="J7" s="85"/>
      <c r="K7" s="85"/>
      <c r="L7" s="85"/>
      <c r="M7" s="220"/>
      <c r="N7" s="220"/>
      <c r="O7" s="85"/>
      <c r="P7" s="85"/>
      <c r="Q7" s="85"/>
      <c r="R7" s="219"/>
      <c r="S7" s="85"/>
      <c r="T7" s="85"/>
      <c r="U7" s="85"/>
      <c r="V7" s="231"/>
      <c r="W7" s="13"/>
      <c r="X7" s="335"/>
    </row>
    <row r="8" s="326" customFormat="1" customHeight="1" spans="1:31">
      <c r="A8" s="327">
        <v>40</v>
      </c>
      <c r="B8" s="328" t="s">
        <v>301</v>
      </c>
      <c r="C8" s="329" t="s">
        <v>302</v>
      </c>
      <c r="D8" s="330" t="s">
        <v>303</v>
      </c>
      <c r="E8" s="331">
        <v>5428.12</v>
      </c>
      <c r="F8" s="332"/>
      <c r="G8" s="331">
        <f t="shared" ref="G8:G10" si="0">E8*300%</f>
        <v>16284.36</v>
      </c>
      <c r="H8" s="331">
        <f t="shared" ref="H8:H10" si="1">E8*7.5%</f>
        <v>407.109</v>
      </c>
      <c r="I8" s="331"/>
      <c r="J8" s="331">
        <f t="shared" ref="J8:J10" si="2">E8*50%</f>
        <v>2714.06</v>
      </c>
      <c r="K8" s="331">
        <f t="shared" ref="K8:K10" si="3">E8*350%</f>
        <v>18998.42</v>
      </c>
      <c r="L8" s="331">
        <f t="shared" ref="L8:L10" si="4">E8*100%</f>
        <v>5428.12</v>
      </c>
      <c r="M8" s="332"/>
      <c r="N8" s="332">
        <f>20000</f>
        <v>20000</v>
      </c>
      <c r="O8" s="331">
        <f t="shared" ref="O8:O10" si="5">E8*10%</f>
        <v>542.812</v>
      </c>
      <c r="P8" s="331">
        <v>5000</v>
      </c>
      <c r="Q8" s="331">
        <f>7000</f>
        <v>7000</v>
      </c>
      <c r="R8" s="331">
        <f t="shared" ref="R8:R10" si="6">SUM(E8:Q8)</f>
        <v>81803.001</v>
      </c>
      <c r="S8" s="336" t="s">
        <v>303</v>
      </c>
      <c r="T8" s="331">
        <f>122105</f>
        <v>122105</v>
      </c>
      <c r="U8" s="331">
        <f>T8-R8</f>
        <v>40301.999</v>
      </c>
      <c r="V8" s="331"/>
      <c r="W8" s="331"/>
      <c r="X8" s="85">
        <v>4365.33075466667</v>
      </c>
      <c r="Y8" s="331">
        <f>9152.6</f>
        <v>9152.6</v>
      </c>
      <c r="Z8" s="231">
        <f>Y8-X8</f>
        <v>4787.26924533333</v>
      </c>
      <c r="AA8" s="340">
        <f>U8-Z8</f>
        <v>35514.7297546667</v>
      </c>
      <c r="AB8" s="341">
        <f>(11/31)+3</f>
        <v>3.35483870967742</v>
      </c>
      <c r="AC8" s="342">
        <f>AA8*AB8</f>
        <v>119146.190144688</v>
      </c>
      <c r="AD8" s="62">
        <f>66227.57</f>
        <v>66227.57</v>
      </c>
      <c r="AE8" s="343">
        <f>AC8-AD8</f>
        <v>52918.6201446881</v>
      </c>
    </row>
    <row r="9" s="326" customFormat="1" customHeight="1" spans="1:31">
      <c r="A9" s="327">
        <v>41</v>
      </c>
      <c r="B9" s="328" t="s">
        <v>304</v>
      </c>
      <c r="C9" s="329" t="s">
        <v>302</v>
      </c>
      <c r="D9" s="330" t="s">
        <v>303</v>
      </c>
      <c r="E9" s="331">
        <v>5428.12</v>
      </c>
      <c r="F9" s="332"/>
      <c r="G9" s="331">
        <f t="shared" si="0"/>
        <v>16284.36</v>
      </c>
      <c r="H9" s="331">
        <f t="shared" si="1"/>
        <v>407.109</v>
      </c>
      <c r="I9" s="331"/>
      <c r="J9" s="331">
        <f t="shared" si="2"/>
        <v>2714.06</v>
      </c>
      <c r="K9" s="331">
        <f t="shared" si="3"/>
        <v>18998.42</v>
      </c>
      <c r="L9" s="331">
        <f t="shared" si="4"/>
        <v>5428.12</v>
      </c>
      <c r="M9" s="332"/>
      <c r="N9" s="332">
        <f>20000</f>
        <v>20000</v>
      </c>
      <c r="O9" s="331">
        <f t="shared" si="5"/>
        <v>542.812</v>
      </c>
      <c r="P9" s="331">
        <v>5000</v>
      </c>
      <c r="Q9" s="331">
        <f>7000</f>
        <v>7000</v>
      </c>
      <c r="R9" s="331">
        <f t="shared" si="6"/>
        <v>81803.001</v>
      </c>
      <c r="S9" s="336" t="s">
        <v>303</v>
      </c>
      <c r="T9" s="331">
        <f t="shared" ref="T9:T10" si="7">122105</f>
        <v>122105</v>
      </c>
      <c r="U9" s="331">
        <f t="shared" ref="U9:U10" si="8">T9-R9</f>
        <v>40301.999</v>
      </c>
      <c r="V9" s="331"/>
      <c r="W9" s="331"/>
      <c r="X9" s="85">
        <f>4365.33075466667</f>
        <v>4365.33075466667</v>
      </c>
      <c r="Y9" s="331">
        <f t="shared" ref="Y9:Y10" si="9">9152.6</f>
        <v>9152.6</v>
      </c>
      <c r="Z9" s="231">
        <f t="shared" ref="Z9:Z10" si="10">Y9-X9</f>
        <v>4787.26924533333</v>
      </c>
      <c r="AA9" s="340">
        <f t="shared" ref="AA9:AA10" si="11">U9-Z9</f>
        <v>35514.7297546667</v>
      </c>
      <c r="AB9" s="341">
        <f>(17/31)+2</f>
        <v>2.54838709677419</v>
      </c>
      <c r="AC9" s="342">
        <f t="shared" ref="AC9:AC10" si="12">AA9*AB9</f>
        <v>90505.279052215</v>
      </c>
      <c r="AD9" s="231">
        <v>44151.71</v>
      </c>
      <c r="AE9" s="343">
        <f t="shared" ref="AE9:AE10" si="13">AC9-AD9</f>
        <v>46353.569052215</v>
      </c>
    </row>
    <row r="10" s="326" customFormat="1" customHeight="1" spans="1:31">
      <c r="A10" s="327">
        <v>42</v>
      </c>
      <c r="B10" s="333" t="s">
        <v>305</v>
      </c>
      <c r="C10" s="329" t="s">
        <v>302</v>
      </c>
      <c r="D10" s="330" t="s">
        <v>303</v>
      </c>
      <c r="E10" s="331">
        <v>5598.92</v>
      </c>
      <c r="F10" s="332"/>
      <c r="G10" s="331">
        <f t="shared" si="0"/>
        <v>16796.76</v>
      </c>
      <c r="H10" s="331">
        <f t="shared" si="1"/>
        <v>419.919</v>
      </c>
      <c r="I10" s="331"/>
      <c r="J10" s="331">
        <f t="shared" si="2"/>
        <v>2799.46</v>
      </c>
      <c r="K10" s="331">
        <f t="shared" si="3"/>
        <v>19596.22</v>
      </c>
      <c r="L10" s="331">
        <f t="shared" si="4"/>
        <v>5598.92</v>
      </c>
      <c r="M10" s="332"/>
      <c r="N10" s="332">
        <f>20000</f>
        <v>20000</v>
      </c>
      <c r="O10" s="331">
        <f t="shared" si="5"/>
        <v>559.892</v>
      </c>
      <c r="P10" s="331">
        <v>5000</v>
      </c>
      <c r="Q10" s="331">
        <f>7000</f>
        <v>7000</v>
      </c>
      <c r="R10" s="331">
        <f t="shared" si="6"/>
        <v>83370.091</v>
      </c>
      <c r="S10" s="336" t="s">
        <v>303</v>
      </c>
      <c r="T10" s="331">
        <f t="shared" si="7"/>
        <v>122105</v>
      </c>
      <c r="U10" s="331">
        <f t="shared" si="8"/>
        <v>38734.909</v>
      </c>
      <c r="V10" s="331"/>
      <c r="W10" s="331"/>
      <c r="X10" s="85">
        <v>4504.41092</v>
      </c>
      <c r="Y10" s="331">
        <f t="shared" si="9"/>
        <v>9152.6</v>
      </c>
      <c r="Z10" s="231">
        <f t="shared" si="10"/>
        <v>4648.18908</v>
      </c>
      <c r="AA10" s="340">
        <f t="shared" si="11"/>
        <v>34086.71992</v>
      </c>
      <c r="AB10" s="341">
        <v>9</v>
      </c>
      <c r="AC10" s="342">
        <f t="shared" si="12"/>
        <v>306780.47928</v>
      </c>
      <c r="AD10" s="231">
        <v>216693.09</v>
      </c>
      <c r="AE10" s="343">
        <f t="shared" si="13"/>
        <v>90087.38928</v>
      </c>
    </row>
    <row r="11" s="326" customFormat="1" customHeight="1" spans="1:31">
      <c r="A11" s="327"/>
      <c r="B11" s="333"/>
      <c r="C11" s="329"/>
      <c r="D11" s="330"/>
      <c r="E11" s="331"/>
      <c r="F11" s="332"/>
      <c r="G11" s="331"/>
      <c r="H11" s="331"/>
      <c r="I11" s="331"/>
      <c r="J11" s="331"/>
      <c r="K11" s="331"/>
      <c r="L11" s="331"/>
      <c r="M11" s="332"/>
      <c r="N11" s="332"/>
      <c r="O11" s="331"/>
      <c r="P11" s="331"/>
      <c r="Q11" s="331"/>
      <c r="R11" s="331"/>
      <c r="S11" s="331"/>
      <c r="T11" s="331"/>
      <c r="U11" s="331"/>
      <c r="V11" s="331"/>
      <c r="W11" s="337"/>
      <c r="X11" s="338"/>
      <c r="Y11" s="337"/>
      <c r="Z11" s="344"/>
      <c r="AA11" s="345"/>
      <c r="AE11" s="346">
        <f>SUM(AE8:AE10)</f>
        <v>189359.578476903</v>
      </c>
    </row>
    <row r="12" ht="21.6" customHeight="1" spans="1:23">
      <c r="A12" s="10"/>
      <c r="B12" s="11"/>
      <c r="C12" s="4"/>
      <c r="D12" s="10"/>
      <c r="E12" s="85"/>
      <c r="F12" s="85"/>
      <c r="G12" s="85"/>
      <c r="H12" s="85"/>
      <c r="I12" s="85"/>
      <c r="J12" s="85"/>
      <c r="K12" s="85"/>
      <c r="L12" s="85"/>
      <c r="M12" s="220"/>
      <c r="N12" s="220"/>
      <c r="O12" s="85"/>
      <c r="P12" s="85"/>
      <c r="Q12" s="85"/>
      <c r="R12" s="219"/>
      <c r="S12" s="85"/>
      <c r="T12" s="85"/>
      <c r="U12" s="85"/>
      <c r="V12" s="231"/>
      <c r="W12" s="13"/>
    </row>
    <row r="13" s="326" customFormat="1" customHeight="1" spans="1:27">
      <c r="A13" s="327">
        <v>40</v>
      </c>
      <c r="B13" s="328" t="s">
        <v>301</v>
      </c>
      <c r="C13" s="329" t="s">
        <v>302</v>
      </c>
      <c r="D13" s="330" t="s">
        <v>303</v>
      </c>
      <c r="E13" s="331">
        <f>8730.79</f>
        <v>8730.79</v>
      </c>
      <c r="F13" s="332"/>
      <c r="G13" s="331">
        <f t="shared" ref="G13:G15" si="14">E13*300%</f>
        <v>26192.37</v>
      </c>
      <c r="H13" s="331">
        <f t="shared" ref="H13:H15" si="15">E13*7.5%</f>
        <v>654.80925</v>
      </c>
      <c r="I13" s="331"/>
      <c r="J13" s="331">
        <f t="shared" ref="J13:J15" si="16">E13*50%</f>
        <v>4365.395</v>
      </c>
      <c r="K13" s="331">
        <f t="shared" ref="K13:K15" si="17">E13*350%</f>
        <v>30557.765</v>
      </c>
      <c r="L13" s="331">
        <f t="shared" ref="L13:L15" si="18">E13*100%</f>
        <v>8730.79</v>
      </c>
      <c r="M13" s="332"/>
      <c r="N13" s="332">
        <v>30000</v>
      </c>
      <c r="O13" s="331">
        <f t="shared" ref="O13:O15" si="19">E13*10%</f>
        <v>873.079</v>
      </c>
      <c r="P13" s="331">
        <v>5000</v>
      </c>
      <c r="Q13" s="331">
        <f>7000</f>
        <v>7000</v>
      </c>
      <c r="R13" s="331">
        <f t="shared" ref="R13:R14" si="20">SUM(E13:Q13)</f>
        <v>122104.99825</v>
      </c>
      <c r="S13" s="331"/>
      <c r="T13" s="331">
        <f>10000+5000+5000</f>
        <v>20000</v>
      </c>
      <c r="U13" s="331">
        <f>15625</f>
        <v>15625</v>
      </c>
      <c r="V13" s="331"/>
      <c r="W13" s="331">
        <f>[11]PROMOTIONS!$X$42</f>
        <v>8312.59</v>
      </c>
      <c r="X13" s="339">
        <f t="shared" ref="X13:X15" si="21">W13+V13+U13+T13+S13</f>
        <v>43937.59</v>
      </c>
      <c r="Y13" s="331">
        <v>106043.967849548</v>
      </c>
      <c r="Z13" s="231">
        <f t="shared" ref="Z13:Z15" si="22">R13-X13</f>
        <v>78167.40825</v>
      </c>
      <c r="AA13" s="345"/>
    </row>
    <row r="14" s="326" customFormat="1" customHeight="1" spans="1:27">
      <c r="A14" s="327">
        <v>41</v>
      </c>
      <c r="B14" s="328" t="s">
        <v>304</v>
      </c>
      <c r="C14" s="329" t="s">
        <v>302</v>
      </c>
      <c r="D14" s="330" t="s">
        <v>303</v>
      </c>
      <c r="E14" s="331">
        <f t="shared" ref="E14:E15" si="23">8730.79</f>
        <v>8730.79</v>
      </c>
      <c r="F14" s="332"/>
      <c r="G14" s="331">
        <f t="shared" si="14"/>
        <v>26192.37</v>
      </c>
      <c r="H14" s="331">
        <f t="shared" si="15"/>
        <v>654.80925</v>
      </c>
      <c r="I14" s="331"/>
      <c r="J14" s="331">
        <f t="shared" si="16"/>
        <v>4365.395</v>
      </c>
      <c r="K14" s="331">
        <f t="shared" si="17"/>
        <v>30557.765</v>
      </c>
      <c r="L14" s="331">
        <f t="shared" si="18"/>
        <v>8730.79</v>
      </c>
      <c r="M14" s="332"/>
      <c r="N14" s="332">
        <v>30000</v>
      </c>
      <c r="O14" s="331">
        <f t="shared" si="19"/>
        <v>873.079</v>
      </c>
      <c r="P14" s="331">
        <v>5000</v>
      </c>
      <c r="Q14" s="331">
        <f>7000</f>
        <v>7000</v>
      </c>
      <c r="R14" s="331">
        <f t="shared" si="20"/>
        <v>122104.99825</v>
      </c>
      <c r="S14" s="331"/>
      <c r="T14" s="331">
        <v>20000</v>
      </c>
      <c r="U14" s="331">
        <v>18333.33</v>
      </c>
      <c r="V14" s="331"/>
      <c r="W14" s="331">
        <f>[11]PROMOTIONS!$X$42</f>
        <v>8312.59</v>
      </c>
      <c r="X14" s="339">
        <f t="shared" si="21"/>
        <v>46645.92</v>
      </c>
      <c r="Y14" s="331">
        <v>80609.4522330322</v>
      </c>
      <c r="Z14" s="231">
        <f t="shared" si="22"/>
        <v>75459.07825</v>
      </c>
      <c r="AA14" s="345"/>
    </row>
    <row r="15" s="326" customFormat="1" customHeight="1" spans="1:27">
      <c r="A15" s="327">
        <v>42</v>
      </c>
      <c r="B15" s="333" t="s">
        <v>305</v>
      </c>
      <c r="C15" s="329" t="s">
        <v>302</v>
      </c>
      <c r="D15" s="330" t="s">
        <v>303</v>
      </c>
      <c r="E15" s="331">
        <f t="shared" si="23"/>
        <v>8730.79</v>
      </c>
      <c r="F15" s="332"/>
      <c r="G15" s="331">
        <f t="shared" si="14"/>
        <v>26192.37</v>
      </c>
      <c r="H15" s="331">
        <f t="shared" si="15"/>
        <v>654.80925</v>
      </c>
      <c r="I15" s="331"/>
      <c r="J15" s="331">
        <f t="shared" si="16"/>
        <v>4365.395</v>
      </c>
      <c r="K15" s="331">
        <f t="shared" si="17"/>
        <v>30557.765</v>
      </c>
      <c r="L15" s="331">
        <f t="shared" si="18"/>
        <v>8730.79</v>
      </c>
      <c r="M15" s="332"/>
      <c r="N15" s="332">
        <v>30000</v>
      </c>
      <c r="O15" s="331">
        <f t="shared" si="19"/>
        <v>873.079</v>
      </c>
      <c r="P15" s="331">
        <v>5000</v>
      </c>
      <c r="Q15" s="331">
        <f>7000</f>
        <v>7000</v>
      </c>
      <c r="R15" s="331">
        <f t="shared" ref="R15" si="24">SUM(E15:Q15)</f>
        <v>122104.99825</v>
      </c>
      <c r="S15" s="331"/>
      <c r="T15" s="331">
        <f>3000+5000+5000</f>
        <v>13000</v>
      </c>
      <c r="U15" s="331">
        <f>44000</f>
        <v>44000</v>
      </c>
      <c r="V15" s="331"/>
      <c r="W15" s="331">
        <f>[11]PROMOTIONS!$X$42</f>
        <v>8312.59</v>
      </c>
      <c r="X15" s="339">
        <f t="shared" si="21"/>
        <v>65312.59</v>
      </c>
      <c r="Y15" s="331">
        <v>239903.583693333</v>
      </c>
      <c r="Z15" s="231">
        <f t="shared" si="22"/>
        <v>56792.40825</v>
      </c>
      <c r="AA15" s="345"/>
    </row>
    <row r="16" ht="19.5" customHeight="1" spans="1:25">
      <c r="A16" s="4"/>
      <c r="B16" s="30" t="s">
        <v>336</v>
      </c>
      <c r="C16" s="31"/>
      <c r="D16" s="32"/>
      <c r="E16" s="227">
        <f t="shared" ref="E16:V16" si="25">E8+E14</f>
        <v>14158.91</v>
      </c>
      <c r="F16" s="227">
        <f t="shared" si="25"/>
        <v>0</v>
      </c>
      <c r="G16" s="227">
        <f t="shared" si="25"/>
        <v>42476.73</v>
      </c>
      <c r="H16" s="227">
        <f t="shared" si="25"/>
        <v>1061.91825</v>
      </c>
      <c r="I16" s="227">
        <f t="shared" si="25"/>
        <v>0</v>
      </c>
      <c r="J16" s="227">
        <f t="shared" si="25"/>
        <v>7079.455</v>
      </c>
      <c r="K16" s="227">
        <f t="shared" si="25"/>
        <v>49556.185</v>
      </c>
      <c r="L16" s="227">
        <f t="shared" si="25"/>
        <v>14158.91</v>
      </c>
      <c r="M16" s="227">
        <f t="shared" si="25"/>
        <v>0</v>
      </c>
      <c r="N16" s="227">
        <f t="shared" si="25"/>
        <v>50000</v>
      </c>
      <c r="O16" s="227">
        <f t="shared" si="25"/>
        <v>1415.891</v>
      </c>
      <c r="P16" s="227">
        <f t="shared" si="25"/>
        <v>10000</v>
      </c>
      <c r="Q16" s="227">
        <f t="shared" si="25"/>
        <v>14000</v>
      </c>
      <c r="R16" s="227">
        <f t="shared" si="25"/>
        <v>203907.99925</v>
      </c>
      <c r="S16" s="227" t="e">
        <f t="shared" si="25"/>
        <v>#VALUE!</v>
      </c>
      <c r="T16" s="227">
        <f t="shared" si="25"/>
        <v>142105</v>
      </c>
      <c r="U16" s="227">
        <f t="shared" si="25"/>
        <v>58635.329</v>
      </c>
      <c r="V16" s="227">
        <f t="shared" si="25"/>
        <v>0</v>
      </c>
      <c r="W16" s="227"/>
      <c r="X16" s="227">
        <f>X8+X14</f>
        <v>51011.2507546667</v>
      </c>
      <c r="Y16" s="13"/>
    </row>
    <row r="17" customHeight="1" spans="2:25">
      <c r="B17" s="33"/>
      <c r="D17" s="34"/>
      <c r="E17" s="34"/>
      <c r="F17" s="34"/>
      <c r="G17" s="34"/>
      <c r="H17" s="34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318"/>
      <c r="T17" s="229"/>
      <c r="U17" s="229"/>
      <c r="V17" s="229"/>
      <c r="W17" s="229"/>
      <c r="X17" s="229"/>
      <c r="Y17" s="35"/>
    </row>
    <row r="18" ht="36.75" customHeight="1" spans="2:24">
      <c r="B18" s="33"/>
      <c r="C18" s="34"/>
      <c r="D18" s="34"/>
      <c r="E18" s="34"/>
      <c r="F18" s="34"/>
      <c r="G18" s="34"/>
      <c r="H18" s="34"/>
      <c r="I18" s="228"/>
      <c r="J18" s="228"/>
      <c r="K18" s="228"/>
      <c r="L18" s="228"/>
      <c r="M18" s="228"/>
      <c r="N18" s="228"/>
      <c r="O18" s="228"/>
      <c r="Q18" s="228"/>
      <c r="R18" s="228"/>
      <c r="S18" s="318"/>
      <c r="T18" s="229"/>
      <c r="U18" s="229"/>
      <c r="V18" s="229"/>
      <c r="W18" s="229"/>
      <c r="X18" s="229"/>
    </row>
    <row r="21" s="298" customFormat="1" customHeight="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5"/>
      <c r="R21" s="35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22" sqref="K22"/>
    </sheetView>
  </sheetViews>
  <sheetFormatPr defaultColWidth="9" defaultRowHeight="12.5"/>
  <sheetData/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view="pageBreakPreview" zoomScale="50" zoomScaleNormal="100" workbookViewId="0">
      <pane xSplit="3" ySplit="6" topLeftCell="D24" activePane="bottomRight" state="frozen"/>
      <selection/>
      <selection pane="topRight"/>
      <selection pane="bottomLeft"/>
      <selection pane="bottomRight" activeCell="A42" sqref="$A42:$XFD44"/>
    </sheetView>
  </sheetViews>
  <sheetFormatPr defaultColWidth="9.13636363636364" defaultRowHeight="20.1" customHeight="1"/>
  <cols>
    <col min="1" max="1" width="5.42727272727273" style="1" customWidth="1"/>
    <col min="2" max="2" width="39.4272727272727" style="1" customWidth="1"/>
    <col min="3" max="3" width="26.5727272727273" style="1" customWidth="1"/>
    <col min="4" max="4" width="14.8545454545455" style="1" customWidth="1"/>
    <col min="5" max="5" width="17.8545454545455" style="1" customWidth="1"/>
    <col min="6" max="6" width="19.4272727272727" style="1" customWidth="1"/>
    <col min="7" max="7" width="16" style="1" customWidth="1"/>
    <col min="8" max="8" width="18.1363636363636" style="1" customWidth="1"/>
    <col min="9" max="9" width="18" style="1" customWidth="1"/>
    <col min="10" max="10" width="20" style="1" customWidth="1"/>
    <col min="11" max="11" width="18.1363636363636" style="1" customWidth="1"/>
    <col min="12" max="12" width="18.2818181818182" style="1" customWidth="1"/>
    <col min="13" max="13" width="18.1363636363636" style="1" customWidth="1"/>
    <col min="14" max="14" width="15.7090909090909" style="1" customWidth="1"/>
    <col min="15" max="15" width="18.2818181818182" style="1" customWidth="1"/>
    <col min="16" max="16" width="17.8545454545455" style="1" customWidth="1"/>
    <col min="17" max="20" width="19.2818181818182" style="1" customWidth="1"/>
    <col min="21" max="21" width="14.8545454545455" style="1" customWidth="1"/>
    <col min="22" max="22" width="13.5727272727273" style="1" customWidth="1"/>
    <col min="23" max="23" width="20.4272727272727" style="298" customWidth="1"/>
    <col min="24" max="24" width="16.4272727272727" style="1" customWidth="1"/>
    <col min="25" max="26" width="17.7090909090909" style="1" customWidth="1"/>
    <col min="27" max="27" width="11.1363636363636" style="1" customWidth="1"/>
    <col min="28" max="28" width="17.8545454545455" style="1" customWidth="1"/>
    <col min="29" max="29" width="21.7090909090909" style="1" customWidth="1"/>
    <col min="30" max="16384" width="9.13636363636364" style="1"/>
  </cols>
  <sheetData>
    <row r="1" ht="27" customHeight="1" spans="1:16">
      <c r="A1" s="76" t="s">
        <v>0</v>
      </c>
      <c r="B1" s="76"/>
      <c r="C1" s="76"/>
      <c r="D1" s="76"/>
      <c r="E1" s="76"/>
      <c r="F1" s="76"/>
      <c r="G1" s="217">
        <f>'[1]FEB 08'!F8/'[1]FEB 08'!Q8</f>
        <v>0.3</v>
      </c>
      <c r="H1" s="217"/>
      <c r="I1" s="217"/>
      <c r="J1" s="217"/>
      <c r="K1" s="217"/>
      <c r="L1" s="217"/>
      <c r="M1" s="217"/>
      <c r="N1" s="217"/>
      <c r="O1" s="217"/>
      <c r="P1" s="217"/>
    </row>
    <row r="2" ht="33.75" customHeight="1" spans="1:28">
      <c r="A2" s="76" t="s">
        <v>1035</v>
      </c>
      <c r="B2" s="77"/>
      <c r="C2" s="76"/>
      <c r="D2" s="76"/>
      <c r="E2" s="216"/>
      <c r="F2" s="216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78"/>
      <c r="R2" s="78"/>
      <c r="S2" s="78"/>
      <c r="T2" s="78"/>
      <c r="U2" s="78"/>
      <c r="V2" s="78"/>
      <c r="W2" s="305"/>
      <c r="X2" s="78"/>
      <c r="Y2" s="78"/>
      <c r="Z2" s="78"/>
      <c r="AA2" s="78"/>
      <c r="AB2" s="78"/>
    </row>
    <row r="3" ht="9.75" customHeight="1" spans="5:16">
      <c r="E3" s="217" t="e">
        <f>'[1]FEB 08'!E11/'[1]FEB 08'!M11</f>
        <v>#REF!</v>
      </c>
      <c r="F3" s="217"/>
      <c r="G3" s="217" t="e">
        <f>'[1]FEB 08'!F11/'[1]FEB 08'!Q11</f>
        <v>#REF!</v>
      </c>
      <c r="H3" s="217"/>
      <c r="I3" s="217"/>
      <c r="J3" s="217"/>
      <c r="K3" s="217"/>
      <c r="L3" s="217"/>
      <c r="M3" s="217"/>
      <c r="N3" s="217"/>
      <c r="O3" s="217"/>
      <c r="P3" s="217"/>
    </row>
    <row r="4" ht="60" customHeight="1" spans="1:28">
      <c r="A4" s="4"/>
      <c r="B4" s="6" t="s">
        <v>2</v>
      </c>
      <c r="C4" s="6" t="s">
        <v>3</v>
      </c>
      <c r="D4" s="7" t="s">
        <v>1011</v>
      </c>
      <c r="E4" s="80" t="s">
        <v>5</v>
      </c>
      <c r="F4" s="21" t="s">
        <v>643</v>
      </c>
      <c r="G4" s="21" t="s">
        <v>644</v>
      </c>
      <c r="H4" s="80" t="s">
        <v>645</v>
      </c>
      <c r="I4" s="21" t="s">
        <v>646</v>
      </c>
      <c r="J4" s="21" t="s">
        <v>647</v>
      </c>
      <c r="K4" s="21" t="s">
        <v>648</v>
      </c>
      <c r="L4" s="80" t="s">
        <v>7</v>
      </c>
      <c r="M4" s="80" t="s">
        <v>7</v>
      </c>
      <c r="N4" s="21" t="s">
        <v>649</v>
      </c>
      <c r="O4" s="21" t="s">
        <v>649</v>
      </c>
      <c r="P4" s="80" t="s">
        <v>8</v>
      </c>
      <c r="Q4" s="306" t="s">
        <v>472</v>
      </c>
      <c r="R4" s="7" t="s">
        <v>473</v>
      </c>
      <c r="S4" s="306" t="s">
        <v>474</v>
      </c>
      <c r="T4" s="80" t="s">
        <v>475</v>
      </c>
      <c r="U4" s="80" t="s">
        <v>476</v>
      </c>
      <c r="V4" s="80" t="s">
        <v>477</v>
      </c>
      <c r="W4" s="80" t="s">
        <v>478</v>
      </c>
      <c r="X4" s="80" t="s">
        <v>479</v>
      </c>
      <c r="Y4" s="319" t="s">
        <v>480</v>
      </c>
      <c r="Z4" s="320" t="s">
        <v>481</v>
      </c>
      <c r="AA4" s="80" t="s">
        <v>448</v>
      </c>
      <c r="AB4" s="321" t="s">
        <v>482</v>
      </c>
    </row>
    <row r="5" ht="17.25" customHeight="1" spans="3:28"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  <c r="I5" s="82" t="s">
        <v>19</v>
      </c>
      <c r="J5" s="82" t="s">
        <v>19</v>
      </c>
      <c r="K5" s="82" t="s">
        <v>19</v>
      </c>
      <c r="L5" s="82" t="s">
        <v>19</v>
      </c>
      <c r="M5" s="82" t="s">
        <v>19</v>
      </c>
      <c r="N5" s="82" t="s">
        <v>19</v>
      </c>
      <c r="O5" s="82" t="s">
        <v>19</v>
      </c>
      <c r="P5" s="82" t="s">
        <v>19</v>
      </c>
      <c r="Q5" s="307" t="s">
        <v>19</v>
      </c>
      <c r="R5" s="8"/>
      <c r="S5" s="307" t="s">
        <v>19</v>
      </c>
      <c r="T5" s="82"/>
      <c r="U5" s="82" t="s">
        <v>19</v>
      </c>
      <c r="V5" s="82"/>
      <c r="W5" s="308" t="s">
        <v>19</v>
      </c>
      <c r="X5" s="82"/>
      <c r="Y5" s="82"/>
      <c r="Z5" s="230"/>
      <c r="AA5" s="82"/>
      <c r="AB5" s="230"/>
    </row>
    <row r="6" customHeight="1" spans="1:28">
      <c r="A6" s="9" t="s">
        <v>20</v>
      </c>
      <c r="B6" s="8" t="s">
        <v>21</v>
      </c>
      <c r="C6" s="8"/>
      <c r="D6" s="8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307"/>
      <c r="R6" s="8"/>
      <c r="S6" s="307"/>
      <c r="T6" s="82"/>
      <c r="U6" s="82"/>
      <c r="V6" s="82"/>
      <c r="W6" s="308"/>
      <c r="X6" s="82"/>
      <c r="Y6" s="82"/>
      <c r="Z6" s="230"/>
      <c r="AA6" s="82"/>
      <c r="AB6" s="230"/>
    </row>
    <row r="7" ht="18.75" customHeight="1" spans="1:29">
      <c r="A7" s="10">
        <v>1</v>
      </c>
      <c r="B7" s="18" t="s">
        <v>78</v>
      </c>
      <c r="C7" s="12" t="s">
        <v>1036</v>
      </c>
      <c r="D7" s="15" t="s">
        <v>1014</v>
      </c>
      <c r="E7" s="220">
        <v>13492.21</v>
      </c>
      <c r="F7" s="85">
        <f>E7*300%</f>
        <v>40476.63</v>
      </c>
      <c r="G7" s="85">
        <f>E7*7.5%</f>
        <v>1011.91575</v>
      </c>
      <c r="H7" s="85"/>
      <c r="I7" s="85">
        <f>E7*50%</f>
        <v>6746.105</v>
      </c>
      <c r="J7" s="85">
        <f>E7*350%</f>
        <v>47222.735</v>
      </c>
      <c r="K7" s="85">
        <f>E7*100%</f>
        <v>13492.21</v>
      </c>
      <c r="L7" s="220"/>
      <c r="M7" s="220">
        <f>50000</f>
        <v>50000</v>
      </c>
      <c r="N7" s="85">
        <f>E7*10%</f>
        <v>1349.221</v>
      </c>
      <c r="O7" s="85">
        <v>10000</v>
      </c>
      <c r="P7" s="4"/>
      <c r="Q7" s="219">
        <f>SUM(E7:P7)</f>
        <v>183791.02675</v>
      </c>
      <c r="R7" s="15" t="s">
        <v>83</v>
      </c>
      <c r="S7" s="219">
        <f>'SALARY STRUCTURE'!H13+60000</f>
        <v>205203.666666667</v>
      </c>
      <c r="T7" s="85">
        <f t="shared" ref="T7:T45" si="0">S7-Q7</f>
        <v>21412.639916667</v>
      </c>
      <c r="U7" s="85"/>
      <c r="V7" s="85"/>
      <c r="W7" s="309">
        <v>18102.9027326667</v>
      </c>
      <c r="X7" s="85">
        <f>'[10]October 2023'!$Z$29</f>
        <v>21640.8826666667</v>
      </c>
      <c r="Y7" s="85">
        <f>X7-W7</f>
        <v>3537.979934</v>
      </c>
      <c r="Z7" s="231">
        <f>T7-Y7</f>
        <v>17874.659982667</v>
      </c>
      <c r="AA7" s="85">
        <f>(19/31)+4</f>
        <v>4.61290322580645</v>
      </c>
      <c r="AB7" s="231">
        <f>Z7*AA7</f>
        <v>82454.0766942382</v>
      </c>
      <c r="AC7" s="13"/>
    </row>
    <row r="8" ht="26.25" customHeight="1" spans="1:29">
      <c r="A8" s="10"/>
      <c r="B8" s="20" t="s">
        <v>96</v>
      </c>
      <c r="C8" s="21">
        <v>1</v>
      </c>
      <c r="D8" s="15"/>
      <c r="E8" s="221">
        <f t="shared" ref="E8:Q8" si="1">SUM(E7:E7)</f>
        <v>13492.21</v>
      </c>
      <c r="F8" s="221">
        <f t="shared" si="1"/>
        <v>40476.63</v>
      </c>
      <c r="G8" s="221">
        <f t="shared" si="1"/>
        <v>1011.91575</v>
      </c>
      <c r="H8" s="221">
        <f t="shared" si="1"/>
        <v>0</v>
      </c>
      <c r="I8" s="221">
        <f t="shared" si="1"/>
        <v>6746.105</v>
      </c>
      <c r="J8" s="221">
        <f t="shared" si="1"/>
        <v>47222.735</v>
      </c>
      <c r="K8" s="221">
        <f t="shared" si="1"/>
        <v>13492.21</v>
      </c>
      <c r="L8" s="221">
        <f t="shared" si="1"/>
        <v>0</v>
      </c>
      <c r="M8" s="221">
        <f t="shared" si="1"/>
        <v>50000</v>
      </c>
      <c r="N8" s="221">
        <f t="shared" si="1"/>
        <v>1349.221</v>
      </c>
      <c r="O8" s="221">
        <f t="shared" si="1"/>
        <v>10000</v>
      </c>
      <c r="P8" s="221">
        <f t="shared" si="1"/>
        <v>0</v>
      </c>
      <c r="Q8" s="221">
        <f t="shared" si="1"/>
        <v>183791.02675</v>
      </c>
      <c r="R8" s="15"/>
      <c r="S8" s="221">
        <f t="shared" ref="S8:Z8" si="2">SUM(S7:S7)</f>
        <v>205203.666666667</v>
      </c>
      <c r="T8" s="221">
        <f t="shared" si="2"/>
        <v>21412.639916667</v>
      </c>
      <c r="U8" s="221">
        <f t="shared" si="2"/>
        <v>0</v>
      </c>
      <c r="V8" s="221">
        <f t="shared" si="2"/>
        <v>0</v>
      </c>
      <c r="W8" s="221">
        <f t="shared" si="2"/>
        <v>18102.9027326667</v>
      </c>
      <c r="X8" s="221">
        <f t="shared" si="2"/>
        <v>21640.8826666667</v>
      </c>
      <c r="Y8" s="221">
        <f t="shared" si="2"/>
        <v>3537.979934</v>
      </c>
      <c r="Z8" s="232">
        <f t="shared" si="2"/>
        <v>17874.659982667</v>
      </c>
      <c r="AA8" s="221"/>
      <c r="AB8" s="232">
        <f>SUM(AB7:AB7)</f>
        <v>82454.0766942382</v>
      </c>
      <c r="AC8" s="13"/>
    </row>
    <row r="9" customHeight="1" spans="1:29">
      <c r="A9" s="10"/>
      <c r="B9" s="14"/>
      <c r="C9" s="4"/>
      <c r="D9" s="10"/>
      <c r="E9" s="221"/>
      <c r="F9" s="221"/>
      <c r="G9" s="221"/>
      <c r="H9" s="221"/>
      <c r="I9" s="221"/>
      <c r="J9" s="221"/>
      <c r="K9" s="221"/>
      <c r="L9" s="220"/>
      <c r="M9" s="220"/>
      <c r="N9" s="221"/>
      <c r="O9" s="221"/>
      <c r="P9" s="221"/>
      <c r="Q9" s="310"/>
      <c r="R9" s="10"/>
      <c r="S9" s="310"/>
      <c r="T9" s="85"/>
      <c r="U9" s="221"/>
      <c r="V9" s="221"/>
      <c r="W9" s="311"/>
      <c r="X9" s="221"/>
      <c r="Y9" s="85"/>
      <c r="Z9" s="231"/>
      <c r="AA9" s="221"/>
      <c r="AB9" s="231"/>
      <c r="AC9" s="13"/>
    </row>
    <row r="10" customHeight="1" spans="1:29">
      <c r="A10" s="10"/>
      <c r="B10" s="23" t="s">
        <v>107</v>
      </c>
      <c r="C10" s="5"/>
      <c r="D10" s="24"/>
      <c r="E10" s="221"/>
      <c r="F10" s="221"/>
      <c r="G10" s="85"/>
      <c r="H10" s="85"/>
      <c r="I10" s="85"/>
      <c r="J10" s="85"/>
      <c r="K10" s="85"/>
      <c r="L10" s="220"/>
      <c r="M10" s="220"/>
      <c r="N10" s="85"/>
      <c r="O10" s="85"/>
      <c r="P10" s="85"/>
      <c r="Q10" s="219"/>
      <c r="R10" s="24"/>
      <c r="S10" s="219"/>
      <c r="T10" s="85"/>
      <c r="U10" s="85"/>
      <c r="V10" s="85"/>
      <c r="W10" s="309"/>
      <c r="X10" s="85"/>
      <c r="Y10" s="85"/>
      <c r="Z10" s="231"/>
      <c r="AA10" s="85"/>
      <c r="AB10" s="231"/>
      <c r="AC10" s="13"/>
    </row>
    <row r="11" customHeight="1" spans="1:29">
      <c r="A11" s="10">
        <v>2</v>
      </c>
      <c r="B11" s="11" t="s">
        <v>45</v>
      </c>
      <c r="C11" s="4" t="s">
        <v>483</v>
      </c>
      <c r="D11" s="10" t="s">
        <v>52</v>
      </c>
      <c r="E11" s="85">
        <v>25523.45</v>
      </c>
      <c r="F11" s="85">
        <f>E11*300%</f>
        <v>76570.35</v>
      </c>
      <c r="G11" s="85">
        <f>E11*7.5%</f>
        <v>1914.25875</v>
      </c>
      <c r="H11" s="85"/>
      <c r="I11" s="85">
        <f>E11*50%</f>
        <v>12761.725</v>
      </c>
      <c r="J11" s="85">
        <f>E11*350%</f>
        <v>89332.075</v>
      </c>
      <c r="K11" s="85">
        <f>E11*100%</f>
        <v>25523.45</v>
      </c>
      <c r="L11" s="220">
        <f t="shared" ref="L11" si="3">120000</f>
        <v>120000</v>
      </c>
      <c r="M11" s="220"/>
      <c r="N11" s="85">
        <f>E11*10%</f>
        <v>2552.345</v>
      </c>
      <c r="O11" s="85">
        <v>15000</v>
      </c>
      <c r="P11" s="85"/>
      <c r="Q11" s="219">
        <f>SUM(E11:P11)</f>
        <v>369177.65375</v>
      </c>
      <c r="R11" s="10" t="s">
        <v>47</v>
      </c>
      <c r="S11" s="219">
        <f>'SALARY STRUCTURE'!I17+140000</f>
        <v>397211.25</v>
      </c>
      <c r="T11" s="85">
        <f t="shared" si="0"/>
        <v>28033.59625</v>
      </c>
      <c r="U11" s="85">
        <v>638.08625</v>
      </c>
      <c r="V11" s="85">
        <f>690.28</f>
        <v>690.28</v>
      </c>
      <c r="W11" s="309">
        <v>49548.7761866667</v>
      </c>
      <c r="X11" s="85">
        <f>'[10]October 2023'!$Z$50</f>
        <v>54812.4685866667</v>
      </c>
      <c r="Y11" s="85">
        <f t="shared" ref="Y11:Y45" si="4">X11-W11</f>
        <v>5263.6924</v>
      </c>
      <c r="Z11" s="231">
        <f t="shared" ref="Z11:Z45" si="5">T11-Y11</f>
        <v>22769.90385</v>
      </c>
      <c r="AA11" s="85">
        <f>(18/31)+1</f>
        <v>1.58064516129032</v>
      </c>
      <c r="AB11" s="231">
        <f t="shared" ref="AB11:AB45" si="6">Z11*AA11</f>
        <v>35991.1383435484</v>
      </c>
      <c r="AC11" s="13"/>
    </row>
    <row r="12" ht="25.5" customHeight="1" spans="1:29">
      <c r="A12" s="10"/>
      <c r="B12" s="20" t="s">
        <v>96</v>
      </c>
      <c r="C12" s="21">
        <v>1</v>
      </c>
      <c r="D12" s="21"/>
      <c r="E12" s="93">
        <f t="shared" ref="E12:Q12" si="7">SUM(E11:E11)</f>
        <v>25523.45</v>
      </c>
      <c r="F12" s="93">
        <f t="shared" si="7"/>
        <v>76570.35</v>
      </c>
      <c r="G12" s="93">
        <f t="shared" si="7"/>
        <v>1914.25875</v>
      </c>
      <c r="H12" s="93">
        <f t="shared" si="7"/>
        <v>0</v>
      </c>
      <c r="I12" s="93">
        <f t="shared" si="7"/>
        <v>12761.725</v>
      </c>
      <c r="J12" s="93">
        <f t="shared" si="7"/>
        <v>89332.075</v>
      </c>
      <c r="K12" s="93">
        <f t="shared" si="7"/>
        <v>25523.45</v>
      </c>
      <c r="L12" s="93">
        <f t="shared" si="7"/>
        <v>120000</v>
      </c>
      <c r="M12" s="93">
        <f t="shared" si="7"/>
        <v>0</v>
      </c>
      <c r="N12" s="93">
        <f t="shared" si="7"/>
        <v>2552.345</v>
      </c>
      <c r="O12" s="93">
        <f t="shared" si="7"/>
        <v>15000</v>
      </c>
      <c r="P12" s="93">
        <f t="shared" si="7"/>
        <v>0</v>
      </c>
      <c r="Q12" s="93">
        <f t="shared" si="7"/>
        <v>369177.65375</v>
      </c>
      <c r="R12" s="21"/>
      <c r="S12" s="93">
        <f t="shared" ref="S12:Z12" si="8">SUM(S11:S11)</f>
        <v>397211.25</v>
      </c>
      <c r="T12" s="93">
        <f t="shared" si="8"/>
        <v>28033.59625</v>
      </c>
      <c r="U12" s="93">
        <f t="shared" si="8"/>
        <v>638.08625</v>
      </c>
      <c r="V12" s="93">
        <f t="shared" si="8"/>
        <v>690.28</v>
      </c>
      <c r="W12" s="93">
        <f t="shared" si="8"/>
        <v>49548.7761866667</v>
      </c>
      <c r="X12" s="93">
        <f t="shared" si="8"/>
        <v>54812.4685866667</v>
      </c>
      <c r="Y12" s="93">
        <f t="shared" si="8"/>
        <v>5263.6924</v>
      </c>
      <c r="Z12" s="322">
        <f t="shared" si="8"/>
        <v>22769.90385</v>
      </c>
      <c r="AA12" s="93"/>
      <c r="AB12" s="322">
        <f>SUM(AB11:AB11)</f>
        <v>35991.1383435484</v>
      </c>
      <c r="AC12" s="13"/>
    </row>
    <row r="13" customHeight="1" spans="1:29">
      <c r="A13" s="10"/>
      <c r="B13" s="20"/>
      <c r="C13" s="21"/>
      <c r="D13" s="21"/>
      <c r="E13" s="146"/>
      <c r="F13" s="146"/>
      <c r="G13" s="146"/>
      <c r="H13" s="146"/>
      <c r="I13" s="146"/>
      <c r="J13" s="146"/>
      <c r="K13" s="146"/>
      <c r="L13" s="220"/>
      <c r="M13" s="220"/>
      <c r="N13" s="146"/>
      <c r="O13" s="146"/>
      <c r="P13" s="146"/>
      <c r="Q13" s="312"/>
      <c r="R13" s="21"/>
      <c r="S13" s="312"/>
      <c r="T13" s="85">
        <f t="shared" si="0"/>
        <v>0</v>
      </c>
      <c r="U13" s="146"/>
      <c r="V13" s="146"/>
      <c r="W13" s="313"/>
      <c r="X13" s="146"/>
      <c r="Y13" s="85"/>
      <c r="Z13" s="231"/>
      <c r="AA13" s="146"/>
      <c r="AB13" s="231"/>
      <c r="AC13" s="13"/>
    </row>
    <row r="14" customHeight="1" spans="1:29">
      <c r="A14" s="10"/>
      <c r="B14" s="20" t="s">
        <v>126</v>
      </c>
      <c r="C14" s="21"/>
      <c r="D14" s="21"/>
      <c r="E14" s="146"/>
      <c r="F14" s="146"/>
      <c r="G14" s="146"/>
      <c r="H14" s="146"/>
      <c r="I14" s="146"/>
      <c r="J14" s="146"/>
      <c r="K14" s="146"/>
      <c r="L14" s="220"/>
      <c r="M14" s="220"/>
      <c r="N14" s="146"/>
      <c r="O14" s="146"/>
      <c r="P14" s="146"/>
      <c r="Q14" s="312"/>
      <c r="R14" s="21"/>
      <c r="S14" s="312"/>
      <c r="T14" s="85">
        <f t="shared" si="0"/>
        <v>0</v>
      </c>
      <c r="U14" s="146"/>
      <c r="V14" s="146"/>
      <c r="W14" s="313"/>
      <c r="X14" s="146"/>
      <c r="Y14" s="85"/>
      <c r="Z14" s="231"/>
      <c r="AA14" s="146"/>
      <c r="AB14" s="231"/>
      <c r="AC14" s="13"/>
    </row>
    <row r="15" customHeight="1" spans="1:29">
      <c r="A15" s="10">
        <v>3</v>
      </c>
      <c r="B15" s="14" t="s">
        <v>201</v>
      </c>
      <c r="C15" s="4" t="s">
        <v>133</v>
      </c>
      <c r="D15" s="10" t="s">
        <v>42</v>
      </c>
      <c r="E15" s="85">
        <f>28489.81</f>
        <v>28489.81</v>
      </c>
      <c r="F15" s="85">
        <f>E15*300%</f>
        <v>85469.43</v>
      </c>
      <c r="G15" s="85">
        <f>E15*7.5%</f>
        <v>2136.73575</v>
      </c>
      <c r="H15" s="85"/>
      <c r="I15" s="85">
        <f>E15*50%</f>
        <v>14244.905</v>
      </c>
      <c r="J15" s="85">
        <f>E15*350%</f>
        <v>99714.335</v>
      </c>
      <c r="K15" s="85">
        <f>E15*100%</f>
        <v>28489.81</v>
      </c>
      <c r="L15" s="220">
        <v>140000</v>
      </c>
      <c r="M15" s="220"/>
      <c r="N15" s="85">
        <f>E15*10%</f>
        <v>2848.981</v>
      </c>
      <c r="O15" s="85">
        <v>20000</v>
      </c>
      <c r="P15" s="85">
        <v>0</v>
      </c>
      <c r="Q15" s="219">
        <f>SUM(E15:P15)</f>
        <v>421394.00675</v>
      </c>
      <c r="R15" s="10" t="s">
        <v>39</v>
      </c>
      <c r="S15" s="219">
        <f>'SALARY STRUCTURE'!H18+160000</f>
        <v>504720.166666667</v>
      </c>
      <c r="T15" s="85">
        <f t="shared" si="0"/>
        <v>83326.1599166669</v>
      </c>
      <c r="U15" s="85">
        <v>712.24525</v>
      </c>
      <c r="V15" s="85">
        <f>837.69</f>
        <v>837.69</v>
      </c>
      <c r="W15" s="309">
        <v>59441.7820426667</v>
      </c>
      <c r="X15" s="85">
        <f>'[10]October 2023'!$Z$85</f>
        <v>75440.4047466667</v>
      </c>
      <c r="Y15" s="85">
        <f t="shared" si="4"/>
        <v>15998.622704</v>
      </c>
      <c r="Z15" s="231">
        <f t="shared" si="5"/>
        <v>67327.5372126669</v>
      </c>
      <c r="AA15" s="85">
        <f>9</f>
        <v>9</v>
      </c>
      <c r="AB15" s="231">
        <f t="shared" si="6"/>
        <v>605947.834914002</v>
      </c>
      <c r="AC15" s="13"/>
    </row>
    <row r="16" customHeight="1" spans="1:29">
      <c r="A16" s="10">
        <v>4</v>
      </c>
      <c r="B16" s="11" t="s">
        <v>132</v>
      </c>
      <c r="C16" s="4" t="s">
        <v>165</v>
      </c>
      <c r="D16" s="10" t="s">
        <v>52</v>
      </c>
      <c r="E16" s="85">
        <v>25523.45</v>
      </c>
      <c r="F16" s="85">
        <f>E16*300%</f>
        <v>76570.35</v>
      </c>
      <c r="G16" s="85">
        <f>E16*7.5%</f>
        <v>1914.25875</v>
      </c>
      <c r="H16" s="85"/>
      <c r="I16" s="85">
        <f>E16*50%</f>
        <v>12761.725</v>
      </c>
      <c r="J16" s="85">
        <f>E16*350%</f>
        <v>89332.075</v>
      </c>
      <c r="K16" s="85">
        <f>E16*100%</f>
        <v>25523.45</v>
      </c>
      <c r="L16" s="220">
        <f t="shared" ref="L16" si="9">120000</f>
        <v>120000</v>
      </c>
      <c r="M16" s="220"/>
      <c r="N16" s="85">
        <f>E16*10%</f>
        <v>2552.345</v>
      </c>
      <c r="O16" s="85">
        <v>15000</v>
      </c>
      <c r="P16" s="85"/>
      <c r="Q16" s="219">
        <f>SUM(E16:P16)</f>
        <v>369177.65375</v>
      </c>
      <c r="R16" s="10" t="s">
        <v>47</v>
      </c>
      <c r="S16" s="219">
        <f>'SALARY STRUCTURE'!I17+140000</f>
        <v>397211.25</v>
      </c>
      <c r="T16" s="85">
        <f t="shared" si="0"/>
        <v>28033.59625</v>
      </c>
      <c r="U16" s="85"/>
      <c r="V16" s="85"/>
      <c r="W16" s="309">
        <v>49548.7761866667</v>
      </c>
      <c r="X16" s="85">
        <f>'[10]October 2023'!$Z$62</f>
        <v>54931.2266666667</v>
      </c>
      <c r="Y16" s="85">
        <f t="shared" si="4"/>
        <v>5382.45048</v>
      </c>
      <c r="Z16" s="231">
        <f t="shared" si="5"/>
        <v>22651.14577</v>
      </c>
      <c r="AA16" s="85">
        <f>(7/31)+2</f>
        <v>2.2258064516129</v>
      </c>
      <c r="AB16" s="231">
        <f t="shared" si="6"/>
        <v>50417.0663912903</v>
      </c>
      <c r="AC16" s="13"/>
    </row>
    <row r="17" customHeight="1" spans="1:29">
      <c r="A17" s="10"/>
      <c r="B17" s="20" t="s">
        <v>96</v>
      </c>
      <c r="C17" s="21">
        <v>2</v>
      </c>
      <c r="D17" s="21"/>
      <c r="E17" s="93">
        <f t="shared" ref="E17:Q17" si="10">SUM(E15:E16)</f>
        <v>54013.26</v>
      </c>
      <c r="F17" s="93">
        <f t="shared" si="10"/>
        <v>162039.78</v>
      </c>
      <c r="G17" s="93">
        <f t="shared" si="10"/>
        <v>4050.9945</v>
      </c>
      <c r="H17" s="93">
        <f t="shared" si="10"/>
        <v>0</v>
      </c>
      <c r="I17" s="93">
        <f t="shared" si="10"/>
        <v>27006.63</v>
      </c>
      <c r="J17" s="93">
        <f t="shared" si="10"/>
        <v>189046.41</v>
      </c>
      <c r="K17" s="93">
        <f t="shared" si="10"/>
        <v>54013.26</v>
      </c>
      <c r="L17" s="93">
        <f t="shared" si="10"/>
        <v>260000</v>
      </c>
      <c r="M17" s="93">
        <f t="shared" si="10"/>
        <v>0</v>
      </c>
      <c r="N17" s="93">
        <f t="shared" si="10"/>
        <v>5401.326</v>
      </c>
      <c r="O17" s="93">
        <f t="shared" si="10"/>
        <v>35000</v>
      </c>
      <c r="P17" s="93">
        <f t="shared" si="10"/>
        <v>0</v>
      </c>
      <c r="Q17" s="93">
        <f t="shared" si="10"/>
        <v>790571.6605</v>
      </c>
      <c r="R17" s="21"/>
      <c r="S17" s="93">
        <f>SUM(S15:S16)</f>
        <v>901931.416666667</v>
      </c>
      <c r="T17" s="93">
        <f t="shared" ref="T17:AB17" si="11">SUM(T15:T16)</f>
        <v>111359.756166667</v>
      </c>
      <c r="U17" s="93">
        <f t="shared" si="11"/>
        <v>712.24525</v>
      </c>
      <c r="V17" s="93">
        <f t="shared" si="11"/>
        <v>837.69</v>
      </c>
      <c r="W17" s="93">
        <f t="shared" si="11"/>
        <v>108990.558229333</v>
      </c>
      <c r="X17" s="93">
        <f t="shared" si="11"/>
        <v>130371.631413333</v>
      </c>
      <c r="Y17" s="93">
        <f t="shared" si="11"/>
        <v>21381.073184</v>
      </c>
      <c r="Z17" s="322">
        <f t="shared" si="11"/>
        <v>89978.6829826669</v>
      </c>
      <c r="AA17" s="93"/>
      <c r="AB17" s="322">
        <f t="shared" si="11"/>
        <v>656364.901305293</v>
      </c>
      <c r="AC17" s="13"/>
    </row>
    <row r="18" customHeight="1" spans="1:29">
      <c r="A18" s="10"/>
      <c r="B18" s="22"/>
      <c r="C18" s="21"/>
      <c r="D18" s="21"/>
      <c r="E18" s="146"/>
      <c r="F18" s="146"/>
      <c r="G18" s="146"/>
      <c r="H18" s="146"/>
      <c r="I18" s="146"/>
      <c r="J18" s="146"/>
      <c r="K18" s="146"/>
      <c r="L18" s="220"/>
      <c r="M18" s="220"/>
      <c r="N18" s="146"/>
      <c r="O18" s="146"/>
      <c r="P18" s="146"/>
      <c r="Q18" s="312"/>
      <c r="R18" s="21"/>
      <c r="S18" s="312"/>
      <c r="T18" s="85"/>
      <c r="U18" s="146"/>
      <c r="V18" s="146"/>
      <c r="W18" s="313"/>
      <c r="X18" s="146"/>
      <c r="Y18" s="85">
        <f t="shared" si="4"/>
        <v>0</v>
      </c>
      <c r="Z18" s="231">
        <f t="shared" si="5"/>
        <v>0</v>
      </c>
      <c r="AA18" s="146"/>
      <c r="AB18" s="231">
        <f t="shared" si="6"/>
        <v>0</v>
      </c>
      <c r="AC18" s="13"/>
    </row>
    <row r="19" customHeight="1" spans="1:29">
      <c r="A19" s="10"/>
      <c r="B19" s="20" t="s">
        <v>141</v>
      </c>
      <c r="C19" s="21"/>
      <c r="D19" s="21"/>
      <c r="E19" s="146"/>
      <c r="F19" s="146"/>
      <c r="G19" s="146"/>
      <c r="H19" s="146"/>
      <c r="I19" s="146"/>
      <c r="J19" s="146"/>
      <c r="K19" s="146"/>
      <c r="L19" s="220"/>
      <c r="M19" s="220"/>
      <c r="N19" s="146"/>
      <c r="O19" s="146"/>
      <c r="P19" s="146"/>
      <c r="Q19" s="312"/>
      <c r="R19" s="21"/>
      <c r="S19" s="312"/>
      <c r="T19" s="85"/>
      <c r="U19" s="146"/>
      <c r="V19" s="146"/>
      <c r="W19" s="313"/>
      <c r="X19" s="146"/>
      <c r="Y19" s="85">
        <f t="shared" si="4"/>
        <v>0</v>
      </c>
      <c r="Z19" s="231">
        <f t="shared" si="5"/>
        <v>0</v>
      </c>
      <c r="AA19" s="146"/>
      <c r="AB19" s="231">
        <f t="shared" si="6"/>
        <v>0</v>
      </c>
      <c r="AC19" s="13"/>
    </row>
    <row r="20" customHeight="1" spans="1:29">
      <c r="A20" s="10">
        <v>5</v>
      </c>
      <c r="B20" s="11" t="s">
        <v>146</v>
      </c>
      <c r="C20" s="4" t="s">
        <v>1037</v>
      </c>
      <c r="D20" s="15" t="s">
        <v>52</v>
      </c>
      <c r="E20" s="85">
        <v>25523.45</v>
      </c>
      <c r="F20" s="85">
        <f>E20*300%</f>
        <v>76570.35</v>
      </c>
      <c r="G20" s="85">
        <f>E20*7.5%</f>
        <v>1914.25875</v>
      </c>
      <c r="H20" s="85">
        <v>0</v>
      </c>
      <c r="I20" s="85">
        <f>E20*50%</f>
        <v>12761.725</v>
      </c>
      <c r="J20" s="85">
        <f>E20*350%</f>
        <v>89332.075</v>
      </c>
      <c r="K20" s="85">
        <f>E20*100%</f>
        <v>25523.45</v>
      </c>
      <c r="L20" s="220">
        <f>120000</f>
        <v>120000</v>
      </c>
      <c r="M20" s="220"/>
      <c r="N20" s="85">
        <f>E20*10%</f>
        <v>2552.345</v>
      </c>
      <c r="O20" s="85">
        <v>15000</v>
      </c>
      <c r="P20" s="85">
        <v>0</v>
      </c>
      <c r="Q20" s="219">
        <f>SUM(E20:P20)</f>
        <v>369177.65375</v>
      </c>
      <c r="R20" s="15" t="s">
        <v>47</v>
      </c>
      <c r="S20" s="219">
        <f>'SALARY STRUCTURE'!I17+140000</f>
        <v>397211.25</v>
      </c>
      <c r="T20" s="85">
        <f t="shared" si="0"/>
        <v>28033.59625</v>
      </c>
      <c r="U20" s="85">
        <v>638.08625</v>
      </c>
      <c r="V20" s="85"/>
      <c r="W20" s="309">
        <v>49548.7761866667</v>
      </c>
      <c r="X20" s="85">
        <f>'[10]October 2023'!$Z$78</f>
        <v>54931.2266666667</v>
      </c>
      <c r="Y20" s="85">
        <f t="shared" si="4"/>
        <v>5382.45048</v>
      </c>
      <c r="Z20" s="231">
        <f t="shared" si="5"/>
        <v>22651.14577</v>
      </c>
      <c r="AA20" s="85">
        <f>9</f>
        <v>9</v>
      </c>
      <c r="AB20" s="231">
        <f t="shared" si="6"/>
        <v>203860.31193</v>
      </c>
      <c r="AC20" s="13"/>
    </row>
    <row r="21" customHeight="1" spans="1:29">
      <c r="A21" s="10"/>
      <c r="B21" s="20" t="s">
        <v>96</v>
      </c>
      <c r="C21" s="21">
        <v>1</v>
      </c>
      <c r="D21" s="21"/>
      <c r="E21" s="93">
        <f t="shared" ref="E21:Q21" si="12">SUM(E20:E20)</f>
        <v>25523.45</v>
      </c>
      <c r="F21" s="93">
        <f t="shared" si="12"/>
        <v>76570.35</v>
      </c>
      <c r="G21" s="93">
        <f t="shared" si="12"/>
        <v>1914.25875</v>
      </c>
      <c r="H21" s="93">
        <f t="shared" si="12"/>
        <v>0</v>
      </c>
      <c r="I21" s="93">
        <f t="shared" si="12"/>
        <v>12761.725</v>
      </c>
      <c r="J21" s="93">
        <f t="shared" si="12"/>
        <v>89332.075</v>
      </c>
      <c r="K21" s="93">
        <f t="shared" si="12"/>
        <v>25523.45</v>
      </c>
      <c r="L21" s="93">
        <f t="shared" si="12"/>
        <v>120000</v>
      </c>
      <c r="M21" s="93">
        <f t="shared" si="12"/>
        <v>0</v>
      </c>
      <c r="N21" s="93">
        <f t="shared" si="12"/>
        <v>2552.345</v>
      </c>
      <c r="O21" s="93">
        <f t="shared" si="12"/>
        <v>15000</v>
      </c>
      <c r="P21" s="93">
        <f t="shared" si="12"/>
        <v>0</v>
      </c>
      <c r="Q21" s="93">
        <f t="shared" si="12"/>
        <v>369177.65375</v>
      </c>
      <c r="R21" s="21"/>
      <c r="S21" s="93">
        <f>SUM(S20:S20)</f>
        <v>397211.25</v>
      </c>
      <c r="T21" s="85"/>
      <c r="U21" s="93">
        <f>SUM(U20:U20)</f>
        <v>638.08625</v>
      </c>
      <c r="V21" s="93"/>
      <c r="W21" s="314">
        <f>SUM(W20:W20)</f>
        <v>49548.7761866667</v>
      </c>
      <c r="X21" s="314">
        <f t="shared" ref="X21:AB21" si="13">SUM(X20:X20)</f>
        <v>54931.2266666667</v>
      </c>
      <c r="Y21" s="314">
        <f t="shared" si="13"/>
        <v>5382.45048</v>
      </c>
      <c r="Z21" s="323">
        <f t="shared" si="13"/>
        <v>22651.14577</v>
      </c>
      <c r="AA21" s="314"/>
      <c r="AB21" s="323">
        <f t="shared" si="13"/>
        <v>203860.31193</v>
      </c>
      <c r="AC21" s="13"/>
    </row>
    <row r="22" customHeight="1" spans="1:29">
      <c r="A22" s="10"/>
      <c r="B22" s="20"/>
      <c r="C22" s="21"/>
      <c r="D22" s="21"/>
      <c r="E22" s="146"/>
      <c r="F22" s="146"/>
      <c r="G22" s="146"/>
      <c r="H22" s="146"/>
      <c r="I22" s="146"/>
      <c r="J22" s="146"/>
      <c r="K22" s="146"/>
      <c r="L22" s="220"/>
      <c r="M22" s="220"/>
      <c r="N22" s="146"/>
      <c r="O22" s="146"/>
      <c r="P22" s="146"/>
      <c r="Q22" s="312"/>
      <c r="R22" s="21"/>
      <c r="S22" s="312"/>
      <c r="T22" s="85"/>
      <c r="U22" s="146"/>
      <c r="V22" s="146"/>
      <c r="W22" s="313"/>
      <c r="X22" s="146"/>
      <c r="Y22" s="85">
        <f t="shared" si="4"/>
        <v>0</v>
      </c>
      <c r="Z22" s="231">
        <f t="shared" si="5"/>
        <v>0</v>
      </c>
      <c r="AA22" s="146"/>
      <c r="AB22" s="231">
        <f t="shared" si="6"/>
        <v>0</v>
      </c>
      <c r="AC22" s="13"/>
    </row>
    <row r="23" customHeight="1" spans="1:29">
      <c r="A23" s="10"/>
      <c r="B23" s="20" t="s">
        <v>155</v>
      </c>
      <c r="C23" s="25"/>
      <c r="D23" s="21"/>
      <c r="E23" s="146"/>
      <c r="F23" s="146"/>
      <c r="G23" s="146"/>
      <c r="H23" s="146"/>
      <c r="I23" s="146"/>
      <c r="J23" s="146"/>
      <c r="K23" s="146"/>
      <c r="L23" s="220"/>
      <c r="M23" s="220"/>
      <c r="N23" s="146"/>
      <c r="O23" s="146"/>
      <c r="P23" s="146"/>
      <c r="Q23" s="312"/>
      <c r="R23" s="21"/>
      <c r="S23" s="312"/>
      <c r="T23" s="85"/>
      <c r="U23" s="146"/>
      <c r="V23" s="146"/>
      <c r="W23" s="313"/>
      <c r="X23" s="146"/>
      <c r="Y23" s="85">
        <f t="shared" si="4"/>
        <v>0</v>
      </c>
      <c r="Z23" s="231">
        <f t="shared" si="5"/>
        <v>0</v>
      </c>
      <c r="AA23" s="146"/>
      <c r="AB23" s="231">
        <f t="shared" si="6"/>
        <v>0</v>
      </c>
      <c r="AC23" s="13"/>
    </row>
    <row r="24" customHeight="1" spans="1:29">
      <c r="A24" s="10">
        <v>6</v>
      </c>
      <c r="B24" s="11" t="s">
        <v>158</v>
      </c>
      <c r="C24" s="4" t="s">
        <v>46</v>
      </c>
      <c r="D24" s="10" t="s">
        <v>222</v>
      </c>
      <c r="E24" s="85">
        <v>27611.23</v>
      </c>
      <c r="F24" s="85">
        <f>E24*300%</f>
        <v>82833.69</v>
      </c>
      <c r="G24" s="85">
        <f>E24*7.5%</f>
        <v>2070.84225</v>
      </c>
      <c r="H24" s="85"/>
      <c r="I24" s="85">
        <f>E24*50%</f>
        <v>13805.615</v>
      </c>
      <c r="J24" s="85">
        <f>E24*350%</f>
        <v>96639.305</v>
      </c>
      <c r="K24" s="85">
        <f>E24*100%</f>
        <v>27611.23</v>
      </c>
      <c r="L24" s="220">
        <v>140000</v>
      </c>
      <c r="M24" s="220"/>
      <c r="N24" s="85">
        <f>E24*10%</f>
        <v>2761.123</v>
      </c>
      <c r="O24" s="85">
        <v>20000</v>
      </c>
      <c r="P24" s="85"/>
      <c r="Q24" s="219">
        <f>SUM(E24:P24)</f>
        <v>413333.03525</v>
      </c>
      <c r="R24" s="10" t="s">
        <v>39</v>
      </c>
      <c r="S24" s="219">
        <f>'SALARY STRUCTURE'!H18+160000</f>
        <v>504720.166666667</v>
      </c>
      <c r="T24" s="85">
        <f t="shared" si="0"/>
        <v>91387.1314166669</v>
      </c>
      <c r="U24" s="85"/>
      <c r="V24" s="85"/>
      <c r="W24" s="309">
        <v>58026.6094346667</v>
      </c>
      <c r="X24" s="85">
        <f>'[10]October 2023'!$Z$86</f>
        <v>75572.9386666667</v>
      </c>
      <c r="Y24" s="85">
        <f t="shared" si="4"/>
        <v>17546.329232</v>
      </c>
      <c r="Z24" s="231">
        <f t="shared" si="5"/>
        <v>73840.8021846669</v>
      </c>
      <c r="AA24" s="85">
        <v>1</v>
      </c>
      <c r="AB24" s="231">
        <f t="shared" si="6"/>
        <v>73840.8021846669</v>
      </c>
      <c r="AC24" s="13"/>
    </row>
    <row r="25" ht="21.6" customHeight="1" spans="1:29">
      <c r="A25" s="10">
        <v>7</v>
      </c>
      <c r="B25" s="11" t="s">
        <v>161</v>
      </c>
      <c r="C25" s="12" t="s">
        <v>165</v>
      </c>
      <c r="D25" s="15" t="s">
        <v>1019</v>
      </c>
      <c r="E25" s="85">
        <v>24741.26</v>
      </c>
      <c r="F25" s="85">
        <f>E25*300%</f>
        <v>74223.78</v>
      </c>
      <c r="G25" s="85">
        <f>E25*7.5%</f>
        <v>1855.5945</v>
      </c>
      <c r="H25" s="85">
        <v>0</v>
      </c>
      <c r="I25" s="85">
        <f>E25*50%</f>
        <v>12370.63</v>
      </c>
      <c r="J25" s="85">
        <f>E25*350%</f>
        <v>86594.41</v>
      </c>
      <c r="K25" s="85">
        <f>E25*100%</f>
        <v>24741.26</v>
      </c>
      <c r="L25" s="220">
        <f t="shared" ref="L25" si="14">120000</f>
        <v>120000</v>
      </c>
      <c r="M25" s="220"/>
      <c r="N25" s="85">
        <f>E25*10%</f>
        <v>2474.126</v>
      </c>
      <c r="O25" s="85">
        <v>15000</v>
      </c>
      <c r="P25" s="85">
        <v>0</v>
      </c>
      <c r="Q25" s="219">
        <f>SUM(E25:P25)</f>
        <v>362001.0605</v>
      </c>
      <c r="R25" s="15" t="s">
        <v>162</v>
      </c>
      <c r="S25" s="219">
        <f>'SALARY STRUCTURE'!H17+140000</f>
        <v>389153.416666667</v>
      </c>
      <c r="T25" s="85">
        <f t="shared" si="0"/>
        <v>27152.356166667</v>
      </c>
      <c r="U25" s="85"/>
      <c r="V25" s="85"/>
      <c r="W25" s="309">
        <v>48170.8702826667</v>
      </c>
      <c r="X25" s="85">
        <f>'[10]October 2023'!$Z$89</f>
        <v>53384.1226666667</v>
      </c>
      <c r="Y25" s="85">
        <f t="shared" si="4"/>
        <v>5213.252384</v>
      </c>
      <c r="Z25" s="231">
        <f t="shared" si="5"/>
        <v>21939.103782667</v>
      </c>
      <c r="AA25" s="85">
        <f>(19/31)+2</f>
        <v>2.61290322580645</v>
      </c>
      <c r="AB25" s="231">
        <f t="shared" si="6"/>
        <v>57324.7550450332</v>
      </c>
      <c r="AC25" s="13"/>
    </row>
    <row r="26" customHeight="1" spans="1:29">
      <c r="A26" s="10"/>
      <c r="B26" s="20" t="s">
        <v>96</v>
      </c>
      <c r="C26" s="21">
        <v>2</v>
      </c>
      <c r="D26" s="21"/>
      <c r="E26" s="93">
        <f t="shared" ref="E26:Q26" si="15">SUM(E24:E25)</f>
        <v>52352.49</v>
      </c>
      <c r="F26" s="93">
        <f t="shared" si="15"/>
        <v>157057.47</v>
      </c>
      <c r="G26" s="93">
        <f t="shared" si="15"/>
        <v>3926.43675</v>
      </c>
      <c r="H26" s="93">
        <f t="shared" si="15"/>
        <v>0</v>
      </c>
      <c r="I26" s="93">
        <f t="shared" si="15"/>
        <v>26176.245</v>
      </c>
      <c r="J26" s="93">
        <f t="shared" si="15"/>
        <v>183233.715</v>
      </c>
      <c r="K26" s="93">
        <f t="shared" si="15"/>
        <v>52352.49</v>
      </c>
      <c r="L26" s="93">
        <f t="shared" si="15"/>
        <v>260000</v>
      </c>
      <c r="M26" s="93">
        <f t="shared" si="15"/>
        <v>0</v>
      </c>
      <c r="N26" s="93">
        <f t="shared" si="15"/>
        <v>5235.249</v>
      </c>
      <c r="O26" s="93">
        <f t="shared" si="15"/>
        <v>35000</v>
      </c>
      <c r="P26" s="93">
        <f t="shared" si="15"/>
        <v>0</v>
      </c>
      <c r="Q26" s="93">
        <f t="shared" si="15"/>
        <v>775334.09575</v>
      </c>
      <c r="R26" s="21"/>
      <c r="S26" s="93">
        <f>SUM(S24:S25)</f>
        <v>893873.583333334</v>
      </c>
      <c r="T26" s="93">
        <f t="shared" ref="T26:AB26" si="16">SUM(T24:T25)</f>
        <v>118539.487583334</v>
      </c>
      <c r="U26" s="93">
        <f t="shared" si="16"/>
        <v>0</v>
      </c>
      <c r="V26" s="93">
        <f t="shared" si="16"/>
        <v>0</v>
      </c>
      <c r="W26" s="93">
        <f t="shared" si="16"/>
        <v>106197.479717333</v>
      </c>
      <c r="X26" s="93">
        <f t="shared" si="16"/>
        <v>128957.061333333</v>
      </c>
      <c r="Y26" s="93">
        <f t="shared" si="16"/>
        <v>22759.581616</v>
      </c>
      <c r="Z26" s="322">
        <f t="shared" si="16"/>
        <v>95779.9059673339</v>
      </c>
      <c r="AA26" s="93"/>
      <c r="AB26" s="322">
        <f t="shared" si="16"/>
        <v>131165.5572297</v>
      </c>
      <c r="AC26" s="13"/>
    </row>
    <row r="27" customHeight="1" spans="1:29">
      <c r="A27" s="10"/>
      <c r="B27" s="22"/>
      <c r="C27" s="21"/>
      <c r="D27" s="21"/>
      <c r="E27" s="146"/>
      <c r="F27" s="146"/>
      <c r="G27" s="146"/>
      <c r="H27" s="146"/>
      <c r="I27" s="146"/>
      <c r="J27" s="146"/>
      <c r="K27" s="146"/>
      <c r="L27" s="220"/>
      <c r="M27" s="220"/>
      <c r="N27" s="146"/>
      <c r="O27" s="146"/>
      <c r="P27" s="146"/>
      <c r="Q27" s="312"/>
      <c r="R27" s="21"/>
      <c r="S27" s="312"/>
      <c r="T27" s="85">
        <f t="shared" si="0"/>
        <v>0</v>
      </c>
      <c r="U27" s="146"/>
      <c r="V27" s="146"/>
      <c r="W27" s="313"/>
      <c r="X27" s="146"/>
      <c r="Y27" s="85">
        <f t="shared" si="4"/>
        <v>0</v>
      </c>
      <c r="Z27" s="231">
        <f t="shared" si="5"/>
        <v>0</v>
      </c>
      <c r="AA27" s="146"/>
      <c r="AB27" s="231">
        <f t="shared" si="6"/>
        <v>0</v>
      </c>
      <c r="AC27" s="13"/>
    </row>
    <row r="28" customHeight="1" spans="1:29">
      <c r="A28" s="10"/>
      <c r="B28" s="20" t="s">
        <v>172</v>
      </c>
      <c r="C28" s="21"/>
      <c r="D28" s="21"/>
      <c r="E28" s="146"/>
      <c r="F28" s="146"/>
      <c r="G28" s="146"/>
      <c r="H28" s="146"/>
      <c r="I28" s="146"/>
      <c r="J28" s="146"/>
      <c r="K28" s="146"/>
      <c r="L28" s="220"/>
      <c r="M28" s="220"/>
      <c r="N28" s="146"/>
      <c r="O28" s="146"/>
      <c r="P28" s="146"/>
      <c r="Q28" s="312"/>
      <c r="R28" s="21"/>
      <c r="S28" s="312"/>
      <c r="T28" s="85">
        <f t="shared" si="0"/>
        <v>0</v>
      </c>
      <c r="U28" s="146"/>
      <c r="V28" s="146"/>
      <c r="W28" s="313"/>
      <c r="X28" s="146"/>
      <c r="Y28" s="85">
        <f t="shared" si="4"/>
        <v>0</v>
      </c>
      <c r="Z28" s="231">
        <f t="shared" si="5"/>
        <v>0</v>
      </c>
      <c r="AA28" s="146"/>
      <c r="AB28" s="231">
        <f t="shared" si="6"/>
        <v>0</v>
      </c>
      <c r="AC28" s="13"/>
    </row>
    <row r="29" customHeight="1" spans="1:29">
      <c r="A29" s="10">
        <v>8</v>
      </c>
      <c r="B29" s="11" t="s">
        <v>37</v>
      </c>
      <c r="C29" s="4" t="s">
        <v>177</v>
      </c>
      <c r="D29" s="10" t="s">
        <v>222</v>
      </c>
      <c r="E29" s="85">
        <v>27611.23</v>
      </c>
      <c r="F29" s="85">
        <f>E29*300%</f>
        <v>82833.69</v>
      </c>
      <c r="G29" s="85">
        <f>E29*7.5%</f>
        <v>2070.84225</v>
      </c>
      <c r="H29" s="85"/>
      <c r="I29" s="85">
        <f>E29*50%</f>
        <v>13805.615</v>
      </c>
      <c r="J29" s="85">
        <f>E29*350%</f>
        <v>96639.305</v>
      </c>
      <c r="K29" s="85">
        <f>E29*100%</f>
        <v>27611.23</v>
      </c>
      <c r="L29" s="220">
        <v>140000</v>
      </c>
      <c r="M29" s="220"/>
      <c r="N29" s="85">
        <f>E29*10%</f>
        <v>2761.123</v>
      </c>
      <c r="O29" s="85">
        <v>20000</v>
      </c>
      <c r="P29" s="85">
        <f>100000</f>
        <v>100000</v>
      </c>
      <c r="Q29" s="219">
        <f>SUM(E29:P29)</f>
        <v>513333.03525</v>
      </c>
      <c r="R29" s="10" t="s">
        <v>39</v>
      </c>
      <c r="S29" s="219">
        <f>'SALARY STRUCTURE'!H18+160000+100000</f>
        <v>604720.166666667</v>
      </c>
      <c r="T29" s="85">
        <f t="shared" si="0"/>
        <v>91387.1314166669</v>
      </c>
      <c r="U29" s="85">
        <v>690.28075</v>
      </c>
      <c r="V29" s="85">
        <f>837.69</f>
        <v>837.69</v>
      </c>
      <c r="W29" s="309">
        <f>77098.29</f>
        <v>77098.29</v>
      </c>
      <c r="X29" s="85">
        <f>'[10]October 2023'!$Z$97</f>
        <v>94644.6218666667</v>
      </c>
      <c r="Y29" s="85">
        <f t="shared" si="4"/>
        <v>17546.3318666667</v>
      </c>
      <c r="Z29" s="231">
        <f t="shared" si="5"/>
        <v>73840.7995500002</v>
      </c>
      <c r="AA29" s="85">
        <f>3</f>
        <v>3</v>
      </c>
      <c r="AB29" s="231">
        <f t="shared" si="6"/>
        <v>221522.398650001</v>
      </c>
      <c r="AC29" s="13"/>
    </row>
    <row r="30" customHeight="1" spans="1:29">
      <c r="A30" s="10">
        <v>9</v>
      </c>
      <c r="B30" s="11" t="s">
        <v>176</v>
      </c>
      <c r="C30" s="4" t="s">
        <v>585</v>
      </c>
      <c r="D30" s="15" t="s">
        <v>52</v>
      </c>
      <c r="E30" s="85">
        <v>25523.45</v>
      </c>
      <c r="F30" s="85">
        <f>E30*300%</f>
        <v>76570.35</v>
      </c>
      <c r="G30" s="85">
        <f>E30*7.5%</f>
        <v>1914.25875</v>
      </c>
      <c r="H30" s="85">
        <v>0</v>
      </c>
      <c r="I30" s="85">
        <f>E30*50%</f>
        <v>12761.725</v>
      </c>
      <c r="J30" s="85">
        <f>E30*350%</f>
        <v>89332.075</v>
      </c>
      <c r="K30" s="85">
        <f>E30*100%</f>
        <v>25523.45</v>
      </c>
      <c r="L30" s="220"/>
      <c r="M30" s="220">
        <v>70000</v>
      </c>
      <c r="N30" s="85">
        <f>E30*10%</f>
        <v>2552.345</v>
      </c>
      <c r="O30" s="85">
        <v>15000</v>
      </c>
      <c r="P30" s="85">
        <v>0</v>
      </c>
      <c r="Q30" s="219">
        <f>SUM(E30:P30)</f>
        <v>319177.65375</v>
      </c>
      <c r="R30" s="15" t="s">
        <v>47</v>
      </c>
      <c r="S30" s="219">
        <f>'SALARY STRUCTURE'!I17+70000</f>
        <v>327211.25</v>
      </c>
      <c r="T30" s="85">
        <f t="shared" si="0"/>
        <v>8033.59625</v>
      </c>
      <c r="U30" s="85"/>
      <c r="V30" s="85"/>
      <c r="W30" s="309">
        <v>40698.1248566667</v>
      </c>
      <c r="X30" s="85">
        <f>'[10]October 2023'!$Z$129</f>
        <v>42047.7690266667</v>
      </c>
      <c r="Y30" s="85">
        <f t="shared" si="4"/>
        <v>1349.64417</v>
      </c>
      <c r="Z30" s="231">
        <f t="shared" si="5"/>
        <v>6683.95208</v>
      </c>
      <c r="AA30" s="85">
        <v>7</v>
      </c>
      <c r="AB30" s="231">
        <f t="shared" si="6"/>
        <v>46787.66456</v>
      </c>
      <c r="AC30" s="13"/>
    </row>
    <row r="31" customHeight="1" spans="1:29">
      <c r="A31" s="10">
        <v>10</v>
      </c>
      <c r="B31" s="11" t="s">
        <v>182</v>
      </c>
      <c r="C31" s="4" t="s">
        <v>1038</v>
      </c>
      <c r="D31" s="15" t="s">
        <v>1014</v>
      </c>
      <c r="E31" s="85">
        <v>13492.21</v>
      </c>
      <c r="F31" s="85">
        <v>40476.63</v>
      </c>
      <c r="G31" s="85">
        <v>1011.91575</v>
      </c>
      <c r="H31" s="85"/>
      <c r="I31" s="85">
        <v>6746.105</v>
      </c>
      <c r="J31" s="85">
        <v>47222.735</v>
      </c>
      <c r="K31" s="85">
        <v>13492.21</v>
      </c>
      <c r="L31" s="220"/>
      <c r="M31" s="220">
        <v>50000</v>
      </c>
      <c r="N31" s="85">
        <v>1349.221</v>
      </c>
      <c r="O31" s="85">
        <v>10000</v>
      </c>
      <c r="P31" s="85"/>
      <c r="Q31" s="219">
        <v>183791.02675</v>
      </c>
      <c r="R31" s="15" t="s">
        <v>70</v>
      </c>
      <c r="S31" s="219">
        <f>'SALARY STRUCTURE'!H14+60000</f>
        <v>228601.583333333</v>
      </c>
      <c r="T31" s="85">
        <f t="shared" si="0"/>
        <v>44810.556583333</v>
      </c>
      <c r="U31" s="85"/>
      <c r="V31" s="85"/>
      <c r="W31" s="309">
        <v>18102.9027326667</v>
      </c>
      <c r="X31" s="85">
        <f>'[10]October 2023'!$Z$30</f>
        <v>25571.7326666667</v>
      </c>
      <c r="Y31" s="85">
        <f t="shared" si="4"/>
        <v>7468.829934</v>
      </c>
      <c r="Z31" s="231">
        <f t="shared" si="5"/>
        <v>37341.726649333</v>
      </c>
      <c r="AA31" s="85">
        <v>1</v>
      </c>
      <c r="AB31" s="231">
        <f t="shared" si="6"/>
        <v>37341.726649333</v>
      </c>
      <c r="AC31" s="13"/>
    </row>
    <row r="32" customHeight="1" spans="1:29">
      <c r="A32" s="4"/>
      <c r="B32" s="20" t="s">
        <v>96</v>
      </c>
      <c r="C32" s="21">
        <v>3</v>
      </c>
      <c r="D32" s="26"/>
      <c r="E32" s="93">
        <f t="shared" ref="E32:Q32" si="17">SUM(E29:E31)</f>
        <v>66626.89</v>
      </c>
      <c r="F32" s="93">
        <f t="shared" si="17"/>
        <v>199880.67</v>
      </c>
      <c r="G32" s="93">
        <f t="shared" si="17"/>
        <v>4997.01675</v>
      </c>
      <c r="H32" s="93">
        <f t="shared" si="17"/>
        <v>0</v>
      </c>
      <c r="I32" s="93">
        <f t="shared" si="17"/>
        <v>33313.445</v>
      </c>
      <c r="J32" s="93">
        <f t="shared" si="17"/>
        <v>233194.115</v>
      </c>
      <c r="K32" s="93">
        <f t="shared" si="17"/>
        <v>66626.89</v>
      </c>
      <c r="L32" s="93">
        <f t="shared" si="17"/>
        <v>140000</v>
      </c>
      <c r="M32" s="93">
        <f t="shared" si="17"/>
        <v>120000</v>
      </c>
      <c r="N32" s="93">
        <f t="shared" si="17"/>
        <v>6662.689</v>
      </c>
      <c r="O32" s="93">
        <f t="shared" si="17"/>
        <v>45000</v>
      </c>
      <c r="P32" s="93">
        <f t="shared" si="17"/>
        <v>100000</v>
      </c>
      <c r="Q32" s="93">
        <f t="shared" si="17"/>
        <v>1016301.71575</v>
      </c>
      <c r="R32" s="26"/>
      <c r="S32" s="93">
        <f>SUM(S29:S31)</f>
        <v>1160533</v>
      </c>
      <c r="T32" s="85">
        <f t="shared" si="0"/>
        <v>144231.28425</v>
      </c>
      <c r="U32" s="93">
        <f>SUM(U29:U31)</f>
        <v>690.28075</v>
      </c>
      <c r="V32" s="93"/>
      <c r="W32" s="314">
        <f>SUM(W29:W31)</f>
        <v>135899.317589333</v>
      </c>
      <c r="X32" s="314">
        <f t="shared" ref="X32:AB32" si="18">SUM(X29:X31)</f>
        <v>162264.12356</v>
      </c>
      <c r="Y32" s="314">
        <f t="shared" si="18"/>
        <v>26364.8059706667</v>
      </c>
      <c r="Z32" s="323">
        <f t="shared" si="18"/>
        <v>117866.478279333</v>
      </c>
      <c r="AA32" s="314"/>
      <c r="AB32" s="323">
        <f t="shared" si="18"/>
        <v>305651.789859334</v>
      </c>
      <c r="AC32" s="13"/>
    </row>
    <row r="33" customHeight="1" spans="1:29">
      <c r="A33" s="4"/>
      <c r="B33" s="22"/>
      <c r="C33" s="10"/>
      <c r="D33" s="4"/>
      <c r="E33" s="224"/>
      <c r="F33" s="224"/>
      <c r="G33" s="224"/>
      <c r="H33" s="224"/>
      <c r="I33" s="224"/>
      <c r="J33" s="224"/>
      <c r="K33" s="224"/>
      <c r="L33" s="220"/>
      <c r="M33" s="220"/>
      <c r="N33" s="224"/>
      <c r="O33" s="224"/>
      <c r="P33" s="224"/>
      <c r="Q33" s="315"/>
      <c r="R33" s="4"/>
      <c r="S33" s="315"/>
      <c r="T33" s="85"/>
      <c r="U33" s="224"/>
      <c r="V33" s="224"/>
      <c r="W33" s="316"/>
      <c r="X33" s="224"/>
      <c r="Y33" s="85">
        <f t="shared" si="4"/>
        <v>0</v>
      </c>
      <c r="Z33" s="231">
        <f t="shared" si="5"/>
        <v>0</v>
      </c>
      <c r="AA33" s="224"/>
      <c r="AB33" s="231">
        <f t="shared" si="6"/>
        <v>0</v>
      </c>
      <c r="AC33" s="13"/>
    </row>
    <row r="34" customHeight="1" spans="1:29">
      <c r="A34" s="4"/>
      <c r="B34" s="20" t="s">
        <v>213</v>
      </c>
      <c r="C34" s="21"/>
      <c r="D34" s="21"/>
      <c r="E34" s="146"/>
      <c r="F34" s="146"/>
      <c r="G34" s="146"/>
      <c r="H34" s="146"/>
      <c r="I34" s="146"/>
      <c r="J34" s="146"/>
      <c r="K34" s="146"/>
      <c r="L34" s="220"/>
      <c r="M34" s="220"/>
      <c r="N34" s="146"/>
      <c r="O34" s="146"/>
      <c r="P34" s="146"/>
      <c r="Q34" s="312"/>
      <c r="R34" s="21"/>
      <c r="S34" s="312"/>
      <c r="T34" s="85"/>
      <c r="U34" s="146"/>
      <c r="V34" s="146"/>
      <c r="W34" s="313"/>
      <c r="X34" s="146"/>
      <c r="Y34" s="85">
        <f t="shared" si="4"/>
        <v>0</v>
      </c>
      <c r="Z34" s="231">
        <f t="shared" si="5"/>
        <v>0</v>
      </c>
      <c r="AA34" s="146"/>
      <c r="AB34" s="231">
        <f t="shared" si="6"/>
        <v>0</v>
      </c>
      <c r="AC34" s="13"/>
    </row>
    <row r="35" customHeight="1" spans="1:29">
      <c r="A35" s="4">
        <v>11</v>
      </c>
      <c r="B35" s="11" t="s">
        <v>225</v>
      </c>
      <c r="C35" s="12" t="s">
        <v>1039</v>
      </c>
      <c r="D35" s="15" t="s">
        <v>52</v>
      </c>
      <c r="E35" s="85">
        <v>25523.45</v>
      </c>
      <c r="F35" s="85">
        <f>E35*300%</f>
        <v>76570.35</v>
      </c>
      <c r="G35" s="85">
        <f>E35*7.5%</f>
        <v>1914.25875</v>
      </c>
      <c r="H35" s="85"/>
      <c r="I35" s="85">
        <f>E35*50%</f>
        <v>12761.725</v>
      </c>
      <c r="J35" s="85">
        <f>E35*350%</f>
        <v>89332.075</v>
      </c>
      <c r="K35" s="85">
        <f>E35*100%</f>
        <v>25523.45</v>
      </c>
      <c r="L35" s="220"/>
      <c r="M35" s="220">
        <f t="shared" ref="M35" si="19">70000</f>
        <v>70000</v>
      </c>
      <c r="N35" s="85">
        <f>E35*10%</f>
        <v>2552.345</v>
      </c>
      <c r="O35" s="85">
        <v>15000</v>
      </c>
      <c r="P35" s="85"/>
      <c r="Q35" s="219">
        <f>SUM(E35:P35)</f>
        <v>319177.65375</v>
      </c>
      <c r="R35" s="15" t="s">
        <v>47</v>
      </c>
      <c r="S35" s="219">
        <f>'SALARY STRUCTURE'!I17+70000</f>
        <v>327211.25</v>
      </c>
      <c r="T35" s="85">
        <f t="shared" si="0"/>
        <v>8033.59625</v>
      </c>
      <c r="U35" s="85">
        <v>638.08625</v>
      </c>
      <c r="V35" s="85">
        <f>690.28</f>
        <v>690.28</v>
      </c>
      <c r="W35" s="309">
        <v>40684.5991766667</v>
      </c>
      <c r="X35" s="85">
        <f>'[10]October 2023'!$Z$118</f>
        <v>42034.2433466667</v>
      </c>
      <c r="Y35" s="85">
        <f t="shared" si="4"/>
        <v>1349.64417</v>
      </c>
      <c r="Z35" s="231">
        <f t="shared" si="5"/>
        <v>6683.95208</v>
      </c>
      <c r="AA35" s="85">
        <f>9</f>
        <v>9</v>
      </c>
      <c r="AB35" s="231">
        <f t="shared" si="6"/>
        <v>60155.56872</v>
      </c>
      <c r="AC35" s="13"/>
    </row>
    <row r="36" ht="28.5" customHeight="1" spans="1:29">
      <c r="A36" s="4"/>
      <c r="B36" s="20" t="s">
        <v>96</v>
      </c>
      <c r="C36" s="26" t="s">
        <v>1040</v>
      </c>
      <c r="D36" s="15"/>
      <c r="E36" s="146">
        <f t="shared" ref="E36:Q36" si="20">SUM(E35:E35)</f>
        <v>25523.45</v>
      </c>
      <c r="F36" s="146">
        <f t="shared" si="20"/>
        <v>76570.35</v>
      </c>
      <c r="G36" s="146">
        <f t="shared" si="20"/>
        <v>1914.25875</v>
      </c>
      <c r="H36" s="146">
        <f t="shared" si="20"/>
        <v>0</v>
      </c>
      <c r="I36" s="146">
        <f t="shared" si="20"/>
        <v>12761.725</v>
      </c>
      <c r="J36" s="146">
        <f t="shared" si="20"/>
        <v>89332.075</v>
      </c>
      <c r="K36" s="146">
        <f t="shared" si="20"/>
        <v>25523.45</v>
      </c>
      <c r="L36" s="146">
        <f t="shared" si="20"/>
        <v>0</v>
      </c>
      <c r="M36" s="146">
        <f t="shared" si="20"/>
        <v>70000</v>
      </c>
      <c r="N36" s="146">
        <f t="shared" si="20"/>
        <v>2552.345</v>
      </c>
      <c r="O36" s="146">
        <f t="shared" si="20"/>
        <v>15000</v>
      </c>
      <c r="P36" s="146">
        <f t="shared" si="20"/>
        <v>0</v>
      </c>
      <c r="Q36" s="146">
        <f t="shared" si="20"/>
        <v>319177.65375</v>
      </c>
      <c r="R36" s="15"/>
      <c r="S36" s="146">
        <f t="shared" ref="S36:Z36" si="21">SUM(S35:S35)</f>
        <v>327211.25</v>
      </c>
      <c r="T36" s="146">
        <f t="shared" si="21"/>
        <v>8033.59625</v>
      </c>
      <c r="U36" s="146">
        <f t="shared" si="21"/>
        <v>638.08625</v>
      </c>
      <c r="V36" s="146">
        <f t="shared" si="21"/>
        <v>690.28</v>
      </c>
      <c r="W36" s="146">
        <f t="shared" si="21"/>
        <v>40684.5991766667</v>
      </c>
      <c r="X36" s="146">
        <f t="shared" si="21"/>
        <v>42034.2433466667</v>
      </c>
      <c r="Y36" s="146">
        <f t="shared" si="21"/>
        <v>1349.64417</v>
      </c>
      <c r="Z36" s="233">
        <f t="shared" si="21"/>
        <v>6683.95208</v>
      </c>
      <c r="AA36" s="146"/>
      <c r="AB36" s="233">
        <f>SUM(AB35:AB35)</f>
        <v>60155.56872</v>
      </c>
      <c r="AC36" s="13"/>
    </row>
    <row r="37" customHeight="1" spans="1:29">
      <c r="A37" s="4"/>
      <c r="B37" s="22"/>
      <c r="C37" s="26"/>
      <c r="D37" s="15"/>
      <c r="E37" s="146"/>
      <c r="F37" s="146"/>
      <c r="G37" s="146"/>
      <c r="H37" s="146"/>
      <c r="I37" s="146"/>
      <c r="J37" s="146"/>
      <c r="K37" s="146"/>
      <c r="L37" s="220">
        <f>226713.38+70000</f>
        <v>296713.38</v>
      </c>
      <c r="M37" s="220"/>
      <c r="N37" s="146"/>
      <c r="O37" s="146"/>
      <c r="P37" s="146"/>
      <c r="Q37" s="312"/>
      <c r="R37" s="15"/>
      <c r="S37" s="312"/>
      <c r="T37" s="85"/>
      <c r="U37" s="146"/>
      <c r="V37" s="146"/>
      <c r="W37" s="313"/>
      <c r="X37" s="146"/>
      <c r="Y37" s="85"/>
      <c r="Z37" s="231"/>
      <c r="AA37" s="146"/>
      <c r="AB37" s="231"/>
      <c r="AC37" s="13"/>
    </row>
    <row r="38" customHeight="1" spans="1:29">
      <c r="A38" s="4"/>
      <c r="B38" s="20" t="s">
        <v>234</v>
      </c>
      <c r="C38" s="12"/>
      <c r="D38" s="15"/>
      <c r="E38" s="85"/>
      <c r="F38" s="85"/>
      <c r="G38" s="85"/>
      <c r="H38" s="85"/>
      <c r="I38" s="85"/>
      <c r="J38" s="85"/>
      <c r="K38" s="85"/>
      <c r="L38" s="220"/>
      <c r="M38" s="220"/>
      <c r="N38" s="85"/>
      <c r="O38" s="85"/>
      <c r="P38" s="85"/>
      <c r="Q38" s="219"/>
      <c r="R38" s="15"/>
      <c r="S38" s="219"/>
      <c r="T38" s="85"/>
      <c r="U38" s="85"/>
      <c r="V38" s="85"/>
      <c r="W38" s="309"/>
      <c r="X38" s="85"/>
      <c r="Y38" s="85"/>
      <c r="Z38" s="231"/>
      <c r="AA38" s="85"/>
      <c r="AB38" s="231"/>
      <c r="AC38" s="13"/>
    </row>
    <row r="39" customHeight="1" spans="1:29">
      <c r="A39" s="27">
        <v>12</v>
      </c>
      <c r="B39" s="11" t="s">
        <v>249</v>
      </c>
      <c r="C39" s="12" t="s">
        <v>1041</v>
      </c>
      <c r="D39" s="15" t="s">
        <v>587</v>
      </c>
      <c r="E39" s="220">
        <v>18779.3</v>
      </c>
      <c r="F39" s="85">
        <f t="shared" ref="F39:F45" si="22">E39*300%</f>
        <v>56337.9</v>
      </c>
      <c r="G39" s="85">
        <f t="shared" ref="G39:G45" si="23">E39*7.5%</f>
        <v>1408.4475</v>
      </c>
      <c r="H39" s="85"/>
      <c r="I39" s="85">
        <f t="shared" ref="I39:I45" si="24">E39*50%</f>
        <v>9389.65</v>
      </c>
      <c r="J39" s="85">
        <f t="shared" ref="J39:J45" si="25">E39*350%</f>
        <v>65727.55</v>
      </c>
      <c r="K39" s="85">
        <f t="shared" ref="K39:K45" si="26">E39*100%</f>
        <v>18779.3</v>
      </c>
      <c r="L39" s="220"/>
      <c r="M39" s="220">
        <f>60000</f>
        <v>60000</v>
      </c>
      <c r="N39" s="85">
        <f t="shared" ref="N39:N45" si="27">E39*10%</f>
        <v>1877.93</v>
      </c>
      <c r="O39" s="85">
        <v>10000</v>
      </c>
      <c r="P39" s="85"/>
      <c r="Q39" s="219">
        <f t="shared" ref="Q39:Q45" si="28">SUM(E39:P39)</f>
        <v>242300.0775</v>
      </c>
      <c r="R39" s="15" t="s">
        <v>65</v>
      </c>
      <c r="S39" s="219">
        <f>'SALARY STRUCTURE'!H15+60000</f>
        <v>265371.75</v>
      </c>
      <c r="T39" s="85">
        <f t="shared" si="0"/>
        <v>23071.6725</v>
      </c>
      <c r="U39" s="85">
        <v>469.4825</v>
      </c>
      <c r="V39" s="85">
        <f>570.95</f>
        <v>570.95</v>
      </c>
      <c r="W39" s="309">
        <v>27794.2066266667</v>
      </c>
      <c r="X39" s="85">
        <f>'[10]October 2023'!$Z$134</f>
        <v>31653.2010666667</v>
      </c>
      <c r="Y39" s="85">
        <f t="shared" si="4"/>
        <v>3858.99444</v>
      </c>
      <c r="Z39" s="231">
        <f t="shared" si="5"/>
        <v>19212.67806</v>
      </c>
      <c r="AA39" s="85">
        <v>9</v>
      </c>
      <c r="AB39" s="231">
        <f t="shared" si="6"/>
        <v>172914.10254</v>
      </c>
      <c r="AC39" s="13"/>
    </row>
    <row r="40" customHeight="1" spans="1:29">
      <c r="A40" s="27">
        <v>13</v>
      </c>
      <c r="B40" s="18" t="s">
        <v>254</v>
      </c>
      <c r="C40" s="4" t="s">
        <v>262</v>
      </c>
      <c r="D40" s="15" t="s">
        <v>587</v>
      </c>
      <c r="E40" s="85">
        <f>18779.3</f>
        <v>18779.3</v>
      </c>
      <c r="F40" s="85">
        <f t="shared" si="22"/>
        <v>56337.9</v>
      </c>
      <c r="G40" s="85">
        <f t="shared" si="23"/>
        <v>1408.4475</v>
      </c>
      <c r="H40" s="85"/>
      <c r="I40" s="85">
        <f t="shared" si="24"/>
        <v>9389.65</v>
      </c>
      <c r="J40" s="85">
        <f t="shared" si="25"/>
        <v>65727.55</v>
      </c>
      <c r="K40" s="85">
        <f t="shared" si="26"/>
        <v>18779.3</v>
      </c>
      <c r="L40" s="220"/>
      <c r="M40" s="220">
        <v>60000</v>
      </c>
      <c r="N40" s="85">
        <f t="shared" si="27"/>
        <v>1877.93</v>
      </c>
      <c r="O40" s="85">
        <v>10000</v>
      </c>
      <c r="P40" s="85"/>
      <c r="Q40" s="219">
        <f t="shared" si="28"/>
        <v>242300.0775</v>
      </c>
      <c r="R40" s="15" t="s">
        <v>65</v>
      </c>
      <c r="S40" s="219">
        <f>'SALARY STRUCTURE'!H15+60000</f>
        <v>265371.75</v>
      </c>
      <c r="T40" s="85">
        <f t="shared" si="0"/>
        <v>23071.6725</v>
      </c>
      <c r="U40" s="85">
        <v>0</v>
      </c>
      <c r="V40" s="85"/>
      <c r="W40" s="309">
        <v>27873.0796866667</v>
      </c>
      <c r="X40" s="85">
        <f>'[10]October 2023'!$Z$24</f>
        <v>31749.1206666667</v>
      </c>
      <c r="Y40" s="85">
        <f t="shared" si="4"/>
        <v>3876.04098</v>
      </c>
      <c r="Z40" s="231">
        <f t="shared" si="5"/>
        <v>19195.63152</v>
      </c>
      <c r="AA40" s="85">
        <v>1</v>
      </c>
      <c r="AB40" s="231">
        <f t="shared" si="6"/>
        <v>19195.63152</v>
      </c>
      <c r="AC40" s="13"/>
    </row>
    <row r="41" customHeight="1" spans="1:29">
      <c r="A41" s="27">
        <v>14</v>
      </c>
      <c r="B41" s="18" t="s">
        <v>272</v>
      </c>
      <c r="C41" s="12" t="s">
        <v>278</v>
      </c>
      <c r="D41" s="15" t="s">
        <v>1014</v>
      </c>
      <c r="E41" s="220">
        <v>13492.21</v>
      </c>
      <c r="F41" s="85">
        <f t="shared" si="22"/>
        <v>40476.63</v>
      </c>
      <c r="G41" s="85">
        <f t="shared" si="23"/>
        <v>1011.91575</v>
      </c>
      <c r="H41" s="85"/>
      <c r="I41" s="85">
        <f t="shared" si="24"/>
        <v>6746.105</v>
      </c>
      <c r="J41" s="85">
        <f t="shared" si="25"/>
        <v>47222.735</v>
      </c>
      <c r="K41" s="85">
        <f t="shared" si="26"/>
        <v>13492.21</v>
      </c>
      <c r="L41" s="220"/>
      <c r="M41" s="220">
        <f>50000</f>
        <v>50000</v>
      </c>
      <c r="N41" s="85">
        <f t="shared" si="27"/>
        <v>1349.221</v>
      </c>
      <c r="O41" s="85">
        <v>10000</v>
      </c>
      <c r="P41" s="4"/>
      <c r="Q41" s="219">
        <f t="shared" si="28"/>
        <v>183791.02675</v>
      </c>
      <c r="R41" s="15" t="s">
        <v>83</v>
      </c>
      <c r="S41" s="219">
        <f>'SALARY STRUCTURE'!H13+60000</f>
        <v>205203.666666667</v>
      </c>
      <c r="T41" s="85">
        <f t="shared" si="0"/>
        <v>21412.639916667</v>
      </c>
      <c r="U41" s="85"/>
      <c r="V41" s="85"/>
      <c r="W41" s="309">
        <v>18102.9027326667</v>
      </c>
      <c r="X41" s="85">
        <f>'[10]October 2023'!$Z$145</f>
        <v>21640.8826666667</v>
      </c>
      <c r="Y41" s="85">
        <f t="shared" si="4"/>
        <v>3537.979934</v>
      </c>
      <c r="Z41" s="231">
        <f t="shared" si="5"/>
        <v>17874.659982667</v>
      </c>
      <c r="AA41" s="85">
        <v>2</v>
      </c>
      <c r="AB41" s="231">
        <f t="shared" si="6"/>
        <v>35749.319965334</v>
      </c>
      <c r="AC41" s="13"/>
    </row>
    <row r="42" customHeight="1" spans="1:29">
      <c r="A42" s="27">
        <v>15</v>
      </c>
      <c r="B42" s="11" t="s">
        <v>301</v>
      </c>
      <c r="C42" s="12" t="s">
        <v>308</v>
      </c>
      <c r="D42" s="15" t="s">
        <v>588</v>
      </c>
      <c r="E42" s="85">
        <v>5428.12</v>
      </c>
      <c r="F42" s="85">
        <f t="shared" si="22"/>
        <v>16284.36</v>
      </c>
      <c r="G42" s="85">
        <f t="shared" si="23"/>
        <v>407.109</v>
      </c>
      <c r="H42" s="85"/>
      <c r="I42" s="85">
        <f t="shared" si="24"/>
        <v>2714.06</v>
      </c>
      <c r="J42" s="85">
        <f t="shared" si="25"/>
        <v>18998.42</v>
      </c>
      <c r="K42" s="85">
        <f t="shared" si="26"/>
        <v>5428.12</v>
      </c>
      <c r="L42" s="220"/>
      <c r="M42" s="220">
        <f>20000</f>
        <v>20000</v>
      </c>
      <c r="N42" s="85">
        <f t="shared" si="27"/>
        <v>542.812</v>
      </c>
      <c r="O42" s="85">
        <v>5000</v>
      </c>
      <c r="P42" s="85">
        <f>7000</f>
        <v>7000</v>
      </c>
      <c r="Q42" s="219">
        <f t="shared" si="28"/>
        <v>81803.001</v>
      </c>
      <c r="R42" s="15" t="s">
        <v>303</v>
      </c>
      <c r="S42" s="219">
        <f>'SALARY STRUCTURE'!D11+30000</f>
        <v>115104.916666667</v>
      </c>
      <c r="T42" s="85">
        <f t="shared" si="0"/>
        <v>33301.9156666667</v>
      </c>
      <c r="U42" s="85"/>
      <c r="V42" s="85"/>
      <c r="W42" s="309">
        <v>4365.33075466667</v>
      </c>
      <c r="X42" s="85">
        <f>'[10]October 2023'!$Z$164</f>
        <v>8312.59</v>
      </c>
      <c r="Y42" s="85">
        <f t="shared" si="4"/>
        <v>3947.25924533333</v>
      </c>
      <c r="Z42" s="231">
        <f t="shared" si="5"/>
        <v>29354.6564213334</v>
      </c>
      <c r="AA42" s="85">
        <f>(10/31)+2</f>
        <v>2.32258064516129</v>
      </c>
      <c r="AB42" s="231">
        <f t="shared" si="6"/>
        <v>68178.5568495484</v>
      </c>
      <c r="AC42" s="13"/>
    </row>
    <row r="43" s="297" customFormat="1" customHeight="1" spans="1:29">
      <c r="A43" s="300">
        <v>16</v>
      </c>
      <c r="B43" s="301" t="s">
        <v>304</v>
      </c>
      <c r="C43" s="302" t="s">
        <v>308</v>
      </c>
      <c r="D43" s="303" t="s">
        <v>588</v>
      </c>
      <c r="E43" s="62">
        <v>5428.12</v>
      </c>
      <c r="F43" s="62">
        <f t="shared" si="22"/>
        <v>16284.36</v>
      </c>
      <c r="G43" s="62">
        <f t="shared" si="23"/>
        <v>407.109</v>
      </c>
      <c r="H43" s="62"/>
      <c r="I43" s="62">
        <f t="shared" si="24"/>
        <v>2714.06</v>
      </c>
      <c r="J43" s="62">
        <f t="shared" si="25"/>
        <v>18998.42</v>
      </c>
      <c r="K43" s="62">
        <f t="shared" si="26"/>
        <v>5428.12</v>
      </c>
      <c r="L43" s="304"/>
      <c r="M43" s="304">
        <f>20000</f>
        <v>20000</v>
      </c>
      <c r="N43" s="62">
        <f t="shared" si="27"/>
        <v>542.812</v>
      </c>
      <c r="O43" s="62">
        <v>5000</v>
      </c>
      <c r="P43" s="62">
        <f>7000</f>
        <v>7000</v>
      </c>
      <c r="Q43" s="62">
        <f t="shared" si="28"/>
        <v>81803.001</v>
      </c>
      <c r="R43" s="303" t="s">
        <v>303</v>
      </c>
      <c r="S43" s="62">
        <f>'SALARY STRUCTURE'!D11+30000</f>
        <v>115104.916666667</v>
      </c>
      <c r="T43" s="62">
        <f t="shared" si="0"/>
        <v>33301.9156666667</v>
      </c>
      <c r="U43" s="62"/>
      <c r="V43" s="62"/>
      <c r="W43" s="317">
        <f>4365.33075466667</f>
        <v>4365.33075466667</v>
      </c>
      <c r="X43" s="62">
        <f>'[10]October 2023'!$Z$164</f>
        <v>8312.59</v>
      </c>
      <c r="Y43" s="62">
        <f t="shared" si="4"/>
        <v>3947.25924533333</v>
      </c>
      <c r="Z43" s="62">
        <f t="shared" si="5"/>
        <v>29354.6564213334</v>
      </c>
      <c r="AA43" s="62">
        <f>(17/31)+1</f>
        <v>1.54838709677419</v>
      </c>
      <c r="AB43" s="62">
        <f t="shared" si="6"/>
        <v>45452.3712330323</v>
      </c>
      <c r="AC43" s="324"/>
    </row>
    <row r="44" customHeight="1" spans="1:29">
      <c r="A44" s="27">
        <v>17</v>
      </c>
      <c r="B44" s="18" t="s">
        <v>305</v>
      </c>
      <c r="C44" s="12" t="s">
        <v>308</v>
      </c>
      <c r="D44" s="15" t="s">
        <v>1017</v>
      </c>
      <c r="E44" s="85">
        <f>5598.92</f>
        <v>5598.92</v>
      </c>
      <c r="F44" s="85">
        <f t="shared" si="22"/>
        <v>16796.76</v>
      </c>
      <c r="G44" s="85">
        <f t="shared" si="23"/>
        <v>419.919</v>
      </c>
      <c r="H44" s="85"/>
      <c r="I44" s="85">
        <f t="shared" si="24"/>
        <v>2799.46</v>
      </c>
      <c r="J44" s="85">
        <f t="shared" si="25"/>
        <v>19596.22</v>
      </c>
      <c r="K44" s="85">
        <f t="shared" si="26"/>
        <v>5598.92</v>
      </c>
      <c r="L44" s="220"/>
      <c r="M44" s="220">
        <f>20000</f>
        <v>20000</v>
      </c>
      <c r="N44" s="85">
        <f t="shared" si="27"/>
        <v>559.892</v>
      </c>
      <c r="O44" s="85">
        <v>5000</v>
      </c>
      <c r="P44" s="85">
        <f>7000</f>
        <v>7000</v>
      </c>
      <c r="Q44" s="219">
        <f t="shared" si="28"/>
        <v>83370.091</v>
      </c>
      <c r="R44" s="15" t="s">
        <v>303</v>
      </c>
      <c r="S44" s="219">
        <v>115104.916666667</v>
      </c>
      <c r="T44" s="85">
        <f t="shared" si="0"/>
        <v>31734.825666667</v>
      </c>
      <c r="U44" s="85"/>
      <c r="V44" s="85"/>
      <c r="W44" s="309">
        <v>4504.41092</v>
      </c>
      <c r="X44" s="85">
        <f>'[10]October 2023'!$Z$164</f>
        <v>8312.59</v>
      </c>
      <c r="Y44" s="85">
        <f t="shared" si="4"/>
        <v>3808.17908</v>
      </c>
      <c r="Z44" s="231">
        <f t="shared" si="5"/>
        <v>27926.646586667</v>
      </c>
      <c r="AA44" s="85">
        <v>8</v>
      </c>
      <c r="AB44" s="231">
        <f t="shared" si="6"/>
        <v>223413.172693336</v>
      </c>
      <c r="AC44" s="13"/>
    </row>
    <row r="45" customHeight="1" spans="1:29">
      <c r="A45" s="27">
        <v>18</v>
      </c>
      <c r="B45" s="18" t="s">
        <v>320</v>
      </c>
      <c r="C45" s="12" t="s">
        <v>310</v>
      </c>
      <c r="D45" s="15" t="s">
        <v>1042</v>
      </c>
      <c r="E45" s="85">
        <f>4689.38</f>
        <v>4689.38</v>
      </c>
      <c r="F45" s="85">
        <f t="shared" si="22"/>
        <v>14068.14</v>
      </c>
      <c r="G45" s="85">
        <f t="shared" si="23"/>
        <v>351.7035</v>
      </c>
      <c r="H45" s="85"/>
      <c r="I45" s="85">
        <f t="shared" si="24"/>
        <v>2344.69</v>
      </c>
      <c r="J45" s="85">
        <f t="shared" si="25"/>
        <v>16412.83</v>
      </c>
      <c r="K45" s="85">
        <f t="shared" si="26"/>
        <v>4689.38</v>
      </c>
      <c r="L45" s="220"/>
      <c r="M45" s="220">
        <f>15000</f>
        <v>15000</v>
      </c>
      <c r="N45" s="85">
        <f t="shared" si="27"/>
        <v>468.938</v>
      </c>
      <c r="O45" s="85">
        <v>5000</v>
      </c>
      <c r="P45" s="85">
        <f>4000</f>
        <v>4000</v>
      </c>
      <c r="Q45" s="219">
        <f t="shared" si="28"/>
        <v>67025.0615</v>
      </c>
      <c r="R45" s="15" t="s">
        <v>333</v>
      </c>
      <c r="S45" s="219">
        <f>'SALARY STRUCTURE'!I9+20000+7000</f>
        <v>77104.4166666667</v>
      </c>
      <c r="T45" s="85">
        <f t="shared" si="0"/>
        <v>10079.3551666667</v>
      </c>
      <c r="U45" s="85"/>
      <c r="V45" s="85"/>
      <c r="W45" s="309">
        <v>3064.87207866667</v>
      </c>
      <c r="X45" s="85">
        <f>'[10]October 2023'!$Z$177</f>
        <v>3951.85533333333</v>
      </c>
      <c r="Y45" s="85">
        <f t="shared" si="4"/>
        <v>886.98325466666</v>
      </c>
      <c r="Z45" s="231">
        <f t="shared" si="5"/>
        <v>9192.37191200004</v>
      </c>
      <c r="AA45" s="85">
        <f>(23/31)+6</f>
        <v>6.74193548387097</v>
      </c>
      <c r="AB45" s="231">
        <f t="shared" si="6"/>
        <v>61974.3783744519</v>
      </c>
      <c r="AC45" s="13"/>
    </row>
    <row r="46" customHeight="1" spans="1:29">
      <c r="A46" s="27"/>
      <c r="B46" s="8" t="s">
        <v>96</v>
      </c>
      <c r="C46" s="28" t="s">
        <v>1043</v>
      </c>
      <c r="D46" s="29"/>
      <c r="E46" s="93">
        <f t="shared" ref="E46:Q46" si="29">SUM(E39:E45)</f>
        <v>72195.35</v>
      </c>
      <c r="F46" s="93">
        <f t="shared" si="29"/>
        <v>216586.05</v>
      </c>
      <c r="G46" s="93">
        <f t="shared" si="29"/>
        <v>5414.65125</v>
      </c>
      <c r="H46" s="93">
        <f t="shared" si="29"/>
        <v>0</v>
      </c>
      <c r="I46" s="93">
        <f t="shared" si="29"/>
        <v>36097.675</v>
      </c>
      <c r="J46" s="93">
        <f t="shared" si="29"/>
        <v>252683.725</v>
      </c>
      <c r="K46" s="93">
        <f t="shared" si="29"/>
        <v>72195.35</v>
      </c>
      <c r="L46" s="93">
        <f t="shared" si="29"/>
        <v>0</v>
      </c>
      <c r="M46" s="93">
        <f t="shared" si="29"/>
        <v>245000</v>
      </c>
      <c r="N46" s="93">
        <f t="shared" si="29"/>
        <v>7219.535</v>
      </c>
      <c r="O46" s="93">
        <f t="shared" si="29"/>
        <v>50000</v>
      </c>
      <c r="P46" s="93">
        <f t="shared" si="29"/>
        <v>25000</v>
      </c>
      <c r="Q46" s="93">
        <f t="shared" si="29"/>
        <v>982392.33625</v>
      </c>
      <c r="R46" s="29"/>
      <c r="S46" s="93">
        <f>SUM(S39:S45)</f>
        <v>1158366.33333333</v>
      </c>
      <c r="T46" s="93">
        <f t="shared" ref="T46:AB46" si="30">SUM(T39:T45)</f>
        <v>175973.997083334</v>
      </c>
      <c r="U46" s="93">
        <f t="shared" si="30"/>
        <v>469.4825</v>
      </c>
      <c r="V46" s="93">
        <f t="shared" si="30"/>
        <v>570.95</v>
      </c>
      <c r="W46" s="93">
        <f t="shared" si="30"/>
        <v>90070.1335540001</v>
      </c>
      <c r="X46" s="93">
        <f t="shared" si="30"/>
        <v>113932.829733333</v>
      </c>
      <c r="Y46" s="93">
        <f t="shared" si="30"/>
        <v>23862.6961793333</v>
      </c>
      <c r="Z46" s="322">
        <f t="shared" si="30"/>
        <v>152111.300904001</v>
      </c>
      <c r="AA46" s="93"/>
      <c r="AB46" s="322">
        <f t="shared" si="30"/>
        <v>626877.533175703</v>
      </c>
      <c r="AC46" s="13"/>
    </row>
    <row r="47" ht="19.5" customHeight="1" spans="1:29">
      <c r="A47" s="4"/>
      <c r="B47" s="30" t="s">
        <v>336</v>
      </c>
      <c r="C47" s="31">
        <f>C46+C36+C32+C26+C21+C17+C12+C8</f>
        <v>18</v>
      </c>
      <c r="D47" s="32"/>
      <c r="E47" s="227">
        <f t="shared" ref="E47:AB47" si="31">E46+E36+E32+E26+E21+E17+E12+E8</f>
        <v>335250.55</v>
      </c>
      <c r="F47" s="227">
        <f t="shared" si="31"/>
        <v>1005751.65</v>
      </c>
      <c r="G47" s="227">
        <f t="shared" si="31"/>
        <v>25143.79125</v>
      </c>
      <c r="H47" s="227">
        <f t="shared" si="31"/>
        <v>0</v>
      </c>
      <c r="I47" s="227">
        <f t="shared" si="31"/>
        <v>167625.275</v>
      </c>
      <c r="J47" s="227">
        <f t="shared" si="31"/>
        <v>1173376.925</v>
      </c>
      <c r="K47" s="227">
        <f t="shared" si="31"/>
        <v>335250.55</v>
      </c>
      <c r="L47" s="227">
        <f t="shared" si="31"/>
        <v>900000</v>
      </c>
      <c r="M47" s="227">
        <f t="shared" si="31"/>
        <v>485000</v>
      </c>
      <c r="N47" s="227">
        <f t="shared" si="31"/>
        <v>33525.055</v>
      </c>
      <c r="O47" s="227">
        <f t="shared" si="31"/>
        <v>220000</v>
      </c>
      <c r="P47" s="227">
        <f t="shared" si="31"/>
        <v>125000</v>
      </c>
      <c r="Q47" s="227">
        <f t="shared" si="31"/>
        <v>4805923.79625</v>
      </c>
      <c r="R47" s="227">
        <f t="shared" si="31"/>
        <v>0</v>
      </c>
      <c r="S47" s="227">
        <f t="shared" si="31"/>
        <v>5441541.75</v>
      </c>
      <c r="T47" s="227">
        <f t="shared" si="31"/>
        <v>607584.357500002</v>
      </c>
      <c r="U47" s="227">
        <f t="shared" si="31"/>
        <v>3786.26725</v>
      </c>
      <c r="V47" s="227">
        <f t="shared" si="31"/>
        <v>2789.2</v>
      </c>
      <c r="W47" s="227">
        <f t="shared" si="31"/>
        <v>599042.543372667</v>
      </c>
      <c r="X47" s="227">
        <f t="shared" si="31"/>
        <v>708944.467306667</v>
      </c>
      <c r="Y47" s="227">
        <f t="shared" si="31"/>
        <v>109901.923934</v>
      </c>
      <c r="Z47" s="325">
        <f t="shared" si="31"/>
        <v>525716.029816002</v>
      </c>
      <c r="AA47" s="227">
        <f t="shared" si="31"/>
        <v>0</v>
      </c>
      <c r="AB47" s="325">
        <f t="shared" si="31"/>
        <v>2102520.87725782</v>
      </c>
      <c r="AC47" s="13"/>
    </row>
    <row r="48" customHeight="1" spans="2:29">
      <c r="B48" s="33"/>
      <c r="D48" s="34"/>
      <c r="E48" s="34"/>
      <c r="F48" s="34"/>
      <c r="G48" s="34"/>
      <c r="H48" s="34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318"/>
      <c r="X48" s="229"/>
      <c r="Y48" s="229"/>
      <c r="Z48" s="229"/>
      <c r="AA48" s="229"/>
      <c r="AB48" s="229"/>
      <c r="AC48" s="35"/>
    </row>
    <row r="49" ht="36.75" customHeight="1" spans="2:28">
      <c r="B49" s="33"/>
      <c r="C49" s="34"/>
      <c r="D49" s="34"/>
      <c r="E49" s="34"/>
      <c r="F49" s="34"/>
      <c r="G49" s="34"/>
      <c r="H49" s="34"/>
      <c r="I49" s="228"/>
      <c r="J49" s="228"/>
      <c r="K49" s="228"/>
      <c r="L49" s="228"/>
      <c r="M49" s="228"/>
      <c r="N49" s="228"/>
      <c r="O49" s="228"/>
      <c r="Q49" s="228"/>
      <c r="R49" s="228"/>
      <c r="S49" s="228"/>
      <c r="T49" s="228"/>
      <c r="U49" s="228"/>
      <c r="V49" s="228"/>
      <c r="W49" s="318"/>
      <c r="X49" s="229"/>
      <c r="Y49" s="229"/>
      <c r="Z49" s="229"/>
      <c r="AA49" s="229"/>
      <c r="AB49" s="229"/>
    </row>
    <row r="52" customHeight="1" spans="17:20">
      <c r="Q52" s="35"/>
      <c r="R52" s="35"/>
      <c r="S52" s="35"/>
      <c r="T52" s="35"/>
    </row>
  </sheetData>
  <mergeCells count="1">
    <mergeCell ref="A1:F1"/>
  </mergeCells>
  <pageMargins left="0.236220472440945" right="0.236220472440945" top="0.984251968503937" bottom="0.984251968503937" header="0.511811023622047" footer="0.511811023622047"/>
  <pageSetup paperSize="9" scale="42" orientation="landscape" horizontalDpi="1200" verticalDpi="1200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7"/>
  <sheetViews>
    <sheetView workbookViewId="0">
      <selection activeCell="H14" sqref="H14"/>
    </sheetView>
  </sheetViews>
  <sheetFormatPr defaultColWidth="9" defaultRowHeight="12.5"/>
  <cols>
    <col min="2" max="2" width="11.2818181818182" customWidth="1"/>
    <col min="3" max="3" width="12.1363636363636" customWidth="1"/>
    <col min="4" max="6" width="11.2818181818182" customWidth="1"/>
    <col min="7" max="7" width="11" customWidth="1"/>
    <col min="8" max="8" width="13.5727272727273" style="289" customWidth="1"/>
    <col min="9" max="9" width="11.2818181818182" customWidth="1"/>
    <col min="10" max="10" width="13.2818181818182" customWidth="1"/>
    <col min="11" max="12" width="11" customWidth="1"/>
    <col min="13" max="13" width="12.4272727272727" customWidth="1"/>
    <col min="14" max="14" width="11.1363636363636" customWidth="1"/>
    <col min="15" max="15" width="11.2818181818182" customWidth="1"/>
    <col min="16" max="16" width="11.4272727272727" customWidth="1"/>
  </cols>
  <sheetData>
    <row r="1" ht="13" spans="1:18">
      <c r="A1" s="271" t="s">
        <v>1044</v>
      </c>
      <c r="B1" s="271"/>
      <c r="C1" s="271"/>
      <c r="D1" s="271"/>
      <c r="E1" s="271"/>
      <c r="F1" s="271"/>
      <c r="G1" s="271"/>
      <c r="H1" s="290"/>
      <c r="I1" s="271"/>
      <c r="J1" s="271"/>
      <c r="K1" s="271"/>
      <c r="L1" s="271"/>
      <c r="M1" s="271"/>
      <c r="N1" s="271"/>
      <c r="O1" s="271"/>
      <c r="P1" s="271"/>
      <c r="Q1" s="294"/>
      <c r="R1" s="294"/>
    </row>
    <row r="2" ht="13" spans="1:18">
      <c r="A2" s="271" t="s">
        <v>1045</v>
      </c>
      <c r="B2" s="271"/>
      <c r="C2" s="271"/>
      <c r="D2" s="271"/>
      <c r="E2" s="271"/>
      <c r="F2" s="271"/>
      <c r="G2" s="271"/>
      <c r="H2" s="291"/>
      <c r="I2" s="271"/>
      <c r="J2" s="271"/>
      <c r="K2" s="271"/>
      <c r="L2" s="271"/>
      <c r="M2" s="271"/>
      <c r="N2" s="271"/>
      <c r="O2" s="271"/>
      <c r="P2" s="271"/>
      <c r="Q2" s="294"/>
      <c r="R2" s="294"/>
    </row>
    <row r="3" ht="13" spans="1:18">
      <c r="A3" s="271"/>
      <c r="B3" s="271" t="s">
        <v>1046</v>
      </c>
      <c r="C3" s="271" t="s">
        <v>1047</v>
      </c>
      <c r="D3" s="271" t="s">
        <v>1048</v>
      </c>
      <c r="E3" s="271" t="s">
        <v>1049</v>
      </c>
      <c r="F3" s="271" t="s">
        <v>1050</v>
      </c>
      <c r="G3" s="271" t="s">
        <v>1051</v>
      </c>
      <c r="H3" s="291" t="s">
        <v>1052</v>
      </c>
      <c r="I3" s="271" t="s">
        <v>1053</v>
      </c>
      <c r="J3" s="271" t="s">
        <v>1054</v>
      </c>
      <c r="K3" s="271" t="s">
        <v>1055</v>
      </c>
      <c r="L3" s="271" t="s">
        <v>1056</v>
      </c>
      <c r="M3" s="271" t="s">
        <v>1057</v>
      </c>
      <c r="N3" s="271" t="s">
        <v>1058</v>
      </c>
      <c r="O3" s="271" t="s">
        <v>1059</v>
      </c>
      <c r="P3" s="271" t="s">
        <v>1060</v>
      </c>
      <c r="Q3" s="294"/>
      <c r="R3" s="294"/>
    </row>
    <row r="4" ht="13" spans="1:18">
      <c r="A4" s="271" t="s">
        <v>1061</v>
      </c>
      <c r="B4" s="271" t="s">
        <v>19</v>
      </c>
      <c r="C4" s="271" t="s">
        <v>19</v>
      </c>
      <c r="D4" s="271" t="s">
        <v>19</v>
      </c>
      <c r="E4" s="271" t="s">
        <v>19</v>
      </c>
      <c r="F4" s="271" t="s">
        <v>19</v>
      </c>
      <c r="G4" s="271" t="s">
        <v>19</v>
      </c>
      <c r="H4" s="291" t="s">
        <v>19</v>
      </c>
      <c r="I4" s="271" t="s">
        <v>19</v>
      </c>
      <c r="J4" s="271" t="s">
        <v>19</v>
      </c>
      <c r="K4" s="271" t="s">
        <v>19</v>
      </c>
      <c r="L4" s="271" t="s">
        <v>19</v>
      </c>
      <c r="M4" s="271" t="s">
        <v>19</v>
      </c>
      <c r="N4" s="271" t="s">
        <v>19</v>
      </c>
      <c r="O4" s="271" t="s">
        <v>19</v>
      </c>
      <c r="P4" s="271" t="s">
        <v>19</v>
      </c>
      <c r="Q4" s="294"/>
      <c r="R4" s="294"/>
    </row>
    <row r="5" ht="14" spans="1:18">
      <c r="A5" s="292" t="s">
        <v>1062</v>
      </c>
      <c r="B5" s="292">
        <v>32012.1666666667</v>
      </c>
      <c r="C5" s="292">
        <v>32710.5</v>
      </c>
      <c r="D5" s="292">
        <v>33408.75</v>
      </c>
      <c r="E5" s="292">
        <v>34107.0833333333</v>
      </c>
      <c r="F5" s="292">
        <v>34805.5</v>
      </c>
      <c r="G5" s="292">
        <v>35503.75</v>
      </c>
      <c r="H5" s="293">
        <v>36202.0833333333</v>
      </c>
      <c r="I5" s="292">
        <v>36900.3333333333</v>
      </c>
      <c r="J5" s="292">
        <v>37598.6666666667</v>
      </c>
      <c r="K5" s="292">
        <v>38297.0833333333</v>
      </c>
      <c r="L5" s="292">
        <v>38995.3333333333</v>
      </c>
      <c r="M5" s="292">
        <v>39693.6666666667</v>
      </c>
      <c r="N5" s="292">
        <v>40391.9166666667</v>
      </c>
      <c r="O5" s="292">
        <v>41090.1666666667</v>
      </c>
      <c r="P5" s="292">
        <v>41788.6666666667</v>
      </c>
      <c r="Q5" s="294"/>
      <c r="R5" s="294"/>
    </row>
    <row r="6" ht="14" spans="1:18">
      <c r="A6" s="292" t="s">
        <v>1063</v>
      </c>
      <c r="B6" s="292">
        <v>32532.1666666667</v>
      </c>
      <c r="C6" s="292">
        <v>33445.1666666667</v>
      </c>
      <c r="D6" s="292">
        <v>34358.3333333333</v>
      </c>
      <c r="E6" s="292">
        <v>35271.25</v>
      </c>
      <c r="F6" s="292">
        <v>36184.25</v>
      </c>
      <c r="G6" s="292">
        <v>37097.4166666667</v>
      </c>
      <c r="H6" s="293">
        <v>38010.3333333333</v>
      </c>
      <c r="I6" s="292">
        <v>38923.4166666667</v>
      </c>
      <c r="J6" s="292">
        <v>39836.4166666667</v>
      </c>
      <c r="K6" s="292">
        <v>40749.4166666667</v>
      </c>
      <c r="L6" s="292">
        <v>41662.5</v>
      </c>
      <c r="M6" s="292">
        <v>42575.5</v>
      </c>
      <c r="N6" s="292">
        <v>43488.6666666667</v>
      </c>
      <c r="O6" s="292">
        <v>44401.5833333333</v>
      </c>
      <c r="P6" s="292">
        <v>45314.5833333333</v>
      </c>
      <c r="Q6" s="294"/>
      <c r="R6" s="294"/>
    </row>
    <row r="7" ht="14" spans="1:18">
      <c r="A7" s="292" t="s">
        <v>1064</v>
      </c>
      <c r="B7" s="292">
        <v>32976.25</v>
      </c>
      <c r="C7" s="292">
        <v>34098.4166666667</v>
      </c>
      <c r="D7" s="292">
        <v>35220.6666666667</v>
      </c>
      <c r="E7" s="292">
        <v>36343</v>
      </c>
      <c r="F7" s="292">
        <v>37465.1666666667</v>
      </c>
      <c r="G7" s="292">
        <v>38587.4166666667</v>
      </c>
      <c r="H7" s="293">
        <v>39709.6666666667</v>
      </c>
      <c r="I7" s="292">
        <v>40823.5833333333</v>
      </c>
      <c r="J7" s="292">
        <v>41954.0833333333</v>
      </c>
      <c r="K7" s="292">
        <v>43076.4166666667</v>
      </c>
      <c r="L7" s="292">
        <v>44198.6666666667</v>
      </c>
      <c r="M7" s="292">
        <v>45445.8333333333</v>
      </c>
      <c r="N7" s="292">
        <v>46443.1666666667</v>
      </c>
      <c r="O7" s="292">
        <v>47565.3333333333</v>
      </c>
      <c r="P7" s="292">
        <v>48687.5</v>
      </c>
      <c r="Q7" s="294"/>
      <c r="R7" s="294"/>
    </row>
    <row r="8" ht="14" spans="1:18">
      <c r="A8" s="292" t="s">
        <v>1065</v>
      </c>
      <c r="B8" s="292">
        <v>34542.5</v>
      </c>
      <c r="C8" s="292">
        <v>35890.8333333333</v>
      </c>
      <c r="D8" s="292">
        <v>37238.9166666667</v>
      </c>
      <c r="E8" s="292">
        <v>38587.1666666667</v>
      </c>
      <c r="F8" s="292">
        <v>39935.5</v>
      </c>
      <c r="G8" s="292">
        <v>41283.75</v>
      </c>
      <c r="H8" s="293">
        <v>42631.9166666667</v>
      </c>
      <c r="I8" s="292">
        <v>43980</v>
      </c>
      <c r="J8" s="292">
        <v>45328.3333333333</v>
      </c>
      <c r="K8" s="292">
        <v>46676.4166666667</v>
      </c>
      <c r="L8" s="292">
        <v>48024.6666666667</v>
      </c>
      <c r="M8" s="292">
        <v>49373</v>
      </c>
      <c r="N8" s="292">
        <v>50721.1666666667</v>
      </c>
      <c r="O8" s="292">
        <v>52069.4166666667</v>
      </c>
      <c r="P8" s="292">
        <v>53417.5</v>
      </c>
      <c r="Q8" s="294"/>
      <c r="R8" s="294"/>
    </row>
    <row r="9" ht="14" spans="1:18">
      <c r="A9" s="292" t="s">
        <v>1066</v>
      </c>
      <c r="B9" s="292">
        <v>39140.3333333333</v>
      </c>
      <c r="C9" s="292">
        <v>40706.5833333333</v>
      </c>
      <c r="D9" s="292">
        <v>42272.8333333333</v>
      </c>
      <c r="E9" s="292">
        <v>43839.0833333333</v>
      </c>
      <c r="F9" s="292">
        <v>45405.5</v>
      </c>
      <c r="G9" s="292">
        <v>46971.75</v>
      </c>
      <c r="H9" s="293">
        <v>48538</v>
      </c>
      <c r="I9" s="292">
        <v>50104.4166666667</v>
      </c>
      <c r="J9" s="292">
        <v>51670.6666666667</v>
      </c>
      <c r="K9" s="292">
        <v>53236.9166666667</v>
      </c>
      <c r="L9" s="292">
        <v>54803.1666666667</v>
      </c>
      <c r="M9" s="292">
        <v>56369.5833333333</v>
      </c>
      <c r="N9" s="292">
        <v>57936</v>
      </c>
      <c r="O9" s="292">
        <v>59502.0833333333</v>
      </c>
      <c r="P9" s="292">
        <v>61068.3333333333</v>
      </c>
      <c r="Q9" s="294"/>
      <c r="R9" s="294"/>
    </row>
    <row r="10" ht="14" spans="1:18">
      <c r="A10" s="292" t="s">
        <v>1067</v>
      </c>
      <c r="B10" s="292">
        <v>47723.3333333333</v>
      </c>
      <c r="C10" s="292">
        <v>49632.5</v>
      </c>
      <c r="D10" s="292">
        <v>51541.75</v>
      </c>
      <c r="E10" s="292">
        <v>53450.9166666667</v>
      </c>
      <c r="F10" s="292">
        <v>55360.1666666667</v>
      </c>
      <c r="G10" s="292">
        <v>57269.4166666667</v>
      </c>
      <c r="H10" s="293">
        <v>59178.6666666667</v>
      </c>
      <c r="I10" s="292">
        <v>61087.8333333333</v>
      </c>
      <c r="J10" s="292">
        <v>62997.0833333333</v>
      </c>
      <c r="K10" s="292">
        <v>64906.25</v>
      </c>
      <c r="L10" s="292">
        <v>66815.5</v>
      </c>
      <c r="M10" s="292">
        <v>68724.6666666667</v>
      </c>
      <c r="N10" s="292">
        <v>70633.9166666667</v>
      </c>
      <c r="O10" s="292">
        <v>72543.1666666667</v>
      </c>
      <c r="P10" s="292">
        <v>74452.4166666667</v>
      </c>
      <c r="Q10" s="294"/>
      <c r="R10" s="294"/>
    </row>
    <row r="11" ht="14" spans="1:18">
      <c r="A11" s="292" t="s">
        <v>1068</v>
      </c>
      <c r="B11" s="292">
        <v>79244.5833333333</v>
      </c>
      <c r="C11" s="292">
        <v>82174.6666666667</v>
      </c>
      <c r="D11" s="292">
        <v>85104.9166666667</v>
      </c>
      <c r="E11" s="292">
        <v>88034.9166666667</v>
      </c>
      <c r="F11" s="292">
        <v>106590</v>
      </c>
      <c r="G11" s="292">
        <v>93895</v>
      </c>
      <c r="H11" s="293">
        <v>96825.1666666667</v>
      </c>
      <c r="I11" s="292">
        <v>99755.1666666667</v>
      </c>
      <c r="J11" s="292">
        <v>102685.333333333</v>
      </c>
      <c r="K11" s="292">
        <v>105615.333333333</v>
      </c>
      <c r="L11" s="292">
        <v>108545.5</v>
      </c>
      <c r="M11" s="292">
        <v>111468</v>
      </c>
      <c r="N11" s="292">
        <v>114405.666666667</v>
      </c>
      <c r="O11" s="292">
        <v>117335.833333333</v>
      </c>
      <c r="P11" s="292">
        <v>120265.833333333</v>
      </c>
      <c r="Q11" s="294"/>
      <c r="R11" s="294"/>
    </row>
    <row r="12" ht="14" spans="1:18">
      <c r="A12" s="292" t="s">
        <v>1069</v>
      </c>
      <c r="B12" s="292">
        <v>102403.75</v>
      </c>
      <c r="C12" s="292">
        <v>105891.25</v>
      </c>
      <c r="D12" s="292">
        <v>109378.75</v>
      </c>
      <c r="E12" s="292">
        <v>112866.25</v>
      </c>
      <c r="F12" s="292">
        <v>116353.666666667</v>
      </c>
      <c r="G12" s="292">
        <v>119841.166666667</v>
      </c>
      <c r="H12" s="293">
        <v>123328.666666667</v>
      </c>
      <c r="I12" s="292">
        <v>126816.166666667</v>
      </c>
      <c r="J12" s="292">
        <v>130303.666666667</v>
      </c>
      <c r="K12" s="292">
        <v>133791.166666667</v>
      </c>
      <c r="L12" s="292">
        <v>137278.666666667</v>
      </c>
      <c r="M12" s="292">
        <v>140766.166666667</v>
      </c>
      <c r="N12" s="292">
        <v>144253.666666667</v>
      </c>
      <c r="O12" s="292">
        <v>147741.166666667</v>
      </c>
      <c r="P12" s="292">
        <v>151228.666666667</v>
      </c>
      <c r="Q12" s="294"/>
      <c r="R12" s="294"/>
    </row>
    <row r="13" ht="14" spans="1:18">
      <c r="A13" s="292" t="s">
        <v>1070</v>
      </c>
      <c r="B13" s="292">
        <v>120290</v>
      </c>
      <c r="C13" s="292">
        <v>124442.166666667</v>
      </c>
      <c r="D13" s="292">
        <v>128594.583333333</v>
      </c>
      <c r="E13" s="292">
        <v>132746.75</v>
      </c>
      <c r="F13" s="292">
        <v>136899.083333333</v>
      </c>
      <c r="G13" s="292">
        <v>141051.25</v>
      </c>
      <c r="H13" s="293">
        <v>145203.666666667</v>
      </c>
      <c r="I13" s="292">
        <v>149355.833333333</v>
      </c>
      <c r="J13" s="292">
        <v>153508</v>
      </c>
      <c r="K13" s="292">
        <v>157660.333333333</v>
      </c>
      <c r="L13" s="292">
        <v>161812.5</v>
      </c>
      <c r="M13" s="292">
        <v>165964.916666667</v>
      </c>
      <c r="N13" s="292">
        <v>170117.083333333</v>
      </c>
      <c r="O13" s="292">
        <v>174269.416666667</v>
      </c>
      <c r="P13" s="292">
        <v>178421.583333333</v>
      </c>
      <c r="Q13" s="294"/>
      <c r="R13" s="294"/>
    </row>
    <row r="14" ht="14" spans="1:18">
      <c r="A14" s="292" t="s">
        <v>1071</v>
      </c>
      <c r="B14" s="292">
        <v>141204.916666667</v>
      </c>
      <c r="C14" s="292">
        <v>145770.916666667</v>
      </c>
      <c r="D14" s="292">
        <v>150337.083333333</v>
      </c>
      <c r="E14" s="292">
        <v>154903.333333333</v>
      </c>
      <c r="F14" s="292">
        <v>159469.416666667</v>
      </c>
      <c r="G14" s="292">
        <v>164035.5</v>
      </c>
      <c r="H14" s="293">
        <v>168601.583333333</v>
      </c>
      <c r="I14" s="292">
        <v>173167.666666667</v>
      </c>
      <c r="J14" s="292">
        <v>177733.75</v>
      </c>
      <c r="K14" s="292">
        <v>182299.916666667</v>
      </c>
      <c r="L14" s="292">
        <v>186865.916666667</v>
      </c>
      <c r="M14" s="292">
        <v>191432.166666667</v>
      </c>
      <c r="N14" s="292">
        <v>195998.333333333</v>
      </c>
      <c r="O14" s="292">
        <v>200564.416666667</v>
      </c>
      <c r="P14" s="292">
        <v>205130.5</v>
      </c>
      <c r="Q14" s="294"/>
      <c r="R14" s="294"/>
    </row>
    <row r="15" ht="14" spans="1:18">
      <c r="A15" s="292" t="s">
        <v>1072</v>
      </c>
      <c r="B15" s="292">
        <v>162876.25</v>
      </c>
      <c r="C15" s="292">
        <v>169958.916666667</v>
      </c>
      <c r="D15" s="292">
        <v>177039.916666667</v>
      </c>
      <c r="E15" s="292">
        <v>184124.083333333</v>
      </c>
      <c r="F15" s="292">
        <v>191206.583333333</v>
      </c>
      <c r="G15" s="292">
        <v>198289.25</v>
      </c>
      <c r="H15" s="293">
        <v>205371.75</v>
      </c>
      <c r="I15" s="292">
        <v>212454.416666667</v>
      </c>
      <c r="J15" s="292">
        <v>219536.916666667</v>
      </c>
      <c r="K15" s="292">
        <v>226619.583333333</v>
      </c>
      <c r="L15" s="292">
        <v>233702.083333333</v>
      </c>
      <c r="M15" s="292"/>
      <c r="N15" s="292"/>
      <c r="O15" s="292"/>
      <c r="P15" s="292"/>
      <c r="Q15" s="294"/>
      <c r="R15" s="294"/>
    </row>
    <row r="16" ht="14" spans="1:18">
      <c r="A16" s="292" t="s">
        <v>1073</v>
      </c>
      <c r="B16" s="292">
        <v>181786.416666667</v>
      </c>
      <c r="C16" s="292">
        <v>189274.25</v>
      </c>
      <c r="D16" s="292">
        <v>198324.583333333</v>
      </c>
      <c r="E16" s="292">
        <v>204249.916666667</v>
      </c>
      <c r="F16" s="292">
        <v>211737.666666667</v>
      </c>
      <c r="G16" s="292">
        <v>219225.5</v>
      </c>
      <c r="H16" s="293">
        <v>226713.333333333</v>
      </c>
      <c r="I16" s="292">
        <v>234201.166666667</v>
      </c>
      <c r="J16" s="292">
        <v>242001.416666667</v>
      </c>
      <c r="K16" s="292">
        <v>249176.75</v>
      </c>
      <c r="L16" s="292">
        <v>256664.583333333</v>
      </c>
      <c r="M16" s="292"/>
      <c r="N16" s="292"/>
      <c r="O16" s="292"/>
      <c r="P16" s="292"/>
      <c r="Q16" s="294"/>
      <c r="R16" s="294"/>
    </row>
    <row r="17" ht="14" spans="1:18">
      <c r="A17" s="292" t="s">
        <v>1074</v>
      </c>
      <c r="B17" s="292">
        <v>200784.083333333</v>
      </c>
      <c r="C17" s="292">
        <v>208845.166666667</v>
      </c>
      <c r="D17" s="292">
        <v>216904.666666667</v>
      </c>
      <c r="E17" s="292">
        <v>224967.166666667</v>
      </c>
      <c r="F17" s="292">
        <v>233028.333333333</v>
      </c>
      <c r="G17" s="292">
        <v>241089.25</v>
      </c>
      <c r="H17" s="293">
        <v>249153.416666667</v>
      </c>
      <c r="I17" s="292">
        <v>257211.25</v>
      </c>
      <c r="J17" s="292">
        <v>265272.416666667</v>
      </c>
      <c r="K17" s="292">
        <v>273333.416666667</v>
      </c>
      <c r="L17" s="292">
        <v>281394.416666667</v>
      </c>
      <c r="M17" s="292"/>
      <c r="N17" s="292"/>
      <c r="O17" s="292"/>
      <c r="P17" s="292"/>
      <c r="Q17" s="294"/>
      <c r="R17" s="294"/>
    </row>
    <row r="18" ht="14" spans="1:18">
      <c r="A18" s="292" t="s">
        <v>1075</v>
      </c>
      <c r="B18" s="292">
        <v>276221.25</v>
      </c>
      <c r="C18" s="292">
        <v>287637.833333333</v>
      </c>
      <c r="D18" s="292">
        <v>299054.25</v>
      </c>
      <c r="E18" s="292">
        <v>312760.25</v>
      </c>
      <c r="F18" s="292">
        <v>321887.166666667</v>
      </c>
      <c r="G18" s="292">
        <v>333303.75</v>
      </c>
      <c r="H18" s="293">
        <v>344720.166666667</v>
      </c>
      <c r="I18" s="292">
        <v>356136.75</v>
      </c>
      <c r="J18" s="292">
        <v>367553.166666667</v>
      </c>
      <c r="K18" s="292"/>
      <c r="L18" s="292"/>
      <c r="M18" s="292"/>
      <c r="N18" s="292"/>
      <c r="O18" s="292"/>
      <c r="P18" s="292"/>
      <c r="Q18" s="294"/>
      <c r="R18" s="294"/>
    </row>
    <row r="19" ht="14" spans="1:18">
      <c r="A19" s="292" t="s">
        <v>1076</v>
      </c>
      <c r="B19" s="292">
        <v>341699.583333333</v>
      </c>
      <c r="C19" s="292">
        <v>355420.166666667</v>
      </c>
      <c r="D19" s="292">
        <v>369154.916666667</v>
      </c>
      <c r="E19" s="292">
        <v>382861.416666667</v>
      </c>
      <c r="F19" s="292">
        <v>396582.083333333</v>
      </c>
      <c r="G19" s="292">
        <v>410302.666666667</v>
      </c>
      <c r="H19" s="293">
        <v>424023.333333333</v>
      </c>
      <c r="I19" s="292">
        <v>437743.916666667</v>
      </c>
      <c r="J19" s="292">
        <v>451464.583333333</v>
      </c>
      <c r="K19" s="292"/>
      <c r="L19" s="292"/>
      <c r="M19" s="292"/>
      <c r="N19" s="292"/>
      <c r="O19" s="292"/>
      <c r="P19" s="292"/>
      <c r="Q19" s="294"/>
      <c r="R19" s="294"/>
    </row>
    <row r="20" ht="14" spans="1:18">
      <c r="A20" s="292" t="s">
        <v>1077</v>
      </c>
      <c r="B20" s="292">
        <v>652000</v>
      </c>
      <c r="C20" s="292">
        <v>676776.166666667</v>
      </c>
      <c r="D20" s="292">
        <v>701552.166666667</v>
      </c>
      <c r="E20" s="292">
        <v>726328.333333333</v>
      </c>
      <c r="F20" s="292">
        <v>751104.416666667</v>
      </c>
      <c r="G20" s="292">
        <v>775880.5</v>
      </c>
      <c r="H20" s="293">
        <v>800656.583333333</v>
      </c>
      <c r="I20" s="292">
        <v>825432.666666667</v>
      </c>
      <c r="J20" s="292">
        <v>850208.75</v>
      </c>
      <c r="K20" s="292"/>
      <c r="L20" s="292"/>
      <c r="M20" s="292"/>
      <c r="N20" s="292"/>
      <c r="O20" s="292"/>
      <c r="P20" s="292"/>
      <c r="Q20" s="294"/>
      <c r="R20" s="294"/>
    </row>
    <row r="21" ht="14" spans="1:18">
      <c r="A21" s="292"/>
      <c r="B21" s="292"/>
      <c r="C21" s="292"/>
      <c r="D21" s="292"/>
      <c r="E21" s="292"/>
      <c r="F21" s="292"/>
      <c r="G21" s="292"/>
      <c r="H21" s="293"/>
      <c r="I21" s="292"/>
      <c r="J21" s="292"/>
      <c r="K21" s="292"/>
      <c r="L21" s="292"/>
      <c r="M21" s="292"/>
      <c r="N21" s="292"/>
      <c r="O21" s="292"/>
      <c r="P21" s="292"/>
      <c r="Q21" s="294"/>
      <c r="R21" s="294"/>
    </row>
    <row r="22" ht="13" spans="1:18">
      <c r="A22" s="294"/>
      <c r="B22" s="294"/>
      <c r="C22" s="294"/>
      <c r="D22" s="294"/>
      <c r="E22" s="294"/>
      <c r="F22" s="294"/>
      <c r="G22" s="294"/>
      <c r="H22" s="295"/>
      <c r="I22" s="294"/>
      <c r="J22" s="214"/>
      <c r="K22" s="294"/>
      <c r="L22" s="294"/>
      <c r="M22" s="294"/>
      <c r="N22" s="294"/>
      <c r="O22" s="294"/>
      <c r="P22" s="294"/>
      <c r="Q22" s="294"/>
      <c r="R22" s="294"/>
    </row>
    <row r="23" spans="4:8">
      <c r="D23" s="213"/>
      <c r="F23" s="213"/>
      <c r="H23" s="296"/>
    </row>
    <row r="24" spans="8:8">
      <c r="H24" s="296"/>
    </row>
    <row r="25" spans="8:8">
      <c r="H25" s="296"/>
    </row>
    <row r="26" spans="8:8">
      <c r="H26" s="296"/>
    </row>
    <row r="27" spans="8:8">
      <c r="H27" s="296"/>
    </row>
    <row r="28" spans="8:8">
      <c r="H28" s="296"/>
    </row>
    <row r="29" spans="8:8">
      <c r="H29" s="296"/>
    </row>
    <row r="30" spans="8:8">
      <c r="H30" s="296"/>
    </row>
    <row r="31" spans="8:8">
      <c r="H31" s="296"/>
    </row>
    <row r="32" spans="8:8">
      <c r="H32" s="296"/>
    </row>
    <row r="33" spans="8:8">
      <c r="H33" s="296"/>
    </row>
    <row r="34" spans="8:8">
      <c r="H34" s="296"/>
    </row>
    <row r="35" spans="8:8">
      <c r="H35" s="296"/>
    </row>
    <row r="36" spans="8:8">
      <c r="H36" s="296"/>
    </row>
    <row r="37" spans="8:8">
      <c r="H37" s="296"/>
    </row>
    <row r="38" spans="8:8">
      <c r="H38" s="296"/>
    </row>
    <row r="39" spans="8:8">
      <c r="H39" s="296"/>
    </row>
    <row r="40" spans="8:8">
      <c r="H40" s="296"/>
    </row>
    <row r="41" spans="8:8">
      <c r="H41" s="296"/>
    </row>
    <row r="42" spans="8:8">
      <c r="H42" s="296"/>
    </row>
    <row r="43" spans="8:8">
      <c r="H43" s="296"/>
    </row>
    <row r="44" spans="8:8">
      <c r="H44" s="296"/>
    </row>
    <row r="45" spans="8:8">
      <c r="H45" s="296"/>
    </row>
    <row r="46" spans="8:8">
      <c r="H46" s="296"/>
    </row>
    <row r="47" spans="8:8">
      <c r="H47" s="296"/>
    </row>
  </sheetData>
  <pageMargins left="0.7" right="0.7" top="0.75" bottom="0.75" header="0.3" footer="0.3"/>
  <pageSetup paperSize="9" orientation="portrait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3"/>
  <sheetViews>
    <sheetView topLeftCell="A158" workbookViewId="0">
      <selection activeCell="L173" sqref="L173"/>
    </sheetView>
  </sheetViews>
  <sheetFormatPr defaultColWidth="9.13636363636364" defaultRowHeight="13"/>
  <cols>
    <col min="1" max="1" width="5.42727272727273" style="263" customWidth="1"/>
    <col min="2" max="2" width="33.2818181818182" style="263" customWidth="1"/>
    <col min="3" max="3" width="28.2818181818182" style="263" customWidth="1"/>
    <col min="4" max="4" width="8.28181818181818" style="263" customWidth="1"/>
    <col min="5" max="5" width="9.42727272727273" style="263" customWidth="1"/>
    <col min="6" max="6" width="9.13636363636364" style="263" customWidth="1"/>
    <col min="7" max="7" width="8.70909090909091" style="263" customWidth="1"/>
    <col min="8" max="8" width="9.28181818181818" style="263" customWidth="1"/>
    <col min="9" max="9" width="11.7090909090909" style="263" customWidth="1"/>
    <col min="10" max="16384" width="9.13636363636364" style="263"/>
  </cols>
  <sheetData>
    <row r="1" ht="14" spans="1:11">
      <c r="A1" s="275" t="s">
        <v>0</v>
      </c>
      <c r="B1" s="275"/>
      <c r="C1" s="275"/>
      <c r="D1" s="275"/>
      <c r="E1" s="275"/>
      <c r="F1" s="275"/>
      <c r="G1" s="275"/>
      <c r="H1" s="275"/>
      <c r="I1" s="275"/>
      <c r="J1" s="273"/>
      <c r="K1" s="273"/>
    </row>
    <row r="2" ht="14" spans="1:11">
      <c r="A2" s="275" t="s">
        <v>1078</v>
      </c>
      <c r="B2" s="275"/>
      <c r="C2" s="275"/>
      <c r="D2" s="275"/>
      <c r="E2" s="275"/>
      <c r="F2" s="275"/>
      <c r="G2" s="275"/>
      <c r="H2" s="275"/>
      <c r="I2" s="275"/>
      <c r="J2" s="274"/>
      <c r="K2" s="274"/>
    </row>
    <row r="3" ht="23.25" customHeight="1" spans="1:9">
      <c r="A3" s="276" t="s">
        <v>1079</v>
      </c>
      <c r="B3" s="276"/>
      <c r="C3" s="276"/>
      <c r="D3" s="276"/>
      <c r="E3" s="276"/>
      <c r="F3" s="276"/>
      <c r="G3" s="276"/>
      <c r="H3" s="276"/>
      <c r="I3" s="276"/>
    </row>
    <row r="5" ht="42.75" customHeight="1" spans="1:9">
      <c r="A5" s="277" t="s">
        <v>20</v>
      </c>
      <c r="B5" s="277" t="s">
        <v>2</v>
      </c>
      <c r="C5" s="277" t="s">
        <v>3</v>
      </c>
      <c r="D5" s="278" t="s">
        <v>4</v>
      </c>
      <c r="E5" s="278" t="s">
        <v>1080</v>
      </c>
      <c r="F5" s="278" t="s">
        <v>1081</v>
      </c>
      <c r="G5" s="278" t="s">
        <v>1082</v>
      </c>
      <c r="H5" s="278" t="s">
        <v>1083</v>
      </c>
      <c r="I5" s="285" t="s">
        <v>1084</v>
      </c>
    </row>
    <row r="6" spans="2:2">
      <c r="B6" s="271" t="s">
        <v>21</v>
      </c>
    </row>
    <row r="7" spans="1:9">
      <c r="A7" s="279">
        <v>1</v>
      </c>
      <c r="B7" s="279" t="s">
        <v>22</v>
      </c>
      <c r="C7" s="279" t="s">
        <v>23</v>
      </c>
      <c r="D7" s="279" t="s">
        <v>418</v>
      </c>
      <c r="E7" s="280">
        <v>35000</v>
      </c>
      <c r="F7" s="280">
        <v>35000</v>
      </c>
      <c r="G7" s="280">
        <v>35000</v>
      </c>
      <c r="H7" s="280">
        <v>35000</v>
      </c>
      <c r="I7" s="280">
        <f>E7+F7+G7+H7</f>
        <v>140000</v>
      </c>
    </row>
    <row r="8" spans="1:9">
      <c r="A8" s="279">
        <v>2</v>
      </c>
      <c r="B8" s="281" t="s">
        <v>1085</v>
      </c>
      <c r="C8" s="279" t="s">
        <v>1086</v>
      </c>
      <c r="D8" s="279" t="s">
        <v>189</v>
      </c>
      <c r="E8" s="280">
        <v>35000</v>
      </c>
      <c r="F8" s="280">
        <v>35000</v>
      </c>
      <c r="G8" s="280">
        <v>35000</v>
      </c>
      <c r="H8" s="280">
        <v>35000</v>
      </c>
      <c r="I8" s="280">
        <f t="shared" ref="I8:I27" si="0">E8+F8+G8+H8</f>
        <v>140000</v>
      </c>
    </row>
    <row r="9" spans="1:9">
      <c r="A9" s="279">
        <v>3</v>
      </c>
      <c r="B9" s="279" t="s">
        <v>25</v>
      </c>
      <c r="C9" s="279" t="s">
        <v>26</v>
      </c>
      <c r="D9" s="279" t="s">
        <v>27</v>
      </c>
      <c r="E9" s="280">
        <v>35000</v>
      </c>
      <c r="F9" s="280">
        <v>35000</v>
      </c>
      <c r="G9" s="280">
        <v>35000</v>
      </c>
      <c r="H9" s="280">
        <v>35000</v>
      </c>
      <c r="I9" s="280">
        <f t="shared" si="0"/>
        <v>140000</v>
      </c>
    </row>
    <row r="10" spans="1:9">
      <c r="A10" s="279">
        <v>4</v>
      </c>
      <c r="B10" s="279" t="s">
        <v>28</v>
      </c>
      <c r="C10" s="279" t="s">
        <v>29</v>
      </c>
      <c r="D10" s="279" t="s">
        <v>110</v>
      </c>
      <c r="E10" s="280">
        <v>35000</v>
      </c>
      <c r="F10" s="280">
        <v>35000</v>
      </c>
      <c r="G10" s="280">
        <v>35000</v>
      </c>
      <c r="H10" s="280">
        <v>35000</v>
      </c>
      <c r="I10" s="280">
        <f t="shared" si="0"/>
        <v>140000</v>
      </c>
    </row>
    <row r="11" spans="1:9">
      <c r="A11" s="279">
        <v>5</v>
      </c>
      <c r="B11" s="279" t="s">
        <v>173</v>
      </c>
      <c r="C11" s="279" t="s">
        <v>1087</v>
      </c>
      <c r="D11" s="279" t="s">
        <v>110</v>
      </c>
      <c r="E11" s="280">
        <v>35000</v>
      </c>
      <c r="F11" s="280">
        <v>35000</v>
      </c>
      <c r="G11" s="280">
        <v>35000</v>
      </c>
      <c r="H11" s="280">
        <v>35000</v>
      </c>
      <c r="I11" s="280">
        <f t="shared" si="0"/>
        <v>140000</v>
      </c>
    </row>
    <row r="12" spans="1:9">
      <c r="A12" s="279">
        <v>6</v>
      </c>
      <c r="B12" s="279" t="s">
        <v>30</v>
      </c>
      <c r="C12" s="279" t="s">
        <v>31</v>
      </c>
      <c r="D12" s="279" t="s">
        <v>110</v>
      </c>
      <c r="E12" s="280">
        <v>35000</v>
      </c>
      <c r="F12" s="280">
        <v>35000</v>
      </c>
      <c r="G12" s="280">
        <v>35000</v>
      </c>
      <c r="H12" s="280">
        <v>35000</v>
      </c>
      <c r="I12" s="280">
        <f t="shared" si="0"/>
        <v>140000</v>
      </c>
    </row>
    <row r="13" spans="1:9">
      <c r="A13" s="279">
        <v>7</v>
      </c>
      <c r="B13" s="279" t="s">
        <v>32</v>
      </c>
      <c r="C13" s="279" t="s">
        <v>33</v>
      </c>
      <c r="D13" s="279" t="s">
        <v>110</v>
      </c>
      <c r="E13" s="280">
        <v>35000</v>
      </c>
      <c r="F13" s="280">
        <v>35000</v>
      </c>
      <c r="G13" s="280">
        <v>35000</v>
      </c>
      <c r="H13" s="280">
        <v>35000</v>
      </c>
      <c r="I13" s="280">
        <f t="shared" si="0"/>
        <v>140000</v>
      </c>
    </row>
    <row r="14" spans="1:9">
      <c r="A14" s="279">
        <v>8</v>
      </c>
      <c r="B14" s="279" t="s">
        <v>34</v>
      </c>
      <c r="C14" s="279" t="s">
        <v>35</v>
      </c>
      <c r="D14" s="279" t="s">
        <v>36</v>
      </c>
      <c r="E14" s="280">
        <v>35000</v>
      </c>
      <c r="F14" s="280">
        <v>35000</v>
      </c>
      <c r="G14" s="280">
        <v>35000</v>
      </c>
      <c r="H14" s="280">
        <v>35000</v>
      </c>
      <c r="I14" s="280">
        <f t="shared" si="0"/>
        <v>140000</v>
      </c>
    </row>
    <row r="15" spans="1:9">
      <c r="A15" s="279">
        <v>9</v>
      </c>
      <c r="B15" s="279" t="s">
        <v>1088</v>
      </c>
      <c r="C15" s="279" t="s">
        <v>41</v>
      </c>
      <c r="D15" s="279" t="s">
        <v>222</v>
      </c>
      <c r="E15" s="280">
        <v>35000</v>
      </c>
      <c r="F15" s="280">
        <v>35000</v>
      </c>
      <c r="G15" s="280">
        <v>35000</v>
      </c>
      <c r="H15" s="280">
        <v>35000</v>
      </c>
      <c r="I15" s="280">
        <f t="shared" si="0"/>
        <v>140000</v>
      </c>
    </row>
    <row r="16" spans="1:9">
      <c r="A16" s="279">
        <v>11</v>
      </c>
      <c r="B16" s="279" t="s">
        <v>40</v>
      </c>
      <c r="C16" s="279" t="s">
        <v>41</v>
      </c>
      <c r="D16" s="279" t="s">
        <v>222</v>
      </c>
      <c r="E16" s="280">
        <v>35000</v>
      </c>
      <c r="F16" s="280">
        <v>35000</v>
      </c>
      <c r="G16" s="280">
        <v>35000</v>
      </c>
      <c r="H16" s="280">
        <v>35000</v>
      </c>
      <c r="I16" s="280">
        <f t="shared" si="0"/>
        <v>140000</v>
      </c>
    </row>
    <row r="17" spans="1:9">
      <c r="A17" s="279">
        <v>12</v>
      </c>
      <c r="B17" s="279" t="s">
        <v>50</v>
      </c>
      <c r="C17" s="279" t="s">
        <v>51</v>
      </c>
      <c r="D17" s="279" t="s">
        <v>1019</v>
      </c>
      <c r="E17" s="280">
        <v>35000</v>
      </c>
      <c r="F17" s="280">
        <v>35000</v>
      </c>
      <c r="G17" s="280">
        <v>35000</v>
      </c>
      <c r="H17" s="280">
        <v>35000</v>
      </c>
      <c r="I17" s="280">
        <f t="shared" si="0"/>
        <v>140000</v>
      </c>
    </row>
    <row r="18" spans="1:9">
      <c r="A18" s="279">
        <v>13</v>
      </c>
      <c r="B18" s="279" t="s">
        <v>53</v>
      </c>
      <c r="C18" s="279" t="s">
        <v>54</v>
      </c>
      <c r="D18" s="279" t="s">
        <v>1020</v>
      </c>
      <c r="E18" s="280">
        <v>35000</v>
      </c>
      <c r="F18" s="280">
        <v>35000</v>
      </c>
      <c r="G18" s="280">
        <v>35000</v>
      </c>
      <c r="H18" s="280">
        <v>35000</v>
      </c>
      <c r="I18" s="280">
        <f t="shared" si="0"/>
        <v>140000</v>
      </c>
    </row>
    <row r="19" spans="1:9">
      <c r="A19" s="279">
        <v>14</v>
      </c>
      <c r="B19" s="279" t="s">
        <v>60</v>
      </c>
      <c r="C19" s="279" t="s">
        <v>61</v>
      </c>
      <c r="D19" s="279" t="s">
        <v>135</v>
      </c>
      <c r="E19" s="280">
        <v>35000</v>
      </c>
      <c r="F19" s="280">
        <v>35000</v>
      </c>
      <c r="G19" s="280">
        <v>35000</v>
      </c>
      <c r="H19" s="280">
        <v>35000</v>
      </c>
      <c r="I19" s="280">
        <f t="shared" si="0"/>
        <v>140000</v>
      </c>
    </row>
    <row r="20" spans="1:9">
      <c r="A20" s="279">
        <v>16</v>
      </c>
      <c r="B20" s="279" t="s">
        <v>76</v>
      </c>
      <c r="C20" s="279" t="s">
        <v>74</v>
      </c>
      <c r="D20" s="279" t="s">
        <v>80</v>
      </c>
      <c r="E20" s="280">
        <v>35000</v>
      </c>
      <c r="F20" s="280">
        <v>35000</v>
      </c>
      <c r="G20" s="280">
        <v>35000</v>
      </c>
      <c r="H20" s="280">
        <v>35000</v>
      </c>
      <c r="I20" s="280">
        <f t="shared" si="0"/>
        <v>140000</v>
      </c>
    </row>
    <row r="21" spans="1:9">
      <c r="A21" s="279">
        <v>17</v>
      </c>
      <c r="B21" s="279" t="s">
        <v>1089</v>
      </c>
      <c r="C21" s="279" t="s">
        <v>1090</v>
      </c>
      <c r="D21" s="279" t="s">
        <v>80</v>
      </c>
      <c r="E21" s="280">
        <v>35000</v>
      </c>
      <c r="F21" s="280">
        <v>35000</v>
      </c>
      <c r="G21" s="280">
        <v>35000</v>
      </c>
      <c r="H21" s="280">
        <v>35000</v>
      </c>
      <c r="I21" s="280">
        <f t="shared" si="0"/>
        <v>140000</v>
      </c>
    </row>
    <row r="22" spans="1:9">
      <c r="A22" s="279">
        <v>18</v>
      </c>
      <c r="B22" s="279" t="s">
        <v>78</v>
      </c>
      <c r="C22" s="279" t="s">
        <v>1036</v>
      </c>
      <c r="D22" s="279" t="s">
        <v>1014</v>
      </c>
      <c r="E22" s="280">
        <v>35000</v>
      </c>
      <c r="F22" s="280">
        <v>35000</v>
      </c>
      <c r="G22" s="280">
        <v>35000</v>
      </c>
      <c r="H22" s="280">
        <v>35000</v>
      </c>
      <c r="I22" s="280">
        <f t="shared" si="0"/>
        <v>140000</v>
      </c>
    </row>
    <row r="23" spans="1:9">
      <c r="A23" s="279">
        <v>19</v>
      </c>
      <c r="B23" s="279" t="s">
        <v>81</v>
      </c>
      <c r="C23" s="279" t="s">
        <v>1091</v>
      </c>
      <c r="D23" s="279" t="s">
        <v>1014</v>
      </c>
      <c r="E23" s="280">
        <v>35000</v>
      </c>
      <c r="F23" s="280">
        <v>35000</v>
      </c>
      <c r="G23" s="280">
        <v>35000</v>
      </c>
      <c r="H23" s="280">
        <v>35000</v>
      </c>
      <c r="I23" s="280">
        <f t="shared" si="0"/>
        <v>140000</v>
      </c>
    </row>
    <row r="24" spans="1:9">
      <c r="A24" s="279">
        <v>20</v>
      </c>
      <c r="B24" s="279" t="s">
        <v>85</v>
      </c>
      <c r="C24" s="279" t="s">
        <v>86</v>
      </c>
      <c r="D24" s="279" t="s">
        <v>80</v>
      </c>
      <c r="E24" s="280">
        <v>35000</v>
      </c>
      <c r="F24" s="280">
        <v>35000</v>
      </c>
      <c r="G24" s="280">
        <v>35000</v>
      </c>
      <c r="H24" s="280">
        <v>35000</v>
      </c>
      <c r="I24" s="280">
        <f t="shared" si="0"/>
        <v>140000</v>
      </c>
    </row>
    <row r="25" spans="1:9">
      <c r="A25" s="279">
        <v>21</v>
      </c>
      <c r="B25" s="279" t="s">
        <v>88</v>
      </c>
      <c r="C25" s="279" t="s">
        <v>89</v>
      </c>
      <c r="D25" s="279" t="s">
        <v>92</v>
      </c>
      <c r="E25" s="280">
        <v>35000</v>
      </c>
      <c r="F25" s="280">
        <v>35000</v>
      </c>
      <c r="G25" s="280">
        <v>35000</v>
      </c>
      <c r="H25" s="280">
        <v>35000</v>
      </c>
      <c r="I25" s="280">
        <f t="shared" si="0"/>
        <v>140000</v>
      </c>
    </row>
    <row r="26" spans="1:9">
      <c r="A26" s="279">
        <v>22</v>
      </c>
      <c r="B26" s="279" t="s">
        <v>1009</v>
      </c>
      <c r="C26" s="279" t="s">
        <v>91</v>
      </c>
      <c r="D26" s="279" t="s">
        <v>92</v>
      </c>
      <c r="E26" s="280">
        <v>35000</v>
      </c>
      <c r="F26" s="280">
        <v>35000</v>
      </c>
      <c r="G26" s="280">
        <v>35000</v>
      </c>
      <c r="H26" s="280">
        <v>35000</v>
      </c>
      <c r="I26" s="280">
        <f t="shared" si="0"/>
        <v>140000</v>
      </c>
    </row>
    <row r="27" spans="1:9">
      <c r="A27" s="279">
        <v>23</v>
      </c>
      <c r="B27" s="279" t="s">
        <v>90</v>
      </c>
      <c r="C27" s="279" t="s">
        <v>91</v>
      </c>
      <c r="D27" s="279" t="s">
        <v>95</v>
      </c>
      <c r="E27" s="282">
        <v>35000</v>
      </c>
      <c r="F27" s="282">
        <v>35000</v>
      </c>
      <c r="G27" s="282">
        <v>35000</v>
      </c>
      <c r="H27" s="282">
        <v>35000</v>
      </c>
      <c r="I27" s="282">
        <f t="shared" si="0"/>
        <v>140000</v>
      </c>
    </row>
    <row r="28" spans="1:9">
      <c r="A28" s="279"/>
      <c r="B28" s="283" t="s">
        <v>1092</v>
      </c>
      <c r="C28" s="279"/>
      <c r="D28" s="279"/>
      <c r="E28" s="284">
        <f>SUM(E7:E27)</f>
        <v>735000</v>
      </c>
      <c r="F28" s="284">
        <f>SUM(F7:F27)</f>
        <v>735000</v>
      </c>
      <c r="G28" s="284">
        <f>SUM(G7:G27)</f>
        <v>735000</v>
      </c>
      <c r="H28" s="284">
        <f>SUM(H7:H27)</f>
        <v>735000</v>
      </c>
      <c r="I28" s="284">
        <f>SUM(I7:I27)</f>
        <v>2940000</v>
      </c>
    </row>
    <row r="29" spans="5:9">
      <c r="E29" s="269"/>
      <c r="F29" s="269"/>
      <c r="G29" s="269"/>
      <c r="H29" s="269"/>
      <c r="I29" s="269"/>
    </row>
    <row r="30" spans="2:9">
      <c r="B30" s="271" t="s">
        <v>97</v>
      </c>
      <c r="E30" s="269"/>
      <c r="F30" s="269"/>
      <c r="G30" s="269"/>
      <c r="H30" s="269"/>
      <c r="I30" s="269"/>
    </row>
    <row r="31" spans="1:9">
      <c r="A31" s="279">
        <v>1</v>
      </c>
      <c r="B31" s="279" t="s">
        <v>98</v>
      </c>
      <c r="C31" s="279" t="s">
        <v>99</v>
      </c>
      <c r="D31" s="279" t="s">
        <v>100</v>
      </c>
      <c r="E31" s="280">
        <v>35000</v>
      </c>
      <c r="F31" s="280">
        <v>35000</v>
      </c>
      <c r="G31" s="280">
        <v>35000</v>
      </c>
      <c r="H31" s="280">
        <v>35000</v>
      </c>
      <c r="I31" s="280">
        <f>E31+F31+G31+H31</f>
        <v>140000</v>
      </c>
    </row>
    <row r="32" spans="1:9">
      <c r="A32" s="279">
        <v>2</v>
      </c>
      <c r="B32" s="279" t="s">
        <v>101</v>
      </c>
      <c r="C32" s="279" t="s">
        <v>615</v>
      </c>
      <c r="D32" s="279" t="s">
        <v>95</v>
      </c>
      <c r="E32" s="282">
        <v>35000</v>
      </c>
      <c r="F32" s="282">
        <v>35000</v>
      </c>
      <c r="G32" s="282">
        <v>35000</v>
      </c>
      <c r="H32" s="282">
        <v>35000</v>
      </c>
      <c r="I32" s="280">
        <f>E32+F32+G32+H32</f>
        <v>140000</v>
      </c>
    </row>
    <row r="33" spans="1:9">
      <c r="A33" s="279"/>
      <c r="B33" s="283" t="s">
        <v>1093</v>
      </c>
      <c r="C33" s="279"/>
      <c r="D33" s="279"/>
      <c r="E33" s="284">
        <f>SUM(E31:E32)</f>
        <v>70000</v>
      </c>
      <c r="F33" s="284">
        <f t="shared" ref="F33:I33" si="1">SUM(F31:F32)</f>
        <v>70000</v>
      </c>
      <c r="G33" s="284">
        <f t="shared" si="1"/>
        <v>70000</v>
      </c>
      <c r="H33" s="284">
        <f t="shared" si="1"/>
        <v>70000</v>
      </c>
      <c r="I33" s="284">
        <f t="shared" si="1"/>
        <v>280000</v>
      </c>
    </row>
    <row r="34" spans="5:9">
      <c r="E34" s="269"/>
      <c r="F34" s="269"/>
      <c r="G34" s="269"/>
      <c r="H34" s="269"/>
      <c r="I34" s="269"/>
    </row>
    <row r="35" spans="2:9">
      <c r="B35" s="271" t="s">
        <v>107</v>
      </c>
      <c r="E35" s="269"/>
      <c r="F35" s="269"/>
      <c r="G35" s="269"/>
      <c r="H35" s="269"/>
      <c r="I35" s="269"/>
    </row>
    <row r="36" spans="1:9">
      <c r="A36" s="279">
        <v>1</v>
      </c>
      <c r="B36" s="279" t="s">
        <v>501</v>
      </c>
      <c r="C36" s="279" t="s">
        <v>502</v>
      </c>
      <c r="D36" s="279" t="s">
        <v>100</v>
      </c>
      <c r="E36" s="280">
        <v>35000</v>
      </c>
      <c r="F36" s="280">
        <v>35000</v>
      </c>
      <c r="G36" s="280">
        <v>35000</v>
      </c>
      <c r="H36" s="280">
        <v>35000</v>
      </c>
      <c r="I36" s="280">
        <f>E36+F36+G36+H36</f>
        <v>140000</v>
      </c>
    </row>
    <row r="37" spans="1:9">
      <c r="A37" s="279">
        <v>2</v>
      </c>
      <c r="B37" s="279" t="s">
        <v>491</v>
      </c>
      <c r="C37" s="279" t="s">
        <v>44</v>
      </c>
      <c r="D37" s="279" t="s">
        <v>36</v>
      </c>
      <c r="E37" s="280">
        <v>35000</v>
      </c>
      <c r="F37" s="280">
        <v>35000</v>
      </c>
      <c r="G37" s="280">
        <v>35000</v>
      </c>
      <c r="H37" s="280">
        <v>35000</v>
      </c>
      <c r="I37" s="280">
        <f t="shared" ref="I37:I48" si="2">E37+F37+G37+H37</f>
        <v>140000</v>
      </c>
    </row>
    <row r="38" spans="1:9">
      <c r="A38" s="279">
        <v>3</v>
      </c>
      <c r="B38" s="279" t="s">
        <v>108</v>
      </c>
      <c r="C38" s="279" t="s">
        <v>112</v>
      </c>
      <c r="D38" s="279" t="s">
        <v>36</v>
      </c>
      <c r="E38" s="280">
        <v>35000</v>
      </c>
      <c r="F38" s="280">
        <v>35000</v>
      </c>
      <c r="G38" s="280">
        <v>35000</v>
      </c>
      <c r="H38" s="280">
        <v>35000</v>
      </c>
      <c r="I38" s="280">
        <f t="shared" si="2"/>
        <v>140000</v>
      </c>
    </row>
    <row r="39" spans="1:9">
      <c r="A39" s="279">
        <v>4</v>
      </c>
      <c r="B39" s="279" t="s">
        <v>111</v>
      </c>
      <c r="C39" s="279" t="s">
        <v>112</v>
      </c>
      <c r="D39" s="279" t="s">
        <v>36</v>
      </c>
      <c r="E39" s="280">
        <v>35000</v>
      </c>
      <c r="F39" s="280">
        <v>35000</v>
      </c>
      <c r="G39" s="280">
        <v>35000</v>
      </c>
      <c r="H39" s="280">
        <v>35000</v>
      </c>
      <c r="I39" s="280">
        <f t="shared" si="2"/>
        <v>140000</v>
      </c>
    </row>
    <row r="40" spans="1:9">
      <c r="A40" s="279">
        <v>5</v>
      </c>
      <c r="B40" s="279" t="s">
        <v>113</v>
      </c>
      <c r="C40" s="279" t="s">
        <v>112</v>
      </c>
      <c r="D40" s="279" t="s">
        <v>131</v>
      </c>
      <c r="E40" s="280">
        <v>35000</v>
      </c>
      <c r="F40" s="280">
        <v>35000</v>
      </c>
      <c r="G40" s="280">
        <v>35000</v>
      </c>
      <c r="H40" s="280">
        <v>35000</v>
      </c>
      <c r="I40" s="280">
        <f t="shared" si="2"/>
        <v>140000</v>
      </c>
    </row>
    <row r="41" spans="1:9">
      <c r="A41" s="279">
        <v>6</v>
      </c>
      <c r="B41" s="279" t="s">
        <v>114</v>
      </c>
      <c r="C41" s="279" t="s">
        <v>46</v>
      </c>
      <c r="D41" s="279" t="s">
        <v>222</v>
      </c>
      <c r="E41" s="280">
        <v>35000</v>
      </c>
      <c r="F41" s="280">
        <v>35000</v>
      </c>
      <c r="G41" s="280">
        <v>35000</v>
      </c>
      <c r="H41" s="280">
        <v>35000</v>
      </c>
      <c r="I41" s="280">
        <f t="shared" si="2"/>
        <v>140000</v>
      </c>
    </row>
    <row r="42" spans="1:9">
      <c r="A42" s="279">
        <v>7</v>
      </c>
      <c r="B42" s="279" t="s">
        <v>115</v>
      </c>
      <c r="C42" s="279" t="s">
        <v>133</v>
      </c>
      <c r="D42" s="279" t="s">
        <v>222</v>
      </c>
      <c r="E42" s="280">
        <v>35000</v>
      </c>
      <c r="F42" s="280">
        <v>35000</v>
      </c>
      <c r="G42" s="280">
        <v>35000</v>
      </c>
      <c r="H42" s="280">
        <v>35000</v>
      </c>
      <c r="I42" s="280">
        <f t="shared" si="2"/>
        <v>140000</v>
      </c>
    </row>
    <row r="43" spans="1:9">
      <c r="A43" s="279">
        <v>8</v>
      </c>
      <c r="B43" s="279" t="s">
        <v>1094</v>
      </c>
      <c r="C43" s="279" t="s">
        <v>133</v>
      </c>
      <c r="D43" s="279" t="s">
        <v>148</v>
      </c>
      <c r="E43" s="280">
        <v>35000</v>
      </c>
      <c r="F43" s="280">
        <v>35000</v>
      </c>
      <c r="G43" s="280">
        <v>35000</v>
      </c>
      <c r="H43" s="280">
        <v>35000</v>
      </c>
      <c r="I43" s="280">
        <f t="shared" si="2"/>
        <v>140000</v>
      </c>
    </row>
    <row r="44" spans="1:9">
      <c r="A44" s="279">
        <v>9</v>
      </c>
      <c r="B44" s="279" t="s">
        <v>45</v>
      </c>
      <c r="C44" s="279" t="s">
        <v>483</v>
      </c>
      <c r="D44" s="279" t="s">
        <v>52</v>
      </c>
      <c r="E44" s="280">
        <v>35000</v>
      </c>
      <c r="F44" s="280">
        <v>35000</v>
      </c>
      <c r="G44" s="280">
        <v>35000</v>
      </c>
      <c r="H44" s="280">
        <v>35000</v>
      </c>
      <c r="I44" s="280">
        <f t="shared" si="2"/>
        <v>140000</v>
      </c>
    </row>
    <row r="45" spans="1:9">
      <c r="A45" s="279">
        <v>10</v>
      </c>
      <c r="B45" s="279" t="s">
        <v>116</v>
      </c>
      <c r="C45" s="279" t="s">
        <v>117</v>
      </c>
      <c r="D45" s="279" t="s">
        <v>70</v>
      </c>
      <c r="E45" s="280">
        <v>35000</v>
      </c>
      <c r="F45" s="280">
        <v>35000</v>
      </c>
      <c r="G45" s="280">
        <v>35000</v>
      </c>
      <c r="H45" s="280">
        <v>35000</v>
      </c>
      <c r="I45" s="280">
        <f t="shared" si="2"/>
        <v>140000</v>
      </c>
    </row>
    <row r="46" spans="1:9">
      <c r="A46" s="279">
        <v>11</v>
      </c>
      <c r="B46" s="279" t="s">
        <v>118</v>
      </c>
      <c r="C46" s="279" t="s">
        <v>117</v>
      </c>
      <c r="D46" s="279" t="s">
        <v>83</v>
      </c>
      <c r="E46" s="280">
        <v>35000</v>
      </c>
      <c r="F46" s="280">
        <v>35000</v>
      </c>
      <c r="G46" s="280">
        <v>35000</v>
      </c>
      <c r="H46" s="280">
        <v>35000</v>
      </c>
      <c r="I46" s="280">
        <f t="shared" si="2"/>
        <v>140000</v>
      </c>
    </row>
    <row r="47" spans="1:9">
      <c r="A47" s="279">
        <v>12</v>
      </c>
      <c r="B47" s="279" t="s">
        <v>580</v>
      </c>
      <c r="C47" s="279" t="s">
        <v>117</v>
      </c>
      <c r="D47" s="279" t="s">
        <v>83</v>
      </c>
      <c r="E47" s="280">
        <v>35000</v>
      </c>
      <c r="F47" s="280">
        <v>35000</v>
      </c>
      <c r="G47" s="280">
        <v>35000</v>
      </c>
      <c r="H47" s="280">
        <v>35000</v>
      </c>
      <c r="I47" s="280">
        <f t="shared" si="2"/>
        <v>140000</v>
      </c>
    </row>
    <row r="48" spans="1:9">
      <c r="A48" s="279">
        <v>13</v>
      </c>
      <c r="B48" s="279" t="s">
        <v>119</v>
      </c>
      <c r="C48" s="279" t="s">
        <v>117</v>
      </c>
      <c r="D48" s="279" t="s">
        <v>83</v>
      </c>
      <c r="E48" s="282">
        <v>35000</v>
      </c>
      <c r="F48" s="282">
        <v>35000</v>
      </c>
      <c r="G48" s="282">
        <v>35000</v>
      </c>
      <c r="H48" s="282">
        <v>35000</v>
      </c>
      <c r="I48" s="282">
        <f t="shared" si="2"/>
        <v>140000</v>
      </c>
    </row>
    <row r="49" spans="1:9">
      <c r="A49" s="279"/>
      <c r="B49" s="283" t="s">
        <v>1095</v>
      </c>
      <c r="C49" s="279"/>
      <c r="D49" s="279"/>
      <c r="E49" s="284">
        <f>SUM(E36:E48)</f>
        <v>455000</v>
      </c>
      <c r="F49" s="284">
        <f t="shared" ref="F49:I49" si="3">SUM(F36:F48)</f>
        <v>455000</v>
      </c>
      <c r="G49" s="284">
        <f t="shared" si="3"/>
        <v>455000</v>
      </c>
      <c r="H49" s="284">
        <f t="shared" si="3"/>
        <v>455000</v>
      </c>
      <c r="I49" s="284">
        <f t="shared" si="3"/>
        <v>1820000</v>
      </c>
    </row>
    <row r="50" spans="5:9">
      <c r="E50" s="269"/>
      <c r="F50" s="269"/>
      <c r="G50" s="269"/>
      <c r="H50" s="269"/>
      <c r="I50" s="269"/>
    </row>
    <row r="51" spans="2:9">
      <c r="B51" s="271" t="s">
        <v>120</v>
      </c>
      <c r="E51" s="269"/>
      <c r="F51" s="269"/>
      <c r="G51" s="269"/>
      <c r="H51" s="269"/>
      <c r="I51" s="269"/>
    </row>
    <row r="52" spans="1:9">
      <c r="A52" s="279">
        <v>1</v>
      </c>
      <c r="B52" s="281" t="s">
        <v>503</v>
      </c>
      <c r="C52" s="279" t="s">
        <v>122</v>
      </c>
      <c r="D52" s="279" t="s">
        <v>100</v>
      </c>
      <c r="E52" s="280">
        <v>35000</v>
      </c>
      <c r="F52" s="280">
        <v>35000</v>
      </c>
      <c r="G52" s="280">
        <v>35000</v>
      </c>
      <c r="H52" s="280">
        <v>35000</v>
      </c>
      <c r="I52" s="280">
        <f>E52+F52+G52+H52</f>
        <v>140000</v>
      </c>
    </row>
    <row r="53" spans="1:9">
      <c r="A53" s="279">
        <v>2</v>
      </c>
      <c r="B53" s="279" t="s">
        <v>123</v>
      </c>
      <c r="C53" s="279" t="s">
        <v>124</v>
      </c>
      <c r="D53" s="279" t="s">
        <v>573</v>
      </c>
      <c r="E53" s="282">
        <v>35000</v>
      </c>
      <c r="F53" s="282">
        <v>35000</v>
      </c>
      <c r="G53" s="282">
        <v>35000</v>
      </c>
      <c r="H53" s="282">
        <v>35000</v>
      </c>
      <c r="I53" s="282">
        <f>E53+F53+G53+H53</f>
        <v>140000</v>
      </c>
    </row>
    <row r="54" spans="1:9">
      <c r="A54" s="279"/>
      <c r="B54" s="283" t="s">
        <v>1096</v>
      </c>
      <c r="C54" s="279"/>
      <c r="D54" s="279"/>
      <c r="E54" s="284">
        <f>SUM(E52:E53)</f>
        <v>70000</v>
      </c>
      <c r="F54" s="284">
        <f t="shared" ref="F54:I54" si="4">SUM(F52:F53)</f>
        <v>70000</v>
      </c>
      <c r="G54" s="284">
        <f t="shared" si="4"/>
        <v>70000</v>
      </c>
      <c r="H54" s="284">
        <f t="shared" si="4"/>
        <v>70000</v>
      </c>
      <c r="I54" s="284">
        <f t="shared" si="4"/>
        <v>280000</v>
      </c>
    </row>
    <row r="55" spans="5:9">
      <c r="E55" s="269"/>
      <c r="F55" s="269"/>
      <c r="G55" s="269"/>
      <c r="H55" s="269"/>
      <c r="I55" s="269"/>
    </row>
    <row r="56" spans="2:9">
      <c r="B56" s="271" t="s">
        <v>126</v>
      </c>
      <c r="E56" s="269"/>
      <c r="F56" s="269"/>
      <c r="G56" s="269"/>
      <c r="H56" s="269"/>
      <c r="I56" s="269"/>
    </row>
    <row r="57" spans="1:9">
      <c r="A57" s="279">
        <v>1</v>
      </c>
      <c r="B57" s="279" t="s">
        <v>127</v>
      </c>
      <c r="C57" s="279" t="s">
        <v>128</v>
      </c>
      <c r="D57" s="279" t="s">
        <v>100</v>
      </c>
      <c r="E57" s="280">
        <v>35000</v>
      </c>
      <c r="F57" s="280">
        <v>35000</v>
      </c>
      <c r="G57" s="280">
        <v>35000</v>
      </c>
      <c r="H57" s="280">
        <v>35000</v>
      </c>
      <c r="I57" s="280">
        <f>E57+F57+G57+H57</f>
        <v>140000</v>
      </c>
    </row>
    <row r="58" spans="1:9">
      <c r="A58" s="279">
        <v>2</v>
      </c>
      <c r="B58" s="279" t="s">
        <v>129</v>
      </c>
      <c r="C58" s="279" t="s">
        <v>130</v>
      </c>
      <c r="D58" s="279" t="s">
        <v>1021</v>
      </c>
      <c r="E58" s="280">
        <v>35000</v>
      </c>
      <c r="F58" s="280">
        <v>35000</v>
      </c>
      <c r="G58" s="280">
        <v>35000</v>
      </c>
      <c r="H58" s="280">
        <v>35000</v>
      </c>
      <c r="I58" s="280">
        <f t="shared" ref="I58:I68" si="5">E58+F58+G58+H58</f>
        <v>140000</v>
      </c>
    </row>
    <row r="59" spans="1:9">
      <c r="A59" s="279">
        <v>3</v>
      </c>
      <c r="B59" s="279" t="s">
        <v>132</v>
      </c>
      <c r="C59" s="279" t="s">
        <v>165</v>
      </c>
      <c r="D59" s="279" t="s">
        <v>52</v>
      </c>
      <c r="E59" s="280">
        <v>35000</v>
      </c>
      <c r="F59" s="280">
        <v>35000</v>
      </c>
      <c r="G59" s="280">
        <v>35000</v>
      </c>
      <c r="H59" s="280">
        <v>35000</v>
      </c>
      <c r="I59" s="280">
        <f t="shared" si="5"/>
        <v>140000</v>
      </c>
    </row>
    <row r="60" spans="1:9">
      <c r="A60" s="279">
        <v>4</v>
      </c>
      <c r="B60" s="279" t="s">
        <v>486</v>
      </c>
      <c r="C60" s="279" t="s">
        <v>165</v>
      </c>
      <c r="D60" s="279" t="s">
        <v>1019</v>
      </c>
      <c r="E60" s="280">
        <v>35000</v>
      </c>
      <c r="F60" s="280">
        <v>35000</v>
      </c>
      <c r="G60" s="280">
        <v>35000</v>
      </c>
      <c r="H60" s="280">
        <v>35000</v>
      </c>
      <c r="I60" s="280">
        <f t="shared" si="5"/>
        <v>140000</v>
      </c>
    </row>
    <row r="61" spans="1:9">
      <c r="A61" s="279">
        <v>5</v>
      </c>
      <c r="B61" s="279" t="s">
        <v>519</v>
      </c>
      <c r="C61" s="279" t="s">
        <v>133</v>
      </c>
      <c r="D61" s="279" t="s">
        <v>222</v>
      </c>
      <c r="E61" s="280">
        <v>35000</v>
      </c>
      <c r="F61" s="280">
        <v>35000</v>
      </c>
      <c r="G61" s="280">
        <v>35000</v>
      </c>
      <c r="H61" s="280">
        <v>35000</v>
      </c>
      <c r="I61" s="280">
        <f t="shared" si="5"/>
        <v>140000</v>
      </c>
    </row>
    <row r="62" spans="1:9">
      <c r="A62" s="279">
        <v>6</v>
      </c>
      <c r="B62" s="279" t="s">
        <v>43</v>
      </c>
      <c r="C62" s="279" t="s">
        <v>133</v>
      </c>
      <c r="D62" s="279" t="s">
        <v>148</v>
      </c>
      <c r="E62" s="280">
        <v>35000</v>
      </c>
      <c r="F62" s="280">
        <v>35000</v>
      </c>
      <c r="G62" s="280">
        <v>35000</v>
      </c>
      <c r="H62" s="280">
        <v>35000</v>
      </c>
      <c r="I62" s="280">
        <f t="shared" si="5"/>
        <v>140000</v>
      </c>
    </row>
    <row r="63" spans="1:9">
      <c r="A63" s="279">
        <v>7</v>
      </c>
      <c r="B63" s="279" t="s">
        <v>134</v>
      </c>
      <c r="C63" s="279" t="s">
        <v>117</v>
      </c>
      <c r="D63" s="279" t="s">
        <v>65</v>
      </c>
      <c r="E63" s="280">
        <v>35000</v>
      </c>
      <c r="F63" s="280">
        <v>35000</v>
      </c>
      <c r="G63" s="280">
        <v>35000</v>
      </c>
      <c r="H63" s="280">
        <v>35000</v>
      </c>
      <c r="I63" s="280">
        <f t="shared" si="5"/>
        <v>140000</v>
      </c>
    </row>
    <row r="64" spans="1:9">
      <c r="A64" s="279">
        <v>8</v>
      </c>
      <c r="B64" s="279" t="s">
        <v>136</v>
      </c>
      <c r="C64" s="279" t="s">
        <v>67</v>
      </c>
      <c r="D64" s="279" t="s">
        <v>65</v>
      </c>
      <c r="E64" s="280">
        <v>35000</v>
      </c>
      <c r="F64" s="280">
        <v>35000</v>
      </c>
      <c r="G64" s="280">
        <v>35000</v>
      </c>
      <c r="H64" s="280">
        <v>35000</v>
      </c>
      <c r="I64" s="280">
        <f t="shared" si="5"/>
        <v>140000</v>
      </c>
    </row>
    <row r="65" spans="1:9">
      <c r="A65" s="279">
        <v>9</v>
      </c>
      <c r="B65" s="279" t="s">
        <v>137</v>
      </c>
      <c r="C65" s="279" t="s">
        <v>67</v>
      </c>
      <c r="D65" s="279" t="s">
        <v>65</v>
      </c>
      <c r="E65" s="280">
        <v>35000</v>
      </c>
      <c r="F65" s="280">
        <v>35000</v>
      </c>
      <c r="G65" s="280">
        <v>35000</v>
      </c>
      <c r="H65" s="280">
        <v>35000</v>
      </c>
      <c r="I65" s="280">
        <f t="shared" si="5"/>
        <v>140000</v>
      </c>
    </row>
    <row r="66" spans="1:9">
      <c r="A66" s="279">
        <v>10</v>
      </c>
      <c r="B66" s="279" t="s">
        <v>138</v>
      </c>
      <c r="C66" s="279" t="s">
        <v>139</v>
      </c>
      <c r="D66" s="279" t="s">
        <v>135</v>
      </c>
      <c r="E66" s="280">
        <v>35000</v>
      </c>
      <c r="F66" s="280">
        <v>35000</v>
      </c>
      <c r="G66" s="280">
        <v>35000</v>
      </c>
      <c r="H66" s="280">
        <v>35000</v>
      </c>
      <c r="I66" s="280">
        <f t="shared" si="5"/>
        <v>140000</v>
      </c>
    </row>
    <row r="67" spans="1:9">
      <c r="A67" s="279">
        <v>11</v>
      </c>
      <c r="B67" s="279" t="s">
        <v>77</v>
      </c>
      <c r="C67" s="279" t="s">
        <v>64</v>
      </c>
      <c r="D67" s="279" t="s">
        <v>80</v>
      </c>
      <c r="E67" s="280">
        <v>35000</v>
      </c>
      <c r="F67" s="280">
        <v>35000</v>
      </c>
      <c r="G67" s="280">
        <v>35000</v>
      </c>
      <c r="H67" s="280">
        <v>35000</v>
      </c>
      <c r="I67" s="280">
        <f t="shared" si="5"/>
        <v>140000</v>
      </c>
    </row>
    <row r="68" spans="1:9">
      <c r="A68" s="279">
        <v>12</v>
      </c>
      <c r="B68" s="279" t="s">
        <v>63</v>
      </c>
      <c r="C68" s="279" t="s">
        <v>64</v>
      </c>
      <c r="D68" s="279" t="s">
        <v>92</v>
      </c>
      <c r="E68" s="282">
        <v>35000</v>
      </c>
      <c r="F68" s="282">
        <v>35000</v>
      </c>
      <c r="G68" s="282">
        <v>35000</v>
      </c>
      <c r="H68" s="282">
        <v>35000</v>
      </c>
      <c r="I68" s="282">
        <f t="shared" si="5"/>
        <v>140000</v>
      </c>
    </row>
    <row r="69" spans="1:9">
      <c r="A69" s="279"/>
      <c r="B69" s="283" t="s">
        <v>1097</v>
      </c>
      <c r="C69" s="279"/>
      <c r="D69" s="279"/>
      <c r="E69" s="284">
        <f>SUM(E57:E68)</f>
        <v>420000</v>
      </c>
      <c r="F69" s="284">
        <f t="shared" ref="F69:I69" si="6">SUM(F57:F68)</f>
        <v>420000</v>
      </c>
      <c r="G69" s="284">
        <f t="shared" si="6"/>
        <v>420000</v>
      </c>
      <c r="H69" s="284">
        <f t="shared" si="6"/>
        <v>420000</v>
      </c>
      <c r="I69" s="284">
        <f t="shared" si="6"/>
        <v>1680000</v>
      </c>
    </row>
    <row r="70" spans="5:9">
      <c r="E70" s="269"/>
      <c r="F70" s="269"/>
      <c r="G70" s="269"/>
      <c r="H70" s="269"/>
      <c r="I70" s="269"/>
    </row>
    <row r="71" spans="2:9">
      <c r="B71" s="271" t="s">
        <v>141</v>
      </c>
      <c r="E71" s="269"/>
      <c r="F71" s="269"/>
      <c r="G71" s="269"/>
      <c r="H71" s="269"/>
      <c r="I71" s="269"/>
    </row>
    <row r="72" spans="1:9">
      <c r="A72" s="279">
        <v>1</v>
      </c>
      <c r="B72" s="279" t="s">
        <v>142</v>
      </c>
      <c r="C72" s="279" t="s">
        <v>143</v>
      </c>
      <c r="D72" s="279" t="s">
        <v>100</v>
      </c>
      <c r="E72" s="280">
        <v>35000</v>
      </c>
      <c r="F72" s="280">
        <v>35000</v>
      </c>
      <c r="G72" s="280">
        <v>35000</v>
      </c>
      <c r="H72" s="280">
        <v>35000</v>
      </c>
      <c r="I72" s="280">
        <f>E72+F72+G72+H72</f>
        <v>140000</v>
      </c>
    </row>
    <row r="73" spans="1:9">
      <c r="A73" s="279">
        <v>2</v>
      </c>
      <c r="B73" s="279" t="s">
        <v>520</v>
      </c>
      <c r="C73" s="279" t="s">
        <v>572</v>
      </c>
      <c r="D73" s="279" t="s">
        <v>1021</v>
      </c>
      <c r="E73" s="280">
        <v>35000</v>
      </c>
      <c r="F73" s="280">
        <v>35000</v>
      </c>
      <c r="G73" s="280">
        <v>35000</v>
      </c>
      <c r="H73" s="280">
        <v>35000</v>
      </c>
      <c r="I73" s="280">
        <f t="shared" ref="I73:I78" si="7">E73+F73+G73+H73</f>
        <v>140000</v>
      </c>
    </row>
    <row r="74" spans="1:9">
      <c r="A74" s="279">
        <v>3</v>
      </c>
      <c r="B74" s="279" t="s">
        <v>521</v>
      </c>
      <c r="C74" s="279" t="s">
        <v>574</v>
      </c>
      <c r="D74" s="279" t="s">
        <v>573</v>
      </c>
      <c r="E74" s="280">
        <v>35000</v>
      </c>
      <c r="F74" s="280">
        <v>35000</v>
      </c>
      <c r="G74" s="280">
        <v>35000</v>
      </c>
      <c r="H74" s="280">
        <v>35000</v>
      </c>
      <c r="I74" s="280">
        <f t="shared" si="7"/>
        <v>140000</v>
      </c>
    </row>
    <row r="75" spans="1:9">
      <c r="A75" s="279">
        <v>4</v>
      </c>
      <c r="B75" s="279" t="s">
        <v>146</v>
      </c>
      <c r="C75" s="279" t="s">
        <v>1037</v>
      </c>
      <c r="D75" s="279" t="s">
        <v>52</v>
      </c>
      <c r="E75" s="280">
        <v>35000</v>
      </c>
      <c r="F75" s="280">
        <v>35000</v>
      </c>
      <c r="G75" s="280">
        <v>35000</v>
      </c>
      <c r="H75" s="280">
        <v>35000</v>
      </c>
      <c r="I75" s="280">
        <f t="shared" si="7"/>
        <v>140000</v>
      </c>
    </row>
    <row r="76" spans="1:9">
      <c r="A76" s="279">
        <v>5</v>
      </c>
      <c r="B76" s="279" t="s">
        <v>149</v>
      </c>
      <c r="C76" s="279" t="s">
        <v>152</v>
      </c>
      <c r="D76" s="279" t="s">
        <v>104</v>
      </c>
      <c r="E76" s="280">
        <v>35000</v>
      </c>
      <c r="F76" s="280">
        <v>35000</v>
      </c>
      <c r="G76" s="280">
        <v>35000</v>
      </c>
      <c r="H76" s="280">
        <v>35000</v>
      </c>
      <c r="I76" s="280">
        <f t="shared" si="7"/>
        <v>140000</v>
      </c>
    </row>
    <row r="77" spans="1:9">
      <c r="A77" s="279">
        <v>6</v>
      </c>
      <c r="B77" s="279" t="s">
        <v>151</v>
      </c>
      <c r="C77" s="279" t="s">
        <v>152</v>
      </c>
      <c r="D77" s="279" t="s">
        <v>83</v>
      </c>
      <c r="E77" s="280">
        <v>35000</v>
      </c>
      <c r="F77" s="280">
        <v>35000</v>
      </c>
      <c r="G77" s="280">
        <v>35000</v>
      </c>
      <c r="H77" s="280">
        <v>35000</v>
      </c>
      <c r="I77" s="280">
        <f t="shared" si="7"/>
        <v>140000</v>
      </c>
    </row>
    <row r="78" spans="1:9">
      <c r="A78" s="279">
        <v>7</v>
      </c>
      <c r="B78" s="279" t="s">
        <v>153</v>
      </c>
      <c r="C78" s="279" t="s">
        <v>154</v>
      </c>
      <c r="D78" s="279" t="s">
        <v>95</v>
      </c>
      <c r="E78" s="282">
        <v>35000</v>
      </c>
      <c r="F78" s="282">
        <v>35000</v>
      </c>
      <c r="G78" s="282">
        <v>35000</v>
      </c>
      <c r="H78" s="282">
        <v>35000</v>
      </c>
      <c r="I78" s="282">
        <f t="shared" si="7"/>
        <v>140000</v>
      </c>
    </row>
    <row r="79" spans="1:9">
      <c r="A79" s="279"/>
      <c r="B79" s="283" t="s">
        <v>1098</v>
      </c>
      <c r="C79" s="279"/>
      <c r="D79" s="279"/>
      <c r="E79" s="284">
        <f>SUM(E72:E78)</f>
        <v>245000</v>
      </c>
      <c r="F79" s="284">
        <f t="shared" ref="F79:I79" si="8">SUM(F72:F78)</f>
        <v>245000</v>
      </c>
      <c r="G79" s="284">
        <f t="shared" si="8"/>
        <v>245000</v>
      </c>
      <c r="H79" s="284">
        <f t="shared" si="8"/>
        <v>245000</v>
      </c>
      <c r="I79" s="284">
        <f t="shared" si="8"/>
        <v>980000</v>
      </c>
    </row>
    <row r="80" spans="5:9">
      <c r="E80" s="269"/>
      <c r="F80" s="269"/>
      <c r="G80" s="269"/>
      <c r="H80" s="269"/>
      <c r="I80" s="269"/>
    </row>
    <row r="81" spans="2:9">
      <c r="B81" s="271" t="s">
        <v>155</v>
      </c>
      <c r="E81" s="269"/>
      <c r="F81" s="269"/>
      <c r="G81" s="269"/>
      <c r="H81" s="269"/>
      <c r="I81" s="269"/>
    </row>
    <row r="82" spans="1:9">
      <c r="A82" s="279">
        <v>1</v>
      </c>
      <c r="B82" s="279" t="s">
        <v>156</v>
      </c>
      <c r="C82" s="279" t="s">
        <v>112</v>
      </c>
      <c r="D82" s="279" t="s">
        <v>36</v>
      </c>
      <c r="E82" s="280">
        <v>35000</v>
      </c>
      <c r="F82" s="280">
        <v>35000</v>
      </c>
      <c r="G82" s="280">
        <v>35000</v>
      </c>
      <c r="H82" s="280">
        <v>35000</v>
      </c>
      <c r="I82" s="280">
        <f t="shared" ref="I82:I92" si="9">35000*4</f>
        <v>140000</v>
      </c>
    </row>
    <row r="83" spans="1:9">
      <c r="A83" s="279">
        <v>2</v>
      </c>
      <c r="B83" s="279" t="s">
        <v>157</v>
      </c>
      <c r="C83" s="279" t="s">
        <v>112</v>
      </c>
      <c r="D83" s="279" t="s">
        <v>36</v>
      </c>
      <c r="E83" s="280">
        <v>35000</v>
      </c>
      <c r="F83" s="280">
        <v>35000</v>
      </c>
      <c r="G83" s="280">
        <v>35000</v>
      </c>
      <c r="H83" s="280">
        <v>35000</v>
      </c>
      <c r="I83" s="280">
        <f t="shared" si="9"/>
        <v>140000</v>
      </c>
    </row>
    <row r="84" spans="1:9">
      <c r="A84" s="279">
        <v>3</v>
      </c>
      <c r="B84" s="279" t="s">
        <v>201</v>
      </c>
      <c r="C84" s="279" t="s">
        <v>133</v>
      </c>
      <c r="D84" s="279" t="s">
        <v>42</v>
      </c>
      <c r="E84" s="280">
        <v>35000</v>
      </c>
      <c r="F84" s="280">
        <v>35000</v>
      </c>
      <c r="G84" s="280">
        <v>35000</v>
      </c>
      <c r="H84" s="280">
        <v>35000</v>
      </c>
      <c r="I84" s="280">
        <f t="shared" si="9"/>
        <v>140000</v>
      </c>
    </row>
    <row r="85" spans="1:9">
      <c r="A85" s="279">
        <v>4</v>
      </c>
      <c r="B85" s="279" t="s">
        <v>158</v>
      </c>
      <c r="C85" s="279" t="s">
        <v>46</v>
      </c>
      <c r="D85" s="279" t="s">
        <v>222</v>
      </c>
      <c r="E85" s="280">
        <v>35000</v>
      </c>
      <c r="F85" s="280">
        <v>35000</v>
      </c>
      <c r="G85" s="280">
        <v>35000</v>
      </c>
      <c r="H85" s="280">
        <v>35000</v>
      </c>
      <c r="I85" s="280">
        <f t="shared" si="9"/>
        <v>140000</v>
      </c>
    </row>
    <row r="86" spans="1:9">
      <c r="A86" s="279">
        <v>5</v>
      </c>
      <c r="B86" s="279" t="s">
        <v>159</v>
      </c>
      <c r="C86" s="279" t="s">
        <v>483</v>
      </c>
      <c r="D86" s="279" t="s">
        <v>52</v>
      </c>
      <c r="E86" s="280">
        <v>35000</v>
      </c>
      <c r="F86" s="280">
        <v>35000</v>
      </c>
      <c r="G86" s="280">
        <v>35000</v>
      </c>
      <c r="H86" s="280">
        <v>35000</v>
      </c>
      <c r="I86" s="280">
        <f t="shared" si="9"/>
        <v>140000</v>
      </c>
    </row>
    <row r="87" spans="1:9">
      <c r="A87" s="279">
        <v>6</v>
      </c>
      <c r="B87" s="279" t="s">
        <v>160</v>
      </c>
      <c r="C87" s="279" t="s">
        <v>165</v>
      </c>
      <c r="D87" s="279" t="s">
        <v>1019</v>
      </c>
      <c r="E87" s="280">
        <v>35000</v>
      </c>
      <c r="F87" s="280">
        <v>35000</v>
      </c>
      <c r="G87" s="280">
        <v>35000</v>
      </c>
      <c r="H87" s="280">
        <v>35000</v>
      </c>
      <c r="I87" s="280">
        <f t="shared" si="9"/>
        <v>140000</v>
      </c>
    </row>
    <row r="88" spans="1:9">
      <c r="A88" s="279">
        <v>7</v>
      </c>
      <c r="B88" s="279" t="s">
        <v>161</v>
      </c>
      <c r="C88" s="279" t="s">
        <v>165</v>
      </c>
      <c r="D88" s="279" t="s">
        <v>1019</v>
      </c>
      <c r="E88" s="280">
        <v>35000</v>
      </c>
      <c r="F88" s="280">
        <v>35000</v>
      </c>
      <c r="G88" s="280">
        <v>35000</v>
      </c>
      <c r="H88" s="280">
        <v>35000</v>
      </c>
      <c r="I88" s="280">
        <f t="shared" si="9"/>
        <v>140000</v>
      </c>
    </row>
    <row r="89" spans="1:9">
      <c r="A89" s="279">
        <v>8</v>
      </c>
      <c r="B89" s="279" t="s">
        <v>163</v>
      </c>
      <c r="C89" s="279" t="s">
        <v>67</v>
      </c>
      <c r="D89" s="279" t="s">
        <v>65</v>
      </c>
      <c r="E89" s="280">
        <v>35000</v>
      </c>
      <c r="F89" s="280">
        <v>35000</v>
      </c>
      <c r="G89" s="280">
        <v>35000</v>
      </c>
      <c r="H89" s="280">
        <v>35000</v>
      </c>
      <c r="I89" s="280">
        <f t="shared" si="9"/>
        <v>140000</v>
      </c>
    </row>
    <row r="90" spans="1:9">
      <c r="A90" s="279">
        <v>9</v>
      </c>
      <c r="B90" s="279" t="s">
        <v>164</v>
      </c>
      <c r="C90" s="279" t="s">
        <v>67</v>
      </c>
      <c r="D90" s="279" t="s">
        <v>65</v>
      </c>
      <c r="E90" s="280">
        <v>35000</v>
      </c>
      <c r="F90" s="280">
        <v>35000</v>
      </c>
      <c r="G90" s="280">
        <v>35000</v>
      </c>
      <c r="H90" s="280">
        <v>35000</v>
      </c>
      <c r="I90" s="280">
        <f t="shared" si="9"/>
        <v>140000</v>
      </c>
    </row>
    <row r="91" spans="1:9">
      <c r="A91" s="279">
        <v>10</v>
      </c>
      <c r="B91" s="279" t="s">
        <v>167</v>
      </c>
      <c r="C91" s="279" t="s">
        <v>168</v>
      </c>
      <c r="D91" s="279" t="s">
        <v>70</v>
      </c>
      <c r="E91" s="280">
        <v>35000</v>
      </c>
      <c r="F91" s="280">
        <v>35000</v>
      </c>
      <c r="G91" s="280">
        <v>35000</v>
      </c>
      <c r="H91" s="280">
        <v>35000</v>
      </c>
      <c r="I91" s="280">
        <f t="shared" si="9"/>
        <v>140000</v>
      </c>
    </row>
    <row r="92" spans="1:9">
      <c r="A92" s="279">
        <v>11</v>
      </c>
      <c r="B92" s="279" t="s">
        <v>169</v>
      </c>
      <c r="C92" s="279" t="s">
        <v>170</v>
      </c>
      <c r="D92" s="279" t="s">
        <v>92</v>
      </c>
      <c r="E92" s="282">
        <v>35000</v>
      </c>
      <c r="F92" s="282">
        <v>35000</v>
      </c>
      <c r="G92" s="282">
        <v>35000</v>
      </c>
      <c r="H92" s="282">
        <v>35000</v>
      </c>
      <c r="I92" s="282">
        <f t="shared" si="9"/>
        <v>140000</v>
      </c>
    </row>
    <row r="93" spans="1:9">
      <c r="A93" s="279"/>
      <c r="B93" s="283" t="s">
        <v>1099</v>
      </c>
      <c r="C93" s="279"/>
      <c r="D93" s="279"/>
      <c r="E93" s="284">
        <f>SUM(E82:E92)</f>
        <v>385000</v>
      </c>
      <c r="F93" s="284">
        <f t="shared" ref="F93:I93" si="10">SUM(F82:F92)</f>
        <v>385000</v>
      </c>
      <c r="G93" s="284">
        <f t="shared" si="10"/>
        <v>385000</v>
      </c>
      <c r="H93" s="284">
        <f t="shared" si="10"/>
        <v>385000</v>
      </c>
      <c r="I93" s="284">
        <f t="shared" si="10"/>
        <v>1540000</v>
      </c>
    </row>
    <row r="94" spans="5:9">
      <c r="E94" s="269"/>
      <c r="F94" s="269"/>
      <c r="G94" s="269"/>
      <c r="H94" s="269"/>
      <c r="I94" s="269"/>
    </row>
    <row r="95" spans="2:9">
      <c r="B95" s="271" t="s">
        <v>172</v>
      </c>
      <c r="E95" s="269"/>
      <c r="F95" s="269"/>
      <c r="G95" s="269"/>
      <c r="H95" s="269"/>
      <c r="I95" s="269"/>
    </row>
    <row r="96" spans="1:9">
      <c r="A96" s="279">
        <v>1</v>
      </c>
      <c r="B96" s="279" t="s">
        <v>576</v>
      </c>
      <c r="C96" s="279" t="s">
        <v>577</v>
      </c>
      <c r="D96" s="279" t="s">
        <v>110</v>
      </c>
      <c r="E96" s="280">
        <v>35000</v>
      </c>
      <c r="F96" s="280">
        <v>35000</v>
      </c>
      <c r="G96" s="280">
        <v>35000</v>
      </c>
      <c r="H96" s="280">
        <v>35000</v>
      </c>
      <c r="I96" s="280">
        <f>E96+F96+G96+H96</f>
        <v>140000</v>
      </c>
    </row>
    <row r="97" spans="1:9">
      <c r="A97" s="279">
        <v>2</v>
      </c>
      <c r="B97" s="279" t="s">
        <v>37</v>
      </c>
      <c r="C97" s="279" t="s">
        <v>177</v>
      </c>
      <c r="D97" s="279" t="s">
        <v>222</v>
      </c>
      <c r="E97" s="280">
        <v>35000</v>
      </c>
      <c r="F97" s="280">
        <v>35000</v>
      </c>
      <c r="G97" s="280">
        <v>35000</v>
      </c>
      <c r="H97" s="280">
        <v>35000</v>
      </c>
      <c r="I97" s="280">
        <f t="shared" ref="I97:I99" si="11">E97+F97+G97+H97</f>
        <v>140000</v>
      </c>
    </row>
    <row r="98" spans="1:9">
      <c r="A98" s="279">
        <v>3</v>
      </c>
      <c r="B98" s="279" t="s">
        <v>180</v>
      </c>
      <c r="C98" s="279" t="s">
        <v>181</v>
      </c>
      <c r="D98" s="279" t="s">
        <v>135</v>
      </c>
      <c r="E98" s="280">
        <v>35000</v>
      </c>
      <c r="F98" s="280">
        <v>35000</v>
      </c>
      <c r="G98" s="280">
        <v>35000</v>
      </c>
      <c r="H98" s="280">
        <v>35000</v>
      </c>
      <c r="I98" s="280">
        <f t="shared" si="11"/>
        <v>140000</v>
      </c>
    </row>
    <row r="99" spans="1:9">
      <c r="A99" s="279">
        <v>4</v>
      </c>
      <c r="B99" s="279" t="s">
        <v>182</v>
      </c>
      <c r="C99" s="279" t="s">
        <v>1038</v>
      </c>
      <c r="D99" s="279" t="s">
        <v>1014</v>
      </c>
      <c r="E99" s="282">
        <v>35000</v>
      </c>
      <c r="F99" s="282">
        <v>35000</v>
      </c>
      <c r="G99" s="282">
        <v>35000</v>
      </c>
      <c r="H99" s="282">
        <v>35000</v>
      </c>
      <c r="I99" s="282">
        <f t="shared" si="11"/>
        <v>140000</v>
      </c>
    </row>
    <row r="100" spans="1:9">
      <c r="A100" s="279"/>
      <c r="B100" s="283" t="s">
        <v>1100</v>
      </c>
      <c r="C100" s="279"/>
      <c r="D100" s="279"/>
      <c r="E100" s="284">
        <f>SUM(E96:E99)</f>
        <v>140000</v>
      </c>
      <c r="F100" s="284">
        <f t="shared" ref="F100:I100" si="12">SUM(F96:F99)</f>
        <v>140000</v>
      </c>
      <c r="G100" s="284">
        <f t="shared" si="12"/>
        <v>140000</v>
      </c>
      <c r="H100" s="284">
        <f t="shared" si="12"/>
        <v>140000</v>
      </c>
      <c r="I100" s="284">
        <f t="shared" si="12"/>
        <v>560000</v>
      </c>
    </row>
    <row r="101" spans="5:9">
      <c r="E101" s="269"/>
      <c r="F101" s="269"/>
      <c r="G101" s="269"/>
      <c r="H101" s="269"/>
      <c r="I101" s="269"/>
    </row>
    <row r="102" spans="2:9">
      <c r="B102" s="271" t="s">
        <v>184</v>
      </c>
      <c r="E102" s="269"/>
      <c r="F102" s="269"/>
      <c r="G102" s="269"/>
      <c r="H102" s="269"/>
      <c r="I102" s="269"/>
    </row>
    <row r="103" spans="1:9">
      <c r="A103" s="279">
        <v>1</v>
      </c>
      <c r="B103" s="279" t="s">
        <v>185</v>
      </c>
      <c r="C103" s="279" t="s">
        <v>186</v>
      </c>
      <c r="D103" s="279" t="s">
        <v>100</v>
      </c>
      <c r="E103" s="280">
        <f t="shared" ref="E103:E109" si="13">35000</f>
        <v>35000</v>
      </c>
      <c r="F103" s="280">
        <f t="shared" ref="F103:F109" si="14">35000</f>
        <v>35000</v>
      </c>
      <c r="G103" s="280">
        <f t="shared" ref="G103:G109" si="15">35000</f>
        <v>35000</v>
      </c>
      <c r="H103" s="280">
        <f t="shared" ref="H103:H109" si="16">35000</f>
        <v>35000</v>
      </c>
      <c r="I103" s="280">
        <f>E103+F103+G103+H103</f>
        <v>140000</v>
      </c>
    </row>
    <row r="104" spans="1:9">
      <c r="A104" s="279">
        <v>2</v>
      </c>
      <c r="B104" s="279" t="s">
        <v>187</v>
      </c>
      <c r="C104" s="279" t="s">
        <v>188</v>
      </c>
      <c r="D104" s="279" t="s">
        <v>110</v>
      </c>
      <c r="E104" s="280">
        <f t="shared" si="13"/>
        <v>35000</v>
      </c>
      <c r="F104" s="280">
        <f t="shared" si="14"/>
        <v>35000</v>
      </c>
      <c r="G104" s="280">
        <f t="shared" si="15"/>
        <v>35000</v>
      </c>
      <c r="H104" s="280">
        <f t="shared" si="16"/>
        <v>35000</v>
      </c>
      <c r="I104" s="280">
        <f t="shared" ref="I104:I109" si="17">E104+F104+G104+H104</f>
        <v>140000</v>
      </c>
    </row>
    <row r="105" spans="1:9">
      <c r="A105" s="279">
        <v>3</v>
      </c>
      <c r="B105" s="279" t="s">
        <v>190</v>
      </c>
      <c r="C105" s="279" t="s">
        <v>191</v>
      </c>
      <c r="D105" s="279" t="s">
        <v>192</v>
      </c>
      <c r="E105" s="280">
        <f t="shared" si="13"/>
        <v>35000</v>
      </c>
      <c r="F105" s="280">
        <f t="shared" si="14"/>
        <v>35000</v>
      </c>
      <c r="G105" s="280">
        <f t="shared" si="15"/>
        <v>35000</v>
      </c>
      <c r="H105" s="280">
        <f t="shared" si="16"/>
        <v>35000</v>
      </c>
      <c r="I105" s="280">
        <f t="shared" si="17"/>
        <v>140000</v>
      </c>
    </row>
    <row r="106" spans="1:9">
      <c r="A106" s="279">
        <v>4</v>
      </c>
      <c r="B106" s="279" t="s">
        <v>193</v>
      </c>
      <c r="C106" s="279" t="s">
        <v>191</v>
      </c>
      <c r="D106" s="279" t="s">
        <v>192</v>
      </c>
      <c r="E106" s="280">
        <f t="shared" si="13"/>
        <v>35000</v>
      </c>
      <c r="F106" s="280">
        <f t="shared" si="14"/>
        <v>35000</v>
      </c>
      <c r="G106" s="280">
        <f t="shared" si="15"/>
        <v>35000</v>
      </c>
      <c r="H106" s="280">
        <f t="shared" si="16"/>
        <v>35000</v>
      </c>
      <c r="I106" s="280">
        <f t="shared" si="17"/>
        <v>140000</v>
      </c>
    </row>
    <row r="107" spans="1:9">
      <c r="A107" s="279">
        <v>5</v>
      </c>
      <c r="B107" s="279" t="s">
        <v>194</v>
      </c>
      <c r="C107" s="279" t="s">
        <v>195</v>
      </c>
      <c r="D107" s="279" t="s">
        <v>198</v>
      </c>
      <c r="E107" s="280">
        <f t="shared" si="13"/>
        <v>35000</v>
      </c>
      <c r="F107" s="280">
        <f t="shared" si="14"/>
        <v>35000</v>
      </c>
      <c r="G107" s="280">
        <f t="shared" si="15"/>
        <v>35000</v>
      </c>
      <c r="H107" s="280">
        <f t="shared" si="16"/>
        <v>35000</v>
      </c>
      <c r="I107" s="280">
        <f t="shared" si="17"/>
        <v>140000</v>
      </c>
    </row>
    <row r="108" spans="1:9">
      <c r="A108" s="279">
        <v>6</v>
      </c>
      <c r="B108" s="279" t="s">
        <v>197</v>
      </c>
      <c r="C108" s="279" t="s">
        <v>195</v>
      </c>
      <c r="D108" s="279" t="s">
        <v>1014</v>
      </c>
      <c r="E108" s="280">
        <f t="shared" si="13"/>
        <v>35000</v>
      </c>
      <c r="F108" s="280">
        <f t="shared" si="14"/>
        <v>35000</v>
      </c>
      <c r="G108" s="280">
        <f t="shared" si="15"/>
        <v>35000</v>
      </c>
      <c r="H108" s="280">
        <f t="shared" si="16"/>
        <v>35000</v>
      </c>
      <c r="I108" s="280">
        <f t="shared" si="17"/>
        <v>140000</v>
      </c>
    </row>
    <row r="109" spans="1:9">
      <c r="A109" s="279">
        <v>7</v>
      </c>
      <c r="B109" s="279" t="s">
        <v>199</v>
      </c>
      <c r="C109" s="279" t="s">
        <v>195</v>
      </c>
      <c r="D109" s="279" t="s">
        <v>92</v>
      </c>
      <c r="E109" s="282">
        <f t="shared" si="13"/>
        <v>35000</v>
      </c>
      <c r="F109" s="282">
        <f t="shared" si="14"/>
        <v>35000</v>
      </c>
      <c r="G109" s="282">
        <f t="shared" si="15"/>
        <v>35000</v>
      </c>
      <c r="H109" s="282">
        <f t="shared" si="16"/>
        <v>35000</v>
      </c>
      <c r="I109" s="282">
        <f t="shared" si="17"/>
        <v>140000</v>
      </c>
    </row>
    <row r="110" spans="1:9">
      <c r="A110" s="279"/>
      <c r="B110" s="283" t="s">
        <v>1101</v>
      </c>
      <c r="C110" s="279"/>
      <c r="D110" s="279"/>
      <c r="E110" s="284">
        <f>SUM(E103:E109)</f>
        <v>245000</v>
      </c>
      <c r="F110" s="284">
        <f t="shared" ref="F110:I110" si="18">SUM(F103:F109)</f>
        <v>245000</v>
      </c>
      <c r="G110" s="284">
        <f t="shared" si="18"/>
        <v>245000</v>
      </c>
      <c r="H110" s="284">
        <f t="shared" si="18"/>
        <v>245000</v>
      </c>
      <c r="I110" s="284">
        <f t="shared" si="18"/>
        <v>980000</v>
      </c>
    </row>
    <row r="111" spans="9:9">
      <c r="I111" s="286"/>
    </row>
    <row r="112" spans="2:9">
      <c r="B112" s="271" t="s">
        <v>200</v>
      </c>
      <c r="E112" s="269"/>
      <c r="F112" s="269"/>
      <c r="G112" s="269"/>
      <c r="H112" s="269"/>
      <c r="I112" s="269"/>
    </row>
    <row r="113" spans="1:9">
      <c r="A113" s="279">
        <v>1</v>
      </c>
      <c r="B113" s="279" t="s">
        <v>1102</v>
      </c>
      <c r="C113" s="279" t="s">
        <v>67</v>
      </c>
      <c r="D113" s="279" t="s">
        <v>62</v>
      </c>
      <c r="E113" s="280">
        <v>35000</v>
      </c>
      <c r="F113" s="280">
        <v>35000</v>
      </c>
      <c r="G113" s="280">
        <v>35000</v>
      </c>
      <c r="H113" s="280">
        <v>35000</v>
      </c>
      <c r="I113" s="280">
        <f>E113+F113+G113+H113</f>
        <v>140000</v>
      </c>
    </row>
    <row r="114" spans="1:9">
      <c r="A114" s="279">
        <v>2</v>
      </c>
      <c r="B114" s="279" t="s">
        <v>202</v>
      </c>
      <c r="C114" s="279" t="s">
        <v>203</v>
      </c>
      <c r="D114" s="279" t="s">
        <v>135</v>
      </c>
      <c r="E114" s="280">
        <v>35000</v>
      </c>
      <c r="F114" s="280">
        <v>35000</v>
      </c>
      <c r="G114" s="280">
        <v>35000</v>
      </c>
      <c r="H114" s="280">
        <v>35000</v>
      </c>
      <c r="I114" s="280">
        <f t="shared" ref="I114:I115" si="19">E114+F114+G114+H114</f>
        <v>140000</v>
      </c>
    </row>
    <row r="115" spans="1:9">
      <c r="A115" s="279">
        <v>3</v>
      </c>
      <c r="B115" s="279" t="s">
        <v>204</v>
      </c>
      <c r="C115" s="279" t="s">
        <v>581</v>
      </c>
      <c r="D115" s="279" t="s">
        <v>62</v>
      </c>
      <c r="E115" s="282">
        <v>35000</v>
      </c>
      <c r="F115" s="282">
        <v>35000</v>
      </c>
      <c r="G115" s="282">
        <v>35000</v>
      </c>
      <c r="H115" s="282">
        <v>35000</v>
      </c>
      <c r="I115" s="282">
        <f t="shared" si="19"/>
        <v>140000</v>
      </c>
    </row>
    <row r="116" spans="1:9">
      <c r="A116" s="279"/>
      <c r="B116" s="283" t="s">
        <v>1103</v>
      </c>
      <c r="C116" s="279"/>
      <c r="D116" s="279"/>
      <c r="E116" s="284">
        <f>SUM(E113:E115)</f>
        <v>105000</v>
      </c>
      <c r="F116" s="284">
        <f t="shared" ref="F116:I116" si="20">SUM(F113:F115)</f>
        <v>105000</v>
      </c>
      <c r="G116" s="284">
        <f t="shared" si="20"/>
        <v>105000</v>
      </c>
      <c r="H116" s="284">
        <f t="shared" si="20"/>
        <v>105000</v>
      </c>
      <c r="I116" s="284">
        <f t="shared" si="20"/>
        <v>420000</v>
      </c>
    </row>
    <row r="117" spans="5:9">
      <c r="E117" s="270"/>
      <c r="F117" s="270"/>
      <c r="G117" s="270"/>
      <c r="H117" s="270"/>
      <c r="I117" s="270"/>
    </row>
    <row r="118" spans="2:9">
      <c r="B118" s="271" t="s">
        <v>213</v>
      </c>
      <c r="E118" s="269"/>
      <c r="F118" s="269"/>
      <c r="G118" s="269"/>
      <c r="H118" s="269"/>
      <c r="I118" s="269"/>
    </row>
    <row r="119" spans="1:9">
      <c r="A119" s="279">
        <v>1</v>
      </c>
      <c r="B119" s="279" t="s">
        <v>214</v>
      </c>
      <c r="C119" s="279" t="s">
        <v>215</v>
      </c>
      <c r="D119" s="279" t="s">
        <v>100</v>
      </c>
      <c r="E119" s="280">
        <v>35000</v>
      </c>
      <c r="F119" s="280">
        <v>35000</v>
      </c>
      <c r="G119" s="280">
        <v>35000</v>
      </c>
      <c r="H119" s="280">
        <v>35000</v>
      </c>
      <c r="I119" s="280">
        <f>E119+F119+G119+H119</f>
        <v>140000</v>
      </c>
    </row>
    <row r="120" spans="1:9">
      <c r="A120" s="279">
        <v>2</v>
      </c>
      <c r="B120" s="279" t="s">
        <v>216</v>
      </c>
      <c r="C120" s="279" t="s">
        <v>219</v>
      </c>
      <c r="D120" s="279" t="s">
        <v>36</v>
      </c>
      <c r="E120" s="280">
        <v>35000</v>
      </c>
      <c r="F120" s="280">
        <v>35000</v>
      </c>
      <c r="G120" s="280">
        <v>35000</v>
      </c>
      <c r="H120" s="280">
        <v>35000</v>
      </c>
      <c r="I120" s="280">
        <f t="shared" ref="I120:I127" si="21">E120+F120+G120+H120</f>
        <v>140000</v>
      </c>
    </row>
    <row r="121" spans="1:9">
      <c r="A121" s="279">
        <v>3</v>
      </c>
      <c r="B121" s="279" t="s">
        <v>218</v>
      </c>
      <c r="C121" s="279" t="s">
        <v>219</v>
      </c>
      <c r="D121" s="279" t="s">
        <v>36</v>
      </c>
      <c r="E121" s="280">
        <v>35000</v>
      </c>
      <c r="F121" s="280">
        <v>35000</v>
      </c>
      <c r="G121" s="280">
        <v>35000</v>
      </c>
      <c r="H121" s="280">
        <v>35000</v>
      </c>
      <c r="I121" s="280">
        <f t="shared" si="21"/>
        <v>140000</v>
      </c>
    </row>
    <row r="122" spans="1:9">
      <c r="A122" s="279">
        <v>5</v>
      </c>
      <c r="B122" s="279" t="s">
        <v>220</v>
      </c>
      <c r="C122" s="279" t="s">
        <v>221</v>
      </c>
      <c r="D122" s="279" t="s">
        <v>148</v>
      </c>
      <c r="E122" s="280">
        <v>35000</v>
      </c>
      <c r="F122" s="280">
        <v>35000</v>
      </c>
      <c r="G122" s="280">
        <v>35000</v>
      </c>
      <c r="H122" s="280">
        <v>35000</v>
      </c>
      <c r="I122" s="280">
        <f t="shared" si="21"/>
        <v>140000</v>
      </c>
    </row>
    <row r="123" spans="1:9">
      <c r="A123" s="279">
        <v>6</v>
      </c>
      <c r="B123" s="279" t="s">
        <v>223</v>
      </c>
      <c r="C123" s="279" t="s">
        <v>224</v>
      </c>
      <c r="D123" s="279" t="s">
        <v>52</v>
      </c>
      <c r="E123" s="280">
        <v>35000</v>
      </c>
      <c r="F123" s="280">
        <v>35000</v>
      </c>
      <c r="G123" s="280">
        <v>35000</v>
      </c>
      <c r="H123" s="280">
        <v>35000</v>
      </c>
      <c r="I123" s="280">
        <f t="shared" si="21"/>
        <v>140000</v>
      </c>
    </row>
    <row r="124" spans="1:9">
      <c r="A124" s="279">
        <v>7</v>
      </c>
      <c r="B124" s="279" t="s">
        <v>225</v>
      </c>
      <c r="C124" s="279" t="s">
        <v>1039</v>
      </c>
      <c r="D124" s="279" t="s">
        <v>52</v>
      </c>
      <c r="E124" s="280">
        <v>35000</v>
      </c>
      <c r="F124" s="280">
        <v>35000</v>
      </c>
      <c r="G124" s="280">
        <v>35000</v>
      </c>
      <c r="H124" s="280">
        <v>35000</v>
      </c>
      <c r="I124" s="280">
        <f t="shared" si="21"/>
        <v>140000</v>
      </c>
    </row>
    <row r="125" spans="1:9">
      <c r="A125" s="279">
        <v>8</v>
      </c>
      <c r="B125" s="279" t="s">
        <v>226</v>
      </c>
      <c r="C125" s="279" t="s">
        <v>227</v>
      </c>
      <c r="D125" s="279" t="s">
        <v>80</v>
      </c>
      <c r="E125" s="280">
        <v>35000</v>
      </c>
      <c r="F125" s="280">
        <v>35000</v>
      </c>
      <c r="G125" s="280">
        <v>35000</v>
      </c>
      <c r="H125" s="280">
        <v>35000</v>
      </c>
      <c r="I125" s="280">
        <f t="shared" si="21"/>
        <v>140000</v>
      </c>
    </row>
    <row r="126" spans="1:9">
      <c r="A126" s="279">
        <v>9</v>
      </c>
      <c r="B126" s="279" t="s">
        <v>228</v>
      </c>
      <c r="C126" s="279" t="s">
        <v>229</v>
      </c>
      <c r="D126" s="279" t="s">
        <v>95</v>
      </c>
      <c r="E126" s="280">
        <v>35000</v>
      </c>
      <c r="F126" s="280">
        <v>35000</v>
      </c>
      <c r="G126" s="280">
        <v>35000</v>
      </c>
      <c r="H126" s="280">
        <v>35000</v>
      </c>
      <c r="I126" s="280">
        <f t="shared" si="21"/>
        <v>140000</v>
      </c>
    </row>
    <row r="127" spans="1:9">
      <c r="A127" s="279">
        <v>10</v>
      </c>
      <c r="B127" s="279" t="s">
        <v>230</v>
      </c>
      <c r="C127" s="279" t="s">
        <v>231</v>
      </c>
      <c r="D127" s="279" t="s">
        <v>95</v>
      </c>
      <c r="E127" s="282">
        <v>35000</v>
      </c>
      <c r="F127" s="282">
        <v>35000</v>
      </c>
      <c r="G127" s="282">
        <v>35000</v>
      </c>
      <c r="H127" s="282">
        <v>35000</v>
      </c>
      <c r="I127" s="282">
        <f t="shared" si="21"/>
        <v>140000</v>
      </c>
    </row>
    <row r="128" spans="1:9">
      <c r="A128" s="279"/>
      <c r="B128" s="283" t="s">
        <v>1104</v>
      </c>
      <c r="C128" s="279"/>
      <c r="D128" s="279"/>
      <c r="E128" s="284">
        <f>SUM(E119:E127)</f>
        <v>315000</v>
      </c>
      <c r="F128" s="284">
        <f>SUM(F119:F127)</f>
        <v>315000</v>
      </c>
      <c r="G128" s="284">
        <f>SUM(G119:G127)</f>
        <v>315000</v>
      </c>
      <c r="H128" s="284">
        <f>SUM(H119:H127)</f>
        <v>315000</v>
      </c>
      <c r="I128" s="284">
        <f>SUM(I119:I127)</f>
        <v>1260000</v>
      </c>
    </row>
    <row r="129" spans="5:9">
      <c r="E129" s="269"/>
      <c r="F129" s="269"/>
      <c r="G129" s="269"/>
      <c r="H129" s="269"/>
      <c r="I129" s="269"/>
    </row>
    <row r="130" spans="2:9">
      <c r="B130" s="271" t="s">
        <v>234</v>
      </c>
      <c r="E130" s="269"/>
      <c r="F130" s="269"/>
      <c r="G130" s="269"/>
      <c r="H130" s="269"/>
      <c r="I130" s="269"/>
    </row>
    <row r="131" spans="1:9">
      <c r="A131" s="279">
        <v>1</v>
      </c>
      <c r="B131" s="279" t="s">
        <v>235</v>
      </c>
      <c r="C131" s="279" t="s">
        <v>236</v>
      </c>
      <c r="D131" s="279" t="s">
        <v>100</v>
      </c>
      <c r="E131" s="280">
        <v>35000</v>
      </c>
      <c r="F131" s="280">
        <v>35000</v>
      </c>
      <c r="G131" s="280">
        <v>35000</v>
      </c>
      <c r="H131" s="280">
        <v>35000</v>
      </c>
      <c r="I131" s="280">
        <f>E131+F131+G131+H131</f>
        <v>140000</v>
      </c>
    </row>
    <row r="132" spans="1:9">
      <c r="A132" s="279">
        <v>3</v>
      </c>
      <c r="B132" s="279" t="s">
        <v>237</v>
      </c>
      <c r="C132" s="279" t="s">
        <v>238</v>
      </c>
      <c r="D132" s="279" t="s">
        <v>110</v>
      </c>
      <c r="E132" s="280">
        <v>35000</v>
      </c>
      <c r="F132" s="280">
        <v>35000</v>
      </c>
      <c r="G132" s="280">
        <v>35000</v>
      </c>
      <c r="H132" s="280">
        <v>35000</v>
      </c>
      <c r="I132" s="280">
        <f t="shared" ref="I132:I189" si="22">E132+F132+G132+H132</f>
        <v>140000</v>
      </c>
    </row>
    <row r="133" spans="1:9">
      <c r="A133" s="279">
        <v>4</v>
      </c>
      <c r="B133" s="279" t="s">
        <v>239</v>
      </c>
      <c r="C133" s="279" t="s">
        <v>582</v>
      </c>
      <c r="D133" s="279" t="s">
        <v>222</v>
      </c>
      <c r="E133" s="280">
        <v>35000</v>
      </c>
      <c r="F133" s="280">
        <v>35000</v>
      </c>
      <c r="G133" s="280">
        <v>35000</v>
      </c>
      <c r="H133" s="280">
        <v>35000</v>
      </c>
      <c r="I133" s="280">
        <f t="shared" si="22"/>
        <v>140000</v>
      </c>
    </row>
    <row r="134" spans="1:9">
      <c r="A134" s="279">
        <v>5</v>
      </c>
      <c r="B134" s="279" t="s">
        <v>241</v>
      </c>
      <c r="C134" s="279" t="s">
        <v>583</v>
      </c>
      <c r="D134" s="279" t="s">
        <v>222</v>
      </c>
      <c r="E134" s="280">
        <v>35000</v>
      </c>
      <c r="F134" s="280">
        <v>35000</v>
      </c>
      <c r="G134" s="280">
        <v>35000</v>
      </c>
      <c r="H134" s="280">
        <v>35000</v>
      </c>
      <c r="I134" s="280">
        <f t="shared" si="22"/>
        <v>140000</v>
      </c>
    </row>
    <row r="135" spans="1:9">
      <c r="A135" s="279">
        <v>6</v>
      </c>
      <c r="B135" s="279" t="s">
        <v>243</v>
      </c>
      <c r="C135" s="279" t="s">
        <v>583</v>
      </c>
      <c r="D135" s="279" t="s">
        <v>222</v>
      </c>
      <c r="E135" s="280">
        <v>35000</v>
      </c>
      <c r="F135" s="280">
        <v>35000</v>
      </c>
      <c r="G135" s="280">
        <v>35000</v>
      </c>
      <c r="H135" s="280">
        <v>35000</v>
      </c>
      <c r="I135" s="280">
        <f t="shared" si="22"/>
        <v>140000</v>
      </c>
    </row>
    <row r="136" spans="1:9">
      <c r="A136" s="279">
        <v>7</v>
      </c>
      <c r="B136" s="279" t="s">
        <v>176</v>
      </c>
      <c r="C136" s="279" t="s">
        <v>585</v>
      </c>
      <c r="D136" s="279" t="s">
        <v>52</v>
      </c>
      <c r="E136" s="280">
        <v>35000</v>
      </c>
      <c r="F136" s="280">
        <v>35000</v>
      </c>
      <c r="G136" s="280">
        <v>35000</v>
      </c>
      <c r="H136" s="280">
        <v>35000</v>
      </c>
      <c r="I136" s="280">
        <f t="shared" si="22"/>
        <v>140000</v>
      </c>
    </row>
    <row r="137" spans="1:9">
      <c r="A137" s="279">
        <v>8</v>
      </c>
      <c r="B137" s="279" t="s">
        <v>178</v>
      </c>
      <c r="C137" s="279" t="s">
        <v>584</v>
      </c>
      <c r="D137" s="279" t="s">
        <v>62</v>
      </c>
      <c r="E137" s="280">
        <v>35000</v>
      </c>
      <c r="F137" s="280">
        <v>35000</v>
      </c>
      <c r="G137" s="280">
        <v>35000</v>
      </c>
      <c r="H137" s="280">
        <v>35000</v>
      </c>
      <c r="I137" s="280">
        <f t="shared" si="22"/>
        <v>140000</v>
      </c>
    </row>
    <row r="138" spans="1:9">
      <c r="A138" s="279">
        <v>9</v>
      </c>
      <c r="B138" s="279" t="s">
        <v>244</v>
      </c>
      <c r="C138" s="279" t="s">
        <v>584</v>
      </c>
      <c r="D138" s="279" t="s">
        <v>62</v>
      </c>
      <c r="E138" s="280">
        <v>35000</v>
      </c>
      <c r="F138" s="280">
        <v>35000</v>
      </c>
      <c r="G138" s="280">
        <v>35000</v>
      </c>
      <c r="H138" s="280">
        <v>35000</v>
      </c>
      <c r="I138" s="280">
        <f t="shared" si="22"/>
        <v>140000</v>
      </c>
    </row>
    <row r="139" spans="1:9">
      <c r="A139" s="279">
        <v>10</v>
      </c>
      <c r="B139" s="279" t="s">
        <v>245</v>
      </c>
      <c r="C139" s="279" t="s">
        <v>585</v>
      </c>
      <c r="D139" s="279" t="s">
        <v>62</v>
      </c>
      <c r="E139" s="280">
        <v>35000</v>
      </c>
      <c r="F139" s="280">
        <v>35000</v>
      </c>
      <c r="G139" s="280">
        <v>35000</v>
      </c>
      <c r="H139" s="280">
        <v>35000</v>
      </c>
      <c r="I139" s="280">
        <f t="shared" si="22"/>
        <v>140000</v>
      </c>
    </row>
    <row r="140" spans="1:9">
      <c r="A140" s="279">
        <v>11</v>
      </c>
      <c r="B140" s="279" t="s">
        <v>247</v>
      </c>
      <c r="C140" s="279" t="s">
        <v>248</v>
      </c>
      <c r="D140" s="279" t="s">
        <v>135</v>
      </c>
      <c r="E140" s="280">
        <v>35000</v>
      </c>
      <c r="F140" s="280">
        <v>35000</v>
      </c>
      <c r="G140" s="280">
        <v>35000</v>
      </c>
      <c r="H140" s="280">
        <v>35000</v>
      </c>
      <c r="I140" s="280">
        <f t="shared" si="22"/>
        <v>140000</v>
      </c>
    </row>
    <row r="141" spans="1:9">
      <c r="A141" s="279">
        <v>12</v>
      </c>
      <c r="B141" s="279" t="s">
        <v>249</v>
      </c>
      <c r="C141" s="279" t="s">
        <v>1041</v>
      </c>
      <c r="D141" s="279" t="s">
        <v>587</v>
      </c>
      <c r="E141" s="280">
        <v>35000</v>
      </c>
      <c r="F141" s="280">
        <v>35000</v>
      </c>
      <c r="G141" s="280">
        <v>35000</v>
      </c>
      <c r="H141" s="280">
        <v>35000</v>
      </c>
      <c r="I141" s="280">
        <f t="shared" si="22"/>
        <v>140000</v>
      </c>
    </row>
    <row r="142" spans="1:9">
      <c r="A142" s="279">
        <v>13</v>
      </c>
      <c r="B142" s="279" t="s">
        <v>251</v>
      </c>
      <c r="C142" s="279" t="s">
        <v>252</v>
      </c>
      <c r="D142" s="279" t="s">
        <v>62</v>
      </c>
      <c r="E142" s="280">
        <v>35000</v>
      </c>
      <c r="F142" s="280">
        <v>35000</v>
      </c>
      <c r="G142" s="280">
        <v>35000</v>
      </c>
      <c r="H142" s="280">
        <v>35000</v>
      </c>
      <c r="I142" s="280">
        <f t="shared" si="22"/>
        <v>140000</v>
      </c>
    </row>
    <row r="143" spans="1:9">
      <c r="A143" s="279">
        <v>14</v>
      </c>
      <c r="B143" s="279" t="s">
        <v>254</v>
      </c>
      <c r="C143" s="279" t="s">
        <v>262</v>
      </c>
      <c r="D143" s="279" t="s">
        <v>587</v>
      </c>
      <c r="E143" s="280">
        <v>35000</v>
      </c>
      <c r="F143" s="280">
        <v>35000</v>
      </c>
      <c r="G143" s="280">
        <v>35000</v>
      </c>
      <c r="H143" s="280">
        <v>35000</v>
      </c>
      <c r="I143" s="280">
        <f t="shared" si="22"/>
        <v>140000</v>
      </c>
    </row>
    <row r="144" spans="1:9">
      <c r="A144" s="279">
        <v>15</v>
      </c>
      <c r="B144" s="279" t="s">
        <v>256</v>
      </c>
      <c r="C144" s="279" t="s">
        <v>586</v>
      </c>
      <c r="D144" s="279" t="s">
        <v>104</v>
      </c>
      <c r="E144" s="280">
        <v>35000</v>
      </c>
      <c r="F144" s="280">
        <v>35000</v>
      </c>
      <c r="G144" s="280">
        <v>35000</v>
      </c>
      <c r="H144" s="280">
        <v>35000</v>
      </c>
      <c r="I144" s="280">
        <f t="shared" si="22"/>
        <v>140000</v>
      </c>
    </row>
    <row r="145" spans="1:9">
      <c r="A145" s="279">
        <v>16</v>
      </c>
      <c r="B145" s="279" t="s">
        <v>257</v>
      </c>
      <c r="C145" s="279" t="s">
        <v>586</v>
      </c>
      <c r="D145" s="279" t="s">
        <v>265</v>
      </c>
      <c r="E145" s="280">
        <v>35000</v>
      </c>
      <c r="F145" s="280">
        <v>35000</v>
      </c>
      <c r="G145" s="280">
        <v>35000</v>
      </c>
      <c r="H145" s="280">
        <v>35000</v>
      </c>
      <c r="I145" s="280">
        <f t="shared" si="22"/>
        <v>140000</v>
      </c>
    </row>
    <row r="146" spans="1:9">
      <c r="A146" s="279">
        <v>17</v>
      </c>
      <c r="B146" s="279" t="s">
        <v>258</v>
      </c>
      <c r="C146" s="279" t="s">
        <v>586</v>
      </c>
      <c r="D146" s="279" t="s">
        <v>265</v>
      </c>
      <c r="E146" s="280">
        <v>35000</v>
      </c>
      <c r="F146" s="280">
        <v>35000</v>
      </c>
      <c r="G146" s="280">
        <v>35000</v>
      </c>
      <c r="H146" s="280">
        <v>35000</v>
      </c>
      <c r="I146" s="280">
        <f t="shared" si="22"/>
        <v>140000</v>
      </c>
    </row>
    <row r="147" spans="1:9">
      <c r="A147" s="279">
        <v>18</v>
      </c>
      <c r="B147" s="279" t="s">
        <v>259</v>
      </c>
      <c r="C147" s="279" t="s">
        <v>260</v>
      </c>
      <c r="D147" s="279" t="s">
        <v>70</v>
      </c>
      <c r="E147" s="280">
        <v>35000</v>
      </c>
      <c r="F147" s="280">
        <v>35000</v>
      </c>
      <c r="G147" s="280">
        <v>35000</v>
      </c>
      <c r="H147" s="280">
        <v>35000</v>
      </c>
      <c r="I147" s="280">
        <f t="shared" si="22"/>
        <v>140000</v>
      </c>
    </row>
    <row r="148" spans="1:9">
      <c r="A148" s="279">
        <v>19</v>
      </c>
      <c r="B148" s="279" t="s">
        <v>1022</v>
      </c>
      <c r="C148" s="279" t="s">
        <v>262</v>
      </c>
      <c r="D148" s="279" t="s">
        <v>83</v>
      </c>
      <c r="E148" s="280">
        <v>35000</v>
      </c>
      <c r="F148" s="280">
        <v>35000</v>
      </c>
      <c r="G148" s="280">
        <v>35000</v>
      </c>
      <c r="H148" s="280">
        <v>35000</v>
      </c>
      <c r="I148" s="280">
        <f t="shared" si="22"/>
        <v>140000</v>
      </c>
    </row>
    <row r="149" spans="1:9">
      <c r="A149" s="279">
        <v>20</v>
      </c>
      <c r="B149" s="279" t="s">
        <v>263</v>
      </c>
      <c r="C149" s="279" t="s">
        <v>264</v>
      </c>
      <c r="D149" s="279" t="s">
        <v>104</v>
      </c>
      <c r="E149" s="280">
        <v>35000</v>
      </c>
      <c r="F149" s="280">
        <v>35000</v>
      </c>
      <c r="G149" s="280">
        <v>35000</v>
      </c>
      <c r="H149" s="280">
        <v>35000</v>
      </c>
      <c r="I149" s="280">
        <f t="shared" si="22"/>
        <v>140000</v>
      </c>
    </row>
    <row r="150" spans="1:9">
      <c r="A150" s="279">
        <v>21</v>
      </c>
      <c r="B150" s="279" t="s">
        <v>266</v>
      </c>
      <c r="C150" s="279" t="s">
        <v>267</v>
      </c>
      <c r="D150" s="279" t="s">
        <v>80</v>
      </c>
      <c r="E150" s="280">
        <v>35000</v>
      </c>
      <c r="F150" s="280">
        <v>35000</v>
      </c>
      <c r="G150" s="280">
        <v>35000</v>
      </c>
      <c r="H150" s="280">
        <v>35000</v>
      </c>
      <c r="I150" s="280">
        <f t="shared" si="22"/>
        <v>140000</v>
      </c>
    </row>
    <row r="151" spans="1:9">
      <c r="A151" s="279">
        <v>22</v>
      </c>
      <c r="B151" s="279" t="s">
        <v>268</v>
      </c>
      <c r="C151" s="279" t="s">
        <v>269</v>
      </c>
      <c r="D151" s="279" t="s">
        <v>104</v>
      </c>
      <c r="E151" s="280">
        <v>35000</v>
      </c>
      <c r="F151" s="280">
        <v>35000</v>
      </c>
      <c r="G151" s="280">
        <v>35000</v>
      </c>
      <c r="H151" s="280">
        <v>35000</v>
      </c>
      <c r="I151" s="280">
        <f t="shared" si="22"/>
        <v>140000</v>
      </c>
    </row>
    <row r="152" spans="1:9">
      <c r="A152" s="279">
        <v>23</v>
      </c>
      <c r="B152" s="279" t="s">
        <v>270</v>
      </c>
      <c r="C152" s="279" t="s">
        <v>271</v>
      </c>
      <c r="D152" s="279" t="s">
        <v>80</v>
      </c>
      <c r="E152" s="280">
        <v>35000</v>
      </c>
      <c r="F152" s="280">
        <v>35000</v>
      </c>
      <c r="G152" s="280">
        <v>35000</v>
      </c>
      <c r="H152" s="280">
        <v>35000</v>
      </c>
      <c r="I152" s="280">
        <f t="shared" si="22"/>
        <v>140000</v>
      </c>
    </row>
    <row r="153" spans="1:9">
      <c r="A153" s="279">
        <v>24</v>
      </c>
      <c r="B153" s="279" t="s">
        <v>272</v>
      </c>
      <c r="C153" s="279" t="s">
        <v>278</v>
      </c>
      <c r="D153" s="279" t="s">
        <v>1014</v>
      </c>
      <c r="E153" s="280">
        <v>35000</v>
      </c>
      <c r="F153" s="280">
        <v>35000</v>
      </c>
      <c r="G153" s="280">
        <v>35000</v>
      </c>
      <c r="H153" s="280">
        <v>35000</v>
      </c>
      <c r="I153" s="280">
        <f t="shared" si="22"/>
        <v>140000</v>
      </c>
    </row>
    <row r="154" spans="1:9">
      <c r="A154" s="279">
        <v>25</v>
      </c>
      <c r="B154" s="279" t="s">
        <v>275</v>
      </c>
      <c r="C154" s="279" t="s">
        <v>276</v>
      </c>
      <c r="D154" s="279" t="s">
        <v>95</v>
      </c>
      <c r="E154" s="280">
        <v>35000</v>
      </c>
      <c r="F154" s="280">
        <v>35000</v>
      </c>
      <c r="G154" s="280">
        <v>35000</v>
      </c>
      <c r="H154" s="280">
        <v>35000</v>
      </c>
      <c r="I154" s="280">
        <f t="shared" si="22"/>
        <v>140000</v>
      </c>
    </row>
    <row r="155" spans="1:9">
      <c r="A155" s="279">
        <v>26</v>
      </c>
      <c r="B155" s="279" t="s">
        <v>277</v>
      </c>
      <c r="C155" s="279" t="s">
        <v>278</v>
      </c>
      <c r="D155" s="279" t="s">
        <v>95</v>
      </c>
      <c r="E155" s="280">
        <v>35000</v>
      </c>
      <c r="F155" s="280">
        <v>35000</v>
      </c>
      <c r="G155" s="280">
        <v>35000</v>
      </c>
      <c r="H155" s="280">
        <v>35000</v>
      </c>
      <c r="I155" s="280">
        <f t="shared" si="22"/>
        <v>140000</v>
      </c>
    </row>
    <row r="156" spans="1:9">
      <c r="A156" s="279">
        <v>27</v>
      </c>
      <c r="B156" s="279" t="s">
        <v>279</v>
      </c>
      <c r="C156" s="279" t="s">
        <v>280</v>
      </c>
      <c r="D156" s="279" t="s">
        <v>95</v>
      </c>
      <c r="E156" s="280">
        <v>35000</v>
      </c>
      <c r="F156" s="280">
        <v>35000</v>
      </c>
      <c r="G156" s="280">
        <v>35000</v>
      </c>
      <c r="H156" s="280">
        <v>35000</v>
      </c>
      <c r="I156" s="280">
        <f t="shared" si="22"/>
        <v>140000</v>
      </c>
    </row>
    <row r="157" spans="1:9">
      <c r="A157" s="279">
        <v>28</v>
      </c>
      <c r="B157" s="279" t="s">
        <v>281</v>
      </c>
      <c r="C157" s="279" t="s">
        <v>282</v>
      </c>
      <c r="D157" s="279" t="s">
        <v>92</v>
      </c>
      <c r="E157" s="280">
        <v>35000</v>
      </c>
      <c r="F157" s="280">
        <v>35000</v>
      </c>
      <c r="G157" s="280">
        <v>35000</v>
      </c>
      <c r="H157" s="280">
        <v>35000</v>
      </c>
      <c r="I157" s="280">
        <f t="shared" si="22"/>
        <v>140000</v>
      </c>
    </row>
    <row r="158" spans="1:9">
      <c r="A158" s="279">
        <v>29</v>
      </c>
      <c r="B158" s="279" t="s">
        <v>283</v>
      </c>
      <c r="C158" s="279" t="s">
        <v>278</v>
      </c>
      <c r="D158" s="279" t="s">
        <v>95</v>
      </c>
      <c r="E158" s="280">
        <v>35000</v>
      </c>
      <c r="F158" s="280">
        <v>35000</v>
      </c>
      <c r="G158" s="280">
        <v>35000</v>
      </c>
      <c r="H158" s="280">
        <v>35000</v>
      </c>
      <c r="I158" s="280">
        <f t="shared" si="22"/>
        <v>140000</v>
      </c>
    </row>
    <row r="159" spans="1:9">
      <c r="A159" s="279">
        <v>30</v>
      </c>
      <c r="B159" s="279" t="s">
        <v>287</v>
      </c>
      <c r="C159" s="279" t="s">
        <v>288</v>
      </c>
      <c r="D159" s="279" t="s">
        <v>295</v>
      </c>
      <c r="E159" s="280">
        <v>35000</v>
      </c>
      <c r="F159" s="280">
        <v>35000</v>
      </c>
      <c r="G159" s="280">
        <v>35000</v>
      </c>
      <c r="H159" s="280">
        <v>35000</v>
      </c>
      <c r="I159" s="280">
        <f t="shared" si="22"/>
        <v>140000</v>
      </c>
    </row>
    <row r="160" spans="1:9">
      <c r="A160" s="279">
        <v>31</v>
      </c>
      <c r="B160" s="279" t="s">
        <v>290</v>
      </c>
      <c r="C160" s="279" t="s">
        <v>288</v>
      </c>
      <c r="D160" s="279" t="s">
        <v>295</v>
      </c>
      <c r="E160" s="280">
        <v>35000</v>
      </c>
      <c r="F160" s="280">
        <v>35000</v>
      </c>
      <c r="G160" s="280">
        <v>35000</v>
      </c>
      <c r="H160" s="280">
        <v>35000</v>
      </c>
      <c r="I160" s="280">
        <f t="shared" si="22"/>
        <v>140000</v>
      </c>
    </row>
    <row r="161" spans="1:9">
      <c r="A161" s="279">
        <v>32</v>
      </c>
      <c r="B161" s="279" t="s">
        <v>291</v>
      </c>
      <c r="C161" s="279" t="s">
        <v>288</v>
      </c>
      <c r="D161" s="279" t="s">
        <v>295</v>
      </c>
      <c r="E161" s="280">
        <v>35000</v>
      </c>
      <c r="F161" s="280">
        <v>35000</v>
      </c>
      <c r="G161" s="280">
        <v>35000</v>
      </c>
      <c r="H161" s="280">
        <v>35000</v>
      </c>
      <c r="I161" s="280">
        <f t="shared" si="22"/>
        <v>140000</v>
      </c>
    </row>
    <row r="162" spans="1:9">
      <c r="A162" s="279">
        <v>33</v>
      </c>
      <c r="B162" s="279" t="s">
        <v>292</v>
      </c>
      <c r="C162" s="279" t="s">
        <v>288</v>
      </c>
      <c r="D162" s="279" t="s">
        <v>295</v>
      </c>
      <c r="E162" s="280">
        <v>35000</v>
      </c>
      <c r="F162" s="280">
        <v>35000</v>
      </c>
      <c r="G162" s="280">
        <v>35000</v>
      </c>
      <c r="H162" s="280">
        <v>35000</v>
      </c>
      <c r="I162" s="280">
        <f t="shared" si="22"/>
        <v>140000</v>
      </c>
    </row>
    <row r="163" spans="1:9">
      <c r="A163" s="279">
        <v>34</v>
      </c>
      <c r="B163" s="279" t="s">
        <v>293</v>
      </c>
      <c r="C163" s="279" t="s">
        <v>288</v>
      </c>
      <c r="D163" s="279" t="s">
        <v>295</v>
      </c>
      <c r="E163" s="280">
        <v>35000</v>
      </c>
      <c r="F163" s="280">
        <v>35000</v>
      </c>
      <c r="G163" s="280">
        <v>35000</v>
      </c>
      <c r="H163" s="280">
        <v>35000</v>
      </c>
      <c r="I163" s="280">
        <f t="shared" si="22"/>
        <v>140000</v>
      </c>
    </row>
    <row r="164" spans="1:9">
      <c r="A164" s="279">
        <v>35</v>
      </c>
      <c r="B164" s="279" t="s">
        <v>294</v>
      </c>
      <c r="C164" s="279" t="s">
        <v>288</v>
      </c>
      <c r="D164" s="279" t="s">
        <v>306</v>
      </c>
      <c r="E164" s="280">
        <v>35000</v>
      </c>
      <c r="F164" s="280">
        <v>35000</v>
      </c>
      <c r="G164" s="280">
        <v>35000</v>
      </c>
      <c r="H164" s="280">
        <v>35000</v>
      </c>
      <c r="I164" s="280">
        <f t="shared" si="22"/>
        <v>140000</v>
      </c>
    </row>
    <row r="165" spans="1:9">
      <c r="A165" s="279">
        <v>36</v>
      </c>
      <c r="B165" s="279" t="s">
        <v>296</v>
      </c>
      <c r="C165" s="279" t="s">
        <v>288</v>
      </c>
      <c r="D165" s="279" t="s">
        <v>306</v>
      </c>
      <c r="E165" s="280">
        <v>35000</v>
      </c>
      <c r="F165" s="280">
        <v>35000</v>
      </c>
      <c r="G165" s="280">
        <v>35000</v>
      </c>
      <c r="H165" s="280">
        <v>35000</v>
      </c>
      <c r="I165" s="280">
        <f t="shared" si="22"/>
        <v>140000</v>
      </c>
    </row>
    <row r="166" spans="1:9">
      <c r="A166" s="279">
        <v>37</v>
      </c>
      <c r="B166" s="279" t="s">
        <v>297</v>
      </c>
      <c r="C166" s="279" t="s">
        <v>288</v>
      </c>
      <c r="D166" s="279" t="s">
        <v>306</v>
      </c>
      <c r="E166" s="280">
        <v>35000</v>
      </c>
      <c r="F166" s="280">
        <v>35000</v>
      </c>
      <c r="G166" s="280">
        <v>35000</v>
      </c>
      <c r="H166" s="280">
        <v>35000</v>
      </c>
      <c r="I166" s="280">
        <f t="shared" si="22"/>
        <v>140000</v>
      </c>
    </row>
    <row r="167" spans="1:9">
      <c r="A167" s="279">
        <v>38</v>
      </c>
      <c r="B167" s="279" t="s">
        <v>298</v>
      </c>
      <c r="C167" s="279" t="s">
        <v>288</v>
      </c>
      <c r="D167" s="279" t="s">
        <v>306</v>
      </c>
      <c r="E167" s="280">
        <v>35000</v>
      </c>
      <c r="F167" s="280">
        <v>35000</v>
      </c>
      <c r="G167" s="280">
        <v>35000</v>
      </c>
      <c r="H167" s="280">
        <v>35000</v>
      </c>
      <c r="I167" s="280">
        <f t="shared" si="22"/>
        <v>140000</v>
      </c>
    </row>
    <row r="168" spans="1:9">
      <c r="A168" s="279">
        <v>39</v>
      </c>
      <c r="B168" s="279" t="s">
        <v>299</v>
      </c>
      <c r="C168" s="279" t="s">
        <v>288</v>
      </c>
      <c r="D168" s="279" t="s">
        <v>306</v>
      </c>
      <c r="E168" s="280">
        <v>35000</v>
      </c>
      <c r="F168" s="280">
        <v>35000</v>
      </c>
      <c r="G168" s="280">
        <v>35000</v>
      </c>
      <c r="H168" s="280">
        <v>35000</v>
      </c>
      <c r="I168" s="280">
        <f t="shared" si="22"/>
        <v>140000</v>
      </c>
    </row>
    <row r="169" spans="1:9">
      <c r="A169" s="279">
        <v>40</v>
      </c>
      <c r="B169" s="279" t="s">
        <v>300</v>
      </c>
      <c r="C169" s="279" t="s">
        <v>288</v>
      </c>
      <c r="D169" s="279" t="s">
        <v>306</v>
      </c>
      <c r="E169" s="280">
        <v>35000</v>
      </c>
      <c r="F169" s="280">
        <v>35000</v>
      </c>
      <c r="G169" s="280">
        <v>35000</v>
      </c>
      <c r="H169" s="280">
        <v>35000</v>
      </c>
      <c r="I169" s="280">
        <f t="shared" si="22"/>
        <v>140000</v>
      </c>
    </row>
    <row r="170" spans="1:9">
      <c r="A170" s="279">
        <v>41</v>
      </c>
      <c r="B170" s="279" t="s">
        <v>301</v>
      </c>
      <c r="C170" s="279" t="s">
        <v>308</v>
      </c>
      <c r="D170" s="279" t="s">
        <v>588</v>
      </c>
      <c r="E170" s="280">
        <v>35000</v>
      </c>
      <c r="F170" s="280">
        <v>35000</v>
      </c>
      <c r="G170" s="280">
        <v>35000</v>
      </c>
      <c r="H170" s="280">
        <v>35000</v>
      </c>
      <c r="I170" s="280">
        <f t="shared" si="22"/>
        <v>140000</v>
      </c>
    </row>
    <row r="171" spans="1:9">
      <c r="A171" s="279">
        <v>42</v>
      </c>
      <c r="B171" s="279" t="s">
        <v>304</v>
      </c>
      <c r="C171" s="279" t="s">
        <v>308</v>
      </c>
      <c r="D171" s="279" t="s">
        <v>588</v>
      </c>
      <c r="E171" s="280">
        <v>35000</v>
      </c>
      <c r="F171" s="280">
        <v>35000</v>
      </c>
      <c r="G171" s="280">
        <v>35000</v>
      </c>
      <c r="H171" s="280">
        <v>35000</v>
      </c>
      <c r="I171" s="280">
        <f t="shared" si="22"/>
        <v>140000</v>
      </c>
    </row>
    <row r="172" spans="1:9">
      <c r="A172" s="279">
        <v>43</v>
      </c>
      <c r="B172" s="279" t="s">
        <v>305</v>
      </c>
      <c r="C172" s="279" t="s">
        <v>308</v>
      </c>
      <c r="D172" s="279" t="s">
        <v>1017</v>
      </c>
      <c r="E172" s="280">
        <v>35000</v>
      </c>
      <c r="F172" s="280">
        <v>35000</v>
      </c>
      <c r="G172" s="280">
        <v>35000</v>
      </c>
      <c r="H172" s="280">
        <v>35000</v>
      </c>
      <c r="I172" s="280">
        <f t="shared" si="22"/>
        <v>140000</v>
      </c>
    </row>
    <row r="173" spans="1:9">
      <c r="A173" s="279">
        <v>44</v>
      </c>
      <c r="B173" s="279" t="s">
        <v>307</v>
      </c>
      <c r="C173" s="279" t="s">
        <v>308</v>
      </c>
      <c r="D173" s="279" t="s">
        <v>1023</v>
      </c>
      <c r="E173" s="280">
        <v>35000</v>
      </c>
      <c r="F173" s="280">
        <v>35000</v>
      </c>
      <c r="G173" s="280">
        <v>35000</v>
      </c>
      <c r="H173" s="280">
        <v>35000</v>
      </c>
      <c r="I173" s="280">
        <f t="shared" si="22"/>
        <v>140000</v>
      </c>
    </row>
    <row r="174" spans="1:9">
      <c r="A174" s="279">
        <v>45</v>
      </c>
      <c r="B174" s="279" t="s">
        <v>309</v>
      </c>
      <c r="C174" s="279" t="s">
        <v>310</v>
      </c>
      <c r="D174" s="279" t="s">
        <v>1024</v>
      </c>
      <c r="E174" s="280">
        <v>35000</v>
      </c>
      <c r="F174" s="280">
        <v>35000</v>
      </c>
      <c r="G174" s="280">
        <v>35000</v>
      </c>
      <c r="H174" s="280">
        <v>35000</v>
      </c>
      <c r="I174" s="280">
        <f t="shared" si="22"/>
        <v>140000</v>
      </c>
    </row>
    <row r="175" spans="1:9">
      <c r="A175" s="279">
        <v>46</v>
      </c>
      <c r="B175" s="279" t="s">
        <v>312</v>
      </c>
      <c r="C175" s="279" t="s">
        <v>310</v>
      </c>
      <c r="D175" s="279" t="s">
        <v>1024</v>
      </c>
      <c r="E175" s="280">
        <v>35000</v>
      </c>
      <c r="F175" s="280">
        <v>35000</v>
      </c>
      <c r="G175" s="280">
        <v>35000</v>
      </c>
      <c r="H175" s="280">
        <v>35000</v>
      </c>
      <c r="I175" s="280">
        <f t="shared" si="22"/>
        <v>140000</v>
      </c>
    </row>
    <row r="176" spans="1:9">
      <c r="A176" s="279">
        <v>47</v>
      </c>
      <c r="B176" s="279" t="s">
        <v>313</v>
      </c>
      <c r="C176" s="279" t="s">
        <v>310</v>
      </c>
      <c r="D176" s="279" t="s">
        <v>1024</v>
      </c>
      <c r="E176" s="280">
        <v>35000</v>
      </c>
      <c r="F176" s="280">
        <v>35000</v>
      </c>
      <c r="G176" s="280">
        <v>35000</v>
      </c>
      <c r="H176" s="280">
        <v>35000</v>
      </c>
      <c r="I176" s="280">
        <f t="shared" si="22"/>
        <v>140000</v>
      </c>
    </row>
    <row r="177" spans="1:9">
      <c r="A177" s="279">
        <v>48</v>
      </c>
      <c r="B177" s="279" t="s">
        <v>314</v>
      </c>
      <c r="C177" s="279" t="s">
        <v>310</v>
      </c>
      <c r="D177" s="279" t="s">
        <v>1024</v>
      </c>
      <c r="E177" s="280">
        <v>35000</v>
      </c>
      <c r="F177" s="280">
        <v>35000</v>
      </c>
      <c r="G177" s="280">
        <v>35000</v>
      </c>
      <c r="H177" s="280">
        <v>35000</v>
      </c>
      <c r="I177" s="280">
        <f t="shared" si="22"/>
        <v>140000</v>
      </c>
    </row>
    <row r="178" spans="1:9">
      <c r="A178" s="279">
        <v>49</v>
      </c>
      <c r="B178" s="279" t="s">
        <v>315</v>
      </c>
      <c r="C178" s="279" t="s">
        <v>310</v>
      </c>
      <c r="D178" s="279" t="s">
        <v>1024</v>
      </c>
      <c r="E178" s="280">
        <v>35000</v>
      </c>
      <c r="F178" s="280">
        <v>35000</v>
      </c>
      <c r="G178" s="280">
        <v>35000</v>
      </c>
      <c r="H178" s="280">
        <v>35000</v>
      </c>
      <c r="I178" s="280">
        <f t="shared" si="22"/>
        <v>140000</v>
      </c>
    </row>
    <row r="179" spans="1:9">
      <c r="A179" s="279">
        <v>50</v>
      </c>
      <c r="B179" s="279" t="s">
        <v>316</v>
      </c>
      <c r="C179" s="279" t="s">
        <v>310</v>
      </c>
      <c r="D179" s="279" t="s">
        <v>1024</v>
      </c>
      <c r="E179" s="280">
        <v>35000</v>
      </c>
      <c r="F179" s="280">
        <v>35000</v>
      </c>
      <c r="G179" s="280">
        <v>35000</v>
      </c>
      <c r="H179" s="280">
        <v>35000</v>
      </c>
      <c r="I179" s="280">
        <f t="shared" si="22"/>
        <v>140000</v>
      </c>
    </row>
    <row r="180" spans="1:9">
      <c r="A180" s="279">
        <v>51</v>
      </c>
      <c r="B180" s="279" t="s">
        <v>317</v>
      </c>
      <c r="C180" s="279" t="s">
        <v>310</v>
      </c>
      <c r="D180" s="279" t="s">
        <v>1024</v>
      </c>
      <c r="E180" s="280">
        <v>35000</v>
      </c>
      <c r="F180" s="280">
        <v>35000</v>
      </c>
      <c r="G180" s="280">
        <v>35000</v>
      </c>
      <c r="H180" s="280">
        <v>35000</v>
      </c>
      <c r="I180" s="280">
        <f t="shared" si="22"/>
        <v>140000</v>
      </c>
    </row>
    <row r="181" spans="1:9">
      <c r="A181" s="279">
        <v>52</v>
      </c>
      <c r="B181" s="279" t="s">
        <v>318</v>
      </c>
      <c r="C181" s="279" t="s">
        <v>308</v>
      </c>
      <c r="D181" s="279" t="s">
        <v>1024</v>
      </c>
      <c r="E181" s="280">
        <v>35000</v>
      </c>
      <c r="F181" s="280">
        <v>35000</v>
      </c>
      <c r="G181" s="280">
        <v>35000</v>
      </c>
      <c r="H181" s="280">
        <v>35000</v>
      </c>
      <c r="I181" s="280">
        <f t="shared" si="22"/>
        <v>140000</v>
      </c>
    </row>
    <row r="182" spans="1:9">
      <c r="A182" s="279">
        <v>53</v>
      </c>
      <c r="B182" s="279" t="s">
        <v>319</v>
      </c>
      <c r="C182" s="279" t="s">
        <v>308</v>
      </c>
      <c r="D182" s="279" t="s">
        <v>1024</v>
      </c>
      <c r="E182" s="280">
        <v>35000</v>
      </c>
      <c r="F182" s="280">
        <v>35000</v>
      </c>
      <c r="G182" s="280">
        <v>35000</v>
      </c>
      <c r="H182" s="280">
        <v>35000</v>
      </c>
      <c r="I182" s="280">
        <f t="shared" si="22"/>
        <v>140000</v>
      </c>
    </row>
    <row r="183" spans="1:9">
      <c r="A183" s="279">
        <v>54</v>
      </c>
      <c r="B183" s="279" t="s">
        <v>320</v>
      </c>
      <c r="C183" s="279" t="s">
        <v>310</v>
      </c>
      <c r="D183" s="279" t="s">
        <v>1042</v>
      </c>
      <c r="E183" s="280">
        <v>35000</v>
      </c>
      <c r="F183" s="280">
        <v>35000</v>
      </c>
      <c r="G183" s="280">
        <v>35000</v>
      </c>
      <c r="H183" s="280">
        <v>35000</v>
      </c>
      <c r="I183" s="280">
        <f t="shared" si="22"/>
        <v>140000</v>
      </c>
    </row>
    <row r="184" spans="1:9">
      <c r="A184" s="279">
        <v>55</v>
      </c>
      <c r="B184" s="279" t="s">
        <v>325</v>
      </c>
      <c r="C184" s="279" t="s">
        <v>310</v>
      </c>
      <c r="D184" s="279" t="s">
        <v>1025</v>
      </c>
      <c r="E184" s="280">
        <v>35000</v>
      </c>
      <c r="F184" s="280">
        <v>35000</v>
      </c>
      <c r="G184" s="280">
        <v>35000</v>
      </c>
      <c r="H184" s="280">
        <v>35000</v>
      </c>
      <c r="I184" s="280">
        <f t="shared" si="22"/>
        <v>140000</v>
      </c>
    </row>
    <row r="185" spans="1:9">
      <c r="A185" s="279">
        <v>56</v>
      </c>
      <c r="B185" s="279" t="s">
        <v>326</v>
      </c>
      <c r="C185" s="279" t="s">
        <v>327</v>
      </c>
      <c r="D185" s="279" t="s">
        <v>1026</v>
      </c>
      <c r="E185" s="280">
        <v>35000</v>
      </c>
      <c r="F185" s="280">
        <v>35000</v>
      </c>
      <c r="G185" s="280">
        <v>35000</v>
      </c>
      <c r="H185" s="280">
        <v>35000</v>
      </c>
      <c r="I185" s="280">
        <f t="shared" si="22"/>
        <v>140000</v>
      </c>
    </row>
    <row r="186" spans="1:9">
      <c r="A186" s="279">
        <v>57</v>
      </c>
      <c r="B186" s="279" t="s">
        <v>329</v>
      </c>
      <c r="C186" s="279" t="s">
        <v>327</v>
      </c>
      <c r="D186" s="279" t="s">
        <v>1026</v>
      </c>
      <c r="E186" s="280">
        <v>35000</v>
      </c>
      <c r="F186" s="280">
        <v>35000</v>
      </c>
      <c r="G186" s="280">
        <v>35000</v>
      </c>
      <c r="H186" s="280">
        <v>35000</v>
      </c>
      <c r="I186" s="280">
        <f t="shared" si="22"/>
        <v>140000</v>
      </c>
    </row>
    <row r="187" spans="1:9">
      <c r="A187" s="279">
        <v>58</v>
      </c>
      <c r="B187" s="279" t="s">
        <v>330</v>
      </c>
      <c r="C187" s="279" t="s">
        <v>327</v>
      </c>
      <c r="D187" s="279" t="s">
        <v>1026</v>
      </c>
      <c r="E187" s="280">
        <v>35000</v>
      </c>
      <c r="F187" s="280">
        <v>35000</v>
      </c>
      <c r="G187" s="280">
        <v>35000</v>
      </c>
      <c r="H187" s="280">
        <v>35000</v>
      </c>
      <c r="I187" s="280">
        <f t="shared" si="22"/>
        <v>140000</v>
      </c>
    </row>
    <row r="188" spans="1:9">
      <c r="A188" s="279">
        <v>59</v>
      </c>
      <c r="B188" s="279" t="s">
        <v>331</v>
      </c>
      <c r="C188" s="279" t="s">
        <v>332</v>
      </c>
      <c r="D188" s="279" t="s">
        <v>324</v>
      </c>
      <c r="E188" s="280">
        <v>35000</v>
      </c>
      <c r="F188" s="280">
        <v>35000</v>
      </c>
      <c r="G188" s="280">
        <v>35000</v>
      </c>
      <c r="H188" s="280">
        <v>35000</v>
      </c>
      <c r="I188" s="280">
        <f t="shared" si="22"/>
        <v>140000</v>
      </c>
    </row>
    <row r="189" spans="1:9">
      <c r="A189" s="279">
        <v>60</v>
      </c>
      <c r="B189" s="279" t="s">
        <v>334</v>
      </c>
      <c r="C189" s="279" t="s">
        <v>332</v>
      </c>
      <c r="D189" s="279" t="s">
        <v>324</v>
      </c>
      <c r="E189" s="282">
        <v>35000</v>
      </c>
      <c r="F189" s="282">
        <v>35000</v>
      </c>
      <c r="G189" s="282">
        <v>35000</v>
      </c>
      <c r="H189" s="282">
        <v>35000</v>
      </c>
      <c r="I189" s="282">
        <f t="shared" si="22"/>
        <v>140000</v>
      </c>
    </row>
    <row r="190" spans="1:9">
      <c r="A190" s="279"/>
      <c r="B190" s="283" t="s">
        <v>1105</v>
      </c>
      <c r="C190" s="279"/>
      <c r="D190" s="279"/>
      <c r="E190" s="284">
        <f>SUM(E131:E189)</f>
        <v>2065000</v>
      </c>
      <c r="F190" s="284">
        <f t="shared" ref="F190:I190" si="23">SUM(F131:F189)</f>
        <v>2065000</v>
      </c>
      <c r="G190" s="284">
        <f t="shared" si="23"/>
        <v>2065000</v>
      </c>
      <c r="H190" s="284">
        <f t="shared" si="23"/>
        <v>2065000</v>
      </c>
      <c r="I190" s="284">
        <f t="shared" si="23"/>
        <v>8260000</v>
      </c>
    </row>
    <row r="191" spans="5:9">
      <c r="E191" s="269"/>
      <c r="F191" s="269"/>
      <c r="G191" s="269"/>
      <c r="H191" s="269"/>
      <c r="I191" s="270"/>
    </row>
    <row r="192" ht="24" customHeight="1" spans="1:9">
      <c r="A192" s="279"/>
      <c r="B192" s="287" t="s">
        <v>1106</v>
      </c>
      <c r="C192" s="287"/>
      <c r="D192" s="287"/>
      <c r="E192" s="287"/>
      <c r="F192" s="287"/>
      <c r="G192" s="287"/>
      <c r="H192" s="287"/>
      <c r="I192" s="288">
        <f>I190+I116+I110+I100+I93+I79+I69+I54+I49+I33+I28</f>
        <v>19740000</v>
      </c>
    </row>
    <row r="193" spans="5:8">
      <c r="E193" s="269"/>
      <c r="F193" s="269"/>
      <c r="G193" s="269"/>
      <c r="H193" s="269"/>
    </row>
  </sheetData>
  <mergeCells count="4">
    <mergeCell ref="A1:I1"/>
    <mergeCell ref="A2:I2"/>
    <mergeCell ref="A3:I3"/>
    <mergeCell ref="B192:H192"/>
  </mergeCells>
  <pageMargins left="0.708661417322835" right="0.708661417322835" top="0.748031496062992" bottom="0.748031496062992" header="0.31496062992126" footer="0.31496062992126"/>
  <pageSetup paperSize="9" scale="99" orientation="landscape"/>
  <headerFooter/>
  <rowBreaks count="3" manualBreakCount="3">
    <brk id="34" max="8" man="1"/>
    <brk id="69" max="8" man="1"/>
    <brk id="101" max="8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workbookViewId="0">
      <selection activeCell="L13" sqref="L13"/>
    </sheetView>
  </sheetViews>
  <sheetFormatPr defaultColWidth="9.13636363636364" defaultRowHeight="13"/>
  <cols>
    <col min="1" max="1" width="4" style="263" customWidth="1"/>
    <col min="2" max="2" width="28.2818181818182" style="263" customWidth="1"/>
    <col min="3" max="3" width="20.1363636363636" style="263" customWidth="1"/>
    <col min="4" max="4" width="15.5727272727273" style="263" customWidth="1"/>
    <col min="5" max="5" width="13" style="263" customWidth="1"/>
    <col min="6" max="6" width="14.8545454545455" style="263" customWidth="1"/>
    <col min="7" max="7" width="14.5727272727273" style="263" customWidth="1"/>
    <col min="8" max="8" width="13" style="263" customWidth="1"/>
    <col min="9" max="16384" width="9.13636363636364" style="263"/>
  </cols>
  <sheetData>
    <row r="1" ht="20" spans="1:10">
      <c r="A1" s="75" t="s">
        <v>0</v>
      </c>
      <c r="B1" s="75"/>
      <c r="C1" s="75"/>
      <c r="D1" s="75"/>
      <c r="E1" s="75"/>
      <c r="F1" s="75"/>
      <c r="G1" s="75"/>
      <c r="H1" s="75"/>
      <c r="I1" s="273"/>
      <c r="J1" s="273"/>
    </row>
    <row r="2" ht="17.5" spans="1:10">
      <c r="A2" s="3" t="s">
        <v>1078</v>
      </c>
      <c r="B2" s="3"/>
      <c r="C2" s="3"/>
      <c r="D2" s="3"/>
      <c r="E2" s="3"/>
      <c r="F2" s="3"/>
      <c r="G2" s="3"/>
      <c r="H2" s="3"/>
      <c r="I2" s="274"/>
      <c r="J2" s="274"/>
    </row>
    <row r="3" ht="37.5" customHeight="1" spans="1:8">
      <c r="A3" s="264" t="s">
        <v>1079</v>
      </c>
      <c r="B3" s="264"/>
      <c r="C3" s="264"/>
      <c r="D3" s="264"/>
      <c r="E3" s="264"/>
      <c r="F3" s="264"/>
      <c r="G3" s="264"/>
      <c r="H3" s="264"/>
    </row>
    <row r="5" ht="42.75" customHeight="1" spans="1:9">
      <c r="A5" s="265" t="s">
        <v>20</v>
      </c>
      <c r="B5" s="55" t="s">
        <v>2</v>
      </c>
      <c r="C5" s="55" t="s">
        <v>3</v>
      </c>
      <c r="D5" s="266" t="s">
        <v>1107</v>
      </c>
      <c r="E5" s="266" t="s">
        <v>1029</v>
      </c>
      <c r="F5" s="266" t="s">
        <v>1030</v>
      </c>
      <c r="G5" s="266" t="s">
        <v>1108</v>
      </c>
      <c r="H5" s="267" t="s">
        <v>1084</v>
      </c>
      <c r="I5" s="46"/>
    </row>
    <row r="6" ht="18" spans="1:9">
      <c r="A6" s="43">
        <v>1</v>
      </c>
      <c r="B6" s="43" t="s">
        <v>1109</v>
      </c>
      <c r="C6" s="43" t="s">
        <v>1110</v>
      </c>
      <c r="D6" s="260">
        <v>35000</v>
      </c>
      <c r="E6" s="260">
        <v>35000</v>
      </c>
      <c r="F6" s="260">
        <v>35000</v>
      </c>
      <c r="G6" s="260">
        <v>35000</v>
      </c>
      <c r="H6" s="260">
        <f t="shared" ref="H6" si="0">D6+E6+F6+G6</f>
        <v>140000</v>
      </c>
      <c r="I6" s="46"/>
    </row>
    <row r="7" ht="18" spans="1:9">
      <c r="A7" s="43">
        <v>2</v>
      </c>
      <c r="B7" s="43" t="s">
        <v>1111</v>
      </c>
      <c r="C7" s="43" t="s">
        <v>1110</v>
      </c>
      <c r="D7" s="260">
        <v>35000</v>
      </c>
      <c r="E7" s="260">
        <v>35000</v>
      </c>
      <c r="F7" s="260">
        <v>35000</v>
      </c>
      <c r="G7" s="260">
        <v>35000</v>
      </c>
      <c r="H7" s="260">
        <f t="shared" ref="H7:H8" si="1">D7+E7+F7+G7</f>
        <v>140000</v>
      </c>
      <c r="I7" s="46"/>
    </row>
    <row r="8" ht="18" spans="1:9">
      <c r="A8" s="43">
        <v>3</v>
      </c>
      <c r="B8" s="43" t="s">
        <v>1112</v>
      </c>
      <c r="C8" s="43" t="s">
        <v>1113</v>
      </c>
      <c r="D8" s="260">
        <v>35000</v>
      </c>
      <c r="E8" s="260">
        <v>35000</v>
      </c>
      <c r="F8" s="260">
        <v>35000</v>
      </c>
      <c r="G8" s="260">
        <v>35000</v>
      </c>
      <c r="H8" s="260">
        <f t="shared" si="1"/>
        <v>140000</v>
      </c>
      <c r="I8" s="46"/>
    </row>
    <row r="9" ht="18" spans="1:9">
      <c r="A9" s="43">
        <v>4</v>
      </c>
      <c r="B9" s="43" t="s">
        <v>1111</v>
      </c>
      <c r="C9" s="43" t="s">
        <v>1110</v>
      </c>
      <c r="D9" s="260">
        <v>35000</v>
      </c>
      <c r="E9" s="260">
        <v>35000</v>
      </c>
      <c r="F9" s="260">
        <v>35000</v>
      </c>
      <c r="G9" s="260">
        <v>35000</v>
      </c>
      <c r="H9" s="260">
        <f t="shared" ref="H9:H58" si="2">D9+E9+F9+G9</f>
        <v>140000</v>
      </c>
      <c r="I9" s="46"/>
    </row>
    <row r="10" ht="18" spans="1:9">
      <c r="A10" s="43">
        <v>5</v>
      </c>
      <c r="B10" s="43" t="s">
        <v>1114</v>
      </c>
      <c r="C10" s="43" t="s">
        <v>1115</v>
      </c>
      <c r="D10" s="260">
        <v>35000</v>
      </c>
      <c r="E10" s="260">
        <v>35000</v>
      </c>
      <c r="F10" s="260">
        <v>35000</v>
      </c>
      <c r="G10" s="260">
        <v>35000</v>
      </c>
      <c r="H10" s="260">
        <f t="shared" si="2"/>
        <v>140000</v>
      </c>
      <c r="I10" s="46"/>
    </row>
    <row r="11" ht="18" spans="1:9">
      <c r="A11" s="43">
        <v>6</v>
      </c>
      <c r="B11" s="43" t="s">
        <v>1116</v>
      </c>
      <c r="C11" s="43" t="s">
        <v>1117</v>
      </c>
      <c r="D11" s="260">
        <v>35000</v>
      </c>
      <c r="E11" s="260">
        <v>35000</v>
      </c>
      <c r="F11" s="260">
        <v>35000</v>
      </c>
      <c r="G11" s="260">
        <v>35000</v>
      </c>
      <c r="H11" s="260">
        <f t="shared" si="2"/>
        <v>140000</v>
      </c>
      <c r="I11" s="46"/>
    </row>
    <row r="12" ht="18" spans="1:9">
      <c r="A12" s="43">
        <v>7</v>
      </c>
      <c r="B12" s="43" t="s">
        <v>1118</v>
      </c>
      <c r="C12" s="43" t="s">
        <v>1119</v>
      </c>
      <c r="D12" s="260">
        <v>35000</v>
      </c>
      <c r="E12" s="260">
        <v>35000</v>
      </c>
      <c r="F12" s="260">
        <v>35000</v>
      </c>
      <c r="G12" s="260">
        <v>35000</v>
      </c>
      <c r="H12" s="260">
        <f t="shared" si="2"/>
        <v>140000</v>
      </c>
      <c r="I12" s="46"/>
    </row>
    <row r="13" ht="18" spans="1:9">
      <c r="A13" s="43">
        <v>8</v>
      </c>
      <c r="B13" s="43" t="s">
        <v>1120</v>
      </c>
      <c r="C13" s="43" t="s">
        <v>1121</v>
      </c>
      <c r="D13" s="260">
        <v>35000</v>
      </c>
      <c r="E13" s="260">
        <v>35000</v>
      </c>
      <c r="F13" s="260">
        <v>35000</v>
      </c>
      <c r="G13" s="260">
        <v>35000</v>
      </c>
      <c r="H13" s="260">
        <f t="shared" si="2"/>
        <v>140000</v>
      </c>
      <c r="I13" s="46"/>
    </row>
    <row r="14" ht="18" spans="1:9">
      <c r="A14" s="43">
        <v>9</v>
      </c>
      <c r="B14" s="43" t="s">
        <v>1122</v>
      </c>
      <c r="C14" s="43" t="s">
        <v>1121</v>
      </c>
      <c r="D14" s="260">
        <v>35000</v>
      </c>
      <c r="E14" s="260">
        <v>35000</v>
      </c>
      <c r="F14" s="260">
        <v>35000</v>
      </c>
      <c r="G14" s="260">
        <v>35000</v>
      </c>
      <c r="H14" s="260">
        <f t="shared" si="2"/>
        <v>140000</v>
      </c>
      <c r="I14" s="46"/>
    </row>
    <row r="15" ht="18" spans="1:9">
      <c r="A15" s="43">
        <v>10</v>
      </c>
      <c r="B15" s="43" t="s">
        <v>1123</v>
      </c>
      <c r="C15" s="43" t="s">
        <v>1119</v>
      </c>
      <c r="D15" s="260">
        <v>35000</v>
      </c>
      <c r="E15" s="260">
        <v>35000</v>
      </c>
      <c r="F15" s="260">
        <v>35000</v>
      </c>
      <c r="G15" s="260">
        <v>35000</v>
      </c>
      <c r="H15" s="260">
        <f t="shared" si="2"/>
        <v>140000</v>
      </c>
      <c r="I15" s="46"/>
    </row>
    <row r="16" ht="18" spans="1:9">
      <c r="A16" s="43">
        <v>11</v>
      </c>
      <c r="B16" s="43" t="s">
        <v>1124</v>
      </c>
      <c r="C16" s="43" t="s">
        <v>1125</v>
      </c>
      <c r="D16" s="260">
        <v>35000</v>
      </c>
      <c r="E16" s="260">
        <v>35000</v>
      </c>
      <c r="F16" s="260">
        <v>35000</v>
      </c>
      <c r="G16" s="260">
        <v>35000</v>
      </c>
      <c r="H16" s="260">
        <f t="shared" si="2"/>
        <v>140000</v>
      </c>
      <c r="I16" s="46"/>
    </row>
    <row r="17" ht="18" spans="1:9">
      <c r="A17" s="43">
        <v>12</v>
      </c>
      <c r="B17" s="43" t="s">
        <v>1126</v>
      </c>
      <c r="C17" s="43" t="s">
        <v>1113</v>
      </c>
      <c r="D17" s="260">
        <v>35000</v>
      </c>
      <c r="E17" s="260">
        <v>35000</v>
      </c>
      <c r="F17" s="260">
        <v>35000</v>
      </c>
      <c r="G17" s="260">
        <v>35000</v>
      </c>
      <c r="H17" s="260">
        <f t="shared" si="2"/>
        <v>140000</v>
      </c>
      <c r="I17" s="46"/>
    </row>
    <row r="18" ht="18" spans="1:9">
      <c r="A18" s="43">
        <v>13</v>
      </c>
      <c r="B18" s="43" t="s">
        <v>1127</v>
      </c>
      <c r="C18" s="43" t="s">
        <v>1128</v>
      </c>
      <c r="D18" s="260">
        <v>35000</v>
      </c>
      <c r="E18" s="260">
        <v>35000</v>
      </c>
      <c r="F18" s="260">
        <v>35000</v>
      </c>
      <c r="G18" s="260">
        <v>35000</v>
      </c>
      <c r="H18" s="260">
        <f t="shared" si="2"/>
        <v>140000</v>
      </c>
      <c r="I18" s="46"/>
    </row>
    <row r="19" ht="18" spans="1:9">
      <c r="A19" s="43">
        <v>14</v>
      </c>
      <c r="B19" s="43" t="s">
        <v>1129</v>
      </c>
      <c r="C19" s="43" t="s">
        <v>1115</v>
      </c>
      <c r="D19" s="260">
        <v>35000</v>
      </c>
      <c r="E19" s="260">
        <v>35000</v>
      </c>
      <c r="F19" s="260">
        <v>35000</v>
      </c>
      <c r="G19" s="260">
        <v>35000</v>
      </c>
      <c r="H19" s="260">
        <f t="shared" si="2"/>
        <v>140000</v>
      </c>
      <c r="I19" s="46"/>
    </row>
    <row r="20" ht="18" spans="1:9">
      <c r="A20" s="43">
        <v>15</v>
      </c>
      <c r="B20" s="43" t="s">
        <v>1130</v>
      </c>
      <c r="C20" s="43" t="s">
        <v>1131</v>
      </c>
      <c r="D20" s="260">
        <v>35000</v>
      </c>
      <c r="E20" s="260">
        <v>35000</v>
      </c>
      <c r="F20" s="260">
        <v>35000</v>
      </c>
      <c r="G20" s="260">
        <v>35000</v>
      </c>
      <c r="H20" s="260">
        <f t="shared" si="2"/>
        <v>140000</v>
      </c>
      <c r="I20" s="46"/>
    </row>
    <row r="21" ht="18" spans="1:9">
      <c r="A21" s="43">
        <v>16</v>
      </c>
      <c r="B21" s="43" t="s">
        <v>1132</v>
      </c>
      <c r="C21" s="43" t="s">
        <v>1133</v>
      </c>
      <c r="D21" s="260">
        <v>35000</v>
      </c>
      <c r="E21" s="260">
        <v>35000</v>
      </c>
      <c r="F21" s="260">
        <v>35000</v>
      </c>
      <c r="G21" s="260">
        <v>35000</v>
      </c>
      <c r="H21" s="260">
        <f t="shared" si="2"/>
        <v>140000</v>
      </c>
      <c r="I21" s="46"/>
    </row>
    <row r="22" ht="18" spans="1:9">
      <c r="A22" s="43">
        <v>17</v>
      </c>
      <c r="B22" s="43" t="s">
        <v>1134</v>
      </c>
      <c r="C22" s="43" t="s">
        <v>1115</v>
      </c>
      <c r="D22" s="260">
        <v>35000</v>
      </c>
      <c r="E22" s="260">
        <v>35000</v>
      </c>
      <c r="F22" s="260">
        <v>35000</v>
      </c>
      <c r="G22" s="260">
        <v>35000</v>
      </c>
      <c r="H22" s="260">
        <f t="shared" si="2"/>
        <v>140000</v>
      </c>
      <c r="I22" s="46"/>
    </row>
    <row r="23" ht="18" spans="1:9">
      <c r="A23" s="43">
        <v>18</v>
      </c>
      <c r="B23" s="43" t="s">
        <v>1135</v>
      </c>
      <c r="C23" s="43" t="s">
        <v>508</v>
      </c>
      <c r="D23" s="260">
        <v>35000</v>
      </c>
      <c r="E23" s="260">
        <v>35000</v>
      </c>
      <c r="F23" s="260">
        <v>35000</v>
      </c>
      <c r="G23" s="260">
        <v>35000</v>
      </c>
      <c r="H23" s="260">
        <f t="shared" si="2"/>
        <v>140000</v>
      </c>
      <c r="I23" s="46"/>
    </row>
    <row r="24" ht="18" spans="1:9">
      <c r="A24" s="43">
        <v>19</v>
      </c>
      <c r="B24" s="43" t="s">
        <v>1136</v>
      </c>
      <c r="C24" s="43" t="s">
        <v>508</v>
      </c>
      <c r="D24" s="260">
        <v>35000</v>
      </c>
      <c r="E24" s="260">
        <v>35000</v>
      </c>
      <c r="F24" s="260">
        <v>35000</v>
      </c>
      <c r="G24" s="260">
        <v>35000</v>
      </c>
      <c r="H24" s="260">
        <f t="shared" si="2"/>
        <v>140000</v>
      </c>
      <c r="I24" s="46"/>
    </row>
    <row r="25" ht="18" spans="1:9">
      <c r="A25" s="43">
        <v>20</v>
      </c>
      <c r="B25" s="43" t="s">
        <v>1137</v>
      </c>
      <c r="C25" s="43" t="s">
        <v>508</v>
      </c>
      <c r="D25" s="260">
        <v>35000</v>
      </c>
      <c r="E25" s="260">
        <v>35000</v>
      </c>
      <c r="F25" s="260">
        <v>35000</v>
      </c>
      <c r="G25" s="260">
        <v>35000</v>
      </c>
      <c r="H25" s="260">
        <f t="shared" si="2"/>
        <v>140000</v>
      </c>
      <c r="I25" s="46"/>
    </row>
    <row r="26" ht="18" spans="1:9">
      <c r="A26" s="43">
        <v>21</v>
      </c>
      <c r="B26" s="43" t="s">
        <v>1138</v>
      </c>
      <c r="C26" s="43" t="s">
        <v>508</v>
      </c>
      <c r="D26" s="260">
        <v>35000</v>
      </c>
      <c r="E26" s="260">
        <v>35000</v>
      </c>
      <c r="F26" s="260">
        <v>35000</v>
      </c>
      <c r="G26" s="260">
        <v>35000</v>
      </c>
      <c r="H26" s="260">
        <f t="shared" si="2"/>
        <v>140000</v>
      </c>
      <c r="I26" s="46"/>
    </row>
    <row r="27" ht="18" spans="1:9">
      <c r="A27" s="43">
        <v>22</v>
      </c>
      <c r="B27" s="43" t="s">
        <v>1139</v>
      </c>
      <c r="C27" s="43" t="s">
        <v>1140</v>
      </c>
      <c r="D27" s="260">
        <v>35000</v>
      </c>
      <c r="E27" s="260">
        <v>35000</v>
      </c>
      <c r="F27" s="260">
        <v>35000</v>
      </c>
      <c r="G27" s="260">
        <v>35000</v>
      </c>
      <c r="H27" s="260">
        <f t="shared" si="2"/>
        <v>140000</v>
      </c>
      <c r="I27" s="46"/>
    </row>
    <row r="28" ht="18" spans="1:9">
      <c r="A28" s="43">
        <v>23</v>
      </c>
      <c r="B28" s="43" t="s">
        <v>1141</v>
      </c>
      <c r="C28" s="43" t="s">
        <v>1142</v>
      </c>
      <c r="D28" s="260">
        <v>35000</v>
      </c>
      <c r="E28" s="260">
        <v>35000</v>
      </c>
      <c r="F28" s="260">
        <v>35000</v>
      </c>
      <c r="G28" s="260">
        <v>35000</v>
      </c>
      <c r="H28" s="260">
        <f t="shared" si="2"/>
        <v>140000</v>
      </c>
      <c r="I28" s="46"/>
    </row>
    <row r="29" ht="18" spans="1:9">
      <c r="A29" s="43">
        <v>24</v>
      </c>
      <c r="B29" s="43" t="s">
        <v>1143</v>
      </c>
      <c r="C29" s="43" t="s">
        <v>1144</v>
      </c>
      <c r="D29" s="260">
        <v>35000</v>
      </c>
      <c r="E29" s="260">
        <v>35000</v>
      </c>
      <c r="F29" s="260">
        <v>35000</v>
      </c>
      <c r="G29" s="260">
        <v>35000</v>
      </c>
      <c r="H29" s="260">
        <f t="shared" si="2"/>
        <v>140000</v>
      </c>
      <c r="I29" s="46"/>
    </row>
    <row r="30" ht="18" spans="1:9">
      <c r="A30" s="43">
        <v>25</v>
      </c>
      <c r="B30" s="43" t="s">
        <v>1145</v>
      </c>
      <c r="C30" s="43" t="s">
        <v>1125</v>
      </c>
      <c r="D30" s="260">
        <v>35000</v>
      </c>
      <c r="E30" s="260">
        <v>35000</v>
      </c>
      <c r="F30" s="260">
        <v>35000</v>
      </c>
      <c r="G30" s="260">
        <v>35000</v>
      </c>
      <c r="H30" s="260">
        <f t="shared" si="2"/>
        <v>140000</v>
      </c>
      <c r="I30" s="46"/>
    </row>
    <row r="31" ht="18" spans="1:9">
      <c r="A31" s="43">
        <v>26</v>
      </c>
      <c r="B31" s="43" t="s">
        <v>563</v>
      </c>
      <c r="C31" s="43" t="s">
        <v>508</v>
      </c>
      <c r="D31" s="260">
        <v>35000</v>
      </c>
      <c r="E31" s="260">
        <v>35000</v>
      </c>
      <c r="F31" s="260">
        <v>35000</v>
      </c>
      <c r="G31" s="260">
        <v>35000</v>
      </c>
      <c r="H31" s="260">
        <f t="shared" si="2"/>
        <v>140000</v>
      </c>
      <c r="I31" s="46"/>
    </row>
    <row r="32" ht="18" spans="1:9">
      <c r="A32" s="43">
        <v>27</v>
      </c>
      <c r="B32" s="43" t="s">
        <v>1146</v>
      </c>
      <c r="C32" s="43" t="s">
        <v>1113</v>
      </c>
      <c r="D32" s="260">
        <v>35000</v>
      </c>
      <c r="E32" s="260">
        <v>35000</v>
      </c>
      <c r="F32" s="260">
        <v>35000</v>
      </c>
      <c r="G32" s="260">
        <v>35000</v>
      </c>
      <c r="H32" s="260">
        <f t="shared" si="2"/>
        <v>140000</v>
      </c>
      <c r="I32" s="46"/>
    </row>
    <row r="33" ht="18" spans="1:9">
      <c r="A33" s="43">
        <v>28</v>
      </c>
      <c r="B33" s="43" t="s">
        <v>1147</v>
      </c>
      <c r="C33" s="43" t="s">
        <v>1113</v>
      </c>
      <c r="D33" s="260">
        <v>35000</v>
      </c>
      <c r="E33" s="260">
        <v>35000</v>
      </c>
      <c r="F33" s="260">
        <v>35000</v>
      </c>
      <c r="G33" s="260">
        <v>35000</v>
      </c>
      <c r="H33" s="260">
        <f t="shared" si="2"/>
        <v>140000</v>
      </c>
      <c r="I33" s="46"/>
    </row>
    <row r="34" ht="18" spans="1:9">
      <c r="A34" s="43">
        <v>29</v>
      </c>
      <c r="B34" s="43" t="s">
        <v>534</v>
      </c>
      <c r="C34" s="43" t="s">
        <v>508</v>
      </c>
      <c r="D34" s="260">
        <v>35000</v>
      </c>
      <c r="E34" s="260">
        <v>35000</v>
      </c>
      <c r="F34" s="260">
        <v>35000</v>
      </c>
      <c r="G34" s="260">
        <v>35000</v>
      </c>
      <c r="H34" s="260">
        <f t="shared" si="2"/>
        <v>140000</v>
      </c>
      <c r="I34" s="46"/>
    </row>
    <row r="35" ht="18" spans="1:9">
      <c r="A35" s="43">
        <v>30</v>
      </c>
      <c r="B35" s="43" t="s">
        <v>564</v>
      </c>
      <c r="C35" s="43" t="s">
        <v>508</v>
      </c>
      <c r="D35" s="260">
        <v>35000</v>
      </c>
      <c r="E35" s="260">
        <v>35000</v>
      </c>
      <c r="F35" s="260">
        <v>35000</v>
      </c>
      <c r="G35" s="260">
        <v>35000</v>
      </c>
      <c r="H35" s="260">
        <f t="shared" si="2"/>
        <v>140000</v>
      </c>
      <c r="I35" s="46"/>
    </row>
    <row r="36" ht="18" spans="1:9">
      <c r="A36" s="43">
        <v>31</v>
      </c>
      <c r="B36" s="43" t="s">
        <v>1148</v>
      </c>
      <c r="C36" s="43" t="s">
        <v>1149</v>
      </c>
      <c r="D36" s="260">
        <v>35000</v>
      </c>
      <c r="E36" s="260">
        <v>35000</v>
      </c>
      <c r="F36" s="260">
        <v>35000</v>
      </c>
      <c r="G36" s="260">
        <v>35000</v>
      </c>
      <c r="H36" s="260">
        <f t="shared" si="2"/>
        <v>140000</v>
      </c>
      <c r="I36" s="46"/>
    </row>
    <row r="37" ht="18" spans="1:9">
      <c r="A37" s="43">
        <v>32</v>
      </c>
      <c r="B37" s="43" t="s">
        <v>565</v>
      </c>
      <c r="C37" s="43" t="s">
        <v>508</v>
      </c>
      <c r="D37" s="260">
        <v>35000</v>
      </c>
      <c r="E37" s="260">
        <v>35000</v>
      </c>
      <c r="F37" s="260">
        <v>35000</v>
      </c>
      <c r="G37" s="260">
        <v>35000</v>
      </c>
      <c r="H37" s="260">
        <f t="shared" si="2"/>
        <v>140000</v>
      </c>
      <c r="I37" s="46"/>
    </row>
    <row r="38" ht="18" spans="1:9">
      <c r="A38" s="43">
        <v>33</v>
      </c>
      <c r="B38" s="43" t="s">
        <v>566</v>
      </c>
      <c r="C38" s="43" t="s">
        <v>1150</v>
      </c>
      <c r="D38" s="260">
        <v>35000</v>
      </c>
      <c r="E38" s="260">
        <v>35000</v>
      </c>
      <c r="F38" s="260">
        <v>35000</v>
      </c>
      <c r="G38" s="260">
        <v>35000</v>
      </c>
      <c r="H38" s="260">
        <f t="shared" si="2"/>
        <v>140000</v>
      </c>
      <c r="I38" s="46"/>
    </row>
    <row r="39" ht="18" spans="1:9">
      <c r="A39" s="43">
        <v>34</v>
      </c>
      <c r="B39" s="43" t="s">
        <v>1151</v>
      </c>
      <c r="C39" s="43" t="s">
        <v>508</v>
      </c>
      <c r="D39" s="260">
        <v>35000</v>
      </c>
      <c r="E39" s="260">
        <v>35000</v>
      </c>
      <c r="F39" s="260">
        <v>35000</v>
      </c>
      <c r="G39" s="260">
        <v>35000</v>
      </c>
      <c r="H39" s="260">
        <f t="shared" si="2"/>
        <v>140000</v>
      </c>
      <c r="I39" s="46"/>
    </row>
    <row r="40" ht="18" spans="1:9">
      <c r="A40" s="43">
        <v>35</v>
      </c>
      <c r="B40" s="43" t="s">
        <v>567</v>
      </c>
      <c r="C40" s="43" t="s">
        <v>508</v>
      </c>
      <c r="D40" s="260">
        <v>35000</v>
      </c>
      <c r="E40" s="260">
        <v>35000</v>
      </c>
      <c r="F40" s="260">
        <v>35000</v>
      </c>
      <c r="G40" s="260">
        <v>35000</v>
      </c>
      <c r="H40" s="260">
        <f t="shared" si="2"/>
        <v>140000</v>
      </c>
      <c r="I40" s="46"/>
    </row>
    <row r="41" ht="18" spans="1:9">
      <c r="A41" s="43">
        <v>36</v>
      </c>
      <c r="B41" s="43" t="s">
        <v>1152</v>
      </c>
      <c r="C41" s="43" t="s">
        <v>1115</v>
      </c>
      <c r="D41" s="260">
        <v>35000</v>
      </c>
      <c r="E41" s="260">
        <v>35000</v>
      </c>
      <c r="F41" s="260">
        <v>35000</v>
      </c>
      <c r="G41" s="260">
        <v>35000</v>
      </c>
      <c r="H41" s="260">
        <f t="shared" si="2"/>
        <v>140000</v>
      </c>
      <c r="I41" s="46"/>
    </row>
    <row r="42" ht="18" spans="1:9">
      <c r="A42" s="43">
        <v>37</v>
      </c>
      <c r="B42" s="43" t="s">
        <v>1153</v>
      </c>
      <c r="C42" s="43" t="s">
        <v>1115</v>
      </c>
      <c r="D42" s="260">
        <v>35000</v>
      </c>
      <c r="E42" s="260">
        <v>35000</v>
      </c>
      <c r="F42" s="260">
        <v>35000</v>
      </c>
      <c r="G42" s="260">
        <v>35000</v>
      </c>
      <c r="H42" s="260">
        <f t="shared" si="2"/>
        <v>140000</v>
      </c>
      <c r="I42" s="46"/>
    </row>
    <row r="43" ht="18" spans="1:9">
      <c r="A43" s="43">
        <v>38</v>
      </c>
      <c r="B43" s="43" t="s">
        <v>1154</v>
      </c>
      <c r="C43" s="43" t="s">
        <v>1115</v>
      </c>
      <c r="D43" s="260">
        <v>35000</v>
      </c>
      <c r="E43" s="260">
        <v>35000</v>
      </c>
      <c r="F43" s="260">
        <v>35000</v>
      </c>
      <c r="G43" s="260">
        <v>35000</v>
      </c>
      <c r="H43" s="260">
        <f t="shared" si="2"/>
        <v>140000</v>
      </c>
      <c r="I43" s="46"/>
    </row>
    <row r="44" ht="18" spans="1:9">
      <c r="A44" s="43">
        <v>39</v>
      </c>
      <c r="B44" s="43" t="s">
        <v>1155</v>
      </c>
      <c r="C44" s="43" t="s">
        <v>1115</v>
      </c>
      <c r="D44" s="260">
        <v>35000</v>
      </c>
      <c r="E44" s="260">
        <v>35000</v>
      </c>
      <c r="F44" s="260">
        <v>35000</v>
      </c>
      <c r="G44" s="260">
        <v>35000</v>
      </c>
      <c r="H44" s="260">
        <f t="shared" si="2"/>
        <v>140000</v>
      </c>
      <c r="I44" s="46"/>
    </row>
    <row r="45" ht="18" spans="1:9">
      <c r="A45" s="43">
        <v>40</v>
      </c>
      <c r="B45" s="43" t="s">
        <v>1156</v>
      </c>
      <c r="C45" s="43" t="s">
        <v>1115</v>
      </c>
      <c r="D45" s="260">
        <v>35000</v>
      </c>
      <c r="E45" s="260">
        <v>35000</v>
      </c>
      <c r="F45" s="260">
        <v>35000</v>
      </c>
      <c r="G45" s="260">
        <v>35000</v>
      </c>
      <c r="H45" s="260">
        <f t="shared" si="2"/>
        <v>140000</v>
      </c>
      <c r="I45" s="46"/>
    </row>
    <row r="46" ht="18" spans="1:9">
      <c r="A46" s="43">
        <v>41</v>
      </c>
      <c r="B46" s="43" t="s">
        <v>1157</v>
      </c>
      <c r="C46" s="43" t="s">
        <v>1115</v>
      </c>
      <c r="D46" s="260">
        <v>35000</v>
      </c>
      <c r="E46" s="260">
        <v>35000</v>
      </c>
      <c r="F46" s="260">
        <v>35000</v>
      </c>
      <c r="G46" s="260">
        <v>35000</v>
      </c>
      <c r="H46" s="260">
        <f t="shared" si="2"/>
        <v>140000</v>
      </c>
      <c r="I46" s="46"/>
    </row>
    <row r="47" ht="18" spans="1:9">
      <c r="A47" s="43">
        <v>42</v>
      </c>
      <c r="B47" s="43" t="s">
        <v>1158</v>
      </c>
      <c r="C47" s="43" t="s">
        <v>508</v>
      </c>
      <c r="D47" s="260">
        <v>35000</v>
      </c>
      <c r="E47" s="260">
        <v>35000</v>
      </c>
      <c r="F47" s="260">
        <v>35000</v>
      </c>
      <c r="G47" s="260">
        <v>35000</v>
      </c>
      <c r="H47" s="260">
        <f t="shared" si="2"/>
        <v>140000</v>
      </c>
      <c r="I47" s="46"/>
    </row>
    <row r="48" ht="18" spans="1:9">
      <c r="A48" s="43">
        <v>43</v>
      </c>
      <c r="B48" s="43" t="s">
        <v>1159</v>
      </c>
      <c r="C48" s="43" t="s">
        <v>1115</v>
      </c>
      <c r="D48" s="260">
        <v>35000</v>
      </c>
      <c r="E48" s="260">
        <v>35000</v>
      </c>
      <c r="F48" s="260">
        <v>35000</v>
      </c>
      <c r="G48" s="260">
        <v>35000</v>
      </c>
      <c r="H48" s="260">
        <f t="shared" si="2"/>
        <v>140000</v>
      </c>
      <c r="I48" s="46"/>
    </row>
    <row r="49" ht="18" spans="1:9">
      <c r="A49" s="43">
        <v>44</v>
      </c>
      <c r="B49" s="43" t="s">
        <v>1160</v>
      </c>
      <c r="C49" s="43" t="s">
        <v>1115</v>
      </c>
      <c r="D49" s="260">
        <v>35000</v>
      </c>
      <c r="E49" s="260">
        <v>35000</v>
      </c>
      <c r="F49" s="260">
        <v>35000</v>
      </c>
      <c r="G49" s="260">
        <v>35000</v>
      </c>
      <c r="H49" s="260">
        <f t="shared" si="2"/>
        <v>140000</v>
      </c>
      <c r="I49" s="46"/>
    </row>
    <row r="50" ht="18" spans="1:9">
      <c r="A50" s="43">
        <v>45</v>
      </c>
      <c r="B50" s="43" t="s">
        <v>1161</v>
      </c>
      <c r="C50" s="43" t="s">
        <v>508</v>
      </c>
      <c r="D50" s="260">
        <v>35000</v>
      </c>
      <c r="E50" s="260">
        <v>35000</v>
      </c>
      <c r="F50" s="260">
        <v>35000</v>
      </c>
      <c r="G50" s="260">
        <v>35000</v>
      </c>
      <c r="H50" s="260">
        <f t="shared" si="2"/>
        <v>140000</v>
      </c>
      <c r="I50" s="46"/>
    </row>
    <row r="51" ht="18" spans="1:9">
      <c r="A51" s="43">
        <v>46</v>
      </c>
      <c r="B51" s="43" t="s">
        <v>1162</v>
      </c>
      <c r="C51" s="43" t="s">
        <v>1115</v>
      </c>
      <c r="D51" s="260">
        <v>35000</v>
      </c>
      <c r="E51" s="260">
        <v>35000</v>
      </c>
      <c r="F51" s="260">
        <v>35000</v>
      </c>
      <c r="G51" s="260">
        <v>35000</v>
      </c>
      <c r="H51" s="260">
        <f t="shared" si="2"/>
        <v>140000</v>
      </c>
      <c r="I51" s="46"/>
    </row>
    <row r="52" ht="18" spans="1:9">
      <c r="A52" s="43">
        <v>47</v>
      </c>
      <c r="B52" s="43" t="s">
        <v>1163</v>
      </c>
      <c r="C52" s="43" t="s">
        <v>1115</v>
      </c>
      <c r="D52" s="260">
        <v>35000</v>
      </c>
      <c r="E52" s="260">
        <v>35000</v>
      </c>
      <c r="F52" s="260">
        <v>35000</v>
      </c>
      <c r="G52" s="260">
        <v>35000</v>
      </c>
      <c r="H52" s="260">
        <f t="shared" si="2"/>
        <v>140000</v>
      </c>
      <c r="I52" s="46"/>
    </row>
    <row r="53" ht="18" spans="1:9">
      <c r="A53" s="43">
        <v>48</v>
      </c>
      <c r="B53" s="43" t="s">
        <v>1164</v>
      </c>
      <c r="C53" s="43" t="s">
        <v>508</v>
      </c>
      <c r="D53" s="260">
        <v>35000</v>
      </c>
      <c r="E53" s="260">
        <v>35000</v>
      </c>
      <c r="F53" s="260">
        <v>35000</v>
      </c>
      <c r="G53" s="260">
        <v>35000</v>
      </c>
      <c r="H53" s="260">
        <f t="shared" si="2"/>
        <v>140000</v>
      </c>
      <c r="I53" s="46"/>
    </row>
    <row r="54" ht="18" spans="1:9">
      <c r="A54" s="43">
        <v>49</v>
      </c>
      <c r="B54" s="43" t="s">
        <v>1165</v>
      </c>
      <c r="C54" s="43" t="s">
        <v>508</v>
      </c>
      <c r="D54" s="260">
        <v>35000</v>
      </c>
      <c r="E54" s="260">
        <v>35000</v>
      </c>
      <c r="F54" s="260">
        <v>35000</v>
      </c>
      <c r="G54" s="260">
        <v>35000</v>
      </c>
      <c r="H54" s="260">
        <f t="shared" si="2"/>
        <v>140000</v>
      </c>
      <c r="I54" s="46"/>
    </row>
    <row r="55" ht="18" spans="1:9">
      <c r="A55" s="43">
        <v>50</v>
      </c>
      <c r="B55" s="43" t="s">
        <v>1166</v>
      </c>
      <c r="C55" s="43" t="s">
        <v>508</v>
      </c>
      <c r="D55" s="260">
        <v>35000</v>
      </c>
      <c r="E55" s="260">
        <v>35000</v>
      </c>
      <c r="F55" s="260">
        <v>35000</v>
      </c>
      <c r="G55" s="260">
        <v>35000</v>
      </c>
      <c r="H55" s="260">
        <f t="shared" si="2"/>
        <v>140000</v>
      </c>
      <c r="I55" s="46"/>
    </row>
    <row r="56" ht="18" spans="1:9">
      <c r="A56" s="43">
        <v>51</v>
      </c>
      <c r="B56" s="43" t="s">
        <v>1167</v>
      </c>
      <c r="C56" s="43" t="s">
        <v>508</v>
      </c>
      <c r="D56" s="260">
        <v>35000</v>
      </c>
      <c r="E56" s="260">
        <v>35000</v>
      </c>
      <c r="F56" s="260">
        <v>35000</v>
      </c>
      <c r="G56" s="260">
        <v>35000</v>
      </c>
      <c r="H56" s="260">
        <f t="shared" si="2"/>
        <v>140000</v>
      </c>
      <c r="I56" s="46"/>
    </row>
    <row r="57" ht="18" spans="1:9">
      <c r="A57" s="43">
        <v>52</v>
      </c>
      <c r="B57" s="43" t="s">
        <v>1168</v>
      </c>
      <c r="C57" s="43" t="s">
        <v>1115</v>
      </c>
      <c r="D57" s="260">
        <v>35000</v>
      </c>
      <c r="E57" s="260">
        <v>35000</v>
      </c>
      <c r="F57" s="260">
        <v>35000</v>
      </c>
      <c r="G57" s="260">
        <v>35000</v>
      </c>
      <c r="H57" s="260">
        <f t="shared" si="2"/>
        <v>140000</v>
      </c>
      <c r="I57" s="46"/>
    </row>
    <row r="58" ht="18" spans="1:9">
      <c r="A58" s="43">
        <v>53</v>
      </c>
      <c r="B58" s="43" t="s">
        <v>1169</v>
      </c>
      <c r="C58" s="43" t="s">
        <v>1115</v>
      </c>
      <c r="D58" s="260">
        <v>35000</v>
      </c>
      <c r="E58" s="260">
        <v>35000</v>
      </c>
      <c r="F58" s="260">
        <v>35000</v>
      </c>
      <c r="G58" s="260">
        <v>35000</v>
      </c>
      <c r="H58" s="260">
        <f t="shared" si="2"/>
        <v>140000</v>
      </c>
      <c r="I58" s="46"/>
    </row>
    <row r="59" ht="18" spans="1:9">
      <c r="A59" s="42"/>
      <c r="B59" s="43"/>
      <c r="C59" s="43"/>
      <c r="D59" s="268">
        <f>SUM(D8:D58)</f>
        <v>1785000</v>
      </c>
      <c r="E59" s="268">
        <f>SUM(E8:E58)</f>
        <v>1785000</v>
      </c>
      <c r="F59" s="268">
        <f>SUM(F8:F58)</f>
        <v>1785000</v>
      </c>
      <c r="G59" s="268">
        <f>SUM(G8:G58)</f>
        <v>1785000</v>
      </c>
      <c r="H59" s="268">
        <f>SUM(H8:H58)</f>
        <v>7140000</v>
      </c>
      <c r="I59" s="46"/>
    </row>
    <row r="60" spans="4:8">
      <c r="D60" s="269"/>
      <c r="E60" s="269"/>
      <c r="F60" s="269"/>
      <c r="G60" s="269"/>
      <c r="H60" s="269"/>
    </row>
    <row r="61" spans="4:8">
      <c r="D61" s="269"/>
      <c r="E61" s="269"/>
      <c r="F61" s="269"/>
      <c r="G61" s="269"/>
      <c r="H61" s="270"/>
    </row>
    <row r="62" spans="1:8">
      <c r="A62" s="271"/>
      <c r="B62" s="271"/>
      <c r="C62" s="271"/>
      <c r="D62" s="270"/>
      <c r="E62" s="270"/>
      <c r="F62" s="270"/>
      <c r="G62" s="270"/>
      <c r="H62" s="272"/>
    </row>
    <row r="63" spans="4:7">
      <c r="D63" s="269"/>
      <c r="E63" s="269"/>
      <c r="F63" s="269"/>
      <c r="G63" s="269"/>
    </row>
  </sheetData>
  <mergeCells count="3">
    <mergeCell ref="A1:H1"/>
    <mergeCell ref="A2:H2"/>
    <mergeCell ref="A3:H3"/>
  </mergeCells>
  <pageMargins left="0.708661417322835" right="0.708661417322835" top="0.748031496062992" bottom="0.748031496062992" header="0.31496062992126" footer="0.31496062992126"/>
  <pageSetup paperSize="9" scale="99" orientation="landscape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0"/>
  <sheetViews>
    <sheetView workbookViewId="0">
      <selection activeCell="C10" sqref="C10"/>
    </sheetView>
  </sheetViews>
  <sheetFormatPr defaultColWidth="9" defaultRowHeight="12.5"/>
  <cols>
    <col min="2" max="2" width="34.4272727272727" customWidth="1"/>
    <col min="3" max="3" width="42.2818181818182" customWidth="1"/>
    <col min="4" max="4" width="16.5727272727273" customWidth="1"/>
    <col min="5" max="5" width="14.5727272727273" customWidth="1"/>
    <col min="6" max="6" width="14.7090909090909" customWidth="1"/>
  </cols>
  <sheetData>
    <row r="1" ht="45" customHeight="1" spans="1:10">
      <c r="A1" s="258" t="s">
        <v>529</v>
      </c>
      <c r="B1" s="46"/>
      <c r="C1" s="46"/>
      <c r="D1" s="46"/>
      <c r="E1" s="46"/>
      <c r="F1" s="46"/>
      <c r="G1" s="46"/>
      <c r="H1" s="46"/>
      <c r="I1" s="46"/>
      <c r="J1" s="46"/>
    </row>
    <row r="2" ht="50.25" customHeight="1" spans="1:10">
      <c r="A2" s="68" t="s">
        <v>20</v>
      </c>
      <c r="B2" s="42" t="s">
        <v>446</v>
      </c>
      <c r="C2" s="42" t="s">
        <v>3</v>
      </c>
      <c r="D2" s="259" t="s">
        <v>1170</v>
      </c>
      <c r="E2" s="259" t="s">
        <v>14</v>
      </c>
      <c r="F2" s="259" t="s">
        <v>1171</v>
      </c>
      <c r="G2" s="46"/>
      <c r="H2" s="46"/>
      <c r="I2" s="46"/>
      <c r="J2" s="46"/>
    </row>
    <row r="3" ht="35.1" customHeight="1" spans="1:10">
      <c r="A3" s="49">
        <v>1</v>
      </c>
      <c r="B3" s="43" t="s">
        <v>140</v>
      </c>
      <c r="C3" s="43" t="s">
        <v>117</v>
      </c>
      <c r="D3" s="260">
        <f>20000*28</f>
        <v>560000</v>
      </c>
      <c r="E3" s="261">
        <f>86186.67</f>
        <v>86186.67</v>
      </c>
      <c r="F3" s="260">
        <f>D3-E3</f>
        <v>473813.33</v>
      </c>
      <c r="G3" s="46"/>
      <c r="H3" s="46"/>
      <c r="I3" s="46"/>
      <c r="J3" s="46"/>
    </row>
    <row r="4" ht="39.75" customHeight="1" spans="1:10">
      <c r="A4" s="49">
        <v>2</v>
      </c>
      <c r="B4" s="198" t="s">
        <v>1172</v>
      </c>
      <c r="C4" s="43" t="s">
        <v>1173</v>
      </c>
      <c r="D4" s="260">
        <f>20000*28</f>
        <v>560000</v>
      </c>
      <c r="E4" s="261">
        <f>86186.67</f>
        <v>86186.67</v>
      </c>
      <c r="F4" s="260">
        <f t="shared" ref="F4" si="0">D4-E4</f>
        <v>473813.33</v>
      </c>
      <c r="G4" s="46"/>
      <c r="H4" s="46"/>
      <c r="I4" s="46"/>
      <c r="J4" s="46"/>
    </row>
    <row r="5" ht="36" customHeight="1" spans="1:10">
      <c r="A5" s="43"/>
      <c r="B5" s="42" t="s">
        <v>96</v>
      </c>
      <c r="C5" s="42"/>
      <c r="D5" s="262">
        <f>SUM(D3:D4)</f>
        <v>1120000</v>
      </c>
      <c r="E5" s="262">
        <f>SUM(E3:E4)</f>
        <v>172373.34</v>
      </c>
      <c r="F5" s="262">
        <f>SUM(F3:F4)</f>
        <v>947626.66</v>
      </c>
      <c r="G5" s="46"/>
      <c r="H5" s="46"/>
      <c r="I5" s="46"/>
      <c r="J5" s="46"/>
    </row>
    <row r="6" ht="18" spans="1:10">
      <c r="A6" s="46"/>
      <c r="B6" s="46"/>
      <c r="C6" s="46"/>
      <c r="D6" s="46"/>
      <c r="E6" s="46"/>
      <c r="F6" s="46"/>
      <c r="G6" s="46"/>
      <c r="H6" s="46"/>
      <c r="I6" s="46"/>
      <c r="J6" s="46"/>
    </row>
    <row r="7" ht="18" spans="1:10">
      <c r="A7" s="46"/>
      <c r="B7" s="46"/>
      <c r="C7" s="46"/>
      <c r="D7" s="46"/>
      <c r="E7" s="46"/>
      <c r="F7" s="46"/>
      <c r="G7" s="46"/>
      <c r="H7" s="46"/>
      <c r="I7" s="46"/>
      <c r="J7" s="46"/>
    </row>
    <row r="8" ht="18" spans="1:10">
      <c r="A8" s="46"/>
      <c r="B8" s="46"/>
      <c r="C8" s="46"/>
      <c r="D8" s="46"/>
      <c r="E8" s="46"/>
      <c r="F8" s="46"/>
      <c r="G8" s="46"/>
      <c r="H8" s="46"/>
      <c r="I8" s="46"/>
      <c r="J8" s="46"/>
    </row>
    <row r="9" ht="18" spans="1:10">
      <c r="A9" s="46"/>
      <c r="B9" s="46"/>
      <c r="C9" s="46"/>
      <c r="D9" s="46"/>
      <c r="E9" s="46"/>
      <c r="F9" s="46"/>
      <c r="G9" s="46"/>
      <c r="H9" s="46"/>
      <c r="I9" s="46"/>
      <c r="J9" s="46"/>
    </row>
    <row r="10" ht="18" spans="1:10">
      <c r="A10" s="46"/>
      <c r="B10" s="46"/>
      <c r="C10" s="46"/>
      <c r="D10" s="46"/>
      <c r="E10" s="46"/>
      <c r="F10" s="46"/>
      <c r="G10" s="46"/>
      <c r="H10" s="46"/>
      <c r="I10" s="46"/>
      <c r="J10" s="46"/>
    </row>
    <row r="11" ht="18" spans="1:10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ht="18" spans="1:10">
      <c r="A12" s="46"/>
      <c r="B12" s="46"/>
      <c r="C12" s="46"/>
      <c r="D12" s="46"/>
      <c r="E12" s="46"/>
      <c r="F12" s="46"/>
      <c r="G12" s="46"/>
      <c r="H12" s="46"/>
      <c r="I12" s="46"/>
      <c r="J12" s="46"/>
    </row>
    <row r="13" ht="18" spans="1:10">
      <c r="A13" s="46"/>
      <c r="B13" s="46"/>
      <c r="C13" s="46"/>
      <c r="D13" s="46"/>
      <c r="E13" s="46"/>
      <c r="F13" s="46"/>
      <c r="G13" s="46"/>
      <c r="H13" s="46"/>
      <c r="I13" s="46"/>
      <c r="J13" s="46"/>
    </row>
    <row r="14" ht="18" spans="1:10">
      <c r="A14" s="46"/>
      <c r="B14" s="46"/>
      <c r="C14" s="46"/>
      <c r="D14" s="46"/>
      <c r="E14" s="46"/>
      <c r="F14" s="46"/>
      <c r="G14" s="46"/>
      <c r="H14" s="46"/>
      <c r="I14" s="46"/>
      <c r="J14" s="46"/>
    </row>
    <row r="15" ht="18" spans="1:10">
      <c r="A15" s="46"/>
      <c r="B15" s="46"/>
      <c r="C15" s="46"/>
      <c r="D15" s="46"/>
      <c r="E15" s="46"/>
      <c r="F15" s="46"/>
      <c r="G15" s="46"/>
      <c r="H15" s="46"/>
      <c r="I15" s="46"/>
      <c r="J15" s="46"/>
    </row>
    <row r="16" ht="18" spans="1:10">
      <c r="A16" s="46"/>
      <c r="B16" s="46"/>
      <c r="C16" s="46"/>
      <c r="D16" s="46"/>
      <c r="E16" s="46"/>
      <c r="F16" s="46"/>
      <c r="G16" s="46"/>
      <c r="H16" s="46"/>
      <c r="I16" s="46"/>
      <c r="J16" s="46"/>
    </row>
    <row r="17" ht="18" spans="1:10">
      <c r="A17" s="46"/>
      <c r="B17" s="46"/>
      <c r="C17" s="46"/>
      <c r="D17" s="46"/>
      <c r="E17" s="46"/>
      <c r="F17" s="46"/>
      <c r="G17" s="46"/>
      <c r="H17" s="46"/>
      <c r="I17" s="46"/>
      <c r="J17" s="46"/>
    </row>
    <row r="18" ht="18" spans="1:10">
      <c r="A18" s="46"/>
      <c r="B18" s="46"/>
      <c r="C18" s="46"/>
      <c r="D18" s="46"/>
      <c r="E18" s="46"/>
      <c r="F18" s="46"/>
      <c r="G18" s="46"/>
      <c r="H18" s="46"/>
      <c r="I18" s="46"/>
      <c r="J18" s="46"/>
    </row>
    <row r="19" ht="18" spans="1:10">
      <c r="A19" s="46"/>
      <c r="B19" s="46"/>
      <c r="C19" s="46"/>
      <c r="D19" s="46"/>
      <c r="E19" s="46"/>
      <c r="F19" s="46"/>
      <c r="G19" s="46"/>
      <c r="H19" s="46"/>
      <c r="I19" s="46"/>
      <c r="J19" s="46"/>
    </row>
    <row r="20" ht="18" spans="1:10">
      <c r="A20" s="46"/>
      <c r="B20" s="46"/>
      <c r="C20" s="46"/>
      <c r="D20" s="46"/>
      <c r="E20" s="46"/>
      <c r="F20" s="46"/>
      <c r="G20" s="46"/>
      <c r="H20" s="46"/>
      <c r="I20" s="46"/>
      <c r="J20" s="46"/>
    </row>
    <row r="21" ht="18" spans="1:10">
      <c r="A21" s="46"/>
      <c r="B21" s="46"/>
      <c r="C21" s="46"/>
      <c r="D21" s="46"/>
      <c r="E21" s="46"/>
      <c r="F21" s="46"/>
      <c r="G21" s="46"/>
      <c r="H21" s="46"/>
      <c r="I21" s="46"/>
      <c r="J21" s="46"/>
    </row>
    <row r="22" ht="18" spans="1:10">
      <c r="A22" s="46"/>
      <c r="B22" s="46"/>
      <c r="C22" s="46"/>
      <c r="D22" s="46"/>
      <c r="E22" s="46"/>
      <c r="F22" s="46"/>
      <c r="G22" s="46"/>
      <c r="H22" s="46"/>
      <c r="I22" s="46"/>
      <c r="J22" s="46"/>
    </row>
    <row r="23" ht="18" spans="1:10">
      <c r="A23" s="46"/>
      <c r="B23" s="46"/>
      <c r="C23" s="46"/>
      <c r="D23" s="46"/>
      <c r="E23" s="46"/>
      <c r="F23" s="46"/>
      <c r="G23" s="46"/>
      <c r="H23" s="46"/>
      <c r="I23" s="46"/>
      <c r="J23" s="46"/>
    </row>
    <row r="24" ht="18" spans="1:10">
      <c r="A24" s="46"/>
      <c r="B24" s="46"/>
      <c r="C24" s="46"/>
      <c r="D24" s="46"/>
      <c r="E24" s="46"/>
      <c r="F24" s="46"/>
      <c r="G24" s="46"/>
      <c r="H24" s="46"/>
      <c r="I24" s="46"/>
      <c r="J24" s="46"/>
    </row>
    <row r="25" ht="18" spans="1:10">
      <c r="A25" s="46"/>
      <c r="B25" s="46"/>
      <c r="C25" s="46"/>
      <c r="D25" s="46"/>
      <c r="E25" s="46"/>
      <c r="F25" s="46"/>
      <c r="G25" s="46"/>
      <c r="H25" s="46"/>
      <c r="I25" s="46"/>
      <c r="J25" s="46"/>
    </row>
    <row r="26" ht="18" spans="1:10">
      <c r="A26" s="46"/>
      <c r="B26" s="46"/>
      <c r="C26" s="46"/>
      <c r="D26" s="46"/>
      <c r="E26" s="46"/>
      <c r="F26" s="46"/>
      <c r="G26" s="46"/>
      <c r="H26" s="46"/>
      <c r="I26" s="46"/>
      <c r="J26" s="46"/>
    </row>
    <row r="27" ht="18" spans="1:10">
      <c r="A27" s="46"/>
      <c r="B27" s="46"/>
      <c r="C27" s="46"/>
      <c r="D27" s="46"/>
      <c r="E27" s="46"/>
      <c r="F27" s="46"/>
      <c r="G27" s="46"/>
      <c r="H27" s="46"/>
      <c r="I27" s="46"/>
      <c r="J27" s="46"/>
    </row>
    <row r="28" ht="18" spans="1:10">
      <c r="A28" s="46"/>
      <c r="B28" s="46"/>
      <c r="C28" s="46"/>
      <c r="D28" s="46"/>
      <c r="E28" s="46"/>
      <c r="F28" s="46"/>
      <c r="G28" s="46"/>
      <c r="H28" s="46"/>
      <c r="I28" s="46"/>
      <c r="J28" s="46"/>
    </row>
    <row r="29" ht="18" spans="1:10">
      <c r="A29" s="46"/>
      <c r="B29" s="46"/>
      <c r="C29" s="46"/>
      <c r="D29" s="46"/>
      <c r="E29" s="46"/>
      <c r="F29" s="46"/>
      <c r="G29" s="46"/>
      <c r="H29" s="46"/>
      <c r="I29" s="46"/>
      <c r="J29" s="46"/>
    </row>
    <row r="30" ht="18" spans="1:10">
      <c r="A30" s="46"/>
      <c r="B30" s="46"/>
      <c r="C30" s="46"/>
      <c r="D30" s="46"/>
      <c r="E30" s="46"/>
      <c r="F30" s="46"/>
      <c r="G30" s="46"/>
      <c r="H30" s="46"/>
      <c r="I30" s="46"/>
      <c r="J30" s="46"/>
    </row>
    <row r="31" ht="18" spans="1:10">
      <c r="A31" s="46"/>
      <c r="B31" s="46"/>
      <c r="C31" s="46"/>
      <c r="D31" s="46"/>
      <c r="E31" s="46"/>
      <c r="F31" s="46"/>
      <c r="G31" s="46"/>
      <c r="H31" s="46"/>
      <c r="I31" s="46"/>
      <c r="J31" s="46"/>
    </row>
    <row r="32" ht="18" spans="1:10">
      <c r="A32" s="46"/>
      <c r="B32" s="46"/>
      <c r="C32" s="46"/>
      <c r="D32" s="46"/>
      <c r="E32" s="46"/>
      <c r="F32" s="46"/>
      <c r="G32" s="46"/>
      <c r="H32" s="46"/>
      <c r="I32" s="46"/>
      <c r="J32" s="46"/>
    </row>
    <row r="33" ht="18" spans="1:10">
      <c r="A33" s="46"/>
      <c r="B33" s="46"/>
      <c r="C33" s="46"/>
      <c r="D33" s="46"/>
      <c r="E33" s="46"/>
      <c r="F33" s="46"/>
      <c r="G33" s="46"/>
      <c r="H33" s="46"/>
      <c r="I33" s="46"/>
      <c r="J33" s="46"/>
    </row>
    <row r="34" ht="18" spans="1:10">
      <c r="A34" s="46"/>
      <c r="B34" s="46"/>
      <c r="C34" s="46"/>
      <c r="D34" s="46"/>
      <c r="E34" s="46"/>
      <c r="F34" s="46"/>
      <c r="G34" s="46"/>
      <c r="H34" s="46"/>
      <c r="I34" s="46"/>
      <c r="J34" s="46"/>
    </row>
    <row r="35" ht="18" spans="1:10">
      <c r="A35" s="46"/>
      <c r="B35" s="46"/>
      <c r="C35" s="46"/>
      <c r="D35" s="46"/>
      <c r="E35" s="46"/>
      <c r="F35" s="46"/>
      <c r="G35" s="46"/>
      <c r="H35" s="46"/>
      <c r="I35" s="46"/>
      <c r="J35" s="46"/>
    </row>
    <row r="36" ht="18" spans="1:10">
      <c r="A36" s="46"/>
      <c r="B36" s="46"/>
      <c r="C36" s="46"/>
      <c r="D36" s="46"/>
      <c r="E36" s="46"/>
      <c r="F36" s="46"/>
      <c r="G36" s="46"/>
      <c r="H36" s="46"/>
      <c r="I36" s="46"/>
      <c r="J36" s="46"/>
    </row>
    <row r="37" ht="18" spans="1:10">
      <c r="A37" s="46"/>
      <c r="B37" s="46"/>
      <c r="C37" s="46"/>
      <c r="D37" s="46"/>
      <c r="E37" s="46"/>
      <c r="F37" s="46"/>
      <c r="G37" s="46"/>
      <c r="H37" s="46"/>
      <c r="I37" s="46"/>
      <c r="J37" s="46"/>
    </row>
    <row r="38" ht="18" spans="1:10">
      <c r="A38" s="46"/>
      <c r="B38" s="46"/>
      <c r="C38" s="46"/>
      <c r="D38" s="46"/>
      <c r="E38" s="46"/>
      <c r="F38" s="46"/>
      <c r="G38" s="46"/>
      <c r="H38" s="46"/>
      <c r="I38" s="46"/>
      <c r="J38" s="46"/>
    </row>
    <row r="39" ht="18" spans="1:10">
      <c r="A39" s="46"/>
      <c r="B39" s="46"/>
      <c r="C39" s="46"/>
      <c r="D39" s="46"/>
      <c r="E39" s="46"/>
      <c r="F39" s="46"/>
      <c r="G39" s="46"/>
      <c r="H39" s="46"/>
      <c r="I39" s="46"/>
      <c r="J39" s="46"/>
    </row>
    <row r="40" ht="18" spans="1:10">
      <c r="A40" s="46"/>
      <c r="B40" s="46"/>
      <c r="C40" s="46"/>
      <c r="D40" s="46"/>
      <c r="E40" s="46"/>
      <c r="F40" s="46"/>
      <c r="G40" s="46"/>
      <c r="H40" s="46"/>
      <c r="I40" s="46"/>
      <c r="J40" s="46"/>
    </row>
    <row r="41" ht="18" spans="1:10">
      <c r="A41" s="46"/>
      <c r="B41" s="46"/>
      <c r="C41" s="46"/>
      <c r="D41" s="46"/>
      <c r="E41" s="46"/>
      <c r="F41" s="46"/>
      <c r="G41" s="46"/>
      <c r="H41" s="46"/>
      <c r="I41" s="46"/>
      <c r="J41" s="46"/>
    </row>
    <row r="42" ht="18" spans="1:10">
      <c r="A42" s="46"/>
      <c r="B42" s="46"/>
      <c r="C42" s="46"/>
      <c r="D42" s="46"/>
      <c r="E42" s="46"/>
      <c r="F42" s="46"/>
      <c r="G42" s="46"/>
      <c r="H42" s="46"/>
      <c r="I42" s="46"/>
      <c r="J42" s="46"/>
    </row>
    <row r="43" ht="18" spans="1:10">
      <c r="A43" s="46"/>
      <c r="B43" s="46"/>
      <c r="C43" s="46"/>
      <c r="D43" s="46"/>
      <c r="E43" s="46"/>
      <c r="F43" s="46"/>
      <c r="G43" s="46"/>
      <c r="H43" s="46"/>
      <c r="I43" s="46"/>
      <c r="J43" s="46"/>
    </row>
    <row r="44" ht="18" spans="1:10">
      <c r="A44" s="46"/>
      <c r="B44" s="46"/>
      <c r="C44" s="46"/>
      <c r="D44" s="46"/>
      <c r="E44" s="46"/>
      <c r="F44" s="46"/>
      <c r="G44" s="46"/>
      <c r="H44" s="46"/>
      <c r="I44" s="46"/>
      <c r="J44" s="46"/>
    </row>
    <row r="45" ht="18" spans="1:10">
      <c r="A45" s="46"/>
      <c r="B45" s="46"/>
      <c r="C45" s="46"/>
      <c r="D45" s="46"/>
      <c r="E45" s="46"/>
      <c r="F45" s="46"/>
      <c r="G45" s="46"/>
      <c r="H45" s="46"/>
      <c r="I45" s="46"/>
      <c r="J45" s="46"/>
    </row>
    <row r="46" ht="18" spans="1:10">
      <c r="A46" s="46"/>
      <c r="B46" s="46"/>
      <c r="C46" s="46"/>
      <c r="D46" s="46"/>
      <c r="E46" s="46"/>
      <c r="F46" s="46"/>
      <c r="G46" s="46"/>
      <c r="H46" s="46"/>
      <c r="I46" s="46"/>
      <c r="J46" s="46"/>
    </row>
    <row r="47" ht="18" spans="1:10">
      <c r="A47" s="46"/>
      <c r="B47" s="46"/>
      <c r="C47" s="46"/>
      <c r="D47" s="46"/>
      <c r="E47" s="46"/>
      <c r="F47" s="46"/>
      <c r="G47" s="46"/>
      <c r="H47" s="46"/>
      <c r="I47" s="46"/>
      <c r="J47" s="46"/>
    </row>
    <row r="48" ht="18" spans="1:10">
      <c r="A48" s="46"/>
      <c r="B48" s="46"/>
      <c r="C48" s="46"/>
      <c r="D48" s="46"/>
      <c r="E48" s="46"/>
      <c r="F48" s="46"/>
      <c r="G48" s="46"/>
      <c r="H48" s="46"/>
      <c r="I48" s="46"/>
      <c r="J48" s="46"/>
    </row>
    <row r="49" ht="18" spans="1:10">
      <c r="A49" s="46"/>
      <c r="B49" s="46"/>
      <c r="C49" s="46"/>
      <c r="D49" s="46"/>
      <c r="E49" s="46"/>
      <c r="F49" s="46"/>
      <c r="G49" s="46"/>
      <c r="H49" s="46"/>
      <c r="I49" s="46"/>
      <c r="J49" s="46"/>
    </row>
    <row r="50" ht="18" spans="1:10">
      <c r="A50" s="46"/>
      <c r="B50" s="46"/>
      <c r="C50" s="46"/>
      <c r="D50" s="46"/>
      <c r="E50" s="46"/>
      <c r="F50" s="46"/>
      <c r="G50" s="46"/>
      <c r="H50" s="46"/>
      <c r="I50" s="46"/>
      <c r="J50" s="46"/>
    </row>
    <row r="51" ht="18" spans="1:10">
      <c r="A51" s="46"/>
      <c r="B51" s="46"/>
      <c r="C51" s="46"/>
      <c r="D51" s="46"/>
      <c r="E51" s="46"/>
      <c r="F51" s="46"/>
      <c r="G51" s="46"/>
      <c r="H51" s="46"/>
      <c r="I51" s="46"/>
      <c r="J51" s="46"/>
    </row>
    <row r="52" ht="18" spans="1:10">
      <c r="A52" s="46"/>
      <c r="B52" s="46"/>
      <c r="C52" s="46"/>
      <c r="D52" s="46"/>
      <c r="E52" s="46"/>
      <c r="F52" s="46"/>
      <c r="G52" s="46"/>
      <c r="H52" s="46"/>
      <c r="I52" s="46"/>
      <c r="J52" s="46"/>
    </row>
    <row r="53" ht="18" spans="1:10">
      <c r="A53" s="46"/>
      <c r="B53" s="46"/>
      <c r="C53" s="46"/>
      <c r="D53" s="46"/>
      <c r="E53" s="46"/>
      <c r="F53" s="46"/>
      <c r="G53" s="46"/>
      <c r="H53" s="46"/>
      <c r="I53" s="46"/>
      <c r="J53" s="46"/>
    </row>
    <row r="54" ht="18" spans="1:10">
      <c r="A54" s="46"/>
      <c r="B54" s="46"/>
      <c r="C54" s="46"/>
      <c r="D54" s="46"/>
      <c r="E54" s="46"/>
      <c r="F54" s="46"/>
      <c r="G54" s="46"/>
      <c r="H54" s="46"/>
      <c r="I54" s="46"/>
      <c r="J54" s="46"/>
    </row>
    <row r="55" ht="18" spans="1:10">
      <c r="A55" s="46"/>
      <c r="B55" s="46"/>
      <c r="C55" s="46"/>
      <c r="D55" s="46"/>
      <c r="E55" s="46"/>
      <c r="F55" s="46"/>
      <c r="G55" s="46"/>
      <c r="H55" s="46"/>
      <c r="I55" s="46"/>
      <c r="J55" s="46"/>
    </row>
    <row r="56" ht="18" spans="1:10">
      <c r="A56" s="46"/>
      <c r="B56" s="46"/>
      <c r="C56" s="46"/>
      <c r="D56" s="46"/>
      <c r="E56" s="46"/>
      <c r="F56" s="46"/>
      <c r="G56" s="46"/>
      <c r="H56" s="46"/>
      <c r="I56" s="46"/>
      <c r="J56" s="46"/>
    </row>
    <row r="57" ht="18" spans="1:10">
      <c r="A57" s="46"/>
      <c r="B57" s="46"/>
      <c r="C57" s="46"/>
      <c r="D57" s="46"/>
      <c r="E57" s="46"/>
      <c r="F57" s="46"/>
      <c r="G57" s="46"/>
      <c r="H57" s="46"/>
      <c r="I57" s="46"/>
      <c r="J57" s="46"/>
    </row>
    <row r="58" ht="18" spans="1:10">
      <c r="A58" s="46"/>
      <c r="B58" s="46"/>
      <c r="C58" s="46"/>
      <c r="D58" s="46"/>
      <c r="E58" s="46"/>
      <c r="F58" s="46"/>
      <c r="G58" s="46"/>
      <c r="H58" s="46"/>
      <c r="I58" s="46"/>
      <c r="J58" s="46"/>
    </row>
    <row r="59" ht="18" spans="1:10">
      <c r="A59" s="46"/>
      <c r="B59" s="46"/>
      <c r="C59" s="46"/>
      <c r="D59" s="46"/>
      <c r="E59" s="46"/>
      <c r="F59" s="46"/>
      <c r="G59" s="46"/>
      <c r="H59" s="46"/>
      <c r="I59" s="46"/>
      <c r="J59" s="46"/>
    </row>
    <row r="60" ht="18" spans="1:10">
      <c r="A60" s="46"/>
      <c r="B60" s="46"/>
      <c r="C60" s="46"/>
      <c r="D60" s="46"/>
      <c r="E60" s="46"/>
      <c r="F60" s="46"/>
      <c r="G60" s="46"/>
      <c r="H60" s="46"/>
      <c r="I60" s="46"/>
      <c r="J60" s="46"/>
    </row>
    <row r="61" ht="18" spans="1:10">
      <c r="A61" s="46"/>
      <c r="B61" s="46"/>
      <c r="C61" s="46"/>
      <c r="D61" s="46"/>
      <c r="E61" s="46"/>
      <c r="F61" s="46"/>
      <c r="G61" s="46"/>
      <c r="H61" s="46"/>
      <c r="I61" s="46"/>
      <c r="J61" s="46"/>
    </row>
    <row r="62" ht="18" spans="1:10">
      <c r="A62" s="46"/>
      <c r="B62" s="46"/>
      <c r="C62" s="46"/>
      <c r="D62" s="46"/>
      <c r="E62" s="46"/>
      <c r="F62" s="46"/>
      <c r="G62" s="46"/>
      <c r="H62" s="46"/>
      <c r="I62" s="46"/>
      <c r="J62" s="46"/>
    </row>
    <row r="63" ht="18" spans="1:10">
      <c r="A63" s="46"/>
      <c r="B63" s="46"/>
      <c r="C63" s="46"/>
      <c r="D63" s="46"/>
      <c r="E63" s="46"/>
      <c r="F63" s="46"/>
      <c r="G63" s="46"/>
      <c r="H63" s="46"/>
      <c r="I63" s="46"/>
      <c r="J63" s="46"/>
    </row>
    <row r="64" ht="18" spans="1:10">
      <c r="A64" s="46"/>
      <c r="B64" s="46"/>
      <c r="C64" s="46"/>
      <c r="D64" s="46"/>
      <c r="E64" s="46"/>
      <c r="F64" s="46"/>
      <c r="G64" s="46"/>
      <c r="H64" s="46"/>
      <c r="I64" s="46"/>
      <c r="J64" s="46"/>
    </row>
    <row r="65" ht="18" spans="1:10">
      <c r="A65" s="46"/>
      <c r="B65" s="46"/>
      <c r="C65" s="46"/>
      <c r="D65" s="46"/>
      <c r="E65" s="46"/>
      <c r="F65" s="46"/>
      <c r="G65" s="46"/>
      <c r="H65" s="46"/>
      <c r="I65" s="46"/>
      <c r="J65" s="46"/>
    </row>
    <row r="66" ht="18" spans="1:10">
      <c r="A66" s="46"/>
      <c r="B66" s="46"/>
      <c r="C66" s="46"/>
      <c r="D66" s="46"/>
      <c r="E66" s="46"/>
      <c r="F66" s="46"/>
      <c r="G66" s="46"/>
      <c r="H66" s="46"/>
      <c r="I66" s="46"/>
      <c r="J66" s="46"/>
    </row>
    <row r="67" ht="18" spans="1:10">
      <c r="A67" s="46"/>
      <c r="B67" s="46"/>
      <c r="C67" s="46"/>
      <c r="D67" s="46"/>
      <c r="E67" s="46"/>
      <c r="F67" s="46"/>
      <c r="G67" s="46"/>
      <c r="H67" s="46"/>
      <c r="I67" s="46"/>
      <c r="J67" s="46"/>
    </row>
    <row r="68" ht="18" spans="1:10">
      <c r="A68" s="46"/>
      <c r="B68" s="46"/>
      <c r="C68" s="46"/>
      <c r="D68" s="46"/>
      <c r="E68" s="46"/>
      <c r="F68" s="46"/>
      <c r="G68" s="46"/>
      <c r="H68" s="46"/>
      <c r="I68" s="46"/>
      <c r="J68" s="46"/>
    </row>
    <row r="69" ht="18" spans="1:10">
      <c r="A69" s="46"/>
      <c r="B69" s="46"/>
      <c r="C69" s="46"/>
      <c r="D69" s="46"/>
      <c r="E69" s="46"/>
      <c r="F69" s="46"/>
      <c r="G69" s="46"/>
      <c r="H69" s="46"/>
      <c r="I69" s="46"/>
      <c r="J69" s="46"/>
    </row>
    <row r="70" ht="18" spans="1:10">
      <c r="A70" s="46"/>
      <c r="B70" s="46"/>
      <c r="C70" s="46"/>
      <c r="D70" s="46"/>
      <c r="E70" s="46"/>
      <c r="F70" s="46"/>
      <c r="G70" s="46"/>
      <c r="H70" s="46"/>
      <c r="I70" s="46"/>
      <c r="J70" s="46"/>
    </row>
    <row r="71" ht="18" spans="1:10">
      <c r="A71" s="46"/>
      <c r="B71" s="46"/>
      <c r="C71" s="46"/>
      <c r="D71" s="46"/>
      <c r="E71" s="46"/>
      <c r="F71" s="46"/>
      <c r="G71" s="46"/>
      <c r="H71" s="46"/>
      <c r="I71" s="46"/>
      <c r="J71" s="46"/>
    </row>
    <row r="72" ht="18" spans="1:10">
      <c r="A72" s="46"/>
      <c r="B72" s="46"/>
      <c r="C72" s="46"/>
      <c r="D72" s="46"/>
      <c r="E72" s="46"/>
      <c r="F72" s="46"/>
      <c r="G72" s="46"/>
      <c r="H72" s="46"/>
      <c r="I72" s="46"/>
      <c r="J72" s="46"/>
    </row>
    <row r="73" ht="18" spans="1:10">
      <c r="A73" s="46"/>
      <c r="B73" s="46"/>
      <c r="C73" s="46"/>
      <c r="D73" s="46"/>
      <c r="E73" s="46"/>
      <c r="F73" s="46"/>
      <c r="G73" s="46"/>
      <c r="H73" s="46"/>
      <c r="I73" s="46"/>
      <c r="J73" s="46"/>
    </row>
    <row r="74" ht="18" spans="1:10">
      <c r="A74" s="46"/>
      <c r="B74" s="46"/>
      <c r="C74" s="46"/>
      <c r="D74" s="46"/>
      <c r="E74" s="46"/>
      <c r="F74" s="46"/>
      <c r="G74" s="46"/>
      <c r="H74" s="46"/>
      <c r="I74" s="46"/>
      <c r="J74" s="46"/>
    </row>
    <row r="75" ht="18" spans="1:10">
      <c r="A75" s="46"/>
      <c r="B75" s="46"/>
      <c r="C75" s="46"/>
      <c r="D75" s="46"/>
      <c r="E75" s="46"/>
      <c r="F75" s="46"/>
      <c r="G75" s="46"/>
      <c r="H75" s="46"/>
      <c r="I75" s="46"/>
      <c r="J75" s="46"/>
    </row>
    <row r="76" ht="18" spans="1:10">
      <c r="A76" s="46"/>
      <c r="B76" s="46"/>
      <c r="C76" s="46"/>
      <c r="D76" s="46"/>
      <c r="E76" s="46"/>
      <c r="F76" s="46"/>
      <c r="G76" s="46"/>
      <c r="H76" s="46"/>
      <c r="I76" s="46"/>
      <c r="J76" s="46"/>
    </row>
    <row r="77" ht="18" spans="1:10">
      <c r="A77" s="46"/>
      <c r="B77" s="46"/>
      <c r="C77" s="46"/>
      <c r="D77" s="46"/>
      <c r="E77" s="46"/>
      <c r="F77" s="46"/>
      <c r="G77" s="46"/>
      <c r="H77" s="46"/>
      <c r="I77" s="46"/>
      <c r="J77" s="46"/>
    </row>
    <row r="78" ht="18" spans="1:10">
      <c r="A78" s="46"/>
      <c r="B78" s="46"/>
      <c r="C78" s="46"/>
      <c r="D78" s="46"/>
      <c r="E78" s="46"/>
      <c r="F78" s="46"/>
      <c r="G78" s="46"/>
      <c r="H78" s="46"/>
      <c r="I78" s="46"/>
      <c r="J78" s="46"/>
    </row>
    <row r="79" ht="18" spans="1:10">
      <c r="A79" s="46"/>
      <c r="B79" s="46"/>
      <c r="C79" s="46"/>
      <c r="D79" s="46"/>
      <c r="E79" s="46"/>
      <c r="F79" s="46"/>
      <c r="G79" s="46"/>
      <c r="H79" s="46"/>
      <c r="I79" s="46"/>
      <c r="J79" s="46"/>
    </row>
    <row r="80" ht="18" spans="1:10">
      <c r="A80" s="46"/>
      <c r="B80" s="46"/>
      <c r="C80" s="46"/>
      <c r="D80" s="46"/>
      <c r="E80" s="46"/>
      <c r="F80" s="46"/>
      <c r="G80" s="46"/>
      <c r="H80" s="46"/>
      <c r="I80" s="46"/>
      <c r="J80" s="46"/>
    </row>
    <row r="81" ht="18" spans="1:10">
      <c r="A81" s="46"/>
      <c r="B81" s="46"/>
      <c r="C81" s="46"/>
      <c r="D81" s="46"/>
      <c r="E81" s="46"/>
      <c r="F81" s="46"/>
      <c r="G81" s="46"/>
      <c r="H81" s="46"/>
      <c r="I81" s="46"/>
      <c r="J81" s="46"/>
    </row>
    <row r="82" ht="18" spans="1:10">
      <c r="A82" s="46"/>
      <c r="B82" s="46"/>
      <c r="C82" s="46"/>
      <c r="D82" s="46"/>
      <c r="E82" s="46"/>
      <c r="F82" s="46"/>
      <c r="G82" s="46"/>
      <c r="H82" s="46"/>
      <c r="I82" s="46"/>
      <c r="J82" s="46"/>
    </row>
    <row r="83" ht="18" spans="1:10">
      <c r="A83" s="46"/>
      <c r="B83" s="46"/>
      <c r="C83" s="46"/>
      <c r="D83" s="46"/>
      <c r="E83" s="46"/>
      <c r="F83" s="46"/>
      <c r="G83" s="46"/>
      <c r="H83" s="46"/>
      <c r="I83" s="46"/>
      <c r="J83" s="46"/>
    </row>
    <row r="84" ht="18" spans="1:10">
      <c r="A84" s="46"/>
      <c r="B84" s="46"/>
      <c r="C84" s="46"/>
      <c r="D84" s="46"/>
      <c r="E84" s="46"/>
      <c r="F84" s="46"/>
      <c r="G84" s="46"/>
      <c r="H84" s="46"/>
      <c r="I84" s="46"/>
      <c r="J84" s="46"/>
    </row>
    <row r="85" ht="18" spans="1:10">
      <c r="A85" s="46"/>
      <c r="B85" s="46"/>
      <c r="C85" s="46"/>
      <c r="D85" s="46"/>
      <c r="E85" s="46"/>
      <c r="F85" s="46"/>
      <c r="G85" s="46"/>
      <c r="H85" s="46"/>
      <c r="I85" s="46"/>
      <c r="J85" s="46"/>
    </row>
    <row r="86" ht="18" spans="1:10">
      <c r="A86" s="46"/>
      <c r="B86" s="46"/>
      <c r="C86" s="46"/>
      <c r="D86" s="46"/>
      <c r="E86" s="46"/>
      <c r="F86" s="46"/>
      <c r="G86" s="46"/>
      <c r="H86" s="46"/>
      <c r="I86" s="46"/>
      <c r="J86" s="46"/>
    </row>
    <row r="87" ht="18" spans="1:10">
      <c r="A87" s="46"/>
      <c r="B87" s="46"/>
      <c r="C87" s="46"/>
      <c r="D87" s="46"/>
      <c r="E87" s="46"/>
      <c r="F87" s="46"/>
      <c r="G87" s="46"/>
      <c r="H87" s="46"/>
      <c r="I87" s="46"/>
      <c r="J87" s="46"/>
    </row>
    <row r="88" ht="18" spans="1:10">
      <c r="A88" s="46"/>
      <c r="B88" s="46"/>
      <c r="C88" s="46"/>
      <c r="D88" s="46"/>
      <c r="E88" s="46"/>
      <c r="F88" s="46"/>
      <c r="G88" s="46"/>
      <c r="H88" s="46"/>
      <c r="I88" s="46"/>
      <c r="J88" s="46"/>
    </row>
    <row r="89" ht="18" spans="1:10">
      <c r="A89" s="46"/>
      <c r="B89" s="46"/>
      <c r="C89" s="46"/>
      <c r="D89" s="46"/>
      <c r="E89" s="46"/>
      <c r="F89" s="46"/>
      <c r="G89" s="46"/>
      <c r="H89" s="46"/>
      <c r="I89" s="46"/>
      <c r="J89" s="46"/>
    </row>
    <row r="90" ht="18" spans="1:10">
      <c r="A90" s="46"/>
      <c r="B90" s="46"/>
      <c r="C90" s="46"/>
      <c r="D90" s="46"/>
      <c r="E90" s="46"/>
      <c r="F90" s="46"/>
      <c r="G90" s="46"/>
      <c r="H90" s="46"/>
      <c r="I90" s="46"/>
      <c r="J90" s="46"/>
    </row>
    <row r="91" ht="18" spans="1:10">
      <c r="A91" s="46"/>
      <c r="B91" s="46"/>
      <c r="C91" s="46"/>
      <c r="D91" s="46"/>
      <c r="E91" s="46"/>
      <c r="F91" s="46"/>
      <c r="G91" s="46"/>
      <c r="H91" s="46"/>
      <c r="I91" s="46"/>
      <c r="J91" s="46"/>
    </row>
    <row r="92" ht="18" spans="1:10">
      <c r="A92" s="46"/>
      <c r="B92" s="46"/>
      <c r="C92" s="46"/>
      <c r="D92" s="46"/>
      <c r="E92" s="46"/>
      <c r="F92" s="46"/>
      <c r="G92" s="46"/>
      <c r="H92" s="46"/>
      <c r="I92" s="46"/>
      <c r="J92" s="46"/>
    </row>
    <row r="93" ht="18" spans="1:10">
      <c r="A93" s="46"/>
      <c r="B93" s="46"/>
      <c r="C93" s="46"/>
      <c r="D93" s="46"/>
      <c r="E93" s="46"/>
      <c r="F93" s="46"/>
      <c r="G93" s="46"/>
      <c r="H93" s="46"/>
      <c r="I93" s="46"/>
      <c r="J93" s="46"/>
    </row>
    <row r="94" ht="18" spans="1:10">
      <c r="A94" s="46"/>
      <c r="B94" s="46"/>
      <c r="C94" s="46"/>
      <c r="D94" s="46"/>
      <c r="E94" s="46"/>
      <c r="F94" s="46"/>
      <c r="G94" s="46"/>
      <c r="H94" s="46"/>
      <c r="I94" s="46"/>
      <c r="J94" s="46"/>
    </row>
    <row r="95" ht="18" spans="1:10">
      <c r="A95" s="46"/>
      <c r="B95" s="46"/>
      <c r="C95" s="46"/>
      <c r="D95" s="46"/>
      <c r="E95" s="46"/>
      <c r="F95" s="46"/>
      <c r="G95" s="46"/>
      <c r="H95" s="46"/>
      <c r="I95" s="46"/>
      <c r="J95" s="46"/>
    </row>
    <row r="96" ht="18" spans="1:10">
      <c r="A96" s="46"/>
      <c r="B96" s="46"/>
      <c r="C96" s="46"/>
      <c r="D96" s="46"/>
      <c r="E96" s="46"/>
      <c r="F96" s="46"/>
      <c r="G96" s="46"/>
      <c r="H96" s="46"/>
      <c r="I96" s="46"/>
      <c r="J96" s="46"/>
    </row>
    <row r="97" ht="18" spans="1:10">
      <c r="A97" s="46"/>
      <c r="B97" s="46"/>
      <c r="C97" s="46"/>
      <c r="D97" s="46"/>
      <c r="E97" s="46"/>
      <c r="F97" s="46"/>
      <c r="G97" s="46"/>
      <c r="H97" s="46"/>
      <c r="I97" s="46"/>
      <c r="J97" s="46"/>
    </row>
    <row r="98" ht="18" spans="1:10">
      <c r="A98" s="46"/>
      <c r="B98" s="46"/>
      <c r="C98" s="46"/>
      <c r="D98" s="46"/>
      <c r="E98" s="46"/>
      <c r="F98" s="46"/>
      <c r="G98" s="46"/>
      <c r="H98" s="46"/>
      <c r="I98" s="46"/>
      <c r="J98" s="46"/>
    </row>
    <row r="99" ht="18" spans="1:10">
      <c r="A99" s="46"/>
      <c r="B99" s="46"/>
      <c r="C99" s="46"/>
      <c r="D99" s="46"/>
      <c r="E99" s="46"/>
      <c r="F99" s="46"/>
      <c r="G99" s="46"/>
      <c r="H99" s="46"/>
      <c r="I99" s="46"/>
      <c r="J99" s="46"/>
    </row>
    <row r="100" ht="18" spans="1:10">
      <c r="A100" s="46"/>
      <c r="B100" s="46"/>
      <c r="C100" s="46"/>
      <c r="D100" s="46"/>
      <c r="E100" s="46"/>
      <c r="F100" s="46"/>
      <c r="G100" s="46"/>
      <c r="H100" s="46"/>
      <c r="I100" s="46"/>
      <c r="J100" s="46"/>
    </row>
    <row r="101" ht="18" spans="1:10">
      <c r="A101" s="46"/>
      <c r="B101" s="46"/>
      <c r="C101" s="46"/>
      <c r="D101" s="46"/>
      <c r="E101" s="46"/>
      <c r="F101" s="46"/>
      <c r="G101" s="46"/>
      <c r="H101" s="46"/>
      <c r="I101" s="46"/>
      <c r="J101" s="46"/>
    </row>
    <row r="102" ht="18" spans="1:10">
      <c r="A102" s="46"/>
      <c r="B102" s="46"/>
      <c r="C102" s="46"/>
      <c r="D102" s="46"/>
      <c r="E102" s="46"/>
      <c r="F102" s="46"/>
      <c r="G102" s="46"/>
      <c r="H102" s="46"/>
      <c r="I102" s="46"/>
      <c r="J102" s="46"/>
    </row>
    <row r="103" ht="18" spans="1:10">
      <c r="A103" s="46"/>
      <c r="B103" s="46"/>
      <c r="C103" s="46"/>
      <c r="D103" s="46"/>
      <c r="E103" s="46"/>
      <c r="F103" s="46"/>
      <c r="G103" s="46"/>
      <c r="H103" s="46"/>
      <c r="I103" s="46"/>
      <c r="J103" s="46"/>
    </row>
    <row r="104" ht="18" spans="1:10">
      <c r="A104" s="46"/>
      <c r="B104" s="46"/>
      <c r="C104" s="46"/>
      <c r="D104" s="46"/>
      <c r="E104" s="46"/>
      <c r="F104" s="46"/>
      <c r="G104" s="46"/>
      <c r="H104" s="46"/>
      <c r="I104" s="46"/>
      <c r="J104" s="46"/>
    </row>
    <row r="105" ht="18" spans="1:10">
      <c r="A105" s="46"/>
      <c r="B105" s="46"/>
      <c r="C105" s="46"/>
      <c r="D105" s="46"/>
      <c r="E105" s="46"/>
      <c r="F105" s="46"/>
      <c r="G105" s="46"/>
      <c r="H105" s="46"/>
      <c r="I105" s="46"/>
      <c r="J105" s="46"/>
    </row>
    <row r="106" ht="18" spans="1:10">
      <c r="A106" s="46"/>
      <c r="B106" s="46"/>
      <c r="C106" s="46"/>
      <c r="D106" s="46"/>
      <c r="E106" s="46"/>
      <c r="F106" s="46"/>
      <c r="G106" s="46"/>
      <c r="H106" s="46"/>
      <c r="I106" s="46"/>
      <c r="J106" s="46"/>
    </row>
    <row r="107" ht="18" spans="1:10">
      <c r="A107" s="46"/>
      <c r="B107" s="46"/>
      <c r="C107" s="46"/>
      <c r="D107" s="46"/>
      <c r="E107" s="46"/>
      <c r="F107" s="46"/>
      <c r="G107" s="46"/>
      <c r="H107" s="46"/>
      <c r="I107" s="46"/>
      <c r="J107" s="46"/>
    </row>
    <row r="108" ht="18" spans="1:10">
      <c r="A108" s="46"/>
      <c r="B108" s="46"/>
      <c r="C108" s="46"/>
      <c r="D108" s="46"/>
      <c r="E108" s="46"/>
      <c r="F108" s="46"/>
      <c r="G108" s="46"/>
      <c r="H108" s="46"/>
      <c r="I108" s="46"/>
      <c r="J108" s="46"/>
    </row>
    <row r="109" ht="18" spans="1:10">
      <c r="A109" s="46"/>
      <c r="B109" s="46"/>
      <c r="C109" s="46"/>
      <c r="D109" s="46"/>
      <c r="E109" s="46"/>
      <c r="F109" s="46"/>
      <c r="G109" s="46"/>
      <c r="H109" s="46"/>
      <c r="I109" s="46"/>
      <c r="J109" s="46"/>
    </row>
    <row r="110" ht="18" spans="1:10">
      <c r="A110" s="46"/>
      <c r="B110" s="46"/>
      <c r="C110" s="46"/>
      <c r="D110" s="46"/>
      <c r="E110" s="46"/>
      <c r="F110" s="46"/>
      <c r="G110" s="46"/>
      <c r="H110" s="46"/>
      <c r="I110" s="46"/>
      <c r="J110" s="46"/>
    </row>
    <row r="111" ht="18" spans="1:10">
      <c r="A111" s="46"/>
      <c r="B111" s="46"/>
      <c r="C111" s="46"/>
      <c r="D111" s="46"/>
      <c r="E111" s="46"/>
      <c r="F111" s="46"/>
      <c r="G111" s="46"/>
      <c r="H111" s="46"/>
      <c r="I111" s="46"/>
      <c r="J111" s="46"/>
    </row>
    <row r="112" ht="18" spans="1:10">
      <c r="A112" s="46"/>
      <c r="B112" s="46"/>
      <c r="C112" s="46"/>
      <c r="D112" s="46"/>
      <c r="E112" s="46"/>
      <c r="F112" s="46"/>
      <c r="G112" s="46"/>
      <c r="H112" s="46"/>
      <c r="I112" s="46"/>
      <c r="J112" s="46"/>
    </row>
    <row r="113" ht="18" spans="1:10">
      <c r="A113" s="46"/>
      <c r="B113" s="46"/>
      <c r="C113" s="46"/>
      <c r="D113" s="46"/>
      <c r="E113" s="46"/>
      <c r="F113" s="46"/>
      <c r="G113" s="46"/>
      <c r="H113" s="46"/>
      <c r="I113" s="46"/>
      <c r="J113" s="46"/>
    </row>
    <row r="114" ht="18" spans="1:10">
      <c r="A114" s="46"/>
      <c r="B114" s="46"/>
      <c r="C114" s="46"/>
      <c r="D114" s="46"/>
      <c r="E114" s="46"/>
      <c r="F114" s="46"/>
      <c r="G114" s="46"/>
      <c r="H114" s="46"/>
      <c r="I114" s="46"/>
      <c r="J114" s="46"/>
    </row>
    <row r="115" ht="18" spans="1:10">
      <c r="A115" s="46"/>
      <c r="B115" s="46"/>
      <c r="C115" s="46"/>
      <c r="D115" s="46"/>
      <c r="E115" s="46"/>
      <c r="F115" s="46"/>
      <c r="G115" s="46"/>
      <c r="H115" s="46"/>
      <c r="I115" s="46"/>
      <c r="J115" s="46"/>
    </row>
    <row r="116" ht="18" spans="1:10">
      <c r="A116" s="46"/>
      <c r="B116" s="46"/>
      <c r="C116" s="46"/>
      <c r="D116" s="46"/>
      <c r="E116" s="46"/>
      <c r="F116" s="46"/>
      <c r="G116" s="46"/>
      <c r="H116" s="46"/>
      <c r="I116" s="46"/>
      <c r="J116" s="46"/>
    </row>
    <row r="117" ht="18" spans="1:10">
      <c r="A117" s="46"/>
      <c r="B117" s="46"/>
      <c r="C117" s="46"/>
      <c r="D117" s="46"/>
      <c r="E117" s="46"/>
      <c r="F117" s="46"/>
      <c r="G117" s="46"/>
      <c r="H117" s="46"/>
      <c r="I117" s="46"/>
      <c r="J117" s="46"/>
    </row>
    <row r="118" ht="18" spans="1:10">
      <c r="A118" s="46"/>
      <c r="B118" s="46"/>
      <c r="C118" s="46"/>
      <c r="D118" s="46"/>
      <c r="E118" s="46"/>
      <c r="F118" s="46"/>
      <c r="G118" s="46"/>
      <c r="H118" s="46"/>
      <c r="I118" s="46"/>
      <c r="J118" s="46"/>
    </row>
    <row r="119" ht="18" spans="1:10">
      <c r="A119" s="46"/>
      <c r="B119" s="46"/>
      <c r="C119" s="46"/>
      <c r="D119" s="46"/>
      <c r="E119" s="46"/>
      <c r="F119" s="46"/>
      <c r="G119" s="46"/>
      <c r="H119" s="46"/>
      <c r="I119" s="46"/>
      <c r="J119" s="46"/>
    </row>
    <row r="120" ht="18" spans="1:10">
      <c r="A120" s="46"/>
      <c r="B120" s="46"/>
      <c r="C120" s="46"/>
      <c r="D120" s="46"/>
      <c r="E120" s="46"/>
      <c r="F120" s="46"/>
      <c r="G120" s="46"/>
      <c r="H120" s="46"/>
      <c r="I120" s="46"/>
      <c r="J120" s="46"/>
    </row>
    <row r="121" ht="18" spans="1:10">
      <c r="A121" s="46"/>
      <c r="B121" s="46"/>
      <c r="C121" s="46"/>
      <c r="D121" s="46"/>
      <c r="E121" s="46"/>
      <c r="F121" s="46"/>
      <c r="G121" s="46"/>
      <c r="H121" s="46"/>
      <c r="I121" s="46"/>
      <c r="J121" s="46"/>
    </row>
    <row r="122" ht="18" spans="1:10">
      <c r="A122" s="46"/>
      <c r="B122" s="46"/>
      <c r="C122" s="46"/>
      <c r="D122" s="46"/>
      <c r="E122" s="46"/>
      <c r="F122" s="46"/>
      <c r="G122" s="46"/>
      <c r="H122" s="46"/>
      <c r="I122" s="46"/>
      <c r="J122" s="46"/>
    </row>
    <row r="123" ht="18" spans="1:10">
      <c r="A123" s="46"/>
      <c r="B123" s="46"/>
      <c r="C123" s="46"/>
      <c r="D123" s="46"/>
      <c r="E123" s="46"/>
      <c r="F123" s="46"/>
      <c r="G123" s="46"/>
      <c r="H123" s="46"/>
      <c r="I123" s="46"/>
      <c r="J123" s="46"/>
    </row>
    <row r="124" ht="18" spans="1:10">
      <c r="A124" s="46"/>
      <c r="B124" s="46"/>
      <c r="C124" s="46"/>
      <c r="D124" s="46"/>
      <c r="E124" s="46"/>
      <c r="F124" s="46"/>
      <c r="G124" s="46"/>
      <c r="H124" s="46"/>
      <c r="I124" s="46"/>
      <c r="J124" s="46"/>
    </row>
    <row r="125" ht="18" spans="1:10">
      <c r="A125" s="46"/>
      <c r="B125" s="46"/>
      <c r="C125" s="46"/>
      <c r="D125" s="46"/>
      <c r="E125" s="46"/>
      <c r="F125" s="46"/>
      <c r="G125" s="46"/>
      <c r="H125" s="46"/>
      <c r="I125" s="46"/>
      <c r="J125" s="46"/>
    </row>
    <row r="126" ht="18" spans="1:10">
      <c r="A126" s="46"/>
      <c r="B126" s="46"/>
      <c r="C126" s="46"/>
      <c r="D126" s="46"/>
      <c r="E126" s="46"/>
      <c r="F126" s="46"/>
      <c r="G126" s="46"/>
      <c r="H126" s="46"/>
      <c r="I126" s="46"/>
      <c r="J126" s="46"/>
    </row>
    <row r="127" ht="18" spans="1:10">
      <c r="A127" s="46"/>
      <c r="B127" s="46"/>
      <c r="C127" s="46"/>
      <c r="D127" s="46"/>
      <c r="E127" s="46"/>
      <c r="F127" s="46"/>
      <c r="G127" s="46"/>
      <c r="H127" s="46"/>
      <c r="I127" s="46"/>
      <c r="J127" s="46"/>
    </row>
    <row r="128" ht="18" spans="1:10">
      <c r="A128" s="46"/>
      <c r="B128" s="46"/>
      <c r="C128" s="46"/>
      <c r="D128" s="46"/>
      <c r="E128" s="46"/>
      <c r="F128" s="46"/>
      <c r="G128" s="46"/>
      <c r="H128" s="46"/>
      <c r="I128" s="46"/>
      <c r="J128" s="46"/>
    </row>
    <row r="129" ht="18" spans="1:10">
      <c r="A129" s="46"/>
      <c r="B129" s="46"/>
      <c r="C129" s="46"/>
      <c r="D129" s="46"/>
      <c r="E129" s="46"/>
      <c r="F129" s="46"/>
      <c r="G129" s="46"/>
      <c r="H129" s="46"/>
      <c r="I129" s="46"/>
      <c r="J129" s="46"/>
    </row>
    <row r="130" ht="18" spans="1:10">
      <c r="A130" s="46"/>
      <c r="B130" s="46"/>
      <c r="C130" s="46"/>
      <c r="D130" s="46"/>
      <c r="E130" s="46"/>
      <c r="F130" s="46"/>
      <c r="G130" s="46"/>
      <c r="H130" s="46"/>
      <c r="I130" s="46"/>
      <c r="J130" s="46"/>
    </row>
    <row r="131" ht="18" spans="1:10">
      <c r="A131" s="46"/>
      <c r="B131" s="46"/>
      <c r="C131" s="46"/>
      <c r="D131" s="46"/>
      <c r="E131" s="46"/>
      <c r="F131" s="46"/>
      <c r="G131" s="46"/>
      <c r="H131" s="46"/>
      <c r="I131" s="46"/>
      <c r="J131" s="46"/>
    </row>
    <row r="132" ht="18" spans="1:10">
      <c r="A132" s="46"/>
      <c r="B132" s="46"/>
      <c r="C132" s="46"/>
      <c r="D132" s="46"/>
      <c r="E132" s="46"/>
      <c r="F132" s="46"/>
      <c r="G132" s="46"/>
      <c r="H132" s="46"/>
      <c r="I132" s="46"/>
      <c r="J132" s="46"/>
    </row>
    <row r="133" ht="18" spans="1:10">
      <c r="A133" s="46"/>
      <c r="B133" s="46"/>
      <c r="C133" s="46"/>
      <c r="D133" s="46"/>
      <c r="E133" s="46"/>
      <c r="F133" s="46"/>
      <c r="G133" s="46"/>
      <c r="H133" s="46"/>
      <c r="I133" s="46"/>
      <c r="J133" s="46"/>
    </row>
    <row r="134" ht="18" spans="1:10">
      <c r="A134" s="46"/>
      <c r="B134" s="46"/>
      <c r="C134" s="46"/>
      <c r="D134" s="46"/>
      <c r="E134" s="46"/>
      <c r="F134" s="46"/>
      <c r="G134" s="46"/>
      <c r="H134" s="46"/>
      <c r="I134" s="46"/>
      <c r="J134" s="46"/>
    </row>
    <row r="135" ht="18" spans="1:10">
      <c r="A135" s="46"/>
      <c r="B135" s="46"/>
      <c r="C135" s="46"/>
      <c r="D135" s="46"/>
      <c r="E135" s="46"/>
      <c r="F135" s="46"/>
      <c r="G135" s="46"/>
      <c r="H135" s="46"/>
      <c r="I135" s="46"/>
      <c r="J135" s="46"/>
    </row>
    <row r="136" ht="18" spans="1:10">
      <c r="A136" s="46"/>
      <c r="B136" s="46"/>
      <c r="C136" s="46"/>
      <c r="D136" s="46"/>
      <c r="E136" s="46"/>
      <c r="F136" s="46"/>
      <c r="G136" s="46"/>
      <c r="H136" s="46"/>
      <c r="I136" s="46"/>
      <c r="J136" s="46"/>
    </row>
    <row r="137" ht="18" spans="1:10">
      <c r="A137" s="46"/>
      <c r="B137" s="46"/>
      <c r="C137" s="46"/>
      <c r="D137" s="46"/>
      <c r="E137" s="46"/>
      <c r="F137" s="46"/>
      <c r="G137" s="46"/>
      <c r="H137" s="46"/>
      <c r="I137" s="46"/>
      <c r="J137" s="46"/>
    </row>
    <row r="138" ht="18" spans="1:10">
      <c r="A138" s="46"/>
      <c r="B138" s="46"/>
      <c r="C138" s="46"/>
      <c r="D138" s="46"/>
      <c r="E138" s="46"/>
      <c r="F138" s="46"/>
      <c r="G138" s="46"/>
      <c r="H138" s="46"/>
      <c r="I138" s="46"/>
      <c r="J138" s="46"/>
    </row>
    <row r="139" ht="18" spans="1:10">
      <c r="A139" s="46"/>
      <c r="B139" s="46"/>
      <c r="C139" s="46"/>
      <c r="D139" s="46"/>
      <c r="E139" s="46"/>
      <c r="F139" s="46"/>
      <c r="G139" s="46"/>
      <c r="H139" s="46"/>
      <c r="I139" s="46"/>
      <c r="J139" s="46"/>
    </row>
    <row r="140" ht="18" spans="1:10">
      <c r="A140" s="46"/>
      <c r="B140" s="46"/>
      <c r="C140" s="46"/>
      <c r="D140" s="46"/>
      <c r="E140" s="46"/>
      <c r="F140" s="46"/>
      <c r="G140" s="46"/>
      <c r="H140" s="46"/>
      <c r="I140" s="46"/>
      <c r="J140" s="46"/>
    </row>
    <row r="141" ht="18" spans="1:10">
      <c r="A141" s="46"/>
      <c r="B141" s="46"/>
      <c r="C141" s="46"/>
      <c r="D141" s="46"/>
      <c r="E141" s="46"/>
      <c r="F141" s="46"/>
      <c r="G141" s="46"/>
      <c r="H141" s="46"/>
      <c r="I141" s="46"/>
      <c r="J141" s="46"/>
    </row>
    <row r="142" ht="18" spans="1:10">
      <c r="A142" s="46"/>
      <c r="B142" s="46"/>
      <c r="C142" s="46"/>
      <c r="D142" s="46"/>
      <c r="E142" s="46"/>
      <c r="F142" s="46"/>
      <c r="G142" s="46"/>
      <c r="H142" s="46"/>
      <c r="I142" s="46"/>
      <c r="J142" s="46"/>
    </row>
    <row r="143" ht="18" spans="1:10">
      <c r="A143" s="46"/>
      <c r="B143" s="46"/>
      <c r="C143" s="46"/>
      <c r="D143" s="46"/>
      <c r="E143" s="46"/>
      <c r="F143" s="46"/>
      <c r="G143" s="46"/>
      <c r="H143" s="46"/>
      <c r="I143" s="46"/>
      <c r="J143" s="46"/>
    </row>
    <row r="144" ht="18" spans="1:10">
      <c r="A144" s="46"/>
      <c r="B144" s="46"/>
      <c r="C144" s="46"/>
      <c r="D144" s="46"/>
      <c r="E144" s="46"/>
      <c r="F144" s="46"/>
      <c r="G144" s="46"/>
      <c r="H144" s="46"/>
      <c r="I144" s="46"/>
      <c r="J144" s="46"/>
    </row>
    <row r="145" ht="18" spans="1:10">
      <c r="A145" s="46"/>
      <c r="B145" s="46"/>
      <c r="C145" s="46"/>
      <c r="D145" s="46"/>
      <c r="E145" s="46"/>
      <c r="F145" s="46"/>
      <c r="G145" s="46"/>
      <c r="H145" s="46"/>
      <c r="I145" s="46"/>
      <c r="J145" s="46"/>
    </row>
    <row r="146" ht="18" spans="1:10">
      <c r="A146" s="46"/>
      <c r="B146" s="46"/>
      <c r="C146" s="46"/>
      <c r="D146" s="46"/>
      <c r="E146" s="46"/>
      <c r="F146" s="46"/>
      <c r="G146" s="46"/>
      <c r="H146" s="46"/>
      <c r="I146" s="46"/>
      <c r="J146" s="46"/>
    </row>
    <row r="147" ht="18" spans="1:10">
      <c r="A147" s="46"/>
      <c r="B147" s="46"/>
      <c r="C147" s="46"/>
      <c r="D147" s="46"/>
      <c r="E147" s="46"/>
      <c r="F147" s="46"/>
      <c r="G147" s="46"/>
      <c r="H147" s="46"/>
      <c r="I147" s="46"/>
      <c r="J147" s="46"/>
    </row>
    <row r="148" ht="18" spans="1:10">
      <c r="A148" s="46"/>
      <c r="B148" s="46"/>
      <c r="C148" s="46"/>
      <c r="D148" s="46"/>
      <c r="E148" s="46"/>
      <c r="F148" s="46"/>
      <c r="G148" s="46"/>
      <c r="H148" s="46"/>
      <c r="I148" s="46"/>
      <c r="J148" s="46"/>
    </row>
    <row r="149" ht="18" spans="1:10">
      <c r="A149" s="46"/>
      <c r="B149" s="46"/>
      <c r="C149" s="46"/>
      <c r="D149" s="46"/>
      <c r="E149" s="46"/>
      <c r="F149" s="46"/>
      <c r="G149" s="46"/>
      <c r="H149" s="46"/>
      <c r="I149" s="46"/>
      <c r="J149" s="46"/>
    </row>
    <row r="150" ht="18" spans="1:10">
      <c r="A150" s="46"/>
      <c r="B150" s="46"/>
      <c r="C150" s="46"/>
      <c r="D150" s="46"/>
      <c r="E150" s="46"/>
      <c r="F150" s="46"/>
      <c r="G150" s="46"/>
      <c r="H150" s="46"/>
      <c r="I150" s="46"/>
      <c r="J150" s="46"/>
    </row>
    <row r="151" ht="18" spans="1:10">
      <c r="A151" s="46"/>
      <c r="B151" s="46"/>
      <c r="C151" s="46"/>
      <c r="D151" s="46"/>
      <c r="E151" s="46"/>
      <c r="F151" s="46"/>
      <c r="G151" s="46"/>
      <c r="H151" s="46"/>
      <c r="I151" s="46"/>
      <c r="J151" s="46"/>
    </row>
    <row r="152" ht="18" spans="1:10">
      <c r="A152" s="46"/>
      <c r="B152" s="46"/>
      <c r="C152" s="46"/>
      <c r="D152" s="46"/>
      <c r="E152" s="46"/>
      <c r="F152" s="46"/>
      <c r="G152" s="46"/>
      <c r="H152" s="46"/>
      <c r="I152" s="46"/>
      <c r="J152" s="46"/>
    </row>
    <row r="153" ht="18" spans="1:10">
      <c r="A153" s="46"/>
      <c r="B153" s="46"/>
      <c r="C153" s="46"/>
      <c r="D153" s="46"/>
      <c r="E153" s="46"/>
      <c r="F153" s="46"/>
      <c r="G153" s="46"/>
      <c r="H153" s="46"/>
      <c r="I153" s="46"/>
      <c r="J153" s="46"/>
    </row>
    <row r="154" ht="18" spans="1:10">
      <c r="A154" s="46"/>
      <c r="B154" s="46"/>
      <c r="C154" s="46"/>
      <c r="D154" s="46"/>
      <c r="E154" s="46"/>
      <c r="F154" s="46"/>
      <c r="G154" s="46"/>
      <c r="H154" s="46"/>
      <c r="I154" s="46"/>
      <c r="J154" s="46"/>
    </row>
    <row r="155" ht="18" spans="1:10">
      <c r="A155" s="46"/>
      <c r="B155" s="46"/>
      <c r="C155" s="46"/>
      <c r="D155" s="46"/>
      <c r="E155" s="46"/>
      <c r="F155" s="46"/>
      <c r="G155" s="46"/>
      <c r="H155" s="46"/>
      <c r="I155" s="46"/>
      <c r="J155" s="46"/>
    </row>
    <row r="156" ht="18" spans="1:10">
      <c r="A156" s="46"/>
      <c r="B156" s="46"/>
      <c r="C156" s="46"/>
      <c r="D156" s="46"/>
      <c r="E156" s="46"/>
      <c r="F156" s="46"/>
      <c r="G156" s="46"/>
      <c r="H156" s="46"/>
      <c r="I156" s="46"/>
      <c r="J156" s="46"/>
    </row>
    <row r="157" ht="18" spans="1:10">
      <c r="A157" s="46"/>
      <c r="B157" s="46"/>
      <c r="C157" s="46"/>
      <c r="D157" s="46"/>
      <c r="E157" s="46"/>
      <c r="F157" s="46"/>
      <c r="G157" s="46"/>
      <c r="H157" s="46"/>
      <c r="I157" s="46"/>
      <c r="J157" s="46"/>
    </row>
    <row r="158" ht="18" spans="1:10">
      <c r="A158" s="46"/>
      <c r="B158" s="46"/>
      <c r="C158" s="46"/>
      <c r="D158" s="46"/>
      <c r="E158" s="46"/>
      <c r="F158" s="46"/>
      <c r="G158" s="46"/>
      <c r="H158" s="46"/>
      <c r="I158" s="46"/>
      <c r="J158" s="46"/>
    </row>
    <row r="159" ht="18" spans="1:10">
      <c r="A159" s="46"/>
      <c r="B159" s="46"/>
      <c r="C159" s="46"/>
      <c r="D159" s="46"/>
      <c r="E159" s="46"/>
      <c r="F159" s="46"/>
      <c r="G159" s="46"/>
      <c r="H159" s="46"/>
      <c r="I159" s="46"/>
      <c r="J159" s="46"/>
    </row>
    <row r="160" ht="18" spans="1:10">
      <c r="A160" s="46"/>
      <c r="B160" s="46"/>
      <c r="C160" s="46"/>
      <c r="D160" s="46"/>
      <c r="E160" s="46"/>
      <c r="F160" s="46"/>
      <c r="G160" s="46"/>
      <c r="H160" s="46"/>
      <c r="I160" s="46"/>
      <c r="J160" s="46"/>
    </row>
  </sheetData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workbookViewId="0">
      <pane xSplit="3" ySplit="7" topLeftCell="D8" activePane="bottomRight" state="frozen"/>
      <selection/>
      <selection pane="topRight"/>
      <selection pane="bottomLeft"/>
      <selection pane="bottomRight" activeCell="F42" sqref="F42"/>
    </sheetView>
  </sheetViews>
  <sheetFormatPr defaultColWidth="9.13636363636364" defaultRowHeight="20.1" customHeight="1" outlineLevelCol="5"/>
  <cols>
    <col min="1" max="1" width="5.42727272727273" style="1" customWidth="1"/>
    <col min="2" max="2" width="42.8545454545455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1174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500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22</v>
      </c>
      <c r="C7" s="12" t="s">
        <v>23</v>
      </c>
      <c r="D7" s="12" t="s">
        <v>24</v>
      </c>
      <c r="E7" s="242">
        <v>450000</v>
      </c>
      <c r="F7" s="13"/>
    </row>
    <row r="8" customHeight="1" spans="1:6">
      <c r="A8" s="10">
        <v>2</v>
      </c>
      <c r="B8" s="11" t="s">
        <v>1085</v>
      </c>
      <c r="C8" s="4" t="s">
        <v>1175</v>
      </c>
      <c r="D8" s="10" t="s">
        <v>189</v>
      </c>
      <c r="E8" s="242">
        <v>150000</v>
      </c>
      <c r="F8" s="13"/>
    </row>
    <row r="9" customHeight="1" spans="1:6">
      <c r="A9" s="10">
        <v>3</v>
      </c>
      <c r="B9" s="14" t="s">
        <v>1176</v>
      </c>
      <c r="C9" s="4" t="s">
        <v>1177</v>
      </c>
      <c r="D9" s="10" t="s">
        <v>189</v>
      </c>
      <c r="E9" s="242">
        <v>150000</v>
      </c>
      <c r="F9" s="13"/>
    </row>
    <row r="10" customHeight="1" spans="1:6">
      <c r="A10" s="10">
        <v>4</v>
      </c>
      <c r="B10" s="11" t="s">
        <v>25</v>
      </c>
      <c r="C10" s="12" t="s">
        <v>26</v>
      </c>
      <c r="D10" s="10" t="s">
        <v>27</v>
      </c>
      <c r="E10" s="242">
        <v>150000</v>
      </c>
      <c r="F10" s="13"/>
    </row>
    <row r="11" customHeight="1" spans="1:6">
      <c r="A11" s="10">
        <v>5</v>
      </c>
      <c r="B11" s="14" t="s">
        <v>28</v>
      </c>
      <c r="C11" s="4" t="s">
        <v>29</v>
      </c>
      <c r="D11" s="15" t="s">
        <v>110</v>
      </c>
      <c r="E11" s="242">
        <v>150000</v>
      </c>
      <c r="F11" s="13"/>
    </row>
    <row r="12" customHeight="1" spans="1:6">
      <c r="A12" s="10">
        <v>6</v>
      </c>
      <c r="B12" s="14" t="s">
        <v>173</v>
      </c>
      <c r="C12" s="4" t="s">
        <v>1087</v>
      </c>
      <c r="D12" s="16" t="s">
        <v>110</v>
      </c>
      <c r="E12" s="242">
        <v>150000</v>
      </c>
      <c r="F12" s="13"/>
    </row>
    <row r="13" customHeight="1" spans="1:6">
      <c r="A13" s="10">
        <v>7</v>
      </c>
      <c r="B13" s="11" t="s">
        <v>30</v>
      </c>
      <c r="C13" s="17" t="s">
        <v>31</v>
      </c>
      <c r="D13" s="16" t="s">
        <v>110</v>
      </c>
      <c r="E13" s="242">
        <v>150000</v>
      </c>
      <c r="F13" s="13"/>
    </row>
    <row r="14" customHeight="1" spans="1:6">
      <c r="A14" s="10">
        <v>8</v>
      </c>
      <c r="B14" s="14" t="s">
        <v>32</v>
      </c>
      <c r="C14" s="4" t="s">
        <v>33</v>
      </c>
      <c r="D14" s="16" t="s">
        <v>110</v>
      </c>
      <c r="E14" s="242">
        <v>150000</v>
      </c>
      <c r="F14" s="13"/>
    </row>
    <row r="15" customHeight="1" spans="1:6">
      <c r="A15" s="10">
        <v>9</v>
      </c>
      <c r="B15" s="11" t="s">
        <v>34</v>
      </c>
      <c r="C15" s="12" t="s">
        <v>35</v>
      </c>
      <c r="D15" s="15" t="s">
        <v>36</v>
      </c>
      <c r="E15" s="242">
        <v>105000</v>
      </c>
      <c r="F15" s="13"/>
    </row>
    <row r="16" customHeight="1" spans="1:6">
      <c r="A16" s="10">
        <v>10</v>
      </c>
      <c r="B16" s="18" t="s">
        <v>521</v>
      </c>
      <c r="C16" s="12" t="s">
        <v>574</v>
      </c>
      <c r="D16" s="10" t="s">
        <v>573</v>
      </c>
      <c r="E16" s="242">
        <v>105000</v>
      </c>
      <c r="F16" s="13"/>
    </row>
    <row r="17" customHeight="1" spans="1:6">
      <c r="A17" s="10">
        <v>11</v>
      </c>
      <c r="B17" s="19" t="s">
        <v>1178</v>
      </c>
      <c r="C17" s="4" t="s">
        <v>1179</v>
      </c>
      <c r="D17" s="16" t="s">
        <v>222</v>
      </c>
      <c r="E17" s="242">
        <v>75000</v>
      </c>
      <c r="F17" s="13"/>
    </row>
    <row r="18" ht="19.5" customHeight="1" spans="1:6">
      <c r="A18" s="10">
        <v>12</v>
      </c>
      <c r="B18" s="14" t="s">
        <v>1088</v>
      </c>
      <c r="C18" s="4" t="s">
        <v>41</v>
      </c>
      <c r="D18" s="10" t="s">
        <v>222</v>
      </c>
      <c r="E18" s="242">
        <v>75000</v>
      </c>
      <c r="F18" s="13"/>
    </row>
    <row r="19" ht="19.5" customHeight="1" spans="1:6">
      <c r="A19" s="10">
        <v>13</v>
      </c>
      <c r="B19" s="14" t="s">
        <v>1180</v>
      </c>
      <c r="C19" s="4" t="s">
        <v>1181</v>
      </c>
      <c r="D19" s="10" t="s">
        <v>222</v>
      </c>
      <c r="E19" s="242">
        <v>75000</v>
      </c>
      <c r="F19" s="13"/>
    </row>
    <row r="20" customHeight="1" spans="1:6">
      <c r="A20" s="10">
        <v>14</v>
      </c>
      <c r="B20" s="11" t="s">
        <v>40</v>
      </c>
      <c r="C20" s="4" t="s">
        <v>41</v>
      </c>
      <c r="D20" s="15" t="s">
        <v>222</v>
      </c>
      <c r="E20" s="242">
        <v>75000</v>
      </c>
      <c r="F20" s="13"/>
    </row>
    <row r="21" customHeight="1" spans="1:6">
      <c r="A21" s="10">
        <v>15</v>
      </c>
      <c r="B21" s="11" t="s">
        <v>50</v>
      </c>
      <c r="C21" s="12" t="s">
        <v>51</v>
      </c>
      <c r="D21" s="15" t="s">
        <v>1019</v>
      </c>
      <c r="E21" s="242">
        <v>75000</v>
      </c>
      <c r="F21" s="13"/>
    </row>
    <row r="22" customHeight="1" spans="1:6">
      <c r="A22" s="10">
        <v>16</v>
      </c>
      <c r="B22" s="18" t="s">
        <v>53</v>
      </c>
      <c r="C22" s="4" t="s">
        <v>54</v>
      </c>
      <c r="D22" s="15" t="s">
        <v>1020</v>
      </c>
      <c r="E22" s="242">
        <v>75000</v>
      </c>
      <c r="F22" s="13"/>
    </row>
    <row r="23" customHeight="1" spans="1:6">
      <c r="A23" s="10">
        <v>17</v>
      </c>
      <c r="B23" s="11" t="s">
        <v>204</v>
      </c>
      <c r="C23" s="12" t="s">
        <v>581</v>
      </c>
      <c r="D23" s="15" t="s">
        <v>62</v>
      </c>
      <c r="E23" s="242">
        <v>45000</v>
      </c>
      <c r="F23" s="13"/>
    </row>
    <row r="24" ht="18.75" customHeight="1" spans="1:6">
      <c r="A24" s="10">
        <v>18</v>
      </c>
      <c r="B24" s="11" t="s">
        <v>60</v>
      </c>
      <c r="C24" s="12" t="s">
        <v>61</v>
      </c>
      <c r="D24" s="15" t="s">
        <v>135</v>
      </c>
      <c r="E24" s="242">
        <v>45000</v>
      </c>
      <c r="F24" s="13"/>
    </row>
    <row r="25" ht="18.75" customHeight="1" spans="1:6">
      <c r="A25" s="10">
        <v>19</v>
      </c>
      <c r="B25" s="11" t="s">
        <v>202</v>
      </c>
      <c r="C25" s="4" t="s">
        <v>203</v>
      </c>
      <c r="D25" s="15" t="s">
        <v>135</v>
      </c>
      <c r="E25" s="242">
        <v>45000</v>
      </c>
      <c r="F25" s="13"/>
    </row>
    <row r="26" ht="18.75" customHeight="1" spans="1:6">
      <c r="A26" s="10">
        <v>20</v>
      </c>
      <c r="B26" s="18" t="s">
        <v>1182</v>
      </c>
      <c r="C26" s="12" t="s">
        <v>91</v>
      </c>
      <c r="D26" s="15" t="s">
        <v>265</v>
      </c>
      <c r="E26" s="242">
        <v>45000</v>
      </c>
      <c r="F26" s="13"/>
    </row>
    <row r="27" ht="18.75" customHeight="1" spans="1:6">
      <c r="A27" s="10">
        <v>21</v>
      </c>
      <c r="B27" s="4" t="s">
        <v>73</v>
      </c>
      <c r="C27" s="4" t="s">
        <v>74</v>
      </c>
      <c r="D27" s="10" t="s">
        <v>80</v>
      </c>
      <c r="E27" s="242">
        <v>45000</v>
      </c>
      <c r="F27" s="13"/>
    </row>
    <row r="28" ht="18.75" customHeight="1" spans="1:6">
      <c r="A28" s="10">
        <v>22</v>
      </c>
      <c r="B28" s="18" t="s">
        <v>76</v>
      </c>
      <c r="C28" s="12" t="s">
        <v>74</v>
      </c>
      <c r="D28" s="15" t="s">
        <v>80</v>
      </c>
      <c r="E28" s="242">
        <v>45000</v>
      </c>
      <c r="F28" s="13"/>
    </row>
    <row r="29" ht="18.75" customHeight="1" spans="1:6">
      <c r="A29" s="10">
        <v>23</v>
      </c>
      <c r="B29" s="11" t="s">
        <v>1089</v>
      </c>
      <c r="C29" s="12" t="s">
        <v>1090</v>
      </c>
      <c r="D29" s="15" t="s">
        <v>80</v>
      </c>
      <c r="E29" s="242">
        <v>45000</v>
      </c>
      <c r="F29" s="13"/>
    </row>
    <row r="30" ht="18.75" customHeight="1" spans="1:6">
      <c r="A30" s="10">
        <v>24</v>
      </c>
      <c r="B30" s="18" t="s">
        <v>78</v>
      </c>
      <c r="C30" s="12" t="s">
        <v>1036</v>
      </c>
      <c r="D30" s="15" t="s">
        <v>1014</v>
      </c>
      <c r="E30" s="242">
        <v>45000</v>
      </c>
      <c r="F30" s="13"/>
    </row>
    <row r="31" ht="18.75" customHeight="1" spans="1:6">
      <c r="A31" s="10">
        <v>25</v>
      </c>
      <c r="B31" s="18" t="s">
        <v>81</v>
      </c>
      <c r="C31" s="4" t="s">
        <v>1091</v>
      </c>
      <c r="D31" s="10" t="s">
        <v>1014</v>
      </c>
      <c r="E31" s="242">
        <v>45000</v>
      </c>
      <c r="F31" s="13"/>
    </row>
    <row r="32" ht="18.75" customHeight="1" spans="1:6">
      <c r="A32" s="10">
        <v>26</v>
      </c>
      <c r="B32" s="18" t="s">
        <v>85</v>
      </c>
      <c r="C32" s="17" t="s">
        <v>86</v>
      </c>
      <c r="D32" s="15" t="s">
        <v>80</v>
      </c>
      <c r="E32" s="242">
        <v>45000</v>
      </c>
      <c r="F32" s="13"/>
    </row>
    <row r="33" ht="18.75" customHeight="1" spans="1:6">
      <c r="A33" s="10">
        <v>27</v>
      </c>
      <c r="B33" s="18" t="s">
        <v>88</v>
      </c>
      <c r="C33" s="4" t="s">
        <v>89</v>
      </c>
      <c r="D33" s="10" t="s">
        <v>92</v>
      </c>
      <c r="E33" s="242">
        <v>45000</v>
      </c>
      <c r="F33" s="13"/>
    </row>
    <row r="34" ht="18.75" customHeight="1" spans="1:6">
      <c r="A34" s="10">
        <v>28</v>
      </c>
      <c r="B34" s="18" t="s">
        <v>1009</v>
      </c>
      <c r="C34" s="12" t="s">
        <v>91</v>
      </c>
      <c r="D34" s="15" t="s">
        <v>92</v>
      </c>
      <c r="E34" s="242">
        <v>45000</v>
      </c>
      <c r="F34" s="13"/>
    </row>
    <row r="35" ht="18.75" customHeight="1" spans="1:6">
      <c r="A35" s="10">
        <v>29</v>
      </c>
      <c r="B35" s="18" t="s">
        <v>1183</v>
      </c>
      <c r="C35" s="12" t="s">
        <v>91</v>
      </c>
      <c r="D35" s="15" t="s">
        <v>92</v>
      </c>
      <c r="E35" s="242">
        <v>45000</v>
      </c>
      <c r="F35" s="13"/>
    </row>
    <row r="36" ht="18.75" customHeight="1" spans="1:6">
      <c r="A36" s="10">
        <v>30</v>
      </c>
      <c r="B36" s="18" t="s">
        <v>230</v>
      </c>
      <c r="C36" s="12" t="s">
        <v>231</v>
      </c>
      <c r="D36" s="15" t="s">
        <v>95</v>
      </c>
      <c r="E36" s="242">
        <v>45000</v>
      </c>
      <c r="F36" s="13"/>
    </row>
    <row r="37" ht="26.25" customHeight="1" spans="1:6">
      <c r="A37" s="10"/>
      <c r="B37" s="20" t="s">
        <v>96</v>
      </c>
      <c r="C37" s="21">
        <v>30</v>
      </c>
      <c r="D37" s="15"/>
      <c r="E37" s="243">
        <f>SUM(E7:E36)</f>
        <v>2790000</v>
      </c>
      <c r="F37" s="13"/>
    </row>
    <row r="38" ht="18.75" customHeight="1" spans="1:6">
      <c r="A38" s="10"/>
      <c r="B38" s="22"/>
      <c r="C38" s="4"/>
      <c r="D38" s="15"/>
      <c r="E38" s="244"/>
      <c r="F38" s="13"/>
    </row>
    <row r="39" ht="18.75" customHeight="1" spans="1:6">
      <c r="A39" s="10"/>
      <c r="B39" s="20" t="s">
        <v>97</v>
      </c>
      <c r="C39" s="4"/>
      <c r="D39" s="15"/>
      <c r="E39" s="242"/>
      <c r="F39" s="13"/>
    </row>
    <row r="40" ht="18.75" customHeight="1" spans="1:6">
      <c r="A40" s="10">
        <v>1</v>
      </c>
      <c r="B40" s="18" t="s">
        <v>98</v>
      </c>
      <c r="C40" s="4" t="s">
        <v>99</v>
      </c>
      <c r="D40" s="10" t="s">
        <v>100</v>
      </c>
      <c r="E40" s="242">
        <v>225000</v>
      </c>
      <c r="F40" s="13"/>
    </row>
    <row r="41" ht="18.75" customHeight="1" spans="1:6">
      <c r="A41" s="10">
        <v>2</v>
      </c>
      <c r="B41" s="18" t="s">
        <v>101</v>
      </c>
      <c r="C41" s="4" t="s">
        <v>615</v>
      </c>
      <c r="D41" s="10" t="s">
        <v>95</v>
      </c>
      <c r="E41" s="242">
        <v>45000</v>
      </c>
      <c r="F41" s="13"/>
    </row>
    <row r="42" ht="19.5" customHeight="1" spans="1:6">
      <c r="A42" s="10"/>
      <c r="B42" s="14"/>
      <c r="C42" s="21">
        <v>2</v>
      </c>
      <c r="D42" s="10"/>
      <c r="E42" s="243">
        <f>SUM(E40:E41)</f>
        <v>270000</v>
      </c>
      <c r="F42" s="13"/>
    </row>
    <row r="43" customHeight="1" spans="1:6">
      <c r="A43" s="10"/>
      <c r="B43" s="14"/>
      <c r="C43" s="4"/>
      <c r="D43" s="10"/>
      <c r="E43" s="242"/>
      <c r="F43" s="13"/>
    </row>
    <row r="44" customHeight="1" spans="1:6">
      <c r="A44" s="10"/>
      <c r="B44" s="23" t="s">
        <v>107</v>
      </c>
      <c r="C44" s="5"/>
      <c r="D44" s="24"/>
      <c r="E44" s="242"/>
      <c r="F44" s="13"/>
    </row>
    <row r="45" customHeight="1" spans="1:6">
      <c r="A45" s="10">
        <v>1</v>
      </c>
      <c r="B45" s="11" t="s">
        <v>501</v>
      </c>
      <c r="C45" s="4" t="s">
        <v>502</v>
      </c>
      <c r="D45" s="10" t="s">
        <v>100</v>
      </c>
      <c r="E45" s="242">
        <v>225000</v>
      </c>
      <c r="F45" s="13"/>
    </row>
    <row r="46" customHeight="1" spans="1:6">
      <c r="A46" s="10">
        <v>2</v>
      </c>
      <c r="B46" s="11" t="s">
        <v>491</v>
      </c>
      <c r="C46" s="4" t="s">
        <v>44</v>
      </c>
      <c r="D46" s="10" t="s">
        <v>36</v>
      </c>
      <c r="E46" s="242">
        <v>105000</v>
      </c>
      <c r="F46" s="13"/>
    </row>
    <row r="47" customHeight="1" spans="1:6">
      <c r="A47" s="10">
        <v>3</v>
      </c>
      <c r="B47" s="11" t="s">
        <v>108</v>
      </c>
      <c r="C47" s="4" t="s">
        <v>112</v>
      </c>
      <c r="D47" s="10" t="s">
        <v>36</v>
      </c>
      <c r="E47" s="242">
        <v>105000</v>
      </c>
      <c r="F47" s="13"/>
    </row>
    <row r="48" customHeight="1" spans="1:6">
      <c r="A48" s="10">
        <v>4</v>
      </c>
      <c r="B48" s="11" t="s">
        <v>111</v>
      </c>
      <c r="C48" s="4" t="s">
        <v>112</v>
      </c>
      <c r="D48" s="10" t="s">
        <v>36</v>
      </c>
      <c r="E48" s="242">
        <v>105000</v>
      </c>
      <c r="F48" s="13"/>
    </row>
    <row r="49" customHeight="1" spans="1:6">
      <c r="A49" s="10">
        <v>5</v>
      </c>
      <c r="B49" s="11" t="s">
        <v>113</v>
      </c>
      <c r="C49" s="4" t="s">
        <v>112</v>
      </c>
      <c r="D49" s="10" t="s">
        <v>131</v>
      </c>
      <c r="E49" s="242">
        <v>105000</v>
      </c>
      <c r="F49" s="13"/>
    </row>
    <row r="50" customHeight="1" spans="1:6">
      <c r="A50" s="10">
        <v>6</v>
      </c>
      <c r="B50" s="11" t="s">
        <v>114</v>
      </c>
      <c r="C50" s="4" t="s">
        <v>46</v>
      </c>
      <c r="D50" s="10" t="s">
        <v>222</v>
      </c>
      <c r="E50" s="242">
        <v>75000</v>
      </c>
      <c r="F50" s="13"/>
    </row>
    <row r="51" customHeight="1" spans="1:6">
      <c r="A51" s="10">
        <v>7</v>
      </c>
      <c r="B51" s="14" t="s">
        <v>115</v>
      </c>
      <c r="C51" s="4" t="s">
        <v>133</v>
      </c>
      <c r="D51" s="16" t="s">
        <v>222</v>
      </c>
      <c r="E51" s="242">
        <v>75000</v>
      </c>
      <c r="F51" s="13"/>
    </row>
    <row r="52" customHeight="1" spans="1:6">
      <c r="A52" s="10">
        <v>8</v>
      </c>
      <c r="B52" s="11" t="s">
        <v>1094</v>
      </c>
      <c r="C52" s="4" t="s">
        <v>133</v>
      </c>
      <c r="D52" s="10" t="s">
        <v>148</v>
      </c>
      <c r="E52" s="242">
        <v>75000</v>
      </c>
      <c r="F52" s="13"/>
    </row>
    <row r="53" customHeight="1" spans="1:6">
      <c r="A53" s="10">
        <v>9</v>
      </c>
      <c r="B53" s="11" t="s">
        <v>45</v>
      </c>
      <c r="C53" s="4" t="s">
        <v>483</v>
      </c>
      <c r="D53" s="10" t="s">
        <v>52</v>
      </c>
      <c r="E53" s="242">
        <v>75000</v>
      </c>
      <c r="F53" s="13"/>
    </row>
    <row r="54" customHeight="1" spans="1:6">
      <c r="A54" s="10">
        <v>10</v>
      </c>
      <c r="B54" s="11" t="s">
        <v>118</v>
      </c>
      <c r="C54" s="4" t="s">
        <v>117</v>
      </c>
      <c r="D54" s="10" t="s">
        <v>83</v>
      </c>
      <c r="E54" s="242">
        <v>45000</v>
      </c>
      <c r="F54" s="13"/>
    </row>
    <row r="55" customHeight="1" spans="1:6">
      <c r="A55" s="10">
        <v>11</v>
      </c>
      <c r="B55" s="11" t="s">
        <v>580</v>
      </c>
      <c r="C55" s="4" t="s">
        <v>117</v>
      </c>
      <c r="D55" s="10" t="s">
        <v>83</v>
      </c>
      <c r="E55" s="242">
        <v>45000</v>
      </c>
      <c r="F55" s="13"/>
    </row>
    <row r="56" customHeight="1" spans="1:6">
      <c r="A56" s="10">
        <v>12</v>
      </c>
      <c r="B56" s="11" t="s">
        <v>119</v>
      </c>
      <c r="C56" s="4" t="s">
        <v>117</v>
      </c>
      <c r="D56" s="10" t="s">
        <v>83</v>
      </c>
      <c r="E56" s="242">
        <v>45000</v>
      </c>
      <c r="F56" s="13"/>
    </row>
    <row r="57" ht="25.5" customHeight="1" spans="1:6">
      <c r="A57" s="10"/>
      <c r="B57" s="20" t="s">
        <v>96</v>
      </c>
      <c r="C57" s="21">
        <v>12</v>
      </c>
      <c r="D57" s="21"/>
      <c r="E57" s="245">
        <f>SUM(E45:E56)</f>
        <v>1080000</v>
      </c>
      <c r="F57" s="13"/>
    </row>
    <row r="58" customHeight="1" spans="1:6">
      <c r="A58" s="10"/>
      <c r="B58" s="22"/>
      <c r="C58" s="21"/>
      <c r="D58" s="21"/>
      <c r="E58" s="246"/>
      <c r="F58" s="13"/>
    </row>
    <row r="59" customHeight="1" spans="1:6">
      <c r="A59" s="10"/>
      <c r="B59" s="20" t="s">
        <v>120</v>
      </c>
      <c r="C59" s="21"/>
      <c r="D59" s="21"/>
      <c r="E59" s="246"/>
      <c r="F59" s="13"/>
    </row>
    <row r="60" customHeight="1" spans="1:6">
      <c r="A60" s="10">
        <v>1</v>
      </c>
      <c r="B60" s="11" t="s">
        <v>503</v>
      </c>
      <c r="C60" s="12" t="s">
        <v>122</v>
      </c>
      <c r="D60" s="15" t="s">
        <v>100</v>
      </c>
      <c r="E60" s="242">
        <v>225000</v>
      </c>
      <c r="F60" s="13"/>
    </row>
    <row r="61" customHeight="1" spans="1:6">
      <c r="A61" s="10">
        <v>2</v>
      </c>
      <c r="B61" s="11" t="s">
        <v>123</v>
      </c>
      <c r="C61" s="12" t="s">
        <v>124</v>
      </c>
      <c r="D61" s="15" t="s">
        <v>573</v>
      </c>
      <c r="E61" s="242">
        <v>105000</v>
      </c>
      <c r="F61" s="13"/>
    </row>
    <row r="62" customHeight="1" spans="1:6">
      <c r="A62" s="10"/>
      <c r="B62" s="20" t="s">
        <v>96</v>
      </c>
      <c r="C62" s="21">
        <v>2</v>
      </c>
      <c r="D62" s="21"/>
      <c r="E62" s="245">
        <f>SUM(E60:E61)</f>
        <v>330000</v>
      </c>
      <c r="F62" s="13"/>
    </row>
    <row r="63" customHeight="1" spans="1:6">
      <c r="A63" s="10"/>
      <c r="B63" s="20"/>
      <c r="C63" s="21"/>
      <c r="D63" s="21"/>
      <c r="E63" s="246"/>
      <c r="F63" s="13"/>
    </row>
    <row r="64" customHeight="1" spans="1:6">
      <c r="A64" s="10"/>
      <c r="B64" s="20" t="s">
        <v>126</v>
      </c>
      <c r="C64" s="21"/>
      <c r="D64" s="21"/>
      <c r="E64" s="246"/>
      <c r="F64" s="13"/>
    </row>
    <row r="65" customHeight="1" spans="1:6">
      <c r="A65" s="10">
        <v>1</v>
      </c>
      <c r="B65" s="11" t="s">
        <v>127</v>
      </c>
      <c r="C65" s="17" t="s">
        <v>128</v>
      </c>
      <c r="D65" s="10" t="s">
        <v>100</v>
      </c>
      <c r="E65" s="242">
        <v>225000</v>
      </c>
      <c r="F65" s="13"/>
    </row>
    <row r="66" customHeight="1" spans="1:6">
      <c r="A66" s="10">
        <v>2</v>
      </c>
      <c r="B66" s="18" t="s">
        <v>129</v>
      </c>
      <c r="C66" s="17" t="s">
        <v>130</v>
      </c>
      <c r="D66" s="15" t="s">
        <v>1021</v>
      </c>
      <c r="E66" s="242">
        <v>105000</v>
      </c>
      <c r="F66" s="13"/>
    </row>
    <row r="67" customHeight="1" spans="1:6">
      <c r="A67" s="10">
        <v>3</v>
      </c>
      <c r="B67" s="11" t="s">
        <v>132</v>
      </c>
      <c r="C67" s="4" t="s">
        <v>165</v>
      </c>
      <c r="D67" s="10" t="s">
        <v>52</v>
      </c>
      <c r="E67" s="242">
        <v>75000</v>
      </c>
      <c r="F67" s="13"/>
    </row>
    <row r="68" customHeight="1" spans="1:6">
      <c r="A68" s="10">
        <v>4</v>
      </c>
      <c r="B68" s="18" t="s">
        <v>486</v>
      </c>
      <c r="C68" s="17" t="s">
        <v>165</v>
      </c>
      <c r="D68" s="15" t="s">
        <v>1019</v>
      </c>
      <c r="E68" s="242">
        <v>75000</v>
      </c>
      <c r="F68" s="13"/>
    </row>
    <row r="69" customHeight="1" spans="1:6">
      <c r="A69" s="10">
        <v>5</v>
      </c>
      <c r="B69" s="14" t="s">
        <v>519</v>
      </c>
      <c r="C69" s="17" t="s">
        <v>133</v>
      </c>
      <c r="D69" s="15" t="s">
        <v>222</v>
      </c>
      <c r="E69" s="242">
        <v>75000</v>
      </c>
      <c r="F69" s="13"/>
    </row>
    <row r="70" customHeight="1" spans="1:6">
      <c r="A70" s="10">
        <v>6</v>
      </c>
      <c r="B70" s="14" t="s">
        <v>43</v>
      </c>
      <c r="C70" s="17" t="s">
        <v>133</v>
      </c>
      <c r="D70" s="15" t="s">
        <v>148</v>
      </c>
      <c r="E70" s="242">
        <v>75000</v>
      </c>
      <c r="F70" s="13"/>
    </row>
    <row r="71" customHeight="1" spans="1:6">
      <c r="A71" s="10">
        <v>7</v>
      </c>
      <c r="B71" s="11" t="s">
        <v>134</v>
      </c>
      <c r="C71" s="4" t="s">
        <v>117</v>
      </c>
      <c r="D71" s="10" t="s">
        <v>65</v>
      </c>
      <c r="E71" s="242">
        <v>45000</v>
      </c>
      <c r="F71" s="13"/>
    </row>
    <row r="72" customHeight="1" spans="1:6">
      <c r="A72" s="10">
        <v>8</v>
      </c>
      <c r="B72" s="11" t="s">
        <v>1102</v>
      </c>
      <c r="C72" s="17" t="s">
        <v>67</v>
      </c>
      <c r="D72" s="15" t="s">
        <v>62</v>
      </c>
      <c r="E72" s="242">
        <v>45000</v>
      </c>
      <c r="F72" s="13"/>
    </row>
    <row r="73" customHeight="1" spans="1:6">
      <c r="A73" s="10">
        <v>9</v>
      </c>
      <c r="B73" s="11" t="s">
        <v>136</v>
      </c>
      <c r="C73" s="17" t="s">
        <v>67</v>
      </c>
      <c r="D73" s="15" t="s">
        <v>65</v>
      </c>
      <c r="E73" s="242">
        <v>45000</v>
      </c>
      <c r="F73" s="13"/>
    </row>
    <row r="74" customHeight="1" spans="1:6">
      <c r="A74" s="10">
        <v>10</v>
      </c>
      <c r="B74" s="11" t="s">
        <v>137</v>
      </c>
      <c r="C74" s="17" t="s">
        <v>67</v>
      </c>
      <c r="D74" s="15" t="s">
        <v>65</v>
      </c>
      <c r="E74" s="242">
        <v>45000</v>
      </c>
      <c r="F74" s="13"/>
    </row>
    <row r="75" customHeight="1" spans="1:6">
      <c r="A75" s="10">
        <v>11</v>
      </c>
      <c r="B75" s="11" t="s">
        <v>138</v>
      </c>
      <c r="C75" s="4" t="s">
        <v>139</v>
      </c>
      <c r="D75" s="10" t="s">
        <v>135</v>
      </c>
      <c r="E75" s="242">
        <v>45000</v>
      </c>
      <c r="F75" s="13"/>
    </row>
    <row r="76" customHeight="1" spans="1:6">
      <c r="A76" s="10">
        <v>12</v>
      </c>
      <c r="B76" s="11" t="s">
        <v>1184</v>
      </c>
      <c r="C76" s="17" t="s">
        <v>117</v>
      </c>
      <c r="D76" s="10" t="s">
        <v>104</v>
      </c>
      <c r="E76" s="242">
        <v>45000</v>
      </c>
      <c r="F76" s="13"/>
    </row>
    <row r="77" customHeight="1" spans="1:6">
      <c r="A77" s="10">
        <v>13</v>
      </c>
      <c r="B77" s="11" t="s">
        <v>77</v>
      </c>
      <c r="C77" s="17" t="s">
        <v>64</v>
      </c>
      <c r="D77" s="10" t="s">
        <v>80</v>
      </c>
      <c r="E77" s="242">
        <v>45000</v>
      </c>
      <c r="F77" s="13"/>
    </row>
    <row r="78" customHeight="1" spans="1:6">
      <c r="A78" s="10">
        <v>14</v>
      </c>
      <c r="B78" s="14" t="s">
        <v>63</v>
      </c>
      <c r="C78" s="17" t="s">
        <v>64</v>
      </c>
      <c r="D78" s="10" t="s">
        <v>92</v>
      </c>
      <c r="E78" s="242">
        <v>45000</v>
      </c>
      <c r="F78" s="13"/>
    </row>
    <row r="79" customHeight="1" spans="1:6">
      <c r="A79" s="10"/>
      <c r="B79" s="20" t="s">
        <v>96</v>
      </c>
      <c r="C79" s="21">
        <v>14</v>
      </c>
      <c r="D79" s="21"/>
      <c r="E79" s="245">
        <f>SUM(E65:E78)</f>
        <v>990000</v>
      </c>
      <c r="F79" s="13"/>
    </row>
    <row r="80" customHeight="1" spans="1:6">
      <c r="A80" s="10"/>
      <c r="B80" s="22"/>
      <c r="C80" s="21"/>
      <c r="D80" s="21"/>
      <c r="E80" s="246"/>
      <c r="F80" s="13"/>
    </row>
    <row r="81" customHeight="1" spans="1:6">
      <c r="A81" s="10"/>
      <c r="B81" s="20" t="s">
        <v>141</v>
      </c>
      <c r="C81" s="21"/>
      <c r="D81" s="21"/>
      <c r="E81" s="246"/>
      <c r="F81" s="13"/>
    </row>
    <row r="82" customHeight="1" spans="1:6">
      <c r="A82" s="10">
        <v>1</v>
      </c>
      <c r="B82" s="11" t="s">
        <v>142</v>
      </c>
      <c r="C82" s="4" t="s">
        <v>143</v>
      </c>
      <c r="D82" s="10" t="s">
        <v>100</v>
      </c>
      <c r="E82" s="242">
        <v>225000</v>
      </c>
      <c r="F82" s="13"/>
    </row>
    <row r="83" customHeight="1" spans="1:6">
      <c r="A83" s="10">
        <v>2</v>
      </c>
      <c r="B83" s="14" t="s">
        <v>520</v>
      </c>
      <c r="C83" s="4" t="s">
        <v>572</v>
      </c>
      <c r="D83" s="15" t="s">
        <v>1021</v>
      </c>
      <c r="E83" s="242">
        <v>105000</v>
      </c>
      <c r="F83" s="13"/>
    </row>
    <row r="84" customHeight="1" spans="1:6">
      <c r="A84" s="10">
        <v>3</v>
      </c>
      <c r="B84" s="14" t="s">
        <v>1185</v>
      </c>
      <c r="C84" s="4" t="s">
        <v>1186</v>
      </c>
      <c r="D84" s="15" t="s">
        <v>1021</v>
      </c>
      <c r="E84" s="242">
        <v>105000</v>
      </c>
      <c r="F84" s="13"/>
    </row>
    <row r="85" customHeight="1" spans="1:6">
      <c r="A85" s="10">
        <v>4</v>
      </c>
      <c r="B85" s="11" t="s">
        <v>146</v>
      </c>
      <c r="C85" s="4" t="s">
        <v>1037</v>
      </c>
      <c r="D85" s="15" t="s">
        <v>52</v>
      </c>
      <c r="E85" s="242">
        <v>75000</v>
      </c>
      <c r="F85" s="13"/>
    </row>
    <row r="86" customHeight="1" spans="1:6">
      <c r="A86" s="10">
        <v>5</v>
      </c>
      <c r="B86" s="11" t="s">
        <v>149</v>
      </c>
      <c r="C86" s="4" t="s">
        <v>152</v>
      </c>
      <c r="D86" s="10" t="s">
        <v>104</v>
      </c>
      <c r="E86" s="242">
        <v>45000</v>
      </c>
      <c r="F86" s="13"/>
    </row>
    <row r="87" customHeight="1" spans="1:6">
      <c r="A87" s="10"/>
      <c r="B87" s="20" t="s">
        <v>96</v>
      </c>
      <c r="C87" s="21">
        <v>5</v>
      </c>
      <c r="D87" s="21"/>
      <c r="E87" s="245">
        <f>SUM(E82:E86)</f>
        <v>555000</v>
      </c>
      <c r="F87" s="13"/>
    </row>
    <row r="88" customHeight="1" spans="1:6">
      <c r="A88" s="10"/>
      <c r="B88" s="20"/>
      <c r="C88" s="21"/>
      <c r="D88" s="21"/>
      <c r="E88" s="242"/>
      <c r="F88" s="13"/>
    </row>
    <row r="89" customHeight="1" spans="1:6">
      <c r="A89" s="10"/>
      <c r="B89" s="20" t="s">
        <v>155</v>
      </c>
      <c r="C89" s="25"/>
      <c r="D89" s="21"/>
      <c r="E89" s="242"/>
      <c r="F89" s="13"/>
    </row>
    <row r="90" customHeight="1" spans="1:6">
      <c r="A90" s="10">
        <v>1</v>
      </c>
      <c r="B90" s="11" t="s">
        <v>156</v>
      </c>
      <c r="C90" s="4" t="s">
        <v>112</v>
      </c>
      <c r="D90" s="10" t="s">
        <v>36</v>
      </c>
      <c r="E90" s="242">
        <v>105000</v>
      </c>
      <c r="F90" s="13"/>
    </row>
    <row r="91" customHeight="1" spans="1:6">
      <c r="A91" s="10">
        <v>2</v>
      </c>
      <c r="B91" s="11" t="s">
        <v>157</v>
      </c>
      <c r="C91" s="4" t="s">
        <v>112</v>
      </c>
      <c r="D91" s="10" t="s">
        <v>36</v>
      </c>
      <c r="E91" s="242">
        <v>105000</v>
      </c>
      <c r="F91" s="13"/>
    </row>
    <row r="92" customHeight="1" spans="1:6">
      <c r="A92" s="10">
        <v>3</v>
      </c>
      <c r="B92" s="14" t="s">
        <v>201</v>
      </c>
      <c r="C92" s="4" t="s">
        <v>133</v>
      </c>
      <c r="D92" s="10" t="s">
        <v>42</v>
      </c>
      <c r="E92" s="242">
        <v>75000</v>
      </c>
      <c r="F92" s="13"/>
    </row>
    <row r="93" customHeight="1" spans="1:6">
      <c r="A93" s="10">
        <v>4</v>
      </c>
      <c r="B93" s="11" t="s">
        <v>158</v>
      </c>
      <c r="C93" s="4" t="s">
        <v>46</v>
      </c>
      <c r="D93" s="10" t="s">
        <v>222</v>
      </c>
      <c r="E93" s="242">
        <v>75000</v>
      </c>
      <c r="F93" s="13"/>
    </row>
    <row r="94" ht="21.6" customHeight="1" spans="1:6">
      <c r="A94" s="10">
        <v>5</v>
      </c>
      <c r="B94" s="11" t="s">
        <v>159</v>
      </c>
      <c r="C94" s="4" t="s">
        <v>483</v>
      </c>
      <c r="D94" s="15" t="s">
        <v>52</v>
      </c>
      <c r="E94" s="242">
        <v>75000</v>
      </c>
      <c r="F94" s="13"/>
    </row>
    <row r="95" ht="21.6" customHeight="1" spans="1:6">
      <c r="A95" s="10">
        <v>6</v>
      </c>
      <c r="B95" s="11" t="s">
        <v>160</v>
      </c>
      <c r="C95" s="12" t="s">
        <v>165</v>
      </c>
      <c r="D95" s="15" t="s">
        <v>1019</v>
      </c>
      <c r="E95" s="242">
        <v>75000</v>
      </c>
      <c r="F95" s="13"/>
    </row>
    <row r="96" ht="21.6" customHeight="1" spans="1:6">
      <c r="A96" s="10">
        <v>7</v>
      </c>
      <c r="B96" s="11" t="s">
        <v>161</v>
      </c>
      <c r="C96" s="12" t="s">
        <v>165</v>
      </c>
      <c r="D96" s="15" t="s">
        <v>1019</v>
      </c>
      <c r="E96" s="242">
        <v>75000</v>
      </c>
      <c r="F96" s="13"/>
    </row>
    <row r="97" ht="21.6" customHeight="1" spans="1:6">
      <c r="A97" s="10">
        <v>8</v>
      </c>
      <c r="B97" s="11" t="s">
        <v>163</v>
      </c>
      <c r="C97" s="17" t="s">
        <v>67</v>
      </c>
      <c r="D97" s="15" t="s">
        <v>65</v>
      </c>
      <c r="E97" s="242">
        <v>45000</v>
      </c>
      <c r="F97" s="13"/>
    </row>
    <row r="98" ht="21.6" customHeight="1" spans="1:6">
      <c r="A98" s="10">
        <v>9</v>
      </c>
      <c r="B98" s="11" t="s">
        <v>167</v>
      </c>
      <c r="C98" s="4" t="s">
        <v>168</v>
      </c>
      <c r="D98" s="10" t="s">
        <v>70</v>
      </c>
      <c r="E98" s="242">
        <v>45000</v>
      </c>
      <c r="F98" s="13"/>
    </row>
    <row r="99" ht="21.6" customHeight="1" spans="1:6">
      <c r="A99" s="10">
        <v>10</v>
      </c>
      <c r="B99" s="11" t="s">
        <v>169</v>
      </c>
      <c r="C99" s="17" t="s">
        <v>170</v>
      </c>
      <c r="D99" s="15" t="s">
        <v>92</v>
      </c>
      <c r="E99" s="242">
        <v>45000</v>
      </c>
      <c r="F99" s="13"/>
    </row>
    <row r="100" customHeight="1" spans="1:6">
      <c r="A100" s="10"/>
      <c r="B100" s="20" t="s">
        <v>96</v>
      </c>
      <c r="C100" s="21">
        <v>10</v>
      </c>
      <c r="D100" s="21"/>
      <c r="E100" s="245">
        <f>SUM(E90:E99)</f>
        <v>720000</v>
      </c>
      <c r="F100" s="13"/>
    </row>
    <row r="101" customHeight="1" spans="1:6">
      <c r="A101" s="10"/>
      <c r="B101" s="22"/>
      <c r="C101" s="21"/>
      <c r="D101" s="21"/>
      <c r="E101" s="246"/>
      <c r="F101" s="13"/>
    </row>
    <row r="102" customHeight="1" spans="1:6">
      <c r="A102" s="10"/>
      <c r="B102" s="20" t="s">
        <v>172</v>
      </c>
      <c r="C102" s="21"/>
      <c r="D102" s="21"/>
      <c r="E102" s="246"/>
      <c r="F102" s="13"/>
    </row>
    <row r="103" customHeight="1" spans="1:6">
      <c r="A103" s="10">
        <v>1</v>
      </c>
      <c r="B103" s="18" t="s">
        <v>576</v>
      </c>
      <c r="C103" s="10" t="s">
        <v>577</v>
      </c>
      <c r="D103" s="15" t="s">
        <v>110</v>
      </c>
      <c r="E103" s="242">
        <v>150000</v>
      </c>
      <c r="F103" s="13"/>
    </row>
    <row r="104" customHeight="1" spans="1:6">
      <c r="A104" s="10">
        <v>2</v>
      </c>
      <c r="B104" s="11" t="s">
        <v>37</v>
      </c>
      <c r="C104" s="4" t="s">
        <v>177</v>
      </c>
      <c r="D104" s="10" t="s">
        <v>222</v>
      </c>
      <c r="E104" s="242">
        <v>75000</v>
      </c>
      <c r="F104" s="13"/>
    </row>
    <row r="105" customHeight="1" spans="1:6">
      <c r="A105" s="10">
        <v>3</v>
      </c>
      <c r="B105" s="11" t="s">
        <v>180</v>
      </c>
      <c r="C105" s="4" t="s">
        <v>181</v>
      </c>
      <c r="D105" s="15" t="s">
        <v>135</v>
      </c>
      <c r="E105" s="242">
        <v>45000</v>
      </c>
      <c r="F105" s="13"/>
    </row>
    <row r="106" customHeight="1" spans="1:6">
      <c r="A106" s="10">
        <v>4</v>
      </c>
      <c r="B106" s="11" t="s">
        <v>1187</v>
      </c>
      <c r="C106" s="4" t="s">
        <v>1188</v>
      </c>
      <c r="D106" s="15" t="s">
        <v>1014</v>
      </c>
      <c r="E106" s="242">
        <v>45000</v>
      </c>
      <c r="F106" s="13"/>
    </row>
    <row r="107" customHeight="1" spans="1:6">
      <c r="A107" s="4"/>
      <c r="B107" s="20" t="s">
        <v>96</v>
      </c>
      <c r="C107" s="21">
        <v>3</v>
      </c>
      <c r="D107" s="26"/>
      <c r="E107" s="245">
        <f>SUM(E103:E106)</f>
        <v>315000</v>
      </c>
      <c r="F107" s="13"/>
    </row>
    <row r="108" customHeight="1" spans="1:6">
      <c r="A108" s="4"/>
      <c r="B108" s="22"/>
      <c r="C108" s="21"/>
      <c r="D108" s="26"/>
      <c r="E108" s="246"/>
      <c r="F108" s="13"/>
    </row>
    <row r="109" customHeight="1" spans="1:6">
      <c r="A109" s="4"/>
      <c r="B109" s="20" t="s">
        <v>184</v>
      </c>
      <c r="C109" s="4"/>
      <c r="D109" s="4"/>
      <c r="E109" s="247"/>
      <c r="F109" s="13"/>
    </row>
    <row r="110" customHeight="1" spans="1:6">
      <c r="A110" s="4">
        <v>1</v>
      </c>
      <c r="B110" s="11" t="s">
        <v>185</v>
      </c>
      <c r="C110" s="12" t="s">
        <v>186</v>
      </c>
      <c r="D110" s="15" t="s">
        <v>100</v>
      </c>
      <c r="E110" s="242">
        <v>225000</v>
      </c>
      <c r="F110" s="13"/>
    </row>
    <row r="111" customHeight="1" spans="1:6">
      <c r="A111" s="4">
        <v>2</v>
      </c>
      <c r="B111" s="11" t="s">
        <v>187</v>
      </c>
      <c r="C111" s="4" t="s">
        <v>188</v>
      </c>
      <c r="D111" s="16" t="s">
        <v>110</v>
      </c>
      <c r="E111" s="242">
        <v>150000</v>
      </c>
      <c r="F111" s="13"/>
    </row>
    <row r="112" customHeight="1" spans="1:6">
      <c r="A112" s="4">
        <v>3</v>
      </c>
      <c r="B112" s="11" t="s">
        <v>190</v>
      </c>
      <c r="C112" s="4" t="s">
        <v>191</v>
      </c>
      <c r="D112" s="10" t="s">
        <v>192</v>
      </c>
      <c r="E112" s="242">
        <v>75000</v>
      </c>
      <c r="F112" s="13"/>
    </row>
    <row r="113" customHeight="1" spans="1:6">
      <c r="A113" s="4">
        <v>4</v>
      </c>
      <c r="B113" s="11" t="s">
        <v>193</v>
      </c>
      <c r="C113" s="4" t="s">
        <v>191</v>
      </c>
      <c r="D113" s="10" t="s">
        <v>192</v>
      </c>
      <c r="E113" s="242">
        <v>75000</v>
      </c>
      <c r="F113" s="13"/>
    </row>
    <row r="114" customHeight="1" spans="1:6">
      <c r="A114" s="4">
        <v>5</v>
      </c>
      <c r="B114" s="11" t="s">
        <v>194</v>
      </c>
      <c r="C114" s="4" t="s">
        <v>195</v>
      </c>
      <c r="D114" s="15" t="s">
        <v>198</v>
      </c>
      <c r="E114" s="242">
        <v>45000</v>
      </c>
      <c r="F114" s="13"/>
    </row>
    <row r="115" customHeight="1" spans="1:6">
      <c r="A115" s="4">
        <v>6</v>
      </c>
      <c r="B115" s="18" t="s">
        <v>197</v>
      </c>
      <c r="C115" s="4" t="s">
        <v>195</v>
      </c>
      <c r="D115" s="10" t="s">
        <v>1014</v>
      </c>
      <c r="E115" s="242">
        <v>45000</v>
      </c>
      <c r="F115" s="13"/>
    </row>
    <row r="116" customHeight="1" spans="1:6">
      <c r="A116" s="4">
        <v>7</v>
      </c>
      <c r="B116" s="18" t="s">
        <v>199</v>
      </c>
      <c r="C116" s="4" t="s">
        <v>195</v>
      </c>
      <c r="D116" s="15" t="s">
        <v>92</v>
      </c>
      <c r="E116" s="242">
        <v>45000</v>
      </c>
      <c r="F116" s="13"/>
    </row>
    <row r="117" customHeight="1" spans="1:6">
      <c r="A117" s="4"/>
      <c r="B117" s="20" t="s">
        <v>96</v>
      </c>
      <c r="C117" s="21">
        <v>7</v>
      </c>
      <c r="D117" s="4"/>
      <c r="E117" s="248">
        <f>SUM(E110:E116)</f>
        <v>660000</v>
      </c>
      <c r="F117" s="13"/>
    </row>
    <row r="118" customHeight="1" spans="1:6">
      <c r="A118" s="4"/>
      <c r="B118" s="22"/>
      <c r="C118" s="10"/>
      <c r="D118" s="4"/>
      <c r="E118" s="249"/>
      <c r="F118" s="13"/>
    </row>
    <row r="119" customHeight="1" spans="1:6">
      <c r="A119" s="4"/>
      <c r="B119" s="20" t="s">
        <v>213</v>
      </c>
      <c r="C119" s="21"/>
      <c r="D119" s="21"/>
      <c r="E119" s="242"/>
      <c r="F119" s="13"/>
    </row>
    <row r="120" customHeight="1" spans="1:6">
      <c r="A120" s="4">
        <v>1</v>
      </c>
      <c r="B120" s="11" t="s">
        <v>214</v>
      </c>
      <c r="C120" s="12" t="s">
        <v>215</v>
      </c>
      <c r="D120" s="15" t="s">
        <v>100</v>
      </c>
      <c r="E120" s="242">
        <v>225000</v>
      </c>
      <c r="F120" s="13"/>
    </row>
    <row r="121" customHeight="1" spans="1:6">
      <c r="A121" s="4">
        <v>2</v>
      </c>
      <c r="B121" s="11" t="s">
        <v>216</v>
      </c>
      <c r="C121" s="12" t="s">
        <v>219</v>
      </c>
      <c r="D121" s="15" t="s">
        <v>36</v>
      </c>
      <c r="E121" s="242">
        <v>105000</v>
      </c>
      <c r="F121" s="13"/>
    </row>
    <row r="122" customHeight="1" spans="1:6">
      <c r="A122" s="4">
        <v>3</v>
      </c>
      <c r="B122" s="14" t="s">
        <v>218</v>
      </c>
      <c r="C122" s="12" t="s">
        <v>219</v>
      </c>
      <c r="D122" s="15" t="s">
        <v>36</v>
      </c>
      <c r="E122" s="242">
        <v>105000</v>
      </c>
      <c r="F122" s="13"/>
    </row>
    <row r="123" customHeight="1" spans="1:6">
      <c r="A123" s="4">
        <v>4</v>
      </c>
      <c r="B123" s="14" t="s">
        <v>523</v>
      </c>
      <c r="C123" s="12" t="s">
        <v>219</v>
      </c>
      <c r="D123" s="15" t="s">
        <v>39</v>
      </c>
      <c r="E123" s="242">
        <v>105000</v>
      </c>
      <c r="F123" s="13"/>
    </row>
    <row r="124" customHeight="1" spans="1:6">
      <c r="A124" s="4">
        <v>5</v>
      </c>
      <c r="B124" s="11" t="s">
        <v>220</v>
      </c>
      <c r="C124" s="12" t="s">
        <v>221</v>
      </c>
      <c r="D124" s="15" t="s">
        <v>148</v>
      </c>
      <c r="E124" s="242">
        <v>75000</v>
      </c>
      <c r="F124" s="13"/>
    </row>
    <row r="125" customHeight="1" spans="1:6">
      <c r="A125" s="4">
        <v>6</v>
      </c>
      <c r="B125" s="11" t="s">
        <v>223</v>
      </c>
      <c r="C125" s="12" t="s">
        <v>224</v>
      </c>
      <c r="D125" s="15" t="s">
        <v>52</v>
      </c>
      <c r="E125" s="242">
        <v>75000</v>
      </c>
      <c r="F125" s="13"/>
    </row>
    <row r="126" customHeight="1" spans="1:6">
      <c r="A126" s="4">
        <v>7</v>
      </c>
      <c r="B126" s="11" t="s">
        <v>225</v>
      </c>
      <c r="C126" s="12" t="s">
        <v>1039</v>
      </c>
      <c r="D126" s="15" t="s">
        <v>52</v>
      </c>
      <c r="E126" s="242">
        <v>75000</v>
      </c>
      <c r="F126" s="13"/>
    </row>
    <row r="127" customHeight="1" spans="1:6">
      <c r="A127" s="4">
        <v>8</v>
      </c>
      <c r="B127" s="11" t="s">
        <v>226</v>
      </c>
      <c r="C127" s="12" t="s">
        <v>227</v>
      </c>
      <c r="D127" s="10" t="s">
        <v>80</v>
      </c>
      <c r="E127" s="242">
        <v>45000</v>
      </c>
      <c r="F127" s="13"/>
    </row>
    <row r="128" customHeight="1" spans="1:6">
      <c r="A128" s="4">
        <v>9</v>
      </c>
      <c r="B128" s="18" t="s">
        <v>228</v>
      </c>
      <c r="C128" s="12" t="s">
        <v>229</v>
      </c>
      <c r="D128" s="15" t="s">
        <v>92</v>
      </c>
      <c r="E128" s="242">
        <v>45000</v>
      </c>
      <c r="F128" s="13"/>
    </row>
    <row r="129" customHeight="1" spans="1:6">
      <c r="A129" s="4"/>
      <c r="B129" s="20" t="s">
        <v>96</v>
      </c>
      <c r="C129" s="26" t="s">
        <v>1189</v>
      </c>
      <c r="D129" s="15"/>
      <c r="E129" s="250">
        <f>SUM(E120:E128)</f>
        <v>855000</v>
      </c>
      <c r="F129" s="13"/>
    </row>
    <row r="130" customHeight="1" spans="1:6">
      <c r="A130" s="4"/>
      <c r="B130" s="22"/>
      <c r="C130" s="26"/>
      <c r="D130" s="15"/>
      <c r="E130" s="246"/>
      <c r="F130" s="13"/>
    </row>
    <row r="131" customHeight="1" spans="1:6">
      <c r="A131" s="4"/>
      <c r="B131" s="20" t="s">
        <v>234</v>
      </c>
      <c r="C131" s="12"/>
      <c r="D131" s="15"/>
      <c r="E131" s="242"/>
      <c r="F131" s="13"/>
    </row>
    <row r="132" customHeight="1" spans="1:6">
      <c r="A132" s="27">
        <v>1</v>
      </c>
      <c r="B132" s="11" t="s">
        <v>235</v>
      </c>
      <c r="C132" s="12" t="s">
        <v>236</v>
      </c>
      <c r="D132" s="15" t="s">
        <v>100</v>
      </c>
      <c r="E132" s="242">
        <v>225000</v>
      </c>
      <c r="F132" s="13"/>
    </row>
    <row r="133" customHeight="1" spans="1:6">
      <c r="A133" s="27">
        <v>2</v>
      </c>
      <c r="B133" s="11" t="s">
        <v>524</v>
      </c>
      <c r="C133" s="12" t="s">
        <v>575</v>
      </c>
      <c r="D133" s="15" t="s">
        <v>189</v>
      </c>
      <c r="E133" s="242">
        <v>150000</v>
      </c>
      <c r="F133" s="13"/>
    </row>
    <row r="134" customHeight="1" spans="1:6">
      <c r="A134" s="27">
        <v>3</v>
      </c>
      <c r="B134" s="14" t="s">
        <v>237</v>
      </c>
      <c r="C134" s="4" t="s">
        <v>238</v>
      </c>
      <c r="D134" s="16" t="s">
        <v>110</v>
      </c>
      <c r="E134" s="242">
        <v>150000</v>
      </c>
      <c r="F134" s="13"/>
    </row>
    <row r="135" customHeight="1" spans="1:6">
      <c r="A135" s="27">
        <v>4</v>
      </c>
      <c r="B135" s="11" t="s">
        <v>239</v>
      </c>
      <c r="C135" s="12" t="s">
        <v>582</v>
      </c>
      <c r="D135" s="15" t="s">
        <v>222</v>
      </c>
      <c r="E135" s="242">
        <v>75000</v>
      </c>
      <c r="F135" s="13"/>
    </row>
    <row r="136" customHeight="1" spans="1:6">
      <c r="A136" s="27">
        <v>5</v>
      </c>
      <c r="B136" s="11" t="s">
        <v>241</v>
      </c>
      <c r="C136" s="4" t="s">
        <v>583</v>
      </c>
      <c r="D136" s="15" t="s">
        <v>222</v>
      </c>
      <c r="E136" s="242">
        <v>75000</v>
      </c>
      <c r="F136" s="13"/>
    </row>
    <row r="137" customHeight="1" spans="1:6">
      <c r="A137" s="27">
        <v>6</v>
      </c>
      <c r="B137" s="11" t="s">
        <v>176</v>
      </c>
      <c r="C137" s="4" t="s">
        <v>585</v>
      </c>
      <c r="D137" s="15" t="s">
        <v>52</v>
      </c>
      <c r="E137" s="242">
        <v>75000</v>
      </c>
      <c r="F137" s="13"/>
    </row>
    <row r="138" customHeight="1" spans="1:6">
      <c r="A138" s="27">
        <v>7</v>
      </c>
      <c r="B138" s="11" t="s">
        <v>178</v>
      </c>
      <c r="C138" s="12" t="s">
        <v>584</v>
      </c>
      <c r="D138" s="15" t="s">
        <v>62</v>
      </c>
      <c r="E138" s="242">
        <v>45000</v>
      </c>
      <c r="F138" s="13"/>
    </row>
    <row r="139" customHeight="1" spans="1:6">
      <c r="A139" s="27">
        <v>8</v>
      </c>
      <c r="B139" s="11" t="s">
        <v>244</v>
      </c>
      <c r="C139" s="12" t="s">
        <v>584</v>
      </c>
      <c r="D139" s="15" t="s">
        <v>62</v>
      </c>
      <c r="E139" s="242">
        <v>45000</v>
      </c>
      <c r="F139" s="13"/>
    </row>
    <row r="140" customHeight="1" spans="1:6">
      <c r="A140" s="27">
        <v>9</v>
      </c>
      <c r="B140" s="11" t="s">
        <v>245</v>
      </c>
      <c r="C140" s="4" t="s">
        <v>585</v>
      </c>
      <c r="D140" s="15" t="s">
        <v>62</v>
      </c>
      <c r="E140" s="242">
        <v>45000</v>
      </c>
      <c r="F140" s="13"/>
    </row>
    <row r="141" customHeight="1" spans="1:6">
      <c r="A141" s="27">
        <v>10</v>
      </c>
      <c r="B141" s="11" t="s">
        <v>247</v>
      </c>
      <c r="C141" s="12" t="s">
        <v>252</v>
      </c>
      <c r="D141" s="15" t="s">
        <v>135</v>
      </c>
      <c r="E141" s="242">
        <v>45000</v>
      </c>
      <c r="F141" s="13"/>
    </row>
    <row r="142" customHeight="1" spans="1:6">
      <c r="A142" s="27">
        <v>11</v>
      </c>
      <c r="B142" s="11" t="s">
        <v>249</v>
      </c>
      <c r="C142" s="12" t="s">
        <v>1041</v>
      </c>
      <c r="D142" s="15" t="s">
        <v>587</v>
      </c>
      <c r="E142" s="242">
        <v>45000</v>
      </c>
      <c r="F142" s="13"/>
    </row>
    <row r="143" customHeight="1" spans="1:6">
      <c r="A143" s="27">
        <v>12</v>
      </c>
      <c r="B143" s="11" t="s">
        <v>251</v>
      </c>
      <c r="C143" s="12" t="s">
        <v>252</v>
      </c>
      <c r="D143" s="15" t="s">
        <v>62</v>
      </c>
      <c r="E143" s="242">
        <v>45000</v>
      </c>
      <c r="F143" s="13"/>
    </row>
    <row r="144" customHeight="1" spans="1:6">
      <c r="A144" s="27">
        <v>13</v>
      </c>
      <c r="B144" s="18" t="s">
        <v>254</v>
      </c>
      <c r="C144" s="4" t="s">
        <v>262</v>
      </c>
      <c r="D144" s="15" t="s">
        <v>587</v>
      </c>
      <c r="E144" s="242">
        <v>45000</v>
      </c>
      <c r="F144" s="13"/>
    </row>
    <row r="145" customHeight="1" spans="1:6">
      <c r="A145" s="27">
        <v>14</v>
      </c>
      <c r="B145" s="11" t="s">
        <v>256</v>
      </c>
      <c r="C145" s="4" t="s">
        <v>586</v>
      </c>
      <c r="D145" s="15" t="s">
        <v>104</v>
      </c>
      <c r="E145" s="242">
        <v>45000</v>
      </c>
      <c r="F145" s="13"/>
    </row>
    <row r="146" customHeight="1" spans="1:6">
      <c r="A146" s="27">
        <v>15</v>
      </c>
      <c r="B146" s="11" t="s">
        <v>257</v>
      </c>
      <c r="C146" s="4" t="s">
        <v>586</v>
      </c>
      <c r="D146" s="15" t="s">
        <v>265</v>
      </c>
      <c r="E146" s="242">
        <v>45000</v>
      </c>
      <c r="F146" s="13"/>
    </row>
    <row r="147" customHeight="1" spans="1:6">
      <c r="A147" s="27">
        <v>16</v>
      </c>
      <c r="B147" s="11" t="s">
        <v>258</v>
      </c>
      <c r="C147" s="4" t="s">
        <v>586</v>
      </c>
      <c r="D147" s="15" t="s">
        <v>265</v>
      </c>
      <c r="E147" s="242">
        <v>45000</v>
      </c>
      <c r="F147" s="13"/>
    </row>
    <row r="148" customHeight="1" spans="1:6">
      <c r="A148" s="27">
        <v>17</v>
      </c>
      <c r="B148" s="11" t="s">
        <v>259</v>
      </c>
      <c r="C148" s="12" t="s">
        <v>260</v>
      </c>
      <c r="D148" s="15" t="s">
        <v>70</v>
      </c>
      <c r="E148" s="242">
        <v>45000</v>
      </c>
      <c r="F148" s="13"/>
    </row>
    <row r="149" customHeight="1" spans="1:6">
      <c r="A149" s="27">
        <v>18</v>
      </c>
      <c r="B149" s="11" t="s">
        <v>1022</v>
      </c>
      <c r="C149" s="12" t="s">
        <v>262</v>
      </c>
      <c r="D149" s="10" t="s">
        <v>83</v>
      </c>
      <c r="E149" s="242">
        <v>45000</v>
      </c>
      <c r="F149" s="13"/>
    </row>
    <row r="150" customHeight="1" spans="1:6">
      <c r="A150" s="27">
        <v>19</v>
      </c>
      <c r="B150" s="11" t="s">
        <v>263</v>
      </c>
      <c r="C150" s="12" t="s">
        <v>264</v>
      </c>
      <c r="D150" s="15" t="s">
        <v>104</v>
      </c>
      <c r="E150" s="242">
        <v>45000</v>
      </c>
      <c r="F150" s="13"/>
    </row>
    <row r="151" customHeight="1" spans="1:6">
      <c r="A151" s="27">
        <v>20</v>
      </c>
      <c r="B151" s="11" t="s">
        <v>266</v>
      </c>
      <c r="C151" s="12" t="s">
        <v>267</v>
      </c>
      <c r="D151" s="15" t="s">
        <v>80</v>
      </c>
      <c r="E151" s="242">
        <v>45000</v>
      </c>
      <c r="F151" s="13"/>
    </row>
    <row r="152" customHeight="1" spans="1:6">
      <c r="A152" s="27">
        <v>21</v>
      </c>
      <c r="B152" s="11" t="s">
        <v>268</v>
      </c>
      <c r="C152" s="12" t="s">
        <v>269</v>
      </c>
      <c r="D152" s="15" t="s">
        <v>104</v>
      </c>
      <c r="E152" s="242">
        <v>45000</v>
      </c>
      <c r="F152" s="13"/>
    </row>
    <row r="153" customHeight="1" spans="1:6">
      <c r="A153" s="27">
        <v>22</v>
      </c>
      <c r="B153" s="11" t="s">
        <v>270</v>
      </c>
      <c r="C153" s="12" t="s">
        <v>271</v>
      </c>
      <c r="D153" s="15" t="s">
        <v>80</v>
      </c>
      <c r="E153" s="242">
        <v>45000</v>
      </c>
      <c r="F153" s="13"/>
    </row>
    <row r="154" customHeight="1" spans="1:6">
      <c r="A154" s="27">
        <v>23</v>
      </c>
      <c r="B154" s="18" t="s">
        <v>272</v>
      </c>
      <c r="C154" s="12" t="s">
        <v>278</v>
      </c>
      <c r="D154" s="15" t="s">
        <v>1014</v>
      </c>
      <c r="E154" s="242">
        <v>45000</v>
      </c>
      <c r="F154" s="13"/>
    </row>
    <row r="155" customHeight="1" spans="1:6">
      <c r="A155" s="27">
        <v>24</v>
      </c>
      <c r="B155" s="18" t="s">
        <v>275</v>
      </c>
      <c r="C155" s="12" t="s">
        <v>276</v>
      </c>
      <c r="D155" s="15" t="s">
        <v>95</v>
      </c>
      <c r="E155" s="242">
        <v>45000</v>
      </c>
      <c r="F155" s="13"/>
    </row>
    <row r="156" customHeight="1" spans="1:6">
      <c r="A156" s="27">
        <v>25</v>
      </c>
      <c r="B156" s="18" t="s">
        <v>277</v>
      </c>
      <c r="C156" s="12" t="s">
        <v>278</v>
      </c>
      <c r="D156" s="15" t="s">
        <v>95</v>
      </c>
      <c r="E156" s="242">
        <v>45000</v>
      </c>
      <c r="F156" s="13"/>
    </row>
    <row r="157" customHeight="1" spans="1:6">
      <c r="A157" s="27">
        <v>26</v>
      </c>
      <c r="B157" s="18" t="s">
        <v>279</v>
      </c>
      <c r="C157" s="12" t="s">
        <v>280</v>
      </c>
      <c r="D157" s="15" t="s">
        <v>92</v>
      </c>
      <c r="E157" s="242">
        <v>45000</v>
      </c>
      <c r="F157" s="13"/>
    </row>
    <row r="158" customHeight="1" spans="1:6">
      <c r="A158" s="27">
        <v>27</v>
      </c>
      <c r="B158" s="18" t="s">
        <v>281</v>
      </c>
      <c r="C158" s="12" t="s">
        <v>282</v>
      </c>
      <c r="D158" s="15" t="s">
        <v>92</v>
      </c>
      <c r="E158" s="242">
        <v>45000</v>
      </c>
      <c r="F158" s="13"/>
    </row>
    <row r="159" customHeight="1" spans="1:6">
      <c r="A159" s="27">
        <v>28</v>
      </c>
      <c r="B159" s="11" t="s">
        <v>287</v>
      </c>
      <c r="C159" s="12" t="s">
        <v>288</v>
      </c>
      <c r="D159" s="15" t="s">
        <v>295</v>
      </c>
      <c r="E159" s="242">
        <v>30000</v>
      </c>
      <c r="F159" s="13"/>
    </row>
    <row r="160" customHeight="1" spans="1:6">
      <c r="A160" s="27">
        <v>29</v>
      </c>
      <c r="B160" s="11" t="s">
        <v>290</v>
      </c>
      <c r="C160" s="12" t="s">
        <v>288</v>
      </c>
      <c r="D160" s="15" t="s">
        <v>295</v>
      </c>
      <c r="E160" s="242">
        <v>30000</v>
      </c>
      <c r="F160" s="13"/>
    </row>
    <row r="161" customHeight="1" spans="1:6">
      <c r="A161" s="27">
        <v>30</v>
      </c>
      <c r="B161" s="11" t="s">
        <v>291</v>
      </c>
      <c r="C161" s="12" t="s">
        <v>288</v>
      </c>
      <c r="D161" s="15" t="s">
        <v>295</v>
      </c>
      <c r="E161" s="242">
        <v>30000</v>
      </c>
      <c r="F161" s="13"/>
    </row>
    <row r="162" customHeight="1" spans="1:6">
      <c r="A162" s="27">
        <v>32</v>
      </c>
      <c r="B162" s="11" t="s">
        <v>292</v>
      </c>
      <c r="C162" s="12" t="s">
        <v>288</v>
      </c>
      <c r="D162" s="15" t="s">
        <v>295</v>
      </c>
      <c r="E162" s="242">
        <v>30000</v>
      </c>
      <c r="F162" s="13"/>
    </row>
    <row r="163" customHeight="1" spans="1:6">
      <c r="A163" s="27">
        <v>33</v>
      </c>
      <c r="B163" s="11" t="s">
        <v>293</v>
      </c>
      <c r="C163" s="12" t="s">
        <v>288</v>
      </c>
      <c r="D163" s="15" t="s">
        <v>295</v>
      </c>
      <c r="E163" s="242">
        <v>30000</v>
      </c>
      <c r="F163" s="13"/>
    </row>
    <row r="164" customHeight="1" spans="1:6">
      <c r="A164" s="27">
        <v>34</v>
      </c>
      <c r="B164" s="11" t="s">
        <v>294</v>
      </c>
      <c r="C164" s="12" t="s">
        <v>288</v>
      </c>
      <c r="D164" s="15" t="s">
        <v>306</v>
      </c>
      <c r="E164" s="242">
        <v>30000</v>
      </c>
      <c r="F164" s="13"/>
    </row>
    <row r="165" customHeight="1" spans="1:6">
      <c r="A165" s="27">
        <v>35</v>
      </c>
      <c r="B165" s="11" t="s">
        <v>296</v>
      </c>
      <c r="C165" s="12" t="s">
        <v>288</v>
      </c>
      <c r="D165" s="15" t="s">
        <v>306</v>
      </c>
      <c r="E165" s="242">
        <v>30000</v>
      </c>
      <c r="F165" s="13"/>
    </row>
    <row r="166" customHeight="1" spans="1:6">
      <c r="A166" s="27">
        <v>36</v>
      </c>
      <c r="B166" s="11" t="s">
        <v>1190</v>
      </c>
      <c r="C166" s="12" t="s">
        <v>288</v>
      </c>
      <c r="D166" s="15" t="s">
        <v>306</v>
      </c>
      <c r="E166" s="242">
        <v>30000</v>
      </c>
      <c r="F166" s="13"/>
    </row>
    <row r="167" customHeight="1" spans="1:6">
      <c r="A167" s="27">
        <v>37</v>
      </c>
      <c r="B167" s="14" t="s">
        <v>297</v>
      </c>
      <c r="C167" s="12" t="s">
        <v>288</v>
      </c>
      <c r="D167" s="15" t="s">
        <v>306</v>
      </c>
      <c r="E167" s="242">
        <v>30000</v>
      </c>
      <c r="F167" s="13"/>
    </row>
    <row r="168" customHeight="1" spans="1:6">
      <c r="A168" s="27">
        <v>38</v>
      </c>
      <c r="B168" s="11" t="s">
        <v>298</v>
      </c>
      <c r="C168" s="12" t="s">
        <v>288</v>
      </c>
      <c r="D168" s="15" t="s">
        <v>306</v>
      </c>
      <c r="E168" s="242">
        <v>30000</v>
      </c>
      <c r="F168" s="13"/>
    </row>
    <row r="169" customHeight="1" spans="1:6">
      <c r="A169" s="27">
        <v>39</v>
      </c>
      <c r="B169" s="18" t="s">
        <v>299</v>
      </c>
      <c r="C169" s="12" t="s">
        <v>288</v>
      </c>
      <c r="D169" s="15" t="s">
        <v>306</v>
      </c>
      <c r="E169" s="242">
        <v>30000</v>
      </c>
      <c r="F169" s="13"/>
    </row>
    <row r="170" customHeight="1" spans="1:6">
      <c r="A170" s="27">
        <v>40</v>
      </c>
      <c r="B170" s="18" t="s">
        <v>300</v>
      </c>
      <c r="C170" s="12" t="s">
        <v>288</v>
      </c>
      <c r="D170" s="15" t="s">
        <v>306</v>
      </c>
      <c r="E170" s="242">
        <v>30000</v>
      </c>
      <c r="F170" s="13"/>
    </row>
    <row r="171" customHeight="1" spans="1:6">
      <c r="A171" s="27">
        <v>41</v>
      </c>
      <c r="B171" s="11" t="s">
        <v>301</v>
      </c>
      <c r="C171" s="12" t="s">
        <v>308</v>
      </c>
      <c r="D171" s="15" t="s">
        <v>588</v>
      </c>
      <c r="E171" s="242">
        <v>30000</v>
      </c>
      <c r="F171" s="13"/>
    </row>
    <row r="172" customHeight="1" spans="1:6">
      <c r="A172" s="27">
        <v>42</v>
      </c>
      <c r="B172" s="11" t="s">
        <v>304</v>
      </c>
      <c r="C172" s="12" t="s">
        <v>308</v>
      </c>
      <c r="D172" s="15" t="s">
        <v>588</v>
      </c>
      <c r="E172" s="242">
        <v>30000</v>
      </c>
      <c r="F172" s="13"/>
    </row>
    <row r="173" customHeight="1" spans="1:6">
      <c r="A173" s="27">
        <v>43</v>
      </c>
      <c r="B173" s="18" t="s">
        <v>305</v>
      </c>
      <c r="C173" s="12" t="s">
        <v>308</v>
      </c>
      <c r="D173" s="15" t="s">
        <v>1017</v>
      </c>
      <c r="E173" s="242">
        <v>30000</v>
      </c>
      <c r="F173" s="13"/>
    </row>
    <row r="174" customHeight="1" spans="1:6">
      <c r="A174" s="27">
        <v>44</v>
      </c>
      <c r="B174" s="11" t="s">
        <v>307</v>
      </c>
      <c r="C174" s="12" t="s">
        <v>308</v>
      </c>
      <c r="D174" s="15" t="s">
        <v>1023</v>
      </c>
      <c r="E174" s="242">
        <v>30000</v>
      </c>
      <c r="F174" s="13"/>
    </row>
    <row r="175" customHeight="1" spans="1:6">
      <c r="A175" s="27">
        <v>45</v>
      </c>
      <c r="B175" s="11" t="s">
        <v>309</v>
      </c>
      <c r="C175" s="12" t="s">
        <v>310</v>
      </c>
      <c r="D175" s="15" t="s">
        <v>1024</v>
      </c>
      <c r="E175" s="242">
        <v>30000</v>
      </c>
      <c r="F175" s="13"/>
    </row>
    <row r="176" customHeight="1" spans="1:6">
      <c r="A176" s="27">
        <v>46</v>
      </c>
      <c r="B176" s="11" t="s">
        <v>312</v>
      </c>
      <c r="C176" s="12" t="s">
        <v>310</v>
      </c>
      <c r="D176" s="15" t="s">
        <v>1024</v>
      </c>
      <c r="E176" s="242">
        <v>30000</v>
      </c>
      <c r="F176" s="13"/>
    </row>
    <row r="177" customHeight="1" spans="1:6">
      <c r="A177" s="27">
        <v>47</v>
      </c>
      <c r="B177" s="11" t="s">
        <v>313</v>
      </c>
      <c r="C177" s="12" t="s">
        <v>310</v>
      </c>
      <c r="D177" s="15" t="s">
        <v>1024</v>
      </c>
      <c r="E177" s="242">
        <v>30000</v>
      </c>
      <c r="F177" s="13"/>
    </row>
    <row r="178" customHeight="1" spans="1:6">
      <c r="A178" s="27">
        <v>48</v>
      </c>
      <c r="B178" s="11" t="s">
        <v>314</v>
      </c>
      <c r="C178" s="12" t="s">
        <v>310</v>
      </c>
      <c r="D178" s="15" t="s">
        <v>1024</v>
      </c>
      <c r="E178" s="242">
        <v>30000</v>
      </c>
      <c r="F178" s="13"/>
    </row>
    <row r="179" customHeight="1" spans="1:6">
      <c r="A179" s="27">
        <v>49</v>
      </c>
      <c r="B179" s="11" t="s">
        <v>315</v>
      </c>
      <c r="C179" s="12" t="s">
        <v>310</v>
      </c>
      <c r="D179" s="15" t="s">
        <v>1024</v>
      </c>
      <c r="E179" s="242">
        <v>30000</v>
      </c>
      <c r="F179" s="13"/>
    </row>
    <row r="180" customHeight="1" spans="1:6">
      <c r="A180" s="27">
        <v>50</v>
      </c>
      <c r="B180" s="18" t="s">
        <v>316</v>
      </c>
      <c r="C180" s="12" t="s">
        <v>310</v>
      </c>
      <c r="D180" s="15" t="s">
        <v>1024</v>
      </c>
      <c r="E180" s="242">
        <v>30000</v>
      </c>
      <c r="F180" s="13"/>
    </row>
    <row r="181" customHeight="1" spans="1:6">
      <c r="A181" s="27">
        <v>51</v>
      </c>
      <c r="B181" s="18" t="s">
        <v>317</v>
      </c>
      <c r="C181" s="12" t="s">
        <v>310</v>
      </c>
      <c r="D181" s="15" t="s">
        <v>1024</v>
      </c>
      <c r="E181" s="242">
        <v>30000</v>
      </c>
      <c r="F181" s="13"/>
    </row>
    <row r="182" customHeight="1" spans="1:6">
      <c r="A182" s="27">
        <v>52</v>
      </c>
      <c r="B182" s="11" t="s">
        <v>318</v>
      </c>
      <c r="C182" s="12" t="s">
        <v>308</v>
      </c>
      <c r="D182" s="15" t="s">
        <v>1024</v>
      </c>
      <c r="E182" s="242">
        <v>30000</v>
      </c>
      <c r="F182" s="13"/>
    </row>
    <row r="183" customHeight="1" spans="1:6">
      <c r="A183" s="27">
        <v>53</v>
      </c>
      <c r="B183" s="11" t="s">
        <v>319</v>
      </c>
      <c r="C183" s="12" t="s">
        <v>308</v>
      </c>
      <c r="D183" s="15" t="s">
        <v>1024</v>
      </c>
      <c r="E183" s="242">
        <v>30000</v>
      </c>
      <c r="F183" s="13"/>
    </row>
    <row r="184" customHeight="1" spans="1:6">
      <c r="A184" s="27">
        <v>54</v>
      </c>
      <c r="B184" s="18" t="s">
        <v>320</v>
      </c>
      <c r="C184" s="12" t="s">
        <v>310</v>
      </c>
      <c r="D184" s="15" t="s">
        <v>1042</v>
      </c>
      <c r="E184" s="242">
        <v>30000</v>
      </c>
      <c r="F184" s="13"/>
    </row>
    <row r="185" customHeight="1" spans="1:6">
      <c r="A185" s="27">
        <v>55</v>
      </c>
      <c r="B185" s="18" t="s">
        <v>325</v>
      </c>
      <c r="C185" s="12" t="s">
        <v>310</v>
      </c>
      <c r="D185" s="15" t="s">
        <v>1025</v>
      </c>
      <c r="E185" s="242">
        <v>30000</v>
      </c>
      <c r="F185" s="13"/>
    </row>
    <row r="186" customHeight="1" spans="1:6">
      <c r="A186" s="27"/>
      <c r="B186" s="8" t="s">
        <v>96</v>
      </c>
      <c r="C186" s="28" t="s">
        <v>1191</v>
      </c>
      <c r="D186" s="29"/>
      <c r="E186" s="251">
        <f>SUM(E132:E185)</f>
        <v>2505000</v>
      </c>
      <c r="F186" s="13"/>
    </row>
    <row r="187" ht="9" customHeight="1" spans="1:6">
      <c r="A187" s="27"/>
      <c r="B187" s="8"/>
      <c r="C187" s="28"/>
      <c r="D187" s="29"/>
      <c r="E187" s="251"/>
      <c r="F187" s="13"/>
    </row>
    <row r="188" ht="30" customHeight="1" spans="1:6">
      <c r="A188" s="4"/>
      <c r="B188" s="252" t="s">
        <v>336</v>
      </c>
      <c r="C188" s="253">
        <f>C37+C42+C57+C62+C79+C87+C100+C107+C117+C129+C186</f>
        <v>149</v>
      </c>
      <c r="D188" s="254"/>
      <c r="E188" s="255">
        <f>E186+E129+E117+E107+E100+E87+E79+E62+E57+E42+E37</f>
        <v>11070000</v>
      </c>
      <c r="F188" s="13"/>
    </row>
    <row r="189" customHeight="1" spans="2:6">
      <c r="B189" s="33"/>
      <c r="D189" s="34"/>
      <c r="E189" s="103"/>
      <c r="F189" s="35"/>
    </row>
    <row r="190" ht="65.25" customHeight="1" spans="2:5">
      <c r="B190" s="33"/>
      <c r="C190" s="34"/>
      <c r="D190" s="34"/>
      <c r="E190" s="104"/>
    </row>
  </sheetData>
  <pageMargins left="0.236220472440945" right="0.236220472440945" top="0.984251968503937" bottom="0.984251968503937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5"/>
  <sheetViews>
    <sheetView view="pageBreakPreview" zoomScaleNormal="100" workbookViewId="0">
      <pane xSplit="3" ySplit="7" topLeftCell="D19" activePane="bottomRight" state="frozen"/>
      <selection/>
      <selection pane="topRight"/>
      <selection pane="bottomLeft"/>
      <selection pane="bottomRight" activeCell="I6" sqref="I6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8" style="1" customWidth="1"/>
    <col min="4" max="4" width="12.4272727272727" style="1" customWidth="1"/>
    <col min="5" max="5" width="21.8545454545455" style="1" customWidth="1"/>
    <col min="6" max="6" width="21.7090909090909" style="1" customWidth="1"/>
    <col min="7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57"/>
    </row>
    <row r="2" ht="33.75" customHeight="1" spans="1:5">
      <c r="A2" s="236" t="s">
        <v>1174</v>
      </c>
      <c r="B2" s="77"/>
      <c r="C2" s="76"/>
      <c r="D2" s="76"/>
      <c r="E2" s="78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500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22</v>
      </c>
      <c r="C7" s="12" t="s">
        <v>23</v>
      </c>
      <c r="D7" s="12" t="s">
        <v>24</v>
      </c>
      <c r="E7" s="242">
        <v>450000</v>
      </c>
      <c r="F7" s="13"/>
    </row>
    <row r="8" customHeight="1" spans="1:6">
      <c r="A8" s="10">
        <v>2</v>
      </c>
      <c r="B8" s="11" t="s">
        <v>1085</v>
      </c>
      <c r="C8" s="4" t="s">
        <v>1175</v>
      </c>
      <c r="D8" s="10" t="s">
        <v>189</v>
      </c>
      <c r="E8" s="242">
        <v>150000</v>
      </c>
      <c r="F8" s="13"/>
    </row>
    <row r="9" customHeight="1" spans="1:6">
      <c r="A9" s="10">
        <v>3</v>
      </c>
      <c r="B9" s="14" t="s">
        <v>1176</v>
      </c>
      <c r="C9" s="4" t="s">
        <v>1177</v>
      </c>
      <c r="D9" s="10" t="s">
        <v>189</v>
      </c>
      <c r="E9" s="242">
        <v>150000</v>
      </c>
      <c r="F9" s="13"/>
    </row>
    <row r="10" customHeight="1" spans="1:6">
      <c r="A10" s="10">
        <v>4</v>
      </c>
      <c r="B10" s="11" t="s">
        <v>25</v>
      </c>
      <c r="C10" s="12" t="s">
        <v>26</v>
      </c>
      <c r="D10" s="10" t="s">
        <v>27</v>
      </c>
      <c r="E10" s="242">
        <v>150000</v>
      </c>
      <c r="F10" s="13"/>
    </row>
    <row r="11" customHeight="1" spans="1:6">
      <c r="A11" s="10">
        <v>5</v>
      </c>
      <c r="B11" s="14" t="s">
        <v>28</v>
      </c>
      <c r="C11" s="4" t="s">
        <v>29</v>
      </c>
      <c r="D11" s="15" t="s">
        <v>110</v>
      </c>
      <c r="E11" s="242">
        <v>150000</v>
      </c>
      <c r="F11" s="13"/>
    </row>
    <row r="12" customHeight="1" spans="1:6">
      <c r="A12" s="10">
        <v>6</v>
      </c>
      <c r="B12" s="14" t="s">
        <v>173</v>
      </c>
      <c r="C12" s="4" t="s">
        <v>1087</v>
      </c>
      <c r="D12" s="16" t="s">
        <v>110</v>
      </c>
      <c r="E12" s="242">
        <v>150000</v>
      </c>
      <c r="F12" s="13"/>
    </row>
    <row r="13" customHeight="1" spans="1:6">
      <c r="A13" s="10">
        <v>7</v>
      </c>
      <c r="B13" s="11" t="s">
        <v>30</v>
      </c>
      <c r="C13" s="17" t="s">
        <v>31</v>
      </c>
      <c r="D13" s="16" t="s">
        <v>110</v>
      </c>
      <c r="E13" s="242">
        <v>150000</v>
      </c>
      <c r="F13" s="13"/>
    </row>
    <row r="14" customHeight="1" spans="1:6">
      <c r="A14" s="10">
        <v>8</v>
      </c>
      <c r="B14" s="14" t="s">
        <v>32</v>
      </c>
      <c r="C14" s="4" t="s">
        <v>33</v>
      </c>
      <c r="D14" s="16" t="s">
        <v>110</v>
      </c>
      <c r="E14" s="242">
        <v>150000</v>
      </c>
      <c r="F14" s="13"/>
    </row>
    <row r="15" customHeight="1" spans="1:6">
      <c r="A15" s="10">
        <v>9</v>
      </c>
      <c r="B15" s="11" t="s">
        <v>34</v>
      </c>
      <c r="C15" s="12" t="s">
        <v>35</v>
      </c>
      <c r="D15" s="15" t="s">
        <v>36</v>
      </c>
      <c r="E15" s="242">
        <v>105000</v>
      </c>
      <c r="F15" s="13"/>
    </row>
    <row r="16" customHeight="1" spans="1:6">
      <c r="A16" s="10">
        <v>10</v>
      </c>
      <c r="B16" s="18" t="s">
        <v>521</v>
      </c>
      <c r="C16" s="12" t="s">
        <v>574</v>
      </c>
      <c r="D16" s="10" t="s">
        <v>573</v>
      </c>
      <c r="E16" s="242">
        <v>105000</v>
      </c>
      <c r="F16" s="13"/>
    </row>
    <row r="17" customHeight="1" spans="1:6">
      <c r="A17" s="10">
        <v>11</v>
      </c>
      <c r="B17" s="19" t="s">
        <v>1178</v>
      </c>
      <c r="C17" s="4" t="s">
        <v>1179</v>
      </c>
      <c r="D17" s="16" t="s">
        <v>222</v>
      </c>
      <c r="E17" s="242">
        <v>75000</v>
      </c>
      <c r="F17" s="13"/>
    </row>
    <row r="18" ht="19.5" customHeight="1" spans="1:6">
      <c r="A18" s="10">
        <v>12</v>
      </c>
      <c r="B18" s="14" t="s">
        <v>1088</v>
      </c>
      <c r="C18" s="4" t="s">
        <v>41</v>
      </c>
      <c r="D18" s="10" t="s">
        <v>222</v>
      </c>
      <c r="E18" s="242">
        <v>75000</v>
      </c>
      <c r="F18" s="13"/>
    </row>
    <row r="19" ht="19.5" customHeight="1" spans="1:6">
      <c r="A19" s="10">
        <v>13</v>
      </c>
      <c r="B19" s="14" t="s">
        <v>1180</v>
      </c>
      <c r="C19" s="4" t="s">
        <v>1181</v>
      </c>
      <c r="D19" s="10" t="s">
        <v>222</v>
      </c>
      <c r="E19" s="242">
        <v>75000</v>
      </c>
      <c r="F19" s="13"/>
    </row>
    <row r="20" customHeight="1" spans="1:6">
      <c r="A20" s="10">
        <v>14</v>
      </c>
      <c r="B20" s="11" t="s">
        <v>40</v>
      </c>
      <c r="C20" s="4" t="s">
        <v>41</v>
      </c>
      <c r="D20" s="15" t="s">
        <v>222</v>
      </c>
      <c r="E20" s="242">
        <v>75000</v>
      </c>
      <c r="F20" s="13"/>
    </row>
    <row r="21" customHeight="1" spans="1:6">
      <c r="A21" s="10">
        <v>15</v>
      </c>
      <c r="B21" s="11" t="s">
        <v>50</v>
      </c>
      <c r="C21" s="12" t="s">
        <v>51</v>
      </c>
      <c r="D21" s="15" t="s">
        <v>1019</v>
      </c>
      <c r="E21" s="242">
        <v>75000</v>
      </c>
      <c r="F21" s="13"/>
    </row>
    <row r="22" customHeight="1" spans="1:6">
      <c r="A22" s="10">
        <v>16</v>
      </c>
      <c r="B22" s="18" t="s">
        <v>53</v>
      </c>
      <c r="C22" s="4" t="s">
        <v>54</v>
      </c>
      <c r="D22" s="15" t="s">
        <v>1020</v>
      </c>
      <c r="E22" s="242">
        <v>75000</v>
      </c>
      <c r="F22" s="13"/>
    </row>
    <row r="23" customHeight="1" spans="1:6">
      <c r="A23" s="10">
        <v>17</v>
      </c>
      <c r="B23" s="11" t="s">
        <v>204</v>
      </c>
      <c r="C23" s="12" t="s">
        <v>581</v>
      </c>
      <c r="D23" s="15" t="s">
        <v>62</v>
      </c>
      <c r="E23" s="242">
        <v>45000</v>
      </c>
      <c r="F23" s="13"/>
    </row>
    <row r="24" ht="18.75" customHeight="1" spans="1:6">
      <c r="A24" s="10">
        <v>18</v>
      </c>
      <c r="B24" s="11" t="s">
        <v>60</v>
      </c>
      <c r="C24" s="12" t="s">
        <v>61</v>
      </c>
      <c r="D24" s="15" t="s">
        <v>135</v>
      </c>
      <c r="E24" s="242">
        <v>45000</v>
      </c>
      <c r="F24" s="13"/>
    </row>
    <row r="25" ht="18.75" customHeight="1" spans="1:6">
      <c r="A25" s="10">
        <v>19</v>
      </c>
      <c r="B25" s="18" t="s">
        <v>1182</v>
      </c>
      <c r="C25" s="12" t="s">
        <v>91</v>
      </c>
      <c r="D25" s="15" t="s">
        <v>265</v>
      </c>
      <c r="E25" s="242">
        <v>45000</v>
      </c>
      <c r="F25" s="13"/>
    </row>
    <row r="26" ht="18.75" customHeight="1" spans="1:6">
      <c r="A26" s="10">
        <v>20</v>
      </c>
      <c r="B26" s="4" t="s">
        <v>73</v>
      </c>
      <c r="C26" s="4" t="s">
        <v>74</v>
      </c>
      <c r="D26" s="10" t="s">
        <v>80</v>
      </c>
      <c r="E26" s="242">
        <v>45000</v>
      </c>
      <c r="F26" s="13"/>
    </row>
    <row r="27" ht="18.75" customHeight="1" spans="1:6">
      <c r="A27" s="10">
        <v>21</v>
      </c>
      <c r="B27" s="18" t="s">
        <v>76</v>
      </c>
      <c r="C27" s="12" t="s">
        <v>74</v>
      </c>
      <c r="D27" s="15" t="s">
        <v>80</v>
      </c>
      <c r="E27" s="242">
        <v>45000</v>
      </c>
      <c r="F27" s="13"/>
    </row>
    <row r="28" ht="18.75" customHeight="1" spans="1:6">
      <c r="A28" s="10">
        <v>22</v>
      </c>
      <c r="B28" s="11" t="s">
        <v>1089</v>
      </c>
      <c r="C28" s="12" t="s">
        <v>1090</v>
      </c>
      <c r="D28" s="15" t="s">
        <v>80</v>
      </c>
      <c r="E28" s="242">
        <v>45000</v>
      </c>
      <c r="F28" s="13"/>
    </row>
    <row r="29" ht="18.75" customHeight="1" spans="1:6">
      <c r="A29" s="10">
        <v>23</v>
      </c>
      <c r="B29" s="18" t="s">
        <v>78</v>
      </c>
      <c r="C29" s="12" t="s">
        <v>1036</v>
      </c>
      <c r="D29" s="15" t="s">
        <v>1014</v>
      </c>
      <c r="E29" s="242">
        <v>45000</v>
      </c>
      <c r="F29" s="13"/>
    </row>
    <row r="30" ht="18.75" customHeight="1" spans="1:6">
      <c r="A30" s="10">
        <v>24</v>
      </c>
      <c r="B30" s="18" t="s">
        <v>81</v>
      </c>
      <c r="C30" s="4" t="s">
        <v>1091</v>
      </c>
      <c r="D30" s="10" t="s">
        <v>1014</v>
      </c>
      <c r="E30" s="242">
        <v>45000</v>
      </c>
      <c r="F30" s="13"/>
    </row>
    <row r="31" ht="18.75" customHeight="1" spans="1:6">
      <c r="A31" s="10">
        <v>25</v>
      </c>
      <c r="B31" s="18" t="s">
        <v>85</v>
      </c>
      <c r="C31" s="17" t="s">
        <v>86</v>
      </c>
      <c r="D31" s="15" t="s">
        <v>80</v>
      </c>
      <c r="E31" s="242">
        <v>45000</v>
      </c>
      <c r="F31" s="13"/>
    </row>
    <row r="32" ht="18.75" customHeight="1" spans="1:6">
      <c r="A32" s="10">
        <v>26</v>
      </c>
      <c r="B32" s="18" t="s">
        <v>88</v>
      </c>
      <c r="C32" s="4" t="s">
        <v>89</v>
      </c>
      <c r="D32" s="10" t="s">
        <v>92</v>
      </c>
      <c r="E32" s="242">
        <v>45000</v>
      </c>
      <c r="F32" s="13"/>
    </row>
    <row r="33" ht="18.75" customHeight="1" spans="1:6">
      <c r="A33" s="10">
        <v>27</v>
      </c>
      <c r="B33" s="18" t="s">
        <v>1009</v>
      </c>
      <c r="C33" s="12" t="s">
        <v>91</v>
      </c>
      <c r="D33" s="15" t="s">
        <v>92</v>
      </c>
      <c r="E33" s="242">
        <v>45000</v>
      </c>
      <c r="F33" s="13"/>
    </row>
    <row r="34" ht="18.75" customHeight="1" spans="1:6">
      <c r="A34" s="10">
        <v>28</v>
      </c>
      <c r="B34" s="18" t="s">
        <v>1183</v>
      </c>
      <c r="C34" s="12" t="s">
        <v>91</v>
      </c>
      <c r="D34" s="15" t="s">
        <v>92</v>
      </c>
      <c r="E34" s="242">
        <v>45000</v>
      </c>
      <c r="F34" s="13"/>
    </row>
    <row r="35" ht="18.75" customHeight="1" spans="1:6">
      <c r="A35" s="10">
        <v>29</v>
      </c>
      <c r="B35" s="18" t="s">
        <v>230</v>
      </c>
      <c r="C35" s="12" t="s">
        <v>231</v>
      </c>
      <c r="D35" s="15" t="s">
        <v>95</v>
      </c>
      <c r="E35" s="242">
        <v>45000</v>
      </c>
      <c r="F35" s="13"/>
    </row>
    <row r="36" ht="26.25" customHeight="1" spans="1:6">
      <c r="A36" s="10"/>
      <c r="B36" s="20" t="s">
        <v>96</v>
      </c>
      <c r="C36" s="21">
        <v>29</v>
      </c>
      <c r="D36" s="15"/>
      <c r="E36" s="243">
        <f>SUM(E7:E35)</f>
        <v>2745000</v>
      </c>
      <c r="F36" s="13"/>
    </row>
    <row r="37" ht="18.75" customHeight="1" spans="1:6">
      <c r="A37" s="10"/>
      <c r="B37" s="22"/>
      <c r="C37" s="4"/>
      <c r="D37" s="15"/>
      <c r="E37" s="244"/>
      <c r="F37" s="13"/>
    </row>
    <row r="38" ht="18.75" customHeight="1" spans="1:6">
      <c r="A38" s="10"/>
      <c r="B38" s="20" t="s">
        <v>97</v>
      </c>
      <c r="C38" s="4"/>
      <c r="D38" s="15"/>
      <c r="E38" s="242"/>
      <c r="F38" s="13"/>
    </row>
    <row r="39" ht="18.75" customHeight="1" spans="1:6">
      <c r="A39" s="10">
        <v>1</v>
      </c>
      <c r="B39" s="18" t="s">
        <v>98</v>
      </c>
      <c r="C39" s="4" t="s">
        <v>99</v>
      </c>
      <c r="D39" s="10" t="s">
        <v>100</v>
      </c>
      <c r="E39" s="242">
        <v>225000</v>
      </c>
      <c r="F39" s="13"/>
    </row>
    <row r="40" ht="18.75" customHeight="1" spans="1:6">
      <c r="A40" s="10">
        <v>2</v>
      </c>
      <c r="B40" s="18" t="s">
        <v>101</v>
      </c>
      <c r="C40" s="4" t="s">
        <v>615</v>
      </c>
      <c r="D40" s="10" t="s">
        <v>95</v>
      </c>
      <c r="E40" s="242">
        <v>45000</v>
      </c>
      <c r="F40" s="13"/>
    </row>
    <row r="41" ht="19.5" customHeight="1" spans="1:6">
      <c r="A41" s="10"/>
      <c r="B41" s="14"/>
      <c r="C41" s="21">
        <v>2</v>
      </c>
      <c r="D41" s="10"/>
      <c r="E41" s="243">
        <f>SUM(E39:E40)</f>
        <v>270000</v>
      </c>
      <c r="F41" s="13"/>
    </row>
    <row r="42" customHeight="1" spans="1:6">
      <c r="A42" s="10"/>
      <c r="B42" s="14"/>
      <c r="C42" s="4"/>
      <c r="D42" s="10"/>
      <c r="E42" s="242"/>
      <c r="F42" s="13"/>
    </row>
    <row r="43" customHeight="1" spans="1:6">
      <c r="A43" s="10"/>
      <c r="B43" s="23" t="s">
        <v>107</v>
      </c>
      <c r="C43" s="5"/>
      <c r="D43" s="24"/>
      <c r="E43" s="242"/>
      <c r="F43" s="13"/>
    </row>
    <row r="44" customHeight="1" spans="1:6">
      <c r="A44" s="10">
        <v>1</v>
      </c>
      <c r="B44" s="11" t="s">
        <v>501</v>
      </c>
      <c r="C44" s="4" t="s">
        <v>502</v>
      </c>
      <c r="D44" s="10" t="s">
        <v>100</v>
      </c>
      <c r="E44" s="242">
        <v>225000</v>
      </c>
      <c r="F44" s="13"/>
    </row>
    <row r="45" customHeight="1" spans="1:6">
      <c r="A45" s="10">
        <v>2</v>
      </c>
      <c r="B45" s="11" t="s">
        <v>491</v>
      </c>
      <c r="C45" s="4" t="s">
        <v>44</v>
      </c>
      <c r="D45" s="10" t="s">
        <v>36</v>
      </c>
      <c r="E45" s="242">
        <v>105000</v>
      </c>
      <c r="F45" s="13"/>
    </row>
    <row r="46" customHeight="1" spans="1:6">
      <c r="A46" s="10">
        <v>3</v>
      </c>
      <c r="B46" s="11" t="s">
        <v>108</v>
      </c>
      <c r="C46" s="4" t="s">
        <v>112</v>
      </c>
      <c r="D46" s="10" t="s">
        <v>36</v>
      </c>
      <c r="E46" s="242">
        <v>105000</v>
      </c>
      <c r="F46" s="13"/>
    </row>
    <row r="47" customHeight="1" spans="1:6">
      <c r="A47" s="10">
        <v>4</v>
      </c>
      <c r="B47" s="11" t="s">
        <v>111</v>
      </c>
      <c r="C47" s="4" t="s">
        <v>112</v>
      </c>
      <c r="D47" s="10" t="s">
        <v>36</v>
      </c>
      <c r="E47" s="242">
        <v>105000</v>
      </c>
      <c r="F47" s="13"/>
    </row>
    <row r="48" customHeight="1" spans="1:6">
      <c r="A48" s="10">
        <v>5</v>
      </c>
      <c r="B48" s="11" t="s">
        <v>113</v>
      </c>
      <c r="C48" s="4" t="s">
        <v>112</v>
      </c>
      <c r="D48" s="10" t="s">
        <v>131</v>
      </c>
      <c r="E48" s="242">
        <v>105000</v>
      </c>
      <c r="F48" s="13"/>
    </row>
    <row r="49" customHeight="1" spans="1:6">
      <c r="A49" s="10">
        <v>6</v>
      </c>
      <c r="B49" s="11" t="s">
        <v>114</v>
      </c>
      <c r="C49" s="4" t="s">
        <v>46</v>
      </c>
      <c r="D49" s="10" t="s">
        <v>222</v>
      </c>
      <c r="E49" s="242">
        <v>75000</v>
      </c>
      <c r="F49" s="13"/>
    </row>
    <row r="50" customHeight="1" spans="1:6">
      <c r="A50" s="10">
        <v>7</v>
      </c>
      <c r="B50" s="14" t="s">
        <v>115</v>
      </c>
      <c r="C50" s="4" t="s">
        <v>133</v>
      </c>
      <c r="D50" s="16" t="s">
        <v>222</v>
      </c>
      <c r="E50" s="242">
        <v>75000</v>
      </c>
      <c r="F50" s="13"/>
    </row>
    <row r="51" customHeight="1" spans="1:6">
      <c r="A51" s="10">
        <v>8</v>
      </c>
      <c r="B51" s="11" t="s">
        <v>1094</v>
      </c>
      <c r="C51" s="4" t="s">
        <v>133</v>
      </c>
      <c r="D51" s="10" t="s">
        <v>148</v>
      </c>
      <c r="E51" s="242">
        <v>75000</v>
      </c>
      <c r="F51" s="13"/>
    </row>
    <row r="52" customHeight="1" spans="1:6">
      <c r="A52" s="10">
        <v>9</v>
      </c>
      <c r="B52" s="11" t="s">
        <v>45</v>
      </c>
      <c r="C52" s="4" t="s">
        <v>483</v>
      </c>
      <c r="D52" s="10" t="s">
        <v>52</v>
      </c>
      <c r="E52" s="242">
        <v>75000</v>
      </c>
      <c r="F52" s="13"/>
    </row>
    <row r="53" customHeight="1" spans="1:6">
      <c r="A53" s="10">
        <v>10</v>
      </c>
      <c r="B53" s="11" t="s">
        <v>118</v>
      </c>
      <c r="C53" s="4" t="s">
        <v>117</v>
      </c>
      <c r="D53" s="10" t="s">
        <v>83</v>
      </c>
      <c r="E53" s="242">
        <v>45000</v>
      </c>
      <c r="F53" s="13"/>
    </row>
    <row r="54" customHeight="1" spans="1:6">
      <c r="A54" s="10">
        <v>11</v>
      </c>
      <c r="B54" s="11" t="s">
        <v>580</v>
      </c>
      <c r="C54" s="4" t="s">
        <v>117</v>
      </c>
      <c r="D54" s="10" t="s">
        <v>83</v>
      </c>
      <c r="E54" s="242">
        <v>45000</v>
      </c>
      <c r="F54" s="13"/>
    </row>
    <row r="55" customHeight="1" spans="1:6">
      <c r="A55" s="10">
        <v>12</v>
      </c>
      <c r="B55" s="11" t="s">
        <v>119</v>
      </c>
      <c r="C55" s="4" t="s">
        <v>117</v>
      </c>
      <c r="D55" s="10" t="s">
        <v>83</v>
      </c>
      <c r="E55" s="242">
        <v>45000</v>
      </c>
      <c r="F55" s="13"/>
    </row>
    <row r="56" ht="25.5" customHeight="1" spans="1:6">
      <c r="A56" s="10"/>
      <c r="B56" s="20" t="s">
        <v>96</v>
      </c>
      <c r="C56" s="21">
        <v>12</v>
      </c>
      <c r="D56" s="21"/>
      <c r="E56" s="245">
        <f>SUM(E44:E55)</f>
        <v>1080000</v>
      </c>
      <c r="F56" s="13"/>
    </row>
    <row r="57" customHeight="1" spans="1:6">
      <c r="A57" s="10"/>
      <c r="B57" s="22"/>
      <c r="C57" s="21"/>
      <c r="D57" s="21"/>
      <c r="E57" s="246"/>
      <c r="F57" s="13"/>
    </row>
    <row r="58" customHeight="1" spans="1:6">
      <c r="A58" s="10"/>
      <c r="B58" s="20" t="s">
        <v>120</v>
      </c>
      <c r="C58" s="21"/>
      <c r="D58" s="21"/>
      <c r="E58" s="246"/>
      <c r="F58" s="13"/>
    </row>
    <row r="59" customHeight="1" spans="1:6">
      <c r="A59" s="10">
        <v>1</v>
      </c>
      <c r="B59" s="11" t="s">
        <v>503</v>
      </c>
      <c r="C59" s="12" t="s">
        <v>122</v>
      </c>
      <c r="D59" s="15" t="s">
        <v>100</v>
      </c>
      <c r="E59" s="242">
        <v>225000</v>
      </c>
      <c r="F59" s="13"/>
    </row>
    <row r="60" customHeight="1" spans="1:6">
      <c r="A60" s="10">
        <v>2</v>
      </c>
      <c r="B60" s="11" t="s">
        <v>123</v>
      </c>
      <c r="C60" s="12" t="s">
        <v>124</v>
      </c>
      <c r="D60" s="15" t="s">
        <v>573</v>
      </c>
      <c r="E60" s="242">
        <v>105000</v>
      </c>
      <c r="F60" s="13"/>
    </row>
    <row r="61" customHeight="1" spans="1:6">
      <c r="A61" s="10"/>
      <c r="B61" s="20" t="s">
        <v>96</v>
      </c>
      <c r="C61" s="21">
        <v>2</v>
      </c>
      <c r="D61" s="21"/>
      <c r="E61" s="245">
        <f>SUM(E59:E60)</f>
        <v>330000</v>
      </c>
      <c r="F61" s="13"/>
    </row>
    <row r="62" customHeight="1" spans="1:6">
      <c r="A62" s="10"/>
      <c r="B62" s="20"/>
      <c r="C62" s="21"/>
      <c r="D62" s="21"/>
      <c r="E62" s="246"/>
      <c r="F62" s="13"/>
    </row>
    <row r="63" customHeight="1" spans="1:6">
      <c r="A63" s="10"/>
      <c r="B63" s="20" t="s">
        <v>126</v>
      </c>
      <c r="C63" s="21"/>
      <c r="D63" s="21"/>
      <c r="E63" s="246"/>
      <c r="F63" s="13"/>
    </row>
    <row r="64" customHeight="1" spans="1:6">
      <c r="A64" s="10">
        <v>1</v>
      </c>
      <c r="B64" s="11" t="s">
        <v>127</v>
      </c>
      <c r="C64" s="17" t="s">
        <v>128</v>
      </c>
      <c r="D64" s="10" t="s">
        <v>100</v>
      </c>
      <c r="E64" s="242">
        <v>225000</v>
      </c>
      <c r="F64" s="13"/>
    </row>
    <row r="65" customHeight="1" spans="1:6">
      <c r="A65" s="10">
        <v>2</v>
      </c>
      <c r="B65" s="18" t="s">
        <v>129</v>
      </c>
      <c r="C65" s="17" t="s">
        <v>130</v>
      </c>
      <c r="D65" s="15" t="s">
        <v>1021</v>
      </c>
      <c r="E65" s="242">
        <v>105000</v>
      </c>
      <c r="F65" s="13"/>
    </row>
    <row r="66" customHeight="1" spans="1:6">
      <c r="A66" s="10">
        <v>3</v>
      </c>
      <c r="B66" s="11" t="s">
        <v>132</v>
      </c>
      <c r="C66" s="4" t="s">
        <v>165</v>
      </c>
      <c r="D66" s="10" t="s">
        <v>52</v>
      </c>
      <c r="E66" s="242">
        <v>75000</v>
      </c>
      <c r="F66" s="13"/>
    </row>
    <row r="67" customHeight="1" spans="1:6">
      <c r="A67" s="10">
        <v>4</v>
      </c>
      <c r="B67" s="18" t="s">
        <v>486</v>
      </c>
      <c r="C67" s="17" t="s">
        <v>165</v>
      </c>
      <c r="D67" s="15" t="s">
        <v>1019</v>
      </c>
      <c r="E67" s="242">
        <v>75000</v>
      </c>
      <c r="F67" s="13"/>
    </row>
    <row r="68" customHeight="1" spans="1:6">
      <c r="A68" s="10">
        <v>5</v>
      </c>
      <c r="B68" s="14" t="s">
        <v>519</v>
      </c>
      <c r="C68" s="17" t="s">
        <v>133</v>
      </c>
      <c r="D68" s="15" t="s">
        <v>222</v>
      </c>
      <c r="E68" s="242">
        <v>75000</v>
      </c>
      <c r="F68" s="13"/>
    </row>
    <row r="69" customHeight="1" spans="1:6">
      <c r="A69" s="10">
        <v>6</v>
      </c>
      <c r="B69" s="14" t="s">
        <v>43</v>
      </c>
      <c r="C69" s="17" t="s">
        <v>133</v>
      </c>
      <c r="D69" s="15" t="s">
        <v>148</v>
      </c>
      <c r="E69" s="242">
        <v>75000</v>
      </c>
      <c r="F69" s="13"/>
    </row>
    <row r="70" customHeight="1" spans="1:6">
      <c r="A70" s="10">
        <v>7</v>
      </c>
      <c r="B70" s="11" t="s">
        <v>134</v>
      </c>
      <c r="C70" s="4" t="s">
        <v>117</v>
      </c>
      <c r="D70" s="10" t="s">
        <v>65</v>
      </c>
      <c r="E70" s="242">
        <v>45000</v>
      </c>
      <c r="F70" s="13"/>
    </row>
    <row r="71" customHeight="1" spans="1:6">
      <c r="A71" s="10">
        <v>8</v>
      </c>
      <c r="B71" s="11" t="s">
        <v>136</v>
      </c>
      <c r="C71" s="17" t="s">
        <v>67</v>
      </c>
      <c r="D71" s="15" t="s">
        <v>65</v>
      </c>
      <c r="E71" s="242">
        <v>45000</v>
      </c>
      <c r="F71" s="13"/>
    </row>
    <row r="72" customHeight="1" spans="1:6">
      <c r="A72" s="10">
        <v>9</v>
      </c>
      <c r="B72" s="11" t="s">
        <v>137</v>
      </c>
      <c r="C72" s="17" t="s">
        <v>67</v>
      </c>
      <c r="D72" s="15" t="s">
        <v>65</v>
      </c>
      <c r="E72" s="242">
        <v>45000</v>
      </c>
      <c r="F72" s="13"/>
    </row>
    <row r="73" customHeight="1" spans="1:6">
      <c r="A73" s="10">
        <v>10</v>
      </c>
      <c r="B73" s="11" t="s">
        <v>138</v>
      </c>
      <c r="C73" s="4" t="s">
        <v>139</v>
      </c>
      <c r="D73" s="10" t="s">
        <v>135</v>
      </c>
      <c r="E73" s="242">
        <v>45000</v>
      </c>
      <c r="F73" s="13"/>
    </row>
    <row r="74" customHeight="1" spans="1:6">
      <c r="A74" s="10">
        <v>11</v>
      </c>
      <c r="B74" s="11" t="s">
        <v>1184</v>
      </c>
      <c r="C74" s="17" t="s">
        <v>117</v>
      </c>
      <c r="D74" s="10" t="s">
        <v>104</v>
      </c>
      <c r="E74" s="242">
        <v>45000</v>
      </c>
      <c r="F74" s="13"/>
    </row>
    <row r="75" customHeight="1" spans="1:6">
      <c r="A75" s="10">
        <v>12</v>
      </c>
      <c r="B75" s="11" t="s">
        <v>77</v>
      </c>
      <c r="C75" s="17" t="s">
        <v>64</v>
      </c>
      <c r="D75" s="10" t="s">
        <v>80</v>
      </c>
      <c r="E75" s="242">
        <v>45000</v>
      </c>
      <c r="F75" s="13"/>
    </row>
    <row r="76" customHeight="1" spans="1:6">
      <c r="A76" s="10">
        <v>13</v>
      </c>
      <c r="B76" s="14" t="s">
        <v>63</v>
      </c>
      <c r="C76" s="17" t="s">
        <v>64</v>
      </c>
      <c r="D76" s="10" t="s">
        <v>92</v>
      </c>
      <c r="E76" s="242">
        <v>45000</v>
      </c>
      <c r="F76" s="13"/>
    </row>
    <row r="77" customHeight="1" spans="1:6">
      <c r="A77" s="10"/>
      <c r="B77" s="20" t="s">
        <v>96</v>
      </c>
      <c r="C77" s="21">
        <v>13</v>
      </c>
      <c r="D77" s="21"/>
      <c r="E77" s="245">
        <f>SUM(E64:E76)</f>
        <v>945000</v>
      </c>
      <c r="F77" s="13"/>
    </row>
    <row r="78" customHeight="1" spans="1:6">
      <c r="A78" s="10"/>
      <c r="B78" s="22"/>
      <c r="C78" s="21"/>
      <c r="D78" s="21"/>
      <c r="E78" s="246"/>
      <c r="F78" s="13"/>
    </row>
    <row r="79" customHeight="1" spans="1:6">
      <c r="A79" s="10"/>
      <c r="B79" s="20" t="s">
        <v>141</v>
      </c>
      <c r="C79" s="21"/>
      <c r="D79" s="21"/>
      <c r="E79" s="246"/>
      <c r="F79" s="13"/>
    </row>
    <row r="80" customHeight="1" spans="1:6">
      <c r="A80" s="10">
        <v>1</v>
      </c>
      <c r="B80" s="11" t="s">
        <v>142</v>
      </c>
      <c r="C80" s="4" t="s">
        <v>143</v>
      </c>
      <c r="D80" s="10" t="s">
        <v>100</v>
      </c>
      <c r="E80" s="242">
        <v>225000</v>
      </c>
      <c r="F80" s="13"/>
    </row>
    <row r="81" customHeight="1" spans="1:6">
      <c r="A81" s="10">
        <v>2</v>
      </c>
      <c r="B81" s="14" t="s">
        <v>520</v>
      </c>
      <c r="C81" s="4" t="s">
        <v>572</v>
      </c>
      <c r="D81" s="15" t="s">
        <v>1021</v>
      </c>
      <c r="E81" s="242">
        <v>105000</v>
      </c>
      <c r="F81" s="13"/>
    </row>
    <row r="82" customHeight="1" spans="1:6">
      <c r="A82" s="10">
        <v>3</v>
      </c>
      <c r="B82" s="14" t="s">
        <v>1185</v>
      </c>
      <c r="C82" s="4" t="s">
        <v>1186</v>
      </c>
      <c r="D82" s="15" t="s">
        <v>1021</v>
      </c>
      <c r="E82" s="242">
        <v>105000</v>
      </c>
      <c r="F82" s="13"/>
    </row>
    <row r="83" customHeight="1" spans="1:6">
      <c r="A83" s="10">
        <v>4</v>
      </c>
      <c r="B83" s="11" t="s">
        <v>146</v>
      </c>
      <c r="C83" s="4" t="s">
        <v>1037</v>
      </c>
      <c r="D83" s="15" t="s">
        <v>52</v>
      </c>
      <c r="E83" s="242">
        <v>75000</v>
      </c>
      <c r="F83" s="13"/>
    </row>
    <row r="84" customHeight="1" spans="1:6">
      <c r="A84" s="10">
        <v>5</v>
      </c>
      <c r="B84" s="11" t="s">
        <v>149</v>
      </c>
      <c r="C84" s="4" t="s">
        <v>152</v>
      </c>
      <c r="D84" s="10" t="s">
        <v>104</v>
      </c>
      <c r="E84" s="242">
        <v>45000</v>
      </c>
      <c r="F84" s="13"/>
    </row>
    <row r="85" customHeight="1" spans="1:6">
      <c r="A85" s="10"/>
      <c r="B85" s="20" t="s">
        <v>96</v>
      </c>
      <c r="C85" s="21">
        <v>5</v>
      </c>
      <c r="D85" s="21"/>
      <c r="E85" s="245">
        <f>SUM(E80:E84)</f>
        <v>555000</v>
      </c>
      <c r="F85" s="13"/>
    </row>
    <row r="86" customHeight="1" spans="1:6">
      <c r="A86" s="10"/>
      <c r="B86" s="20"/>
      <c r="C86" s="21"/>
      <c r="D86" s="21"/>
      <c r="E86" s="242"/>
      <c r="F86" s="13"/>
    </row>
    <row r="87" customHeight="1" spans="1:6">
      <c r="A87" s="10"/>
      <c r="B87" s="20" t="s">
        <v>155</v>
      </c>
      <c r="C87" s="25"/>
      <c r="D87" s="21"/>
      <c r="E87" s="242"/>
      <c r="F87" s="13"/>
    </row>
    <row r="88" customHeight="1" spans="1:6">
      <c r="A88" s="10">
        <v>1</v>
      </c>
      <c r="B88" s="11" t="s">
        <v>156</v>
      </c>
      <c r="C88" s="4" t="s">
        <v>112</v>
      </c>
      <c r="D88" s="10" t="s">
        <v>36</v>
      </c>
      <c r="E88" s="242">
        <v>105000</v>
      </c>
      <c r="F88" s="13"/>
    </row>
    <row r="89" customHeight="1" spans="1:6">
      <c r="A89" s="10">
        <v>2</v>
      </c>
      <c r="B89" s="11" t="s">
        <v>157</v>
      </c>
      <c r="C89" s="4" t="s">
        <v>112</v>
      </c>
      <c r="D89" s="10" t="s">
        <v>36</v>
      </c>
      <c r="E89" s="242">
        <v>105000</v>
      </c>
      <c r="F89" s="13"/>
    </row>
    <row r="90" customHeight="1" spans="1:6">
      <c r="A90" s="10">
        <v>3</v>
      </c>
      <c r="B90" s="14" t="s">
        <v>201</v>
      </c>
      <c r="C90" s="4" t="s">
        <v>133</v>
      </c>
      <c r="D90" s="10" t="s">
        <v>42</v>
      </c>
      <c r="E90" s="242">
        <v>75000</v>
      </c>
      <c r="F90" s="13"/>
    </row>
    <row r="91" customHeight="1" spans="1:6">
      <c r="A91" s="10">
        <v>4</v>
      </c>
      <c r="B91" s="11" t="s">
        <v>158</v>
      </c>
      <c r="C91" s="4" t="s">
        <v>46</v>
      </c>
      <c r="D91" s="10" t="s">
        <v>222</v>
      </c>
      <c r="E91" s="242">
        <v>75000</v>
      </c>
      <c r="F91" s="13"/>
    </row>
    <row r="92" ht="21.6" customHeight="1" spans="1:6">
      <c r="A92" s="10">
        <v>5</v>
      </c>
      <c r="B92" s="11" t="s">
        <v>159</v>
      </c>
      <c r="C92" s="4" t="s">
        <v>483</v>
      </c>
      <c r="D92" s="15" t="s">
        <v>52</v>
      </c>
      <c r="E92" s="242">
        <v>75000</v>
      </c>
      <c r="F92" s="13"/>
    </row>
    <row r="93" ht="21.6" customHeight="1" spans="1:6">
      <c r="A93" s="10">
        <v>6</v>
      </c>
      <c r="B93" s="11" t="s">
        <v>160</v>
      </c>
      <c r="C93" s="12" t="s">
        <v>165</v>
      </c>
      <c r="D93" s="15" t="s">
        <v>1019</v>
      </c>
      <c r="E93" s="242">
        <v>75000</v>
      </c>
      <c r="F93" s="13"/>
    </row>
    <row r="94" ht="21.6" customHeight="1" spans="1:6">
      <c r="A94" s="10">
        <v>7</v>
      </c>
      <c r="B94" s="11" t="s">
        <v>161</v>
      </c>
      <c r="C94" s="12" t="s">
        <v>165</v>
      </c>
      <c r="D94" s="15" t="s">
        <v>1019</v>
      </c>
      <c r="E94" s="242">
        <v>75000</v>
      </c>
      <c r="F94" s="13"/>
    </row>
    <row r="95" ht="21.6" customHeight="1" spans="1:6">
      <c r="A95" s="10">
        <v>8</v>
      </c>
      <c r="B95" s="11" t="s">
        <v>163</v>
      </c>
      <c r="C95" s="17" t="s">
        <v>67</v>
      </c>
      <c r="D95" s="15" t="s">
        <v>65</v>
      </c>
      <c r="E95" s="242">
        <v>45000</v>
      </c>
      <c r="F95" s="13"/>
    </row>
    <row r="96" ht="21.6" customHeight="1" spans="1:6">
      <c r="A96" s="10">
        <v>9</v>
      </c>
      <c r="B96" s="11" t="s">
        <v>167</v>
      </c>
      <c r="C96" s="4" t="s">
        <v>168</v>
      </c>
      <c r="D96" s="10" t="s">
        <v>70</v>
      </c>
      <c r="E96" s="242">
        <v>45000</v>
      </c>
      <c r="F96" s="13"/>
    </row>
    <row r="97" ht="21.6" customHeight="1" spans="1:6">
      <c r="A97" s="10">
        <v>10</v>
      </c>
      <c r="B97" s="11" t="s">
        <v>169</v>
      </c>
      <c r="C97" s="17" t="s">
        <v>170</v>
      </c>
      <c r="D97" s="15" t="s">
        <v>92</v>
      </c>
      <c r="E97" s="242">
        <v>45000</v>
      </c>
      <c r="F97" s="13"/>
    </row>
    <row r="98" customHeight="1" spans="1:6">
      <c r="A98" s="10"/>
      <c r="B98" s="20" t="s">
        <v>96</v>
      </c>
      <c r="C98" s="21">
        <v>10</v>
      </c>
      <c r="D98" s="21"/>
      <c r="E98" s="245">
        <f>SUM(E88:E97)</f>
        <v>720000</v>
      </c>
      <c r="F98" s="13"/>
    </row>
    <row r="99" customHeight="1" spans="1:6">
      <c r="A99" s="10"/>
      <c r="B99" s="22"/>
      <c r="C99" s="21"/>
      <c r="D99" s="21"/>
      <c r="E99" s="246"/>
      <c r="F99" s="13"/>
    </row>
    <row r="100" customHeight="1" spans="1:6">
      <c r="A100" s="10"/>
      <c r="B100" s="20" t="s">
        <v>172</v>
      </c>
      <c r="C100" s="21"/>
      <c r="D100" s="21"/>
      <c r="E100" s="246"/>
      <c r="F100" s="13"/>
    </row>
    <row r="101" customHeight="1" spans="1:6">
      <c r="A101" s="10">
        <v>1</v>
      </c>
      <c r="B101" s="18" t="s">
        <v>576</v>
      </c>
      <c r="C101" s="10" t="s">
        <v>577</v>
      </c>
      <c r="D101" s="15" t="s">
        <v>110</v>
      </c>
      <c r="E101" s="242">
        <v>150000</v>
      </c>
      <c r="F101" s="13"/>
    </row>
    <row r="102" customHeight="1" spans="1:6">
      <c r="A102" s="10">
        <v>2</v>
      </c>
      <c r="B102" s="11" t="s">
        <v>37</v>
      </c>
      <c r="C102" s="4" t="s">
        <v>177</v>
      </c>
      <c r="D102" s="10" t="s">
        <v>222</v>
      </c>
      <c r="E102" s="242">
        <v>75000</v>
      </c>
      <c r="F102" s="13"/>
    </row>
    <row r="103" customHeight="1" spans="1:6">
      <c r="A103" s="10">
        <v>3</v>
      </c>
      <c r="B103" s="11" t="s">
        <v>180</v>
      </c>
      <c r="C103" s="4" t="s">
        <v>181</v>
      </c>
      <c r="D103" s="15" t="s">
        <v>135</v>
      </c>
      <c r="E103" s="242">
        <v>45000</v>
      </c>
      <c r="F103" s="13"/>
    </row>
    <row r="104" customHeight="1" spans="1:6">
      <c r="A104" s="10">
        <v>4</v>
      </c>
      <c r="B104" s="11" t="s">
        <v>1187</v>
      </c>
      <c r="C104" s="4" t="s">
        <v>1188</v>
      </c>
      <c r="D104" s="15" t="s">
        <v>1014</v>
      </c>
      <c r="E104" s="242">
        <v>45000</v>
      </c>
      <c r="F104" s="13"/>
    </row>
    <row r="105" customHeight="1" spans="1:6">
      <c r="A105" s="4"/>
      <c r="B105" s="20" t="s">
        <v>96</v>
      </c>
      <c r="C105" s="21">
        <v>3</v>
      </c>
      <c r="D105" s="26"/>
      <c r="E105" s="245">
        <f>SUM(E101:E104)</f>
        <v>315000</v>
      </c>
      <c r="F105" s="13"/>
    </row>
    <row r="106" customHeight="1" spans="1:6">
      <c r="A106" s="4"/>
      <c r="B106" s="22"/>
      <c r="C106" s="21"/>
      <c r="D106" s="26"/>
      <c r="E106" s="246"/>
      <c r="F106" s="13"/>
    </row>
    <row r="107" customHeight="1" spans="1:6">
      <c r="A107" s="4"/>
      <c r="B107" s="20" t="s">
        <v>184</v>
      </c>
      <c r="C107" s="4"/>
      <c r="D107" s="4"/>
      <c r="E107" s="247"/>
      <c r="F107" s="13"/>
    </row>
    <row r="108" customHeight="1" spans="1:6">
      <c r="A108" s="4">
        <v>1</v>
      </c>
      <c r="B108" s="11" t="s">
        <v>185</v>
      </c>
      <c r="C108" s="12" t="s">
        <v>186</v>
      </c>
      <c r="D108" s="15" t="s">
        <v>100</v>
      </c>
      <c r="E108" s="242">
        <v>225000</v>
      </c>
      <c r="F108" s="13"/>
    </row>
    <row r="109" customHeight="1" spans="1:6">
      <c r="A109" s="4">
        <v>2</v>
      </c>
      <c r="B109" s="11" t="s">
        <v>187</v>
      </c>
      <c r="C109" s="4" t="s">
        <v>188</v>
      </c>
      <c r="D109" s="16" t="s">
        <v>110</v>
      </c>
      <c r="E109" s="242">
        <v>150000</v>
      </c>
      <c r="F109" s="13"/>
    </row>
    <row r="110" customHeight="1" spans="1:6">
      <c r="A110" s="4">
        <v>3</v>
      </c>
      <c r="B110" s="11" t="s">
        <v>190</v>
      </c>
      <c r="C110" s="4" t="s">
        <v>191</v>
      </c>
      <c r="D110" s="10" t="s">
        <v>192</v>
      </c>
      <c r="E110" s="242">
        <v>75000</v>
      </c>
      <c r="F110" s="13"/>
    </row>
    <row r="111" customHeight="1" spans="1:6">
      <c r="A111" s="4">
        <v>4</v>
      </c>
      <c r="B111" s="11" t="s">
        <v>193</v>
      </c>
      <c r="C111" s="4" t="s">
        <v>191</v>
      </c>
      <c r="D111" s="10" t="s">
        <v>192</v>
      </c>
      <c r="E111" s="242">
        <v>75000</v>
      </c>
      <c r="F111" s="13"/>
    </row>
    <row r="112" customHeight="1" spans="1:6">
      <c r="A112" s="4">
        <v>5</v>
      </c>
      <c r="B112" s="11" t="s">
        <v>194</v>
      </c>
      <c r="C112" s="4" t="s">
        <v>195</v>
      </c>
      <c r="D112" s="15" t="s">
        <v>198</v>
      </c>
      <c r="E112" s="242">
        <v>45000</v>
      </c>
      <c r="F112" s="13"/>
    </row>
    <row r="113" customHeight="1" spans="1:6">
      <c r="A113" s="4">
        <v>6</v>
      </c>
      <c r="B113" s="18" t="s">
        <v>197</v>
      </c>
      <c r="C113" s="4" t="s">
        <v>195</v>
      </c>
      <c r="D113" s="10" t="s">
        <v>1014</v>
      </c>
      <c r="E113" s="242">
        <v>45000</v>
      </c>
      <c r="F113" s="13"/>
    </row>
    <row r="114" customHeight="1" spans="1:6">
      <c r="A114" s="4">
        <v>7</v>
      </c>
      <c r="B114" s="18" t="s">
        <v>199</v>
      </c>
      <c r="C114" s="4" t="s">
        <v>195</v>
      </c>
      <c r="D114" s="15" t="s">
        <v>92</v>
      </c>
      <c r="E114" s="242">
        <v>45000</v>
      </c>
      <c r="F114" s="13"/>
    </row>
    <row r="115" customHeight="1" spans="1:6">
      <c r="A115" s="4"/>
      <c r="B115" s="20" t="s">
        <v>96</v>
      </c>
      <c r="C115" s="21">
        <v>7</v>
      </c>
      <c r="D115" s="4"/>
      <c r="E115" s="248">
        <f>SUM(E108:E114)</f>
        <v>660000</v>
      </c>
      <c r="F115" s="13"/>
    </row>
    <row r="116" customHeight="1" spans="1:6">
      <c r="A116" s="4"/>
      <c r="B116" s="20"/>
      <c r="C116" s="21"/>
      <c r="D116" s="4"/>
      <c r="E116" s="248"/>
      <c r="F116" s="13"/>
    </row>
    <row r="117" ht="48.75" customHeight="1" spans="1:6">
      <c r="A117" s="10"/>
      <c r="B117" s="20" t="s">
        <v>1192</v>
      </c>
      <c r="C117" s="21"/>
      <c r="D117" s="21"/>
      <c r="E117" s="248"/>
      <c r="F117" s="13"/>
    </row>
    <row r="118" ht="27" customHeight="1" spans="1:6">
      <c r="A118" s="10">
        <v>1</v>
      </c>
      <c r="B118" s="11" t="s">
        <v>1102</v>
      </c>
      <c r="C118" s="17" t="s">
        <v>67</v>
      </c>
      <c r="D118" s="15" t="s">
        <v>62</v>
      </c>
      <c r="E118" s="242">
        <v>45000</v>
      </c>
      <c r="F118" s="13"/>
    </row>
    <row r="119" ht="27" customHeight="1" spans="1:6">
      <c r="A119" s="10">
        <v>2</v>
      </c>
      <c r="B119" s="11" t="s">
        <v>202</v>
      </c>
      <c r="C119" s="4" t="s">
        <v>203</v>
      </c>
      <c r="D119" s="15" t="s">
        <v>135</v>
      </c>
      <c r="E119" s="242">
        <v>45000</v>
      </c>
      <c r="F119" s="13"/>
    </row>
    <row r="120" ht="27" customHeight="1" spans="1:6">
      <c r="A120" s="4"/>
      <c r="B120" s="20" t="s">
        <v>96</v>
      </c>
      <c r="C120" s="21">
        <v>2</v>
      </c>
      <c r="D120" s="26"/>
      <c r="E120" s="248">
        <f>SUM(E118:E119)</f>
        <v>90000</v>
      </c>
      <c r="F120" s="13"/>
    </row>
    <row r="121" customHeight="1" spans="1:6">
      <c r="A121" s="4"/>
      <c r="B121" s="22"/>
      <c r="C121" s="10"/>
      <c r="D121" s="4"/>
      <c r="E121" s="249"/>
      <c r="F121" s="13"/>
    </row>
    <row r="122" customHeight="1" spans="1:6">
      <c r="A122" s="4"/>
      <c r="B122" s="20" t="s">
        <v>213</v>
      </c>
      <c r="C122" s="21"/>
      <c r="D122" s="21"/>
      <c r="E122" s="242"/>
      <c r="F122" s="13"/>
    </row>
    <row r="123" customHeight="1" spans="1:6">
      <c r="A123" s="4">
        <v>1</v>
      </c>
      <c r="B123" s="11" t="s">
        <v>214</v>
      </c>
      <c r="C123" s="12" t="s">
        <v>215</v>
      </c>
      <c r="D123" s="15" t="s">
        <v>100</v>
      </c>
      <c r="E123" s="242">
        <v>225000</v>
      </c>
      <c r="F123" s="13"/>
    </row>
    <row r="124" customHeight="1" spans="1:6">
      <c r="A124" s="4">
        <v>2</v>
      </c>
      <c r="B124" s="11" t="s">
        <v>216</v>
      </c>
      <c r="C124" s="12" t="s">
        <v>219</v>
      </c>
      <c r="D124" s="15" t="s">
        <v>36</v>
      </c>
      <c r="E124" s="242">
        <v>105000</v>
      </c>
      <c r="F124" s="13"/>
    </row>
    <row r="125" customHeight="1" spans="1:6">
      <c r="A125" s="4">
        <v>3</v>
      </c>
      <c r="B125" s="14" t="s">
        <v>218</v>
      </c>
      <c r="C125" s="12" t="s">
        <v>219</v>
      </c>
      <c r="D125" s="15" t="s">
        <v>36</v>
      </c>
      <c r="E125" s="242">
        <v>105000</v>
      </c>
      <c r="F125" s="13"/>
    </row>
    <row r="126" customHeight="1" spans="1:6">
      <c r="A126" s="4">
        <v>4</v>
      </c>
      <c r="B126" s="14" t="s">
        <v>523</v>
      </c>
      <c r="C126" s="12" t="s">
        <v>219</v>
      </c>
      <c r="D126" s="15" t="s">
        <v>39</v>
      </c>
      <c r="E126" s="242">
        <v>105000</v>
      </c>
      <c r="F126" s="13"/>
    </row>
    <row r="127" customHeight="1" spans="1:6">
      <c r="A127" s="4">
        <v>5</v>
      </c>
      <c r="B127" s="11" t="s">
        <v>220</v>
      </c>
      <c r="C127" s="12" t="s">
        <v>221</v>
      </c>
      <c r="D127" s="15" t="s">
        <v>148</v>
      </c>
      <c r="E127" s="242">
        <v>75000</v>
      </c>
      <c r="F127" s="13"/>
    </row>
    <row r="128" customHeight="1" spans="1:6">
      <c r="A128" s="4">
        <v>6</v>
      </c>
      <c r="B128" s="11" t="s">
        <v>223</v>
      </c>
      <c r="C128" s="12" t="s">
        <v>224</v>
      </c>
      <c r="D128" s="15" t="s">
        <v>52</v>
      </c>
      <c r="E128" s="242">
        <v>75000</v>
      </c>
      <c r="F128" s="13"/>
    </row>
    <row r="129" customHeight="1" spans="1:6">
      <c r="A129" s="4">
        <v>7</v>
      </c>
      <c r="B129" s="11" t="s">
        <v>225</v>
      </c>
      <c r="C129" s="12" t="s">
        <v>1039</v>
      </c>
      <c r="D129" s="15" t="s">
        <v>52</v>
      </c>
      <c r="E129" s="242">
        <v>75000</v>
      </c>
      <c r="F129" s="13"/>
    </row>
    <row r="130" customHeight="1" spans="1:6">
      <c r="A130" s="4">
        <v>8</v>
      </c>
      <c r="B130" s="11" t="s">
        <v>226</v>
      </c>
      <c r="C130" s="12" t="s">
        <v>227</v>
      </c>
      <c r="D130" s="10" t="s">
        <v>80</v>
      </c>
      <c r="E130" s="242">
        <v>45000</v>
      </c>
      <c r="F130" s="13"/>
    </row>
    <row r="131" customHeight="1" spans="1:6">
      <c r="A131" s="4">
        <v>9</v>
      </c>
      <c r="B131" s="18" t="s">
        <v>228</v>
      </c>
      <c r="C131" s="12" t="s">
        <v>229</v>
      </c>
      <c r="D131" s="15" t="s">
        <v>92</v>
      </c>
      <c r="E131" s="242">
        <v>45000</v>
      </c>
      <c r="F131" s="13"/>
    </row>
    <row r="132" customHeight="1" spans="1:6">
      <c r="A132" s="4"/>
      <c r="B132" s="20" t="s">
        <v>96</v>
      </c>
      <c r="C132" s="26" t="s">
        <v>1189</v>
      </c>
      <c r="D132" s="15"/>
      <c r="E132" s="250">
        <f>SUM(E123:E131)</f>
        <v>855000</v>
      </c>
      <c r="F132" s="13"/>
    </row>
    <row r="133" customHeight="1" spans="1:6">
      <c r="A133" s="4"/>
      <c r="B133" s="22"/>
      <c r="C133" s="26"/>
      <c r="D133" s="15"/>
      <c r="E133" s="246"/>
      <c r="F133" s="13"/>
    </row>
    <row r="134" customHeight="1" spans="1:6">
      <c r="A134" s="4"/>
      <c r="B134" s="20" t="s">
        <v>234</v>
      </c>
      <c r="C134" s="12"/>
      <c r="D134" s="15"/>
      <c r="E134" s="242"/>
      <c r="F134" s="13"/>
    </row>
    <row r="135" customHeight="1" spans="1:6">
      <c r="A135" s="27">
        <v>1</v>
      </c>
      <c r="B135" s="11" t="s">
        <v>235</v>
      </c>
      <c r="C135" s="12" t="s">
        <v>236</v>
      </c>
      <c r="D135" s="15" t="s">
        <v>100</v>
      </c>
      <c r="E135" s="242">
        <v>225000</v>
      </c>
      <c r="F135" s="13"/>
    </row>
    <row r="136" customHeight="1" spans="1:6">
      <c r="A136" s="27">
        <v>2</v>
      </c>
      <c r="B136" s="11" t="s">
        <v>524</v>
      </c>
      <c r="C136" s="12" t="s">
        <v>575</v>
      </c>
      <c r="D136" s="15" t="s">
        <v>189</v>
      </c>
      <c r="E136" s="242">
        <v>150000</v>
      </c>
      <c r="F136" s="13"/>
    </row>
    <row r="137" customHeight="1" spans="1:6">
      <c r="A137" s="27">
        <v>3</v>
      </c>
      <c r="B137" s="14" t="s">
        <v>237</v>
      </c>
      <c r="C137" s="4" t="s">
        <v>238</v>
      </c>
      <c r="D137" s="16" t="s">
        <v>110</v>
      </c>
      <c r="E137" s="242">
        <v>150000</v>
      </c>
      <c r="F137" s="13"/>
    </row>
    <row r="138" customHeight="1" spans="1:6">
      <c r="A138" s="27">
        <v>4</v>
      </c>
      <c r="B138" s="11" t="s">
        <v>239</v>
      </c>
      <c r="C138" s="12" t="s">
        <v>582</v>
      </c>
      <c r="D138" s="15" t="s">
        <v>222</v>
      </c>
      <c r="E138" s="242">
        <v>75000</v>
      </c>
      <c r="F138" s="13"/>
    </row>
    <row r="139" customHeight="1" spans="1:6">
      <c r="A139" s="27">
        <v>5</v>
      </c>
      <c r="B139" s="11" t="s">
        <v>241</v>
      </c>
      <c r="C139" s="4" t="s">
        <v>583</v>
      </c>
      <c r="D139" s="15" t="s">
        <v>222</v>
      </c>
      <c r="E139" s="242">
        <v>75000</v>
      </c>
      <c r="F139" s="13"/>
    </row>
    <row r="140" customHeight="1" spans="1:6">
      <c r="A140" s="27">
        <v>6</v>
      </c>
      <c r="B140" s="11" t="s">
        <v>176</v>
      </c>
      <c r="C140" s="4" t="s">
        <v>585</v>
      </c>
      <c r="D140" s="15" t="s">
        <v>52</v>
      </c>
      <c r="E140" s="242">
        <v>75000</v>
      </c>
      <c r="F140" s="13"/>
    </row>
    <row r="141" customHeight="1" spans="1:6">
      <c r="A141" s="27">
        <v>7</v>
      </c>
      <c r="B141" s="11" t="s">
        <v>178</v>
      </c>
      <c r="C141" s="12" t="s">
        <v>584</v>
      </c>
      <c r="D141" s="15" t="s">
        <v>62</v>
      </c>
      <c r="E141" s="242">
        <v>45000</v>
      </c>
      <c r="F141" s="13"/>
    </row>
    <row r="142" customHeight="1" spans="1:6">
      <c r="A142" s="27">
        <v>8</v>
      </c>
      <c r="B142" s="11" t="s">
        <v>244</v>
      </c>
      <c r="C142" s="12" t="s">
        <v>584</v>
      </c>
      <c r="D142" s="15" t="s">
        <v>62</v>
      </c>
      <c r="E142" s="242">
        <v>45000</v>
      </c>
      <c r="F142" s="13"/>
    </row>
    <row r="143" customHeight="1" spans="1:6">
      <c r="A143" s="27">
        <v>9</v>
      </c>
      <c r="B143" s="11" t="s">
        <v>245</v>
      </c>
      <c r="C143" s="4" t="s">
        <v>585</v>
      </c>
      <c r="D143" s="15" t="s">
        <v>62</v>
      </c>
      <c r="E143" s="242">
        <v>45000</v>
      </c>
      <c r="F143" s="13"/>
    </row>
    <row r="144" customHeight="1" spans="1:6">
      <c r="A144" s="27">
        <v>10</v>
      </c>
      <c r="B144" s="11" t="s">
        <v>247</v>
      </c>
      <c r="C144" s="12" t="s">
        <v>252</v>
      </c>
      <c r="D144" s="15" t="s">
        <v>135</v>
      </c>
      <c r="E144" s="242">
        <v>45000</v>
      </c>
      <c r="F144" s="13"/>
    </row>
    <row r="145" customHeight="1" spans="1:6">
      <c r="A145" s="27">
        <v>11</v>
      </c>
      <c r="B145" s="11" t="s">
        <v>249</v>
      </c>
      <c r="C145" s="12" t="s">
        <v>1041</v>
      </c>
      <c r="D145" s="15" t="s">
        <v>587</v>
      </c>
      <c r="E145" s="242">
        <v>45000</v>
      </c>
      <c r="F145" s="13"/>
    </row>
    <row r="146" customHeight="1" spans="1:6">
      <c r="A146" s="27">
        <v>12</v>
      </c>
      <c r="B146" s="11" t="s">
        <v>251</v>
      </c>
      <c r="C146" s="12" t="s">
        <v>252</v>
      </c>
      <c r="D146" s="15" t="s">
        <v>62</v>
      </c>
      <c r="E146" s="242">
        <v>45000</v>
      </c>
      <c r="F146" s="13"/>
    </row>
    <row r="147" customHeight="1" spans="1:6">
      <c r="A147" s="27">
        <v>13</v>
      </c>
      <c r="B147" s="18" t="s">
        <v>254</v>
      </c>
      <c r="C147" s="4" t="s">
        <v>262</v>
      </c>
      <c r="D147" s="15" t="s">
        <v>587</v>
      </c>
      <c r="E147" s="242">
        <v>45000</v>
      </c>
      <c r="F147" s="13"/>
    </row>
    <row r="148" customHeight="1" spans="1:6">
      <c r="A148" s="27">
        <v>14</v>
      </c>
      <c r="B148" s="11" t="s">
        <v>256</v>
      </c>
      <c r="C148" s="4" t="s">
        <v>586</v>
      </c>
      <c r="D148" s="15" t="s">
        <v>104</v>
      </c>
      <c r="E148" s="242">
        <v>45000</v>
      </c>
      <c r="F148" s="13"/>
    </row>
    <row r="149" customHeight="1" spans="1:6">
      <c r="A149" s="27">
        <v>15</v>
      </c>
      <c r="B149" s="11" t="s">
        <v>257</v>
      </c>
      <c r="C149" s="4" t="s">
        <v>586</v>
      </c>
      <c r="D149" s="15" t="s">
        <v>265</v>
      </c>
      <c r="E149" s="242">
        <v>45000</v>
      </c>
      <c r="F149" s="13"/>
    </row>
    <row r="150" customHeight="1" spans="1:6">
      <c r="A150" s="27">
        <v>16</v>
      </c>
      <c r="B150" s="11" t="s">
        <v>258</v>
      </c>
      <c r="C150" s="4" t="s">
        <v>586</v>
      </c>
      <c r="D150" s="15" t="s">
        <v>265</v>
      </c>
      <c r="E150" s="242">
        <v>45000</v>
      </c>
      <c r="F150" s="13"/>
    </row>
    <row r="151" customHeight="1" spans="1:6">
      <c r="A151" s="27">
        <v>17</v>
      </c>
      <c r="B151" s="11" t="s">
        <v>259</v>
      </c>
      <c r="C151" s="12" t="s">
        <v>260</v>
      </c>
      <c r="D151" s="15" t="s">
        <v>70</v>
      </c>
      <c r="E151" s="242">
        <v>45000</v>
      </c>
      <c r="F151" s="13"/>
    </row>
    <row r="152" customHeight="1" spans="1:6">
      <c r="A152" s="27">
        <v>18</v>
      </c>
      <c r="B152" s="11" t="s">
        <v>1022</v>
      </c>
      <c r="C152" s="12" t="s">
        <v>262</v>
      </c>
      <c r="D152" s="10" t="s">
        <v>83</v>
      </c>
      <c r="E152" s="242">
        <v>45000</v>
      </c>
      <c r="F152" s="13"/>
    </row>
    <row r="153" customHeight="1" spans="1:6">
      <c r="A153" s="27">
        <v>19</v>
      </c>
      <c r="B153" s="11" t="s">
        <v>263</v>
      </c>
      <c r="C153" s="12" t="s">
        <v>264</v>
      </c>
      <c r="D153" s="15" t="s">
        <v>104</v>
      </c>
      <c r="E153" s="242">
        <v>45000</v>
      </c>
      <c r="F153" s="13"/>
    </row>
    <row r="154" customHeight="1" spans="1:6">
      <c r="A154" s="27">
        <v>20</v>
      </c>
      <c r="B154" s="11" t="s">
        <v>266</v>
      </c>
      <c r="C154" s="12" t="s">
        <v>267</v>
      </c>
      <c r="D154" s="15" t="s">
        <v>80</v>
      </c>
      <c r="E154" s="242">
        <v>45000</v>
      </c>
      <c r="F154" s="13"/>
    </row>
    <row r="155" customHeight="1" spans="1:6">
      <c r="A155" s="27">
        <v>21</v>
      </c>
      <c r="B155" s="11" t="s">
        <v>268</v>
      </c>
      <c r="C155" s="12" t="s">
        <v>269</v>
      </c>
      <c r="D155" s="15" t="s">
        <v>104</v>
      </c>
      <c r="E155" s="242">
        <v>45000</v>
      </c>
      <c r="F155" s="13"/>
    </row>
    <row r="156" customHeight="1" spans="1:6">
      <c r="A156" s="27">
        <v>22</v>
      </c>
      <c r="B156" s="11" t="s">
        <v>270</v>
      </c>
      <c r="C156" s="12" t="s">
        <v>271</v>
      </c>
      <c r="D156" s="15" t="s">
        <v>80</v>
      </c>
      <c r="E156" s="242">
        <v>45000</v>
      </c>
      <c r="F156" s="13"/>
    </row>
    <row r="157" customHeight="1" spans="1:6">
      <c r="A157" s="27">
        <v>23</v>
      </c>
      <c r="B157" s="18" t="s">
        <v>272</v>
      </c>
      <c r="C157" s="12" t="s">
        <v>278</v>
      </c>
      <c r="D157" s="15" t="s">
        <v>1014</v>
      </c>
      <c r="E157" s="242">
        <v>45000</v>
      </c>
      <c r="F157" s="13"/>
    </row>
    <row r="158" customHeight="1" spans="1:6">
      <c r="A158" s="27">
        <v>24</v>
      </c>
      <c r="B158" s="18" t="s">
        <v>275</v>
      </c>
      <c r="C158" s="12" t="s">
        <v>276</v>
      </c>
      <c r="D158" s="15" t="s">
        <v>95</v>
      </c>
      <c r="E158" s="242">
        <v>45000</v>
      </c>
      <c r="F158" s="13"/>
    </row>
    <row r="159" customHeight="1" spans="1:6">
      <c r="A159" s="27">
        <v>25</v>
      </c>
      <c r="B159" s="18" t="s">
        <v>277</v>
      </c>
      <c r="C159" s="12" t="s">
        <v>278</v>
      </c>
      <c r="D159" s="15" t="s">
        <v>95</v>
      </c>
      <c r="E159" s="242">
        <v>45000</v>
      </c>
      <c r="F159" s="13"/>
    </row>
    <row r="160" customHeight="1" spans="1:6">
      <c r="A160" s="27">
        <v>26</v>
      </c>
      <c r="B160" s="18" t="s">
        <v>279</v>
      </c>
      <c r="C160" s="12" t="s">
        <v>280</v>
      </c>
      <c r="D160" s="15" t="s">
        <v>92</v>
      </c>
      <c r="E160" s="242">
        <v>45000</v>
      </c>
      <c r="F160" s="13"/>
    </row>
    <row r="161" customHeight="1" spans="1:6">
      <c r="A161" s="27">
        <v>27</v>
      </c>
      <c r="B161" s="18" t="s">
        <v>281</v>
      </c>
      <c r="C161" s="12" t="s">
        <v>282</v>
      </c>
      <c r="D161" s="15" t="s">
        <v>92</v>
      </c>
      <c r="E161" s="242">
        <v>45000</v>
      </c>
      <c r="F161" s="13"/>
    </row>
    <row r="162" customHeight="1" spans="1:6">
      <c r="A162" s="27">
        <v>28</v>
      </c>
      <c r="B162" s="11" t="s">
        <v>287</v>
      </c>
      <c r="C162" s="12" t="s">
        <v>288</v>
      </c>
      <c r="D162" s="15" t="s">
        <v>295</v>
      </c>
      <c r="E162" s="242">
        <v>30000</v>
      </c>
      <c r="F162" s="13"/>
    </row>
    <row r="163" customHeight="1" spans="1:6">
      <c r="A163" s="27">
        <v>29</v>
      </c>
      <c r="B163" s="11" t="s">
        <v>290</v>
      </c>
      <c r="C163" s="12" t="s">
        <v>288</v>
      </c>
      <c r="D163" s="15" t="s">
        <v>295</v>
      </c>
      <c r="E163" s="242">
        <v>30000</v>
      </c>
      <c r="F163" s="13"/>
    </row>
    <row r="164" customHeight="1" spans="1:6">
      <c r="A164" s="27">
        <v>30</v>
      </c>
      <c r="B164" s="11" t="s">
        <v>291</v>
      </c>
      <c r="C164" s="12" t="s">
        <v>288</v>
      </c>
      <c r="D164" s="15" t="s">
        <v>295</v>
      </c>
      <c r="E164" s="242">
        <v>30000</v>
      </c>
      <c r="F164" s="13"/>
    </row>
    <row r="165" customHeight="1" spans="1:6">
      <c r="A165" s="27">
        <v>32</v>
      </c>
      <c r="B165" s="11" t="s">
        <v>292</v>
      </c>
      <c r="C165" s="12" t="s">
        <v>288</v>
      </c>
      <c r="D165" s="15" t="s">
        <v>295</v>
      </c>
      <c r="E165" s="242">
        <v>30000</v>
      </c>
      <c r="F165" s="13"/>
    </row>
    <row r="166" customHeight="1" spans="1:6">
      <c r="A166" s="27">
        <v>33</v>
      </c>
      <c r="B166" s="11" t="s">
        <v>293</v>
      </c>
      <c r="C166" s="12" t="s">
        <v>288</v>
      </c>
      <c r="D166" s="15" t="s">
        <v>295</v>
      </c>
      <c r="E166" s="242">
        <v>30000</v>
      </c>
      <c r="F166" s="13"/>
    </row>
    <row r="167" customHeight="1" spans="1:6">
      <c r="A167" s="27">
        <v>34</v>
      </c>
      <c r="B167" s="11" t="s">
        <v>294</v>
      </c>
      <c r="C167" s="12" t="s">
        <v>288</v>
      </c>
      <c r="D167" s="15" t="s">
        <v>306</v>
      </c>
      <c r="E167" s="242">
        <v>30000</v>
      </c>
      <c r="F167" s="13"/>
    </row>
    <row r="168" customHeight="1" spans="1:6">
      <c r="A168" s="27">
        <v>35</v>
      </c>
      <c r="B168" s="11" t="s">
        <v>296</v>
      </c>
      <c r="C168" s="12" t="s">
        <v>288</v>
      </c>
      <c r="D168" s="15" t="s">
        <v>306</v>
      </c>
      <c r="E168" s="242">
        <v>30000</v>
      </c>
      <c r="F168" s="13"/>
    </row>
    <row r="169" customHeight="1" spans="1:6">
      <c r="A169" s="27">
        <v>36</v>
      </c>
      <c r="B169" s="14" t="s">
        <v>297</v>
      </c>
      <c r="C169" s="12" t="s">
        <v>288</v>
      </c>
      <c r="D169" s="15" t="s">
        <v>306</v>
      </c>
      <c r="E169" s="242">
        <v>30000</v>
      </c>
      <c r="F169" s="13"/>
    </row>
    <row r="170" customHeight="1" spans="1:6">
      <c r="A170" s="27">
        <v>37</v>
      </c>
      <c r="B170" s="11" t="s">
        <v>298</v>
      </c>
      <c r="C170" s="12" t="s">
        <v>288</v>
      </c>
      <c r="D170" s="15" t="s">
        <v>306</v>
      </c>
      <c r="E170" s="242">
        <v>30000</v>
      </c>
      <c r="F170" s="13"/>
    </row>
    <row r="171" customHeight="1" spans="1:6">
      <c r="A171" s="27">
        <v>38</v>
      </c>
      <c r="B171" s="18" t="s">
        <v>299</v>
      </c>
      <c r="C171" s="12" t="s">
        <v>288</v>
      </c>
      <c r="D171" s="15" t="s">
        <v>306</v>
      </c>
      <c r="E171" s="242">
        <v>30000</v>
      </c>
      <c r="F171" s="13"/>
    </row>
    <row r="172" customHeight="1" spans="1:6">
      <c r="A172" s="27">
        <v>39</v>
      </c>
      <c r="B172" s="18" t="s">
        <v>300</v>
      </c>
      <c r="C172" s="12" t="s">
        <v>288</v>
      </c>
      <c r="D172" s="15" t="s">
        <v>306</v>
      </c>
      <c r="E172" s="242">
        <v>30000</v>
      </c>
      <c r="F172" s="13"/>
    </row>
    <row r="173" customHeight="1" spans="1:6">
      <c r="A173" s="27">
        <v>40</v>
      </c>
      <c r="B173" s="11" t="s">
        <v>301</v>
      </c>
      <c r="C173" s="12" t="s">
        <v>308</v>
      </c>
      <c r="D173" s="15" t="s">
        <v>588</v>
      </c>
      <c r="E173" s="242">
        <v>30000</v>
      </c>
      <c r="F173" s="13"/>
    </row>
    <row r="174" customHeight="1" spans="1:6">
      <c r="A174" s="27">
        <v>41</v>
      </c>
      <c r="B174" s="11" t="s">
        <v>304</v>
      </c>
      <c r="C174" s="12" t="s">
        <v>308</v>
      </c>
      <c r="D174" s="15" t="s">
        <v>588</v>
      </c>
      <c r="E174" s="242">
        <v>30000</v>
      </c>
      <c r="F174" s="13"/>
    </row>
    <row r="175" customHeight="1" spans="1:6">
      <c r="A175" s="27">
        <v>42</v>
      </c>
      <c r="B175" s="18" t="s">
        <v>305</v>
      </c>
      <c r="C175" s="12" t="s">
        <v>308</v>
      </c>
      <c r="D175" s="15" t="s">
        <v>1017</v>
      </c>
      <c r="E175" s="242">
        <v>30000</v>
      </c>
      <c r="F175" s="13"/>
    </row>
    <row r="176" customHeight="1" spans="1:6">
      <c r="A176" s="27">
        <v>43</v>
      </c>
      <c r="B176" s="11" t="s">
        <v>307</v>
      </c>
      <c r="C176" s="12" t="s">
        <v>308</v>
      </c>
      <c r="D176" s="15" t="s">
        <v>1023</v>
      </c>
      <c r="E176" s="242">
        <v>30000</v>
      </c>
      <c r="F176" s="13"/>
    </row>
    <row r="177" customHeight="1" spans="1:6">
      <c r="A177" s="27">
        <v>44</v>
      </c>
      <c r="B177" s="11" t="s">
        <v>309</v>
      </c>
      <c r="C177" s="12" t="s">
        <v>310</v>
      </c>
      <c r="D177" s="15" t="s">
        <v>1024</v>
      </c>
      <c r="E177" s="242">
        <v>30000</v>
      </c>
      <c r="F177" s="13"/>
    </row>
    <row r="178" customHeight="1" spans="1:6">
      <c r="A178" s="27">
        <v>45</v>
      </c>
      <c r="B178" s="11" t="s">
        <v>312</v>
      </c>
      <c r="C178" s="12" t="s">
        <v>310</v>
      </c>
      <c r="D178" s="15" t="s">
        <v>1024</v>
      </c>
      <c r="E178" s="242">
        <v>30000</v>
      </c>
      <c r="F178" s="13"/>
    </row>
    <row r="179" customHeight="1" spans="1:6">
      <c r="A179" s="27">
        <v>46</v>
      </c>
      <c r="B179" s="11" t="s">
        <v>313</v>
      </c>
      <c r="C179" s="12" t="s">
        <v>310</v>
      </c>
      <c r="D179" s="15" t="s">
        <v>1024</v>
      </c>
      <c r="E179" s="242">
        <v>30000</v>
      </c>
      <c r="F179" s="13"/>
    </row>
    <row r="180" customHeight="1" spans="1:6">
      <c r="A180" s="27">
        <v>47</v>
      </c>
      <c r="B180" s="11" t="s">
        <v>314</v>
      </c>
      <c r="C180" s="12" t="s">
        <v>310</v>
      </c>
      <c r="D180" s="15" t="s">
        <v>1024</v>
      </c>
      <c r="E180" s="242">
        <v>30000</v>
      </c>
      <c r="F180" s="13"/>
    </row>
    <row r="181" customHeight="1" spans="1:6">
      <c r="A181" s="27">
        <v>48</v>
      </c>
      <c r="B181" s="11" t="s">
        <v>315</v>
      </c>
      <c r="C181" s="12" t="s">
        <v>310</v>
      </c>
      <c r="D181" s="15" t="s">
        <v>1024</v>
      </c>
      <c r="E181" s="242">
        <v>30000</v>
      </c>
      <c r="F181" s="13"/>
    </row>
    <row r="182" customHeight="1" spans="1:6">
      <c r="A182" s="27">
        <v>49</v>
      </c>
      <c r="B182" s="18" t="s">
        <v>316</v>
      </c>
      <c r="C182" s="12" t="s">
        <v>310</v>
      </c>
      <c r="D182" s="15" t="s">
        <v>1024</v>
      </c>
      <c r="E182" s="242">
        <v>30000</v>
      </c>
      <c r="F182" s="13"/>
    </row>
    <row r="183" customHeight="1" spans="1:6">
      <c r="A183" s="27">
        <v>50</v>
      </c>
      <c r="B183" s="18" t="s">
        <v>317</v>
      </c>
      <c r="C183" s="12" t="s">
        <v>310</v>
      </c>
      <c r="D183" s="15" t="s">
        <v>1024</v>
      </c>
      <c r="E183" s="242">
        <v>30000</v>
      </c>
      <c r="F183" s="13"/>
    </row>
    <row r="184" customHeight="1" spans="1:6">
      <c r="A184" s="27">
        <v>51</v>
      </c>
      <c r="B184" s="11" t="s">
        <v>318</v>
      </c>
      <c r="C184" s="12" t="s">
        <v>308</v>
      </c>
      <c r="D184" s="15" t="s">
        <v>1024</v>
      </c>
      <c r="E184" s="242">
        <v>30000</v>
      </c>
      <c r="F184" s="13"/>
    </row>
    <row r="185" customHeight="1" spans="1:6">
      <c r="A185" s="27">
        <v>52</v>
      </c>
      <c r="B185" s="11" t="s">
        <v>319</v>
      </c>
      <c r="C185" s="12" t="s">
        <v>308</v>
      </c>
      <c r="D185" s="15" t="s">
        <v>1024</v>
      </c>
      <c r="E185" s="242">
        <v>30000</v>
      </c>
      <c r="F185" s="13"/>
    </row>
    <row r="186" customHeight="1" spans="1:6">
      <c r="A186" s="27">
        <v>53</v>
      </c>
      <c r="B186" s="18" t="s">
        <v>320</v>
      </c>
      <c r="C186" s="12" t="s">
        <v>310</v>
      </c>
      <c r="D186" s="15" t="s">
        <v>1042</v>
      </c>
      <c r="E186" s="242">
        <v>30000</v>
      </c>
      <c r="F186" s="13"/>
    </row>
    <row r="187" customHeight="1" spans="1:6">
      <c r="A187" s="27">
        <v>54</v>
      </c>
      <c r="B187" s="18" t="s">
        <v>325</v>
      </c>
      <c r="C187" s="12" t="s">
        <v>310</v>
      </c>
      <c r="D187" s="15" t="s">
        <v>1025</v>
      </c>
      <c r="E187" s="242">
        <v>30000</v>
      </c>
      <c r="F187" s="13"/>
    </row>
    <row r="188" customHeight="1" spans="1:6">
      <c r="A188" s="27"/>
      <c r="B188" s="8" t="s">
        <v>96</v>
      </c>
      <c r="C188" s="28" t="s">
        <v>1193</v>
      </c>
      <c r="D188" s="29"/>
      <c r="E188" s="251">
        <f>SUM(E135:E187)</f>
        <v>2475000</v>
      </c>
      <c r="F188" s="13"/>
    </row>
    <row r="189" ht="9" customHeight="1" spans="1:6">
      <c r="A189" s="27"/>
      <c r="B189" s="8"/>
      <c r="C189" s="28"/>
      <c r="D189" s="29"/>
      <c r="E189" s="251"/>
      <c r="F189" s="13"/>
    </row>
    <row r="190" ht="30" customHeight="1" spans="1:6">
      <c r="A190" s="4"/>
      <c r="B190" s="252" t="s">
        <v>336</v>
      </c>
      <c r="C190" s="253">
        <f>C36+C41+C56+C61+C77+C85+C98+C105+C115+C132+C188</f>
        <v>146</v>
      </c>
      <c r="D190" s="254"/>
      <c r="E190" s="255">
        <f>E188+E132+E120+E115+E105+E98+E85+E77+E61+E56+E41+E36</f>
        <v>11040000</v>
      </c>
      <c r="F190" s="13"/>
    </row>
    <row r="191" customHeight="1" spans="2:6">
      <c r="B191" s="33"/>
      <c r="D191" s="34"/>
      <c r="E191" s="103"/>
      <c r="F191" s="35"/>
    </row>
    <row r="192" ht="65.25" customHeight="1" spans="2:6">
      <c r="B192" s="33"/>
      <c r="C192" s="34"/>
      <c r="D192" s="34"/>
      <c r="E192" s="104"/>
      <c r="F192" s="256">
        <f>'[12]Sallah Welfare June 2023 '!$D$73</f>
        <v>2842500</v>
      </c>
    </row>
    <row r="193" customHeight="1" spans="6:6">
      <c r="F193" s="256">
        <v>830000</v>
      </c>
    </row>
    <row r="194" customHeight="1" spans="6:6">
      <c r="F194" s="256">
        <f>E190</f>
        <v>11040000</v>
      </c>
    </row>
    <row r="195" customHeight="1" spans="6:6">
      <c r="F195" s="256">
        <f>SUM(F192:F194)</f>
        <v>14712500</v>
      </c>
    </row>
  </sheetData>
  <pageMargins left="0.236220472440945" right="0.236220472440945" top="0.984251968503937" bottom="0.984251968503937" header="0.511811023622047" footer="0.511811023622047"/>
  <pageSetup paperSize="9" scale="72" orientation="portrait" horizontalDpi="1200" verticalDpi="1200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4"/>
  <sheetViews>
    <sheetView view="pageBreakPreview" zoomScaleNormal="100" workbookViewId="0">
      <pane xSplit="3" ySplit="7" topLeftCell="D8" activePane="bottomRight" state="frozen"/>
      <selection/>
      <selection pane="topRight"/>
      <selection pane="bottomLeft"/>
      <selection pane="bottomRight" activeCell="F169" sqref="F169"/>
    </sheetView>
  </sheetViews>
  <sheetFormatPr defaultColWidth="9.13636363636364" defaultRowHeight="20.1" customHeight="1" outlineLevelCol="5"/>
  <cols>
    <col min="1" max="1" width="5.42727272727273" style="1" customWidth="1"/>
    <col min="2" max="2" width="44.5727272727273" style="1" customWidth="1"/>
    <col min="3" max="3" width="37.5727272727273" style="1" customWidth="1"/>
    <col min="4" max="4" width="12.4272727272727" style="1" customWidth="1"/>
    <col min="5" max="5" width="21.5727272727273" style="1" customWidth="1"/>
    <col min="6" max="6" width="21.7090909090909" style="1" customWidth="1"/>
    <col min="7" max="10" width="9.13636363636364" style="1"/>
    <col min="11" max="11" width="8.42727272727273" style="1" customWidth="1"/>
    <col min="12" max="16384" width="9.13636363636364" style="1"/>
  </cols>
  <sheetData>
    <row r="1" ht="27" customHeight="1" spans="1:5">
      <c r="A1" s="236" t="s">
        <v>0</v>
      </c>
      <c r="B1" s="236"/>
      <c r="C1" s="236"/>
      <c r="D1" s="236"/>
      <c r="E1" s="236"/>
    </row>
    <row r="2" ht="33.75" customHeight="1" spans="1:5">
      <c r="A2" s="236" t="s">
        <v>1174</v>
      </c>
      <c r="B2" s="77"/>
      <c r="C2" s="76"/>
      <c r="D2" s="76"/>
      <c r="E2" s="76"/>
    </row>
    <row r="3" ht="9.75" customHeight="1"/>
    <row r="4" ht="49.5" customHeight="1" spans="1:5">
      <c r="A4" s="237"/>
      <c r="B4" s="238" t="s">
        <v>2</v>
      </c>
      <c r="C4" s="239" t="s">
        <v>3</v>
      </c>
      <c r="D4" s="240" t="s">
        <v>4</v>
      </c>
      <c r="E4" s="241" t="s">
        <v>500</v>
      </c>
    </row>
    <row r="5" ht="17.25" customHeight="1" spans="3:5">
      <c r="C5" s="8"/>
      <c r="D5" s="8"/>
      <c r="E5" s="230" t="s">
        <v>19</v>
      </c>
    </row>
    <row r="6" customHeight="1" spans="1:5">
      <c r="A6" s="9" t="s">
        <v>20</v>
      </c>
      <c r="B6" s="8" t="s">
        <v>21</v>
      </c>
      <c r="C6" s="8"/>
      <c r="D6" s="8"/>
      <c r="E6" s="230"/>
    </row>
    <row r="7" customHeight="1" spans="1:6">
      <c r="A7" s="10">
        <v>1</v>
      </c>
      <c r="B7" s="11" t="s">
        <v>22</v>
      </c>
      <c r="C7" s="12" t="s">
        <v>23</v>
      </c>
      <c r="D7" s="12" t="s">
        <v>24</v>
      </c>
      <c r="E7" s="242">
        <v>540000</v>
      </c>
      <c r="F7" s="13"/>
    </row>
    <row r="8" customHeight="1" spans="1:6">
      <c r="A8" s="10">
        <v>2</v>
      </c>
      <c r="B8" s="11" t="s">
        <v>1085</v>
      </c>
      <c r="C8" s="4" t="s">
        <v>1175</v>
      </c>
      <c r="D8" s="10" t="s">
        <v>189</v>
      </c>
      <c r="E8" s="242">
        <v>180000</v>
      </c>
      <c r="F8" s="13"/>
    </row>
    <row r="9" customHeight="1" spans="1:6">
      <c r="A9" s="10">
        <v>3</v>
      </c>
      <c r="B9" s="11" t="s">
        <v>25</v>
      </c>
      <c r="C9" s="12" t="s">
        <v>26</v>
      </c>
      <c r="D9" s="10" t="s">
        <v>27</v>
      </c>
      <c r="E9" s="242">
        <v>180000</v>
      </c>
      <c r="F9" s="13"/>
    </row>
    <row r="10" customHeight="1" spans="1:6">
      <c r="A10" s="10">
        <v>4</v>
      </c>
      <c r="B10" s="14" t="s">
        <v>28</v>
      </c>
      <c r="C10" s="4" t="s">
        <v>29</v>
      </c>
      <c r="D10" s="15" t="s">
        <v>110</v>
      </c>
      <c r="E10" s="242">
        <v>180000</v>
      </c>
      <c r="F10" s="13"/>
    </row>
    <row r="11" customHeight="1" spans="1:6">
      <c r="A11" s="10">
        <v>5</v>
      </c>
      <c r="B11" s="14" t="s">
        <v>173</v>
      </c>
      <c r="C11" s="4" t="s">
        <v>1087</v>
      </c>
      <c r="D11" s="16" t="s">
        <v>110</v>
      </c>
      <c r="E11" s="242">
        <v>180000</v>
      </c>
      <c r="F11" s="13"/>
    </row>
    <row r="12" customHeight="1" spans="1:6">
      <c r="A12" s="10">
        <v>6</v>
      </c>
      <c r="B12" s="11" t="s">
        <v>30</v>
      </c>
      <c r="C12" s="17" t="s">
        <v>31</v>
      </c>
      <c r="D12" s="16" t="s">
        <v>110</v>
      </c>
      <c r="E12" s="242">
        <v>180000</v>
      </c>
      <c r="F12" s="13"/>
    </row>
    <row r="13" customHeight="1" spans="1:6">
      <c r="A13" s="10">
        <v>7</v>
      </c>
      <c r="B13" s="14" t="s">
        <v>32</v>
      </c>
      <c r="C13" s="4" t="s">
        <v>33</v>
      </c>
      <c r="D13" s="16" t="s">
        <v>110</v>
      </c>
      <c r="E13" s="242">
        <v>180000</v>
      </c>
      <c r="F13" s="13"/>
    </row>
    <row r="14" customHeight="1" spans="1:6">
      <c r="A14" s="10">
        <v>8</v>
      </c>
      <c r="B14" s="11" t="s">
        <v>34</v>
      </c>
      <c r="C14" s="12" t="s">
        <v>35</v>
      </c>
      <c r="D14" s="15" t="s">
        <v>36</v>
      </c>
      <c r="E14" s="242">
        <v>126000</v>
      </c>
      <c r="F14" s="13"/>
    </row>
    <row r="15" customHeight="1" spans="1:6">
      <c r="A15" s="10">
        <v>9</v>
      </c>
      <c r="B15" s="18" t="s">
        <v>521</v>
      </c>
      <c r="C15" s="12" t="s">
        <v>574</v>
      </c>
      <c r="D15" s="10" t="s">
        <v>573</v>
      </c>
      <c r="E15" s="242">
        <v>126000</v>
      </c>
      <c r="F15" s="13"/>
    </row>
    <row r="16" customHeight="1" spans="1:6">
      <c r="A16" s="10">
        <v>10</v>
      </c>
      <c r="B16" s="19" t="s">
        <v>1178</v>
      </c>
      <c r="C16" s="4" t="s">
        <v>1179</v>
      </c>
      <c r="D16" s="16" t="s">
        <v>222</v>
      </c>
      <c r="E16" s="242">
        <v>90000</v>
      </c>
      <c r="F16" s="13"/>
    </row>
    <row r="17" ht="19.5" customHeight="1" spans="1:6">
      <c r="A17" s="10">
        <v>11</v>
      </c>
      <c r="B17" s="14" t="s">
        <v>1088</v>
      </c>
      <c r="C17" s="4" t="s">
        <v>41</v>
      </c>
      <c r="D17" s="10" t="s">
        <v>222</v>
      </c>
      <c r="E17" s="242">
        <v>90000</v>
      </c>
      <c r="F17" s="13"/>
    </row>
    <row r="18" ht="19.5" customHeight="1" spans="1:6">
      <c r="A18" s="10">
        <v>12</v>
      </c>
      <c r="B18" s="14" t="s">
        <v>1180</v>
      </c>
      <c r="C18" s="4" t="s">
        <v>1181</v>
      </c>
      <c r="D18" s="10" t="s">
        <v>222</v>
      </c>
      <c r="E18" s="242">
        <v>90000</v>
      </c>
      <c r="F18" s="13"/>
    </row>
    <row r="19" customHeight="1" spans="1:6">
      <c r="A19" s="10">
        <v>13</v>
      </c>
      <c r="B19" s="11" t="s">
        <v>40</v>
      </c>
      <c r="C19" s="4" t="s">
        <v>41</v>
      </c>
      <c r="D19" s="15" t="s">
        <v>222</v>
      </c>
      <c r="E19" s="242">
        <v>90000</v>
      </c>
      <c r="F19" s="13"/>
    </row>
    <row r="20" customHeight="1" spans="1:6">
      <c r="A20" s="10">
        <v>14</v>
      </c>
      <c r="B20" s="11" t="s">
        <v>50</v>
      </c>
      <c r="C20" s="12" t="s">
        <v>51</v>
      </c>
      <c r="D20" s="15" t="s">
        <v>1019</v>
      </c>
      <c r="E20" s="242">
        <v>90000</v>
      </c>
      <c r="F20" s="13"/>
    </row>
    <row r="21" customHeight="1" spans="1:6">
      <c r="A21" s="10">
        <v>15</v>
      </c>
      <c r="B21" s="18" t="s">
        <v>53</v>
      </c>
      <c r="C21" s="4" t="s">
        <v>54</v>
      </c>
      <c r="D21" s="15" t="s">
        <v>1020</v>
      </c>
      <c r="E21" s="242">
        <v>90000</v>
      </c>
      <c r="F21" s="13"/>
    </row>
    <row r="22" customHeight="1" spans="1:6">
      <c r="A22" s="10">
        <v>16</v>
      </c>
      <c r="B22" s="11" t="s">
        <v>204</v>
      </c>
      <c r="C22" s="12" t="s">
        <v>581</v>
      </c>
      <c r="D22" s="15" t="s">
        <v>62</v>
      </c>
      <c r="E22" s="242">
        <v>54000</v>
      </c>
      <c r="F22" s="13"/>
    </row>
    <row r="23" ht="18.75" customHeight="1" spans="1:6">
      <c r="A23" s="10">
        <v>17</v>
      </c>
      <c r="B23" s="11" t="s">
        <v>60</v>
      </c>
      <c r="C23" s="12" t="s">
        <v>61</v>
      </c>
      <c r="D23" s="15" t="s">
        <v>135</v>
      </c>
      <c r="E23" s="242">
        <v>54000</v>
      </c>
      <c r="F23" s="13"/>
    </row>
    <row r="24" ht="18.75" customHeight="1" spans="1:6">
      <c r="A24" s="10">
        <v>18</v>
      </c>
      <c r="B24" s="18" t="s">
        <v>1182</v>
      </c>
      <c r="C24" s="12" t="s">
        <v>91</v>
      </c>
      <c r="D24" s="15" t="s">
        <v>265</v>
      </c>
      <c r="E24" s="242">
        <v>54000</v>
      </c>
      <c r="F24" s="13"/>
    </row>
    <row r="25" ht="18.75" customHeight="1" spans="1:6">
      <c r="A25" s="10">
        <v>19</v>
      </c>
      <c r="B25" s="4" t="s">
        <v>73</v>
      </c>
      <c r="C25" s="4" t="s">
        <v>74</v>
      </c>
      <c r="D25" s="10" t="s">
        <v>80</v>
      </c>
      <c r="E25" s="242">
        <v>54000</v>
      </c>
      <c r="F25" s="13"/>
    </row>
    <row r="26" ht="18.75" customHeight="1" spans="1:6">
      <c r="A26" s="10">
        <v>20</v>
      </c>
      <c r="B26" s="18" t="s">
        <v>76</v>
      </c>
      <c r="C26" s="12" t="s">
        <v>74</v>
      </c>
      <c r="D26" s="15" t="s">
        <v>80</v>
      </c>
      <c r="E26" s="242">
        <v>54000</v>
      </c>
      <c r="F26" s="13"/>
    </row>
    <row r="27" ht="18.75" customHeight="1" spans="1:6">
      <c r="A27" s="10">
        <v>21</v>
      </c>
      <c r="B27" s="11" t="s">
        <v>1089</v>
      </c>
      <c r="C27" s="12" t="s">
        <v>1090</v>
      </c>
      <c r="D27" s="15" t="s">
        <v>80</v>
      </c>
      <c r="E27" s="242">
        <v>54000</v>
      </c>
      <c r="F27" s="13"/>
    </row>
    <row r="28" ht="18.75" customHeight="1" spans="1:6">
      <c r="A28" s="10">
        <v>22</v>
      </c>
      <c r="B28" s="18" t="s">
        <v>78</v>
      </c>
      <c r="C28" s="12" t="s">
        <v>1036</v>
      </c>
      <c r="D28" s="15" t="s">
        <v>1014</v>
      </c>
      <c r="E28" s="242">
        <v>54000</v>
      </c>
      <c r="F28" s="13"/>
    </row>
    <row r="29" ht="18.75" customHeight="1" spans="1:6">
      <c r="A29" s="10">
        <v>23</v>
      </c>
      <c r="B29" s="18" t="s">
        <v>81</v>
      </c>
      <c r="C29" s="4" t="s">
        <v>1091</v>
      </c>
      <c r="D29" s="10" t="s">
        <v>1014</v>
      </c>
      <c r="E29" s="242">
        <v>54000</v>
      </c>
      <c r="F29" s="13"/>
    </row>
    <row r="30" ht="18.75" customHeight="1" spans="1:6">
      <c r="A30" s="10">
        <v>24</v>
      </c>
      <c r="B30" s="18" t="s">
        <v>85</v>
      </c>
      <c r="C30" s="17" t="s">
        <v>86</v>
      </c>
      <c r="D30" s="15" t="s">
        <v>80</v>
      </c>
      <c r="E30" s="242">
        <v>54000</v>
      </c>
      <c r="F30" s="13"/>
    </row>
    <row r="31" ht="18.75" customHeight="1" spans="1:6">
      <c r="A31" s="10">
        <v>25</v>
      </c>
      <c r="B31" s="18" t="s">
        <v>88</v>
      </c>
      <c r="C31" s="4" t="s">
        <v>89</v>
      </c>
      <c r="D31" s="10" t="s">
        <v>92</v>
      </c>
      <c r="E31" s="242">
        <v>54000</v>
      </c>
      <c r="F31" s="13"/>
    </row>
    <row r="32" ht="18.75" customHeight="1" spans="1:6">
      <c r="A32" s="10">
        <v>26</v>
      </c>
      <c r="B32" s="18" t="s">
        <v>1009</v>
      </c>
      <c r="C32" s="12" t="s">
        <v>91</v>
      </c>
      <c r="D32" s="15" t="s">
        <v>92</v>
      </c>
      <c r="E32" s="242">
        <v>54000</v>
      </c>
      <c r="F32" s="13"/>
    </row>
    <row r="33" ht="18.75" customHeight="1" spans="1:6">
      <c r="A33" s="10">
        <v>27</v>
      </c>
      <c r="B33" s="18" t="s">
        <v>1183</v>
      </c>
      <c r="C33" s="12" t="s">
        <v>91</v>
      </c>
      <c r="D33" s="15" t="s">
        <v>92</v>
      </c>
      <c r="E33" s="242">
        <v>54000</v>
      </c>
      <c r="F33" s="13"/>
    </row>
    <row r="34" ht="18.75" customHeight="1" spans="1:6">
      <c r="A34" s="10">
        <v>28</v>
      </c>
      <c r="B34" s="18" t="s">
        <v>230</v>
      </c>
      <c r="C34" s="12" t="s">
        <v>231</v>
      </c>
      <c r="D34" s="15" t="s">
        <v>95</v>
      </c>
      <c r="E34" s="242">
        <v>54000</v>
      </c>
      <c r="F34" s="13"/>
    </row>
    <row r="35" ht="26.25" customHeight="1" spans="1:6">
      <c r="A35" s="10"/>
      <c r="B35" s="20" t="s">
        <v>96</v>
      </c>
      <c r="C35" s="21">
        <v>28</v>
      </c>
      <c r="D35" s="15"/>
      <c r="E35" s="243">
        <f>SUM(E7:E34)</f>
        <v>3114000</v>
      </c>
      <c r="F35" s="13"/>
    </row>
    <row r="36" ht="18.75" customHeight="1" spans="1:6">
      <c r="A36" s="10"/>
      <c r="B36" s="22"/>
      <c r="C36" s="4"/>
      <c r="D36" s="15"/>
      <c r="E36" s="244"/>
      <c r="F36" s="13"/>
    </row>
    <row r="37" ht="18.75" customHeight="1" spans="1:6">
      <c r="A37" s="10"/>
      <c r="B37" s="20" t="s">
        <v>97</v>
      </c>
      <c r="C37" s="4"/>
      <c r="D37" s="15"/>
      <c r="E37" s="242"/>
      <c r="F37" s="13"/>
    </row>
    <row r="38" ht="18.75" customHeight="1" spans="1:6">
      <c r="A38" s="10">
        <v>1</v>
      </c>
      <c r="B38" s="18" t="s">
        <v>98</v>
      </c>
      <c r="C38" s="4" t="s">
        <v>99</v>
      </c>
      <c r="D38" s="10" t="s">
        <v>100</v>
      </c>
      <c r="E38" s="242">
        <v>270000</v>
      </c>
      <c r="F38" s="13"/>
    </row>
    <row r="39" ht="18.75" customHeight="1" spans="1:6">
      <c r="A39" s="10">
        <v>2</v>
      </c>
      <c r="B39" s="18" t="s">
        <v>101</v>
      </c>
      <c r="C39" s="4" t="s">
        <v>615</v>
      </c>
      <c r="D39" s="10" t="s">
        <v>95</v>
      </c>
      <c r="E39" s="242">
        <v>54000</v>
      </c>
      <c r="F39" s="13"/>
    </row>
    <row r="40" ht="19.5" customHeight="1" spans="1:6">
      <c r="A40" s="10"/>
      <c r="B40" s="14"/>
      <c r="C40" s="21">
        <v>2</v>
      </c>
      <c r="D40" s="10"/>
      <c r="E40" s="243">
        <v>324000</v>
      </c>
      <c r="F40" s="13"/>
    </row>
    <row r="41" customHeight="1" spans="1:6">
      <c r="A41" s="10"/>
      <c r="B41" s="14"/>
      <c r="C41" s="4"/>
      <c r="D41" s="10"/>
      <c r="E41" s="242"/>
      <c r="F41" s="13"/>
    </row>
    <row r="42" customHeight="1" spans="1:6">
      <c r="A42" s="10"/>
      <c r="B42" s="23" t="s">
        <v>107</v>
      </c>
      <c r="C42" s="5"/>
      <c r="D42" s="24"/>
      <c r="E42" s="242"/>
      <c r="F42" s="13"/>
    </row>
    <row r="43" customHeight="1" spans="1:6">
      <c r="A43" s="10">
        <v>1</v>
      </c>
      <c r="B43" s="11" t="s">
        <v>501</v>
      </c>
      <c r="C43" s="4" t="s">
        <v>502</v>
      </c>
      <c r="D43" s="10" t="s">
        <v>100</v>
      </c>
      <c r="E43" s="242">
        <v>270000</v>
      </c>
      <c r="F43" s="13"/>
    </row>
    <row r="44" customHeight="1" spans="1:6">
      <c r="A44" s="10">
        <v>2</v>
      </c>
      <c r="B44" s="11" t="s">
        <v>491</v>
      </c>
      <c r="C44" s="4" t="s">
        <v>44</v>
      </c>
      <c r="D44" s="10" t="s">
        <v>36</v>
      </c>
      <c r="E44" s="242">
        <v>126000</v>
      </c>
      <c r="F44" s="13"/>
    </row>
    <row r="45" customHeight="1" spans="1:6">
      <c r="A45" s="10">
        <v>3</v>
      </c>
      <c r="B45" s="11" t="s">
        <v>108</v>
      </c>
      <c r="C45" s="4" t="s">
        <v>112</v>
      </c>
      <c r="D45" s="10" t="s">
        <v>36</v>
      </c>
      <c r="E45" s="242">
        <v>126000</v>
      </c>
      <c r="F45" s="13"/>
    </row>
    <row r="46" customHeight="1" spans="1:6">
      <c r="A46" s="10">
        <v>4</v>
      </c>
      <c r="B46" s="11" t="s">
        <v>111</v>
      </c>
      <c r="C46" s="4" t="s">
        <v>112</v>
      </c>
      <c r="D46" s="10" t="s">
        <v>36</v>
      </c>
      <c r="E46" s="242">
        <v>126000</v>
      </c>
      <c r="F46" s="13"/>
    </row>
    <row r="47" customHeight="1" spans="1:6">
      <c r="A47" s="10">
        <v>5</v>
      </c>
      <c r="B47" s="11" t="s">
        <v>113</v>
      </c>
      <c r="C47" s="4" t="s">
        <v>112</v>
      </c>
      <c r="D47" s="10" t="s">
        <v>131</v>
      </c>
      <c r="E47" s="242">
        <v>126000</v>
      </c>
      <c r="F47" s="13"/>
    </row>
    <row r="48" customHeight="1" spans="1:6">
      <c r="A48" s="10">
        <v>6</v>
      </c>
      <c r="B48" s="11" t="s">
        <v>114</v>
      </c>
      <c r="C48" s="4" t="s">
        <v>46</v>
      </c>
      <c r="D48" s="10" t="s">
        <v>222</v>
      </c>
      <c r="E48" s="242">
        <v>90000</v>
      </c>
      <c r="F48" s="13"/>
    </row>
    <row r="49" customHeight="1" spans="1:6">
      <c r="A49" s="10">
        <v>7</v>
      </c>
      <c r="B49" s="14" t="s">
        <v>115</v>
      </c>
      <c r="C49" s="4" t="s">
        <v>133</v>
      </c>
      <c r="D49" s="16" t="s">
        <v>222</v>
      </c>
      <c r="E49" s="242">
        <v>90000</v>
      </c>
      <c r="F49" s="13"/>
    </row>
    <row r="50" customHeight="1" spans="1:6">
      <c r="A50" s="10">
        <v>8</v>
      </c>
      <c r="B50" s="11" t="s">
        <v>1094</v>
      </c>
      <c r="C50" s="4" t="s">
        <v>133</v>
      </c>
      <c r="D50" s="10" t="s">
        <v>148</v>
      </c>
      <c r="E50" s="242">
        <v>90000</v>
      </c>
      <c r="F50" s="13"/>
    </row>
    <row r="51" customHeight="1" spans="1:6">
      <c r="A51" s="10">
        <v>9</v>
      </c>
      <c r="B51" s="11" t="s">
        <v>45</v>
      </c>
      <c r="C51" s="4" t="s">
        <v>483</v>
      </c>
      <c r="D51" s="10" t="s">
        <v>52</v>
      </c>
      <c r="E51" s="242">
        <v>90000</v>
      </c>
      <c r="F51" s="13"/>
    </row>
    <row r="52" customHeight="1" spans="1:6">
      <c r="A52" s="10">
        <v>10</v>
      </c>
      <c r="B52" s="11" t="s">
        <v>118</v>
      </c>
      <c r="C52" s="4" t="s">
        <v>117</v>
      </c>
      <c r="D52" s="10" t="s">
        <v>83</v>
      </c>
      <c r="E52" s="242">
        <v>54000</v>
      </c>
      <c r="F52" s="13"/>
    </row>
    <row r="53" customHeight="1" spans="1:6">
      <c r="A53" s="10">
        <v>11</v>
      </c>
      <c r="B53" s="11" t="s">
        <v>580</v>
      </c>
      <c r="C53" s="4" t="s">
        <v>117</v>
      </c>
      <c r="D53" s="10" t="s">
        <v>83</v>
      </c>
      <c r="E53" s="242">
        <v>54000</v>
      </c>
      <c r="F53" s="13"/>
    </row>
    <row r="54" customHeight="1" spans="1:6">
      <c r="A54" s="10">
        <v>12</v>
      </c>
      <c r="B54" s="11" t="s">
        <v>119</v>
      </c>
      <c r="C54" s="4" t="s">
        <v>117</v>
      </c>
      <c r="D54" s="10" t="s">
        <v>83</v>
      </c>
      <c r="E54" s="242">
        <v>54000</v>
      </c>
      <c r="F54" s="13"/>
    </row>
    <row r="55" ht="25.5" customHeight="1" spans="1:6">
      <c r="A55" s="10"/>
      <c r="B55" s="20" t="s">
        <v>96</v>
      </c>
      <c r="C55" s="21">
        <v>12</v>
      </c>
      <c r="D55" s="21"/>
      <c r="E55" s="245">
        <v>1296000</v>
      </c>
      <c r="F55" s="13"/>
    </row>
    <row r="56" customHeight="1" spans="1:6">
      <c r="A56" s="10"/>
      <c r="B56" s="22"/>
      <c r="C56" s="21"/>
      <c r="D56" s="21"/>
      <c r="E56" s="246"/>
      <c r="F56" s="13"/>
    </row>
    <row r="57" customHeight="1" spans="1:6">
      <c r="A57" s="10"/>
      <c r="B57" s="20" t="s">
        <v>120</v>
      </c>
      <c r="C57" s="21"/>
      <c r="D57" s="21"/>
      <c r="E57" s="246"/>
      <c r="F57" s="13"/>
    </row>
    <row r="58" customHeight="1" spans="1:6">
      <c r="A58" s="10">
        <v>1</v>
      </c>
      <c r="B58" s="11" t="s">
        <v>503</v>
      </c>
      <c r="C58" s="12" t="s">
        <v>122</v>
      </c>
      <c r="D58" s="15" t="s">
        <v>100</v>
      </c>
      <c r="E58" s="242">
        <v>270000</v>
      </c>
      <c r="F58" s="13"/>
    </row>
    <row r="59" customHeight="1" spans="1:6">
      <c r="A59" s="10">
        <v>2</v>
      </c>
      <c r="B59" s="11" t="s">
        <v>123</v>
      </c>
      <c r="C59" s="12" t="s">
        <v>124</v>
      </c>
      <c r="D59" s="15" t="s">
        <v>573</v>
      </c>
      <c r="E59" s="242">
        <v>126000</v>
      </c>
      <c r="F59" s="13"/>
    </row>
    <row r="60" customHeight="1" spans="1:6">
      <c r="A60" s="10"/>
      <c r="B60" s="20" t="s">
        <v>96</v>
      </c>
      <c r="C60" s="21">
        <v>2</v>
      </c>
      <c r="D60" s="21"/>
      <c r="E60" s="245">
        <v>396000</v>
      </c>
      <c r="F60" s="13"/>
    </row>
    <row r="61" customHeight="1" spans="1:6">
      <c r="A61" s="10"/>
      <c r="B61" s="20"/>
      <c r="C61" s="21"/>
      <c r="D61" s="21"/>
      <c r="E61" s="246"/>
      <c r="F61" s="13"/>
    </row>
    <row r="62" customHeight="1" spans="1:6">
      <c r="A62" s="10"/>
      <c r="B62" s="20" t="s">
        <v>126</v>
      </c>
      <c r="C62" s="21"/>
      <c r="D62" s="21"/>
      <c r="E62" s="246"/>
      <c r="F62" s="13"/>
    </row>
    <row r="63" customHeight="1" spans="1:6">
      <c r="A63" s="10">
        <v>1</v>
      </c>
      <c r="B63" s="11" t="s">
        <v>127</v>
      </c>
      <c r="C63" s="17" t="s">
        <v>128</v>
      </c>
      <c r="D63" s="10" t="s">
        <v>100</v>
      </c>
      <c r="E63" s="242">
        <v>270000</v>
      </c>
      <c r="F63" s="13"/>
    </row>
    <row r="64" customHeight="1" spans="1:6">
      <c r="A64" s="10">
        <v>2</v>
      </c>
      <c r="B64" s="18" t="s">
        <v>129</v>
      </c>
      <c r="C64" s="17" t="s">
        <v>130</v>
      </c>
      <c r="D64" s="15" t="s">
        <v>1021</v>
      </c>
      <c r="E64" s="242">
        <v>126000</v>
      </c>
      <c r="F64" s="13"/>
    </row>
    <row r="65" customHeight="1" spans="1:6">
      <c r="A65" s="10">
        <v>3</v>
      </c>
      <c r="B65" s="11" t="s">
        <v>132</v>
      </c>
      <c r="C65" s="4" t="s">
        <v>165</v>
      </c>
      <c r="D65" s="10" t="s">
        <v>52</v>
      </c>
      <c r="E65" s="242">
        <v>90000</v>
      </c>
      <c r="F65" s="13"/>
    </row>
    <row r="66" customHeight="1" spans="1:6">
      <c r="A66" s="10">
        <v>4</v>
      </c>
      <c r="B66" s="18" t="s">
        <v>486</v>
      </c>
      <c r="C66" s="17" t="s">
        <v>165</v>
      </c>
      <c r="D66" s="15" t="s">
        <v>1019</v>
      </c>
      <c r="E66" s="242">
        <v>90000</v>
      </c>
      <c r="F66" s="13"/>
    </row>
    <row r="67" customHeight="1" spans="1:6">
      <c r="A67" s="10">
        <v>5</v>
      </c>
      <c r="B67" s="14" t="s">
        <v>519</v>
      </c>
      <c r="C67" s="17" t="s">
        <v>133</v>
      </c>
      <c r="D67" s="15" t="s">
        <v>222</v>
      </c>
      <c r="E67" s="242">
        <v>90000</v>
      </c>
      <c r="F67" s="13"/>
    </row>
    <row r="68" customHeight="1" spans="1:6">
      <c r="A68" s="10">
        <v>6</v>
      </c>
      <c r="B68" s="14" t="s">
        <v>43</v>
      </c>
      <c r="C68" s="17" t="s">
        <v>133</v>
      </c>
      <c r="D68" s="15" t="s">
        <v>148</v>
      </c>
      <c r="E68" s="242">
        <v>90000</v>
      </c>
      <c r="F68" s="13"/>
    </row>
    <row r="69" customHeight="1" spans="1:6">
      <c r="A69" s="10">
        <v>7</v>
      </c>
      <c r="B69" s="11" t="s">
        <v>134</v>
      </c>
      <c r="C69" s="4" t="s">
        <v>117</v>
      </c>
      <c r="D69" s="10" t="s">
        <v>65</v>
      </c>
      <c r="E69" s="242">
        <v>54000</v>
      </c>
      <c r="F69" s="13"/>
    </row>
    <row r="70" customHeight="1" spans="1:6">
      <c r="A70" s="10">
        <v>8</v>
      </c>
      <c r="B70" s="11" t="s">
        <v>136</v>
      </c>
      <c r="C70" s="17" t="s">
        <v>67</v>
      </c>
      <c r="D70" s="15" t="s">
        <v>65</v>
      </c>
      <c r="E70" s="242">
        <v>54000</v>
      </c>
      <c r="F70" s="13"/>
    </row>
    <row r="71" customHeight="1" spans="1:6">
      <c r="A71" s="10">
        <v>9</v>
      </c>
      <c r="B71" s="11" t="s">
        <v>137</v>
      </c>
      <c r="C71" s="17" t="s">
        <v>67</v>
      </c>
      <c r="D71" s="15" t="s">
        <v>65</v>
      </c>
      <c r="E71" s="242">
        <v>54000</v>
      </c>
      <c r="F71" s="13"/>
    </row>
    <row r="72" customHeight="1" spans="1:6">
      <c r="A72" s="10">
        <v>10</v>
      </c>
      <c r="B72" s="11" t="s">
        <v>138</v>
      </c>
      <c r="C72" s="4" t="s">
        <v>139</v>
      </c>
      <c r="D72" s="10" t="s">
        <v>135</v>
      </c>
      <c r="E72" s="242">
        <v>54000</v>
      </c>
      <c r="F72" s="13"/>
    </row>
    <row r="73" customHeight="1" spans="1:6">
      <c r="A73" s="10">
        <v>11</v>
      </c>
      <c r="B73" s="11" t="s">
        <v>1184</v>
      </c>
      <c r="C73" s="17" t="s">
        <v>117</v>
      </c>
      <c r="D73" s="10" t="s">
        <v>104</v>
      </c>
      <c r="E73" s="242">
        <v>54000</v>
      </c>
      <c r="F73" s="13"/>
    </row>
    <row r="74" customHeight="1" spans="1:6">
      <c r="A74" s="10">
        <v>12</v>
      </c>
      <c r="B74" s="11" t="s">
        <v>77</v>
      </c>
      <c r="C74" s="17" t="s">
        <v>64</v>
      </c>
      <c r="D74" s="10" t="s">
        <v>80</v>
      </c>
      <c r="E74" s="242">
        <v>54000</v>
      </c>
      <c r="F74" s="13"/>
    </row>
    <row r="75" customHeight="1" spans="1:6">
      <c r="A75" s="10">
        <v>13</v>
      </c>
      <c r="B75" s="14" t="s">
        <v>63</v>
      </c>
      <c r="C75" s="17" t="s">
        <v>64</v>
      </c>
      <c r="D75" s="10" t="s">
        <v>92</v>
      </c>
      <c r="E75" s="242">
        <v>54000</v>
      </c>
      <c r="F75" s="13"/>
    </row>
    <row r="76" customHeight="1" spans="1:6">
      <c r="A76" s="10"/>
      <c r="B76" s="20" t="s">
        <v>96</v>
      </c>
      <c r="C76" s="21">
        <v>13</v>
      </c>
      <c r="D76" s="21"/>
      <c r="E76" s="245">
        <v>1134000</v>
      </c>
      <c r="F76" s="13"/>
    </row>
    <row r="77" customHeight="1" spans="1:6">
      <c r="A77" s="10"/>
      <c r="B77" s="22"/>
      <c r="C77" s="21"/>
      <c r="D77" s="21"/>
      <c r="E77" s="246"/>
      <c r="F77" s="13"/>
    </row>
    <row r="78" customHeight="1" spans="1:6">
      <c r="A78" s="10"/>
      <c r="B78" s="20" t="s">
        <v>141</v>
      </c>
      <c r="C78" s="21"/>
      <c r="D78" s="21"/>
      <c r="E78" s="246"/>
      <c r="F78" s="13"/>
    </row>
    <row r="79" customHeight="1" spans="1:6">
      <c r="A79" s="10">
        <v>1</v>
      </c>
      <c r="B79" s="11" t="s">
        <v>142</v>
      </c>
      <c r="C79" s="4" t="s">
        <v>143</v>
      </c>
      <c r="D79" s="10" t="s">
        <v>100</v>
      </c>
      <c r="E79" s="242">
        <v>270000</v>
      </c>
      <c r="F79" s="13"/>
    </row>
    <row r="80" customHeight="1" spans="1:6">
      <c r="A80" s="10">
        <v>2</v>
      </c>
      <c r="B80" s="14" t="s">
        <v>520</v>
      </c>
      <c r="C80" s="4" t="s">
        <v>572</v>
      </c>
      <c r="D80" s="15" t="s">
        <v>1021</v>
      </c>
      <c r="E80" s="242">
        <v>126000</v>
      </c>
      <c r="F80" s="13"/>
    </row>
    <row r="81" customHeight="1" spans="1:6">
      <c r="A81" s="10">
        <v>3</v>
      </c>
      <c r="B81" s="14" t="s">
        <v>1185</v>
      </c>
      <c r="C81" s="4" t="s">
        <v>1186</v>
      </c>
      <c r="D81" s="15" t="s">
        <v>1021</v>
      </c>
      <c r="E81" s="242">
        <v>126000</v>
      </c>
      <c r="F81" s="13"/>
    </row>
    <row r="82" customHeight="1" spans="1:6">
      <c r="A82" s="10">
        <v>4</v>
      </c>
      <c r="B82" s="11" t="s">
        <v>146</v>
      </c>
      <c r="C82" s="4" t="s">
        <v>1037</v>
      </c>
      <c r="D82" s="15" t="s">
        <v>52</v>
      </c>
      <c r="E82" s="242">
        <v>90000</v>
      </c>
      <c r="F82" s="13"/>
    </row>
    <row r="83" customHeight="1" spans="1:6">
      <c r="A83" s="10">
        <v>5</v>
      </c>
      <c r="B83" s="11" t="s">
        <v>149</v>
      </c>
      <c r="C83" s="4" t="s">
        <v>152</v>
      </c>
      <c r="D83" s="10" t="s">
        <v>104</v>
      </c>
      <c r="E83" s="242">
        <v>54000</v>
      </c>
      <c r="F83" s="13"/>
    </row>
    <row r="84" customHeight="1" spans="1:6">
      <c r="A84" s="10"/>
      <c r="B84" s="20" t="s">
        <v>96</v>
      </c>
      <c r="C84" s="21">
        <v>5</v>
      </c>
      <c r="D84" s="21"/>
      <c r="E84" s="245">
        <v>666000</v>
      </c>
      <c r="F84" s="13"/>
    </row>
    <row r="85" customHeight="1" spans="1:6">
      <c r="A85" s="10"/>
      <c r="B85" s="20"/>
      <c r="C85" s="21"/>
      <c r="D85" s="21"/>
      <c r="E85" s="242"/>
      <c r="F85" s="13"/>
    </row>
    <row r="86" customHeight="1" spans="1:6">
      <c r="A86" s="10"/>
      <c r="B86" s="20" t="s">
        <v>155</v>
      </c>
      <c r="C86" s="25"/>
      <c r="D86" s="21"/>
      <c r="E86" s="242"/>
      <c r="F86" s="13"/>
    </row>
    <row r="87" customHeight="1" spans="1:6">
      <c r="A87" s="10">
        <v>1</v>
      </c>
      <c r="B87" s="11" t="s">
        <v>156</v>
      </c>
      <c r="C87" s="4" t="s">
        <v>112</v>
      </c>
      <c r="D87" s="10" t="s">
        <v>36</v>
      </c>
      <c r="E87" s="242">
        <v>126000</v>
      </c>
      <c r="F87" s="13"/>
    </row>
    <row r="88" customHeight="1" spans="1:6">
      <c r="A88" s="10">
        <v>2</v>
      </c>
      <c r="B88" s="11" t="s">
        <v>157</v>
      </c>
      <c r="C88" s="4" t="s">
        <v>112</v>
      </c>
      <c r="D88" s="10" t="s">
        <v>36</v>
      </c>
      <c r="E88" s="242">
        <v>126000</v>
      </c>
      <c r="F88" s="13"/>
    </row>
    <row r="89" customHeight="1" spans="1:6">
      <c r="A89" s="10">
        <v>3</v>
      </c>
      <c r="B89" s="14" t="s">
        <v>201</v>
      </c>
      <c r="C89" s="4" t="s">
        <v>133</v>
      </c>
      <c r="D89" s="10" t="s">
        <v>42</v>
      </c>
      <c r="E89" s="242">
        <v>90000</v>
      </c>
      <c r="F89" s="13"/>
    </row>
    <row r="90" customHeight="1" spans="1:6">
      <c r="A90" s="10">
        <v>4</v>
      </c>
      <c r="B90" s="11" t="s">
        <v>158</v>
      </c>
      <c r="C90" s="4" t="s">
        <v>46</v>
      </c>
      <c r="D90" s="10" t="s">
        <v>222</v>
      </c>
      <c r="E90" s="242">
        <v>90000</v>
      </c>
      <c r="F90" s="13"/>
    </row>
    <row r="91" ht="21.6" customHeight="1" spans="1:6">
      <c r="A91" s="10">
        <v>5</v>
      </c>
      <c r="B91" s="11" t="s">
        <v>159</v>
      </c>
      <c r="C91" s="4" t="s">
        <v>483</v>
      </c>
      <c r="D91" s="15" t="s">
        <v>52</v>
      </c>
      <c r="E91" s="242">
        <v>90000</v>
      </c>
      <c r="F91" s="13"/>
    </row>
    <row r="92" ht="21.6" customHeight="1" spans="1:6">
      <c r="A92" s="10">
        <v>6</v>
      </c>
      <c r="B92" s="11" t="s">
        <v>160</v>
      </c>
      <c r="C92" s="12" t="s">
        <v>165</v>
      </c>
      <c r="D92" s="15" t="s">
        <v>1019</v>
      </c>
      <c r="E92" s="242">
        <v>90000</v>
      </c>
      <c r="F92" s="13"/>
    </row>
    <row r="93" ht="21.6" customHeight="1" spans="1:6">
      <c r="A93" s="10">
        <v>7</v>
      </c>
      <c r="B93" s="11" t="s">
        <v>161</v>
      </c>
      <c r="C93" s="12" t="s">
        <v>165</v>
      </c>
      <c r="D93" s="15" t="s">
        <v>1019</v>
      </c>
      <c r="E93" s="242">
        <v>90000</v>
      </c>
      <c r="F93" s="13"/>
    </row>
    <row r="94" ht="21.6" customHeight="1" spans="1:6">
      <c r="A94" s="10">
        <v>8</v>
      </c>
      <c r="B94" s="11" t="s">
        <v>163</v>
      </c>
      <c r="C94" s="17" t="s">
        <v>67</v>
      </c>
      <c r="D94" s="15" t="s">
        <v>65</v>
      </c>
      <c r="E94" s="242">
        <v>54000</v>
      </c>
      <c r="F94" s="13"/>
    </row>
    <row r="95" ht="21.6" customHeight="1" spans="1:6">
      <c r="A95" s="10">
        <v>9</v>
      </c>
      <c r="B95" s="11" t="s">
        <v>167</v>
      </c>
      <c r="C95" s="4" t="s">
        <v>168</v>
      </c>
      <c r="D95" s="10" t="s">
        <v>70</v>
      </c>
      <c r="E95" s="242">
        <v>54000</v>
      </c>
      <c r="F95" s="13"/>
    </row>
    <row r="96" ht="21.6" customHeight="1" spans="1:6">
      <c r="A96" s="10">
        <v>10</v>
      </c>
      <c r="B96" s="11" t="s">
        <v>169</v>
      </c>
      <c r="C96" s="17" t="s">
        <v>170</v>
      </c>
      <c r="D96" s="15" t="s">
        <v>92</v>
      </c>
      <c r="E96" s="242">
        <v>54000</v>
      </c>
      <c r="F96" s="13"/>
    </row>
    <row r="97" customHeight="1" spans="1:6">
      <c r="A97" s="10"/>
      <c r="B97" s="20" t="s">
        <v>96</v>
      </c>
      <c r="C97" s="21">
        <v>10</v>
      </c>
      <c r="D97" s="21"/>
      <c r="E97" s="245">
        <v>864000</v>
      </c>
      <c r="F97" s="13"/>
    </row>
    <row r="98" customHeight="1" spans="1:6">
      <c r="A98" s="10"/>
      <c r="B98" s="22"/>
      <c r="C98" s="21"/>
      <c r="D98" s="21"/>
      <c r="E98" s="246"/>
      <c r="F98" s="13"/>
    </row>
    <row r="99" customHeight="1" spans="1:6">
      <c r="A99" s="10"/>
      <c r="B99" s="20" t="s">
        <v>172</v>
      </c>
      <c r="C99" s="21"/>
      <c r="D99" s="21"/>
      <c r="E99" s="246"/>
      <c r="F99" s="13"/>
    </row>
    <row r="100" customHeight="1" spans="1:6">
      <c r="A100" s="10">
        <v>1</v>
      </c>
      <c r="B100" s="18" t="s">
        <v>576</v>
      </c>
      <c r="C100" s="10" t="s">
        <v>577</v>
      </c>
      <c r="D100" s="15" t="s">
        <v>110</v>
      </c>
      <c r="E100" s="242">
        <v>180000</v>
      </c>
      <c r="F100" s="13"/>
    </row>
    <row r="101" customHeight="1" spans="1:6">
      <c r="A101" s="10">
        <v>2</v>
      </c>
      <c r="B101" s="11" t="s">
        <v>37</v>
      </c>
      <c r="C101" s="4" t="s">
        <v>177</v>
      </c>
      <c r="D101" s="10" t="s">
        <v>222</v>
      </c>
      <c r="E101" s="242">
        <v>90000</v>
      </c>
      <c r="F101" s="13"/>
    </row>
    <row r="102" customHeight="1" spans="1:6">
      <c r="A102" s="10">
        <v>3</v>
      </c>
      <c r="B102" s="11" t="s">
        <v>180</v>
      </c>
      <c r="C102" s="4" t="s">
        <v>181</v>
      </c>
      <c r="D102" s="15" t="s">
        <v>135</v>
      </c>
      <c r="E102" s="242">
        <v>54000</v>
      </c>
      <c r="F102" s="13"/>
    </row>
    <row r="103" customHeight="1" spans="1:6">
      <c r="A103" s="10">
        <v>4</v>
      </c>
      <c r="B103" s="11" t="s">
        <v>1187</v>
      </c>
      <c r="C103" s="4" t="s">
        <v>1188</v>
      </c>
      <c r="D103" s="15" t="s">
        <v>1014</v>
      </c>
      <c r="E103" s="242">
        <v>54000</v>
      </c>
      <c r="F103" s="13"/>
    </row>
    <row r="104" customHeight="1" spans="1:6">
      <c r="A104" s="4"/>
      <c r="B104" s="20" t="s">
        <v>96</v>
      </c>
      <c r="C104" s="21">
        <v>3</v>
      </c>
      <c r="D104" s="26"/>
      <c r="E104" s="245">
        <v>378000</v>
      </c>
      <c r="F104" s="13"/>
    </row>
    <row r="105" customHeight="1" spans="1:6">
      <c r="A105" s="4"/>
      <c r="B105" s="22"/>
      <c r="C105" s="21"/>
      <c r="D105" s="26"/>
      <c r="E105" s="246"/>
      <c r="F105" s="13"/>
    </row>
    <row r="106" customHeight="1" spans="1:6">
      <c r="A106" s="4"/>
      <c r="B106" s="20" t="s">
        <v>184</v>
      </c>
      <c r="C106" s="4"/>
      <c r="D106" s="4"/>
      <c r="E106" s="247"/>
      <c r="F106" s="13"/>
    </row>
    <row r="107" customHeight="1" spans="1:6">
      <c r="A107" s="4">
        <v>1</v>
      </c>
      <c r="B107" s="11" t="s">
        <v>185</v>
      </c>
      <c r="C107" s="12" t="s">
        <v>186</v>
      </c>
      <c r="D107" s="15" t="s">
        <v>100</v>
      </c>
      <c r="E107" s="242">
        <v>270000</v>
      </c>
      <c r="F107" s="13"/>
    </row>
    <row r="108" customHeight="1" spans="1:6">
      <c r="A108" s="4">
        <v>2</v>
      </c>
      <c r="B108" s="11" t="s">
        <v>187</v>
      </c>
      <c r="C108" s="4" t="s">
        <v>188</v>
      </c>
      <c r="D108" s="16" t="s">
        <v>110</v>
      </c>
      <c r="E108" s="242">
        <v>180000</v>
      </c>
      <c r="F108" s="13"/>
    </row>
    <row r="109" customHeight="1" spans="1:6">
      <c r="A109" s="4">
        <v>3</v>
      </c>
      <c r="B109" s="11" t="s">
        <v>190</v>
      </c>
      <c r="C109" s="4" t="s">
        <v>191</v>
      </c>
      <c r="D109" s="10" t="s">
        <v>192</v>
      </c>
      <c r="E109" s="242">
        <v>90000</v>
      </c>
      <c r="F109" s="13"/>
    </row>
    <row r="110" customHeight="1" spans="1:6">
      <c r="A110" s="4">
        <v>4</v>
      </c>
      <c r="B110" s="11" t="s">
        <v>193</v>
      </c>
      <c r="C110" s="4" t="s">
        <v>191</v>
      </c>
      <c r="D110" s="10" t="s">
        <v>192</v>
      </c>
      <c r="E110" s="242">
        <v>90000</v>
      </c>
      <c r="F110" s="13"/>
    </row>
    <row r="111" customHeight="1" spans="1:6">
      <c r="A111" s="4">
        <v>5</v>
      </c>
      <c r="B111" s="11" t="s">
        <v>194</v>
      </c>
      <c r="C111" s="4" t="s">
        <v>195</v>
      </c>
      <c r="D111" s="15" t="s">
        <v>198</v>
      </c>
      <c r="E111" s="242">
        <v>54000</v>
      </c>
      <c r="F111" s="13"/>
    </row>
    <row r="112" customHeight="1" spans="1:6">
      <c r="A112" s="4">
        <v>6</v>
      </c>
      <c r="B112" s="18" t="s">
        <v>197</v>
      </c>
      <c r="C112" s="4" t="s">
        <v>195</v>
      </c>
      <c r="D112" s="10" t="s">
        <v>1014</v>
      </c>
      <c r="E112" s="242">
        <v>54000</v>
      </c>
      <c r="F112" s="13"/>
    </row>
    <row r="113" customHeight="1" spans="1:6">
      <c r="A113" s="4">
        <v>7</v>
      </c>
      <c r="B113" s="18" t="s">
        <v>199</v>
      </c>
      <c r="C113" s="4" t="s">
        <v>195</v>
      </c>
      <c r="D113" s="15" t="s">
        <v>92</v>
      </c>
      <c r="E113" s="242">
        <v>54000</v>
      </c>
      <c r="F113" s="13"/>
    </row>
    <row r="114" customHeight="1" spans="1:6">
      <c r="A114" s="4"/>
      <c r="B114" s="20" t="s">
        <v>96</v>
      </c>
      <c r="C114" s="21">
        <v>7</v>
      </c>
      <c r="D114" s="4"/>
      <c r="E114" s="248">
        <v>792000</v>
      </c>
      <c r="F114" s="13"/>
    </row>
    <row r="115" customHeight="1" spans="1:6">
      <c r="A115" s="4"/>
      <c r="B115" s="20"/>
      <c r="C115" s="21"/>
      <c r="D115" s="4"/>
      <c r="E115" s="248"/>
      <c r="F115" s="13"/>
    </row>
    <row r="116" ht="43.5" customHeight="1" spans="1:6">
      <c r="A116" s="10"/>
      <c r="B116" s="20" t="s">
        <v>1194</v>
      </c>
      <c r="C116" s="21"/>
      <c r="D116" s="21"/>
      <c r="E116" s="248"/>
      <c r="F116" s="13"/>
    </row>
    <row r="117" ht="27" customHeight="1" spans="1:6">
      <c r="A117" s="10">
        <v>1</v>
      </c>
      <c r="B117" s="11" t="s">
        <v>1102</v>
      </c>
      <c r="C117" s="17" t="s">
        <v>67</v>
      </c>
      <c r="D117" s="15" t="s">
        <v>62</v>
      </c>
      <c r="E117" s="242">
        <v>54000</v>
      </c>
      <c r="F117" s="13"/>
    </row>
    <row r="118" ht="27" customHeight="1" spans="1:6">
      <c r="A118" s="10">
        <v>2</v>
      </c>
      <c r="B118" s="11" t="s">
        <v>202</v>
      </c>
      <c r="C118" s="4" t="s">
        <v>203</v>
      </c>
      <c r="D118" s="15" t="s">
        <v>135</v>
      </c>
      <c r="E118" s="242">
        <v>54000</v>
      </c>
      <c r="F118" s="13"/>
    </row>
    <row r="119" ht="27" customHeight="1" spans="1:6">
      <c r="A119" s="4"/>
      <c r="B119" s="20" t="s">
        <v>96</v>
      </c>
      <c r="C119" s="21">
        <v>2</v>
      </c>
      <c r="D119" s="26"/>
      <c r="E119" s="248">
        <v>108000</v>
      </c>
      <c r="F119" s="13"/>
    </row>
    <row r="120" customHeight="1" spans="1:6">
      <c r="A120" s="4"/>
      <c r="B120" s="22"/>
      <c r="C120" s="10"/>
      <c r="D120" s="4"/>
      <c r="E120" s="249"/>
      <c r="F120" s="13"/>
    </row>
    <row r="121" customHeight="1" spans="1:6">
      <c r="A121" s="4"/>
      <c r="B121" s="20" t="s">
        <v>213</v>
      </c>
      <c r="C121" s="21"/>
      <c r="D121" s="21"/>
      <c r="E121" s="242"/>
      <c r="F121" s="13"/>
    </row>
    <row r="122" customHeight="1" spans="1:6">
      <c r="A122" s="4">
        <v>1</v>
      </c>
      <c r="B122" s="11" t="s">
        <v>214</v>
      </c>
      <c r="C122" s="12" t="s">
        <v>215</v>
      </c>
      <c r="D122" s="15" t="s">
        <v>100</v>
      </c>
      <c r="E122" s="242">
        <v>270000</v>
      </c>
      <c r="F122" s="13"/>
    </row>
    <row r="123" customHeight="1" spans="1:6">
      <c r="A123" s="4">
        <v>2</v>
      </c>
      <c r="B123" s="11" t="s">
        <v>216</v>
      </c>
      <c r="C123" s="12" t="s">
        <v>219</v>
      </c>
      <c r="D123" s="15" t="s">
        <v>36</v>
      </c>
      <c r="E123" s="242">
        <v>126000</v>
      </c>
      <c r="F123" s="13"/>
    </row>
    <row r="124" customHeight="1" spans="1:6">
      <c r="A124" s="4">
        <v>3</v>
      </c>
      <c r="B124" s="14" t="s">
        <v>218</v>
      </c>
      <c r="C124" s="12" t="s">
        <v>219</v>
      </c>
      <c r="D124" s="15" t="s">
        <v>36</v>
      </c>
      <c r="E124" s="242">
        <v>126000</v>
      </c>
      <c r="F124" s="13"/>
    </row>
    <row r="125" customHeight="1" spans="1:6">
      <c r="A125" s="4">
        <v>4</v>
      </c>
      <c r="B125" s="14" t="s">
        <v>523</v>
      </c>
      <c r="C125" s="12" t="s">
        <v>219</v>
      </c>
      <c r="D125" s="15" t="s">
        <v>39</v>
      </c>
      <c r="E125" s="242">
        <v>126000</v>
      </c>
      <c r="F125" s="13"/>
    </row>
    <row r="126" customHeight="1" spans="1:6">
      <c r="A126" s="4">
        <v>5</v>
      </c>
      <c r="B126" s="11" t="s">
        <v>220</v>
      </c>
      <c r="C126" s="12" t="s">
        <v>221</v>
      </c>
      <c r="D126" s="15" t="s">
        <v>148</v>
      </c>
      <c r="E126" s="242">
        <v>90000</v>
      </c>
      <c r="F126" s="13"/>
    </row>
    <row r="127" customHeight="1" spans="1:6">
      <c r="A127" s="4">
        <v>6</v>
      </c>
      <c r="B127" s="11" t="s">
        <v>223</v>
      </c>
      <c r="C127" s="12" t="s">
        <v>224</v>
      </c>
      <c r="D127" s="15" t="s">
        <v>52</v>
      </c>
      <c r="E127" s="242">
        <v>90000</v>
      </c>
      <c r="F127" s="13"/>
    </row>
    <row r="128" customHeight="1" spans="1:6">
      <c r="A128" s="4">
        <v>7</v>
      </c>
      <c r="B128" s="11" t="s">
        <v>225</v>
      </c>
      <c r="C128" s="12" t="s">
        <v>1039</v>
      </c>
      <c r="D128" s="15" t="s">
        <v>52</v>
      </c>
      <c r="E128" s="242">
        <v>90000</v>
      </c>
      <c r="F128" s="13"/>
    </row>
    <row r="129" customHeight="1" spans="1:6">
      <c r="A129" s="4">
        <v>8</v>
      </c>
      <c r="B129" s="11" t="s">
        <v>226</v>
      </c>
      <c r="C129" s="12" t="s">
        <v>227</v>
      </c>
      <c r="D129" s="10" t="s">
        <v>80</v>
      </c>
      <c r="E129" s="242">
        <v>54000</v>
      </c>
      <c r="F129" s="13"/>
    </row>
    <row r="130" customHeight="1" spans="1:6">
      <c r="A130" s="4">
        <v>9</v>
      </c>
      <c r="B130" s="18" t="s">
        <v>228</v>
      </c>
      <c r="C130" s="12" t="s">
        <v>229</v>
      </c>
      <c r="D130" s="15" t="s">
        <v>92</v>
      </c>
      <c r="E130" s="242">
        <v>54000</v>
      </c>
      <c r="F130" s="13"/>
    </row>
    <row r="131" customHeight="1" spans="1:6">
      <c r="A131" s="4"/>
      <c r="B131" s="20" t="s">
        <v>96</v>
      </c>
      <c r="C131" s="26" t="s">
        <v>1189</v>
      </c>
      <c r="D131" s="15"/>
      <c r="E131" s="250">
        <v>1026000</v>
      </c>
      <c r="F131" s="13"/>
    </row>
    <row r="132" customHeight="1" spans="1:6">
      <c r="A132" s="4"/>
      <c r="B132" s="22"/>
      <c r="C132" s="26"/>
      <c r="D132" s="15"/>
      <c r="E132" s="246"/>
      <c r="F132" s="13"/>
    </row>
    <row r="133" customHeight="1" spans="1:6">
      <c r="A133" s="4"/>
      <c r="B133" s="20" t="s">
        <v>234</v>
      </c>
      <c r="C133" s="12"/>
      <c r="D133" s="15"/>
      <c r="E133" s="242"/>
      <c r="F133" s="13"/>
    </row>
    <row r="134" customHeight="1" spans="1:6">
      <c r="A134" s="27">
        <v>1</v>
      </c>
      <c r="B134" s="11" t="s">
        <v>235</v>
      </c>
      <c r="C134" s="12" t="s">
        <v>236</v>
      </c>
      <c r="D134" s="15" t="s">
        <v>100</v>
      </c>
      <c r="E134" s="242">
        <v>270000</v>
      </c>
      <c r="F134" s="13"/>
    </row>
    <row r="135" customHeight="1" spans="1:6">
      <c r="A135" s="27">
        <v>2</v>
      </c>
      <c r="B135" s="11" t="s">
        <v>524</v>
      </c>
      <c r="C135" s="12" t="s">
        <v>575</v>
      </c>
      <c r="D135" s="15" t="s">
        <v>189</v>
      </c>
      <c r="E135" s="242">
        <v>180000</v>
      </c>
      <c r="F135" s="13"/>
    </row>
    <row r="136" customHeight="1" spans="1:6">
      <c r="A136" s="27">
        <v>3</v>
      </c>
      <c r="B136" s="14" t="s">
        <v>237</v>
      </c>
      <c r="C136" s="4" t="s">
        <v>238</v>
      </c>
      <c r="D136" s="16" t="s">
        <v>110</v>
      </c>
      <c r="E136" s="242">
        <v>180000</v>
      </c>
      <c r="F136" s="13"/>
    </row>
    <row r="137" customHeight="1" spans="1:6">
      <c r="A137" s="27">
        <v>4</v>
      </c>
      <c r="B137" s="11" t="s">
        <v>239</v>
      </c>
      <c r="C137" s="12" t="s">
        <v>582</v>
      </c>
      <c r="D137" s="15" t="s">
        <v>222</v>
      </c>
      <c r="E137" s="242">
        <v>90000</v>
      </c>
      <c r="F137" s="13"/>
    </row>
    <row r="138" customHeight="1" spans="1:6">
      <c r="A138" s="27">
        <v>5</v>
      </c>
      <c r="B138" s="11" t="s">
        <v>241</v>
      </c>
      <c r="C138" s="4" t="s">
        <v>583</v>
      </c>
      <c r="D138" s="15" t="s">
        <v>222</v>
      </c>
      <c r="E138" s="242">
        <v>90000</v>
      </c>
      <c r="F138" s="13"/>
    </row>
    <row r="139" customHeight="1" spans="1:6">
      <c r="A139" s="27">
        <v>6</v>
      </c>
      <c r="B139" s="11" t="s">
        <v>176</v>
      </c>
      <c r="C139" s="4" t="s">
        <v>585</v>
      </c>
      <c r="D139" s="15" t="s">
        <v>52</v>
      </c>
      <c r="E139" s="242">
        <v>90000</v>
      </c>
      <c r="F139" s="13"/>
    </row>
    <row r="140" customHeight="1" spans="1:6">
      <c r="A140" s="27">
        <v>7</v>
      </c>
      <c r="B140" s="11" t="s">
        <v>178</v>
      </c>
      <c r="C140" s="12" t="s">
        <v>584</v>
      </c>
      <c r="D140" s="15" t="s">
        <v>62</v>
      </c>
      <c r="E140" s="242">
        <v>54000</v>
      </c>
      <c r="F140" s="13"/>
    </row>
    <row r="141" customHeight="1" spans="1:6">
      <c r="A141" s="27">
        <v>8</v>
      </c>
      <c r="B141" s="11" t="s">
        <v>244</v>
      </c>
      <c r="C141" s="12" t="s">
        <v>584</v>
      </c>
      <c r="D141" s="15" t="s">
        <v>62</v>
      </c>
      <c r="E141" s="242">
        <v>54000</v>
      </c>
      <c r="F141" s="13"/>
    </row>
    <row r="142" customHeight="1" spans="1:6">
      <c r="A142" s="27">
        <v>9</v>
      </c>
      <c r="B142" s="11" t="s">
        <v>245</v>
      </c>
      <c r="C142" s="4" t="s">
        <v>585</v>
      </c>
      <c r="D142" s="15" t="s">
        <v>62</v>
      </c>
      <c r="E142" s="242">
        <v>54000</v>
      </c>
      <c r="F142" s="13"/>
    </row>
    <row r="143" customHeight="1" spans="1:6">
      <c r="A143" s="27">
        <v>10</v>
      </c>
      <c r="B143" s="11" t="s">
        <v>247</v>
      </c>
      <c r="C143" s="12" t="s">
        <v>252</v>
      </c>
      <c r="D143" s="15" t="s">
        <v>135</v>
      </c>
      <c r="E143" s="242">
        <v>54000</v>
      </c>
      <c r="F143" s="13"/>
    </row>
    <row r="144" customHeight="1" spans="1:6">
      <c r="A144" s="27">
        <v>11</v>
      </c>
      <c r="B144" s="11" t="s">
        <v>249</v>
      </c>
      <c r="C144" s="12" t="s">
        <v>1041</v>
      </c>
      <c r="D144" s="15" t="s">
        <v>587</v>
      </c>
      <c r="E144" s="242">
        <v>54000</v>
      </c>
      <c r="F144" s="13"/>
    </row>
    <row r="145" customHeight="1" spans="1:6">
      <c r="A145" s="27">
        <v>12</v>
      </c>
      <c r="B145" s="11" t="s">
        <v>251</v>
      </c>
      <c r="C145" s="12" t="s">
        <v>252</v>
      </c>
      <c r="D145" s="15" t="s">
        <v>62</v>
      </c>
      <c r="E145" s="242">
        <v>54000</v>
      </c>
      <c r="F145" s="13"/>
    </row>
    <row r="146" customHeight="1" spans="1:6">
      <c r="A146" s="27">
        <v>13</v>
      </c>
      <c r="B146" s="18" t="s">
        <v>254</v>
      </c>
      <c r="C146" s="4" t="s">
        <v>262</v>
      </c>
      <c r="D146" s="15" t="s">
        <v>587</v>
      </c>
      <c r="E146" s="242">
        <v>54000</v>
      </c>
      <c r="F146" s="13"/>
    </row>
    <row r="147" customHeight="1" spans="1:6">
      <c r="A147" s="27">
        <v>14</v>
      </c>
      <c r="B147" s="11" t="s">
        <v>256</v>
      </c>
      <c r="C147" s="4" t="s">
        <v>586</v>
      </c>
      <c r="D147" s="15" t="s">
        <v>104</v>
      </c>
      <c r="E147" s="242">
        <v>54000</v>
      </c>
      <c r="F147" s="13"/>
    </row>
    <row r="148" customHeight="1" spans="1:6">
      <c r="A148" s="27">
        <v>15</v>
      </c>
      <c r="B148" s="11" t="s">
        <v>257</v>
      </c>
      <c r="C148" s="4" t="s">
        <v>586</v>
      </c>
      <c r="D148" s="15" t="s">
        <v>265</v>
      </c>
      <c r="E148" s="242">
        <v>54000</v>
      </c>
      <c r="F148" s="13"/>
    </row>
    <row r="149" customHeight="1" spans="1:6">
      <c r="A149" s="27">
        <v>16</v>
      </c>
      <c r="B149" s="11" t="s">
        <v>258</v>
      </c>
      <c r="C149" s="4" t="s">
        <v>586</v>
      </c>
      <c r="D149" s="15" t="s">
        <v>265</v>
      </c>
      <c r="E149" s="242">
        <v>54000</v>
      </c>
      <c r="F149" s="13"/>
    </row>
    <row r="150" customHeight="1" spans="1:6">
      <c r="A150" s="27">
        <v>17</v>
      </c>
      <c r="B150" s="11" t="s">
        <v>259</v>
      </c>
      <c r="C150" s="12" t="s">
        <v>260</v>
      </c>
      <c r="D150" s="15" t="s">
        <v>70</v>
      </c>
      <c r="E150" s="242">
        <v>54000</v>
      </c>
      <c r="F150" s="13"/>
    </row>
    <row r="151" customHeight="1" spans="1:6">
      <c r="A151" s="27">
        <v>18</v>
      </c>
      <c r="B151" s="11" t="s">
        <v>1022</v>
      </c>
      <c r="C151" s="12" t="s">
        <v>262</v>
      </c>
      <c r="D151" s="10" t="s">
        <v>83</v>
      </c>
      <c r="E151" s="242">
        <v>54000</v>
      </c>
      <c r="F151" s="13"/>
    </row>
    <row r="152" customHeight="1" spans="1:6">
      <c r="A152" s="27">
        <v>19</v>
      </c>
      <c r="B152" s="11" t="s">
        <v>263</v>
      </c>
      <c r="C152" s="12" t="s">
        <v>264</v>
      </c>
      <c r="D152" s="15" t="s">
        <v>104</v>
      </c>
      <c r="E152" s="242">
        <v>54000</v>
      </c>
      <c r="F152" s="13"/>
    </row>
    <row r="153" customHeight="1" spans="1:6">
      <c r="A153" s="27">
        <v>20</v>
      </c>
      <c r="B153" s="11" t="s">
        <v>266</v>
      </c>
      <c r="C153" s="12" t="s">
        <v>267</v>
      </c>
      <c r="D153" s="15" t="s">
        <v>80</v>
      </c>
      <c r="E153" s="242">
        <v>54000</v>
      </c>
      <c r="F153" s="13"/>
    </row>
    <row r="154" customHeight="1" spans="1:6">
      <c r="A154" s="27">
        <v>21</v>
      </c>
      <c r="B154" s="11" t="s">
        <v>268</v>
      </c>
      <c r="C154" s="12" t="s">
        <v>269</v>
      </c>
      <c r="D154" s="15" t="s">
        <v>104</v>
      </c>
      <c r="E154" s="242">
        <v>54000</v>
      </c>
      <c r="F154" s="13"/>
    </row>
    <row r="155" customHeight="1" spans="1:6">
      <c r="A155" s="27">
        <v>22</v>
      </c>
      <c r="B155" s="11" t="s">
        <v>270</v>
      </c>
      <c r="C155" s="12" t="s">
        <v>271</v>
      </c>
      <c r="D155" s="15" t="s">
        <v>80</v>
      </c>
      <c r="E155" s="242">
        <v>54000</v>
      </c>
      <c r="F155" s="13"/>
    </row>
    <row r="156" customHeight="1" spans="1:6">
      <c r="A156" s="27">
        <v>23</v>
      </c>
      <c r="B156" s="18" t="s">
        <v>272</v>
      </c>
      <c r="C156" s="12" t="s">
        <v>278</v>
      </c>
      <c r="D156" s="15" t="s">
        <v>1014</v>
      </c>
      <c r="E156" s="242">
        <v>54000</v>
      </c>
      <c r="F156" s="13"/>
    </row>
    <row r="157" customHeight="1" spans="1:6">
      <c r="A157" s="27">
        <v>24</v>
      </c>
      <c r="B157" s="18" t="s">
        <v>275</v>
      </c>
      <c r="C157" s="12" t="s">
        <v>276</v>
      </c>
      <c r="D157" s="15" t="s">
        <v>95</v>
      </c>
      <c r="E157" s="242">
        <v>54000</v>
      </c>
      <c r="F157" s="13"/>
    </row>
    <row r="158" customHeight="1" spans="1:6">
      <c r="A158" s="27">
        <v>25</v>
      </c>
      <c r="B158" s="18" t="s">
        <v>277</v>
      </c>
      <c r="C158" s="12" t="s">
        <v>278</v>
      </c>
      <c r="D158" s="15" t="s">
        <v>95</v>
      </c>
      <c r="E158" s="242">
        <v>54000</v>
      </c>
      <c r="F158" s="13"/>
    </row>
    <row r="159" customHeight="1" spans="1:6">
      <c r="A159" s="27">
        <v>26</v>
      </c>
      <c r="B159" s="18" t="s">
        <v>279</v>
      </c>
      <c r="C159" s="12" t="s">
        <v>280</v>
      </c>
      <c r="D159" s="15" t="s">
        <v>92</v>
      </c>
      <c r="E159" s="242">
        <v>54000</v>
      </c>
      <c r="F159" s="13"/>
    </row>
    <row r="160" customHeight="1" spans="1:6">
      <c r="A160" s="27">
        <v>27</v>
      </c>
      <c r="B160" s="18" t="s">
        <v>281</v>
      </c>
      <c r="C160" s="12" t="s">
        <v>282</v>
      </c>
      <c r="D160" s="15" t="s">
        <v>92</v>
      </c>
      <c r="E160" s="242">
        <v>54000</v>
      </c>
      <c r="F160" s="13"/>
    </row>
    <row r="161" customHeight="1" spans="1:6">
      <c r="A161" s="27">
        <v>28</v>
      </c>
      <c r="B161" s="11" t="s">
        <v>287</v>
      </c>
      <c r="C161" s="12" t="s">
        <v>288</v>
      </c>
      <c r="D161" s="15" t="s">
        <v>295</v>
      </c>
      <c r="E161" s="242">
        <v>36000</v>
      </c>
      <c r="F161" s="13"/>
    </row>
    <row r="162" customHeight="1" spans="1:6">
      <c r="A162" s="27">
        <v>29</v>
      </c>
      <c r="B162" s="11" t="s">
        <v>290</v>
      </c>
      <c r="C162" s="12" t="s">
        <v>288</v>
      </c>
      <c r="D162" s="15" t="s">
        <v>295</v>
      </c>
      <c r="E162" s="242">
        <v>36000</v>
      </c>
      <c r="F162" s="13"/>
    </row>
    <row r="163" customHeight="1" spans="1:6">
      <c r="A163" s="27">
        <v>30</v>
      </c>
      <c r="B163" s="11" t="s">
        <v>291</v>
      </c>
      <c r="C163" s="12" t="s">
        <v>288</v>
      </c>
      <c r="D163" s="15" t="s">
        <v>295</v>
      </c>
      <c r="E163" s="242">
        <v>36000</v>
      </c>
      <c r="F163" s="13"/>
    </row>
    <row r="164" customHeight="1" spans="1:6">
      <c r="A164" s="27">
        <v>32</v>
      </c>
      <c r="B164" s="11" t="s">
        <v>292</v>
      </c>
      <c r="C164" s="12" t="s">
        <v>288</v>
      </c>
      <c r="D164" s="15" t="s">
        <v>295</v>
      </c>
      <c r="E164" s="242">
        <v>36000</v>
      </c>
      <c r="F164" s="13"/>
    </row>
    <row r="165" customHeight="1" spans="1:6">
      <c r="A165" s="27">
        <v>33</v>
      </c>
      <c r="B165" s="11" t="s">
        <v>293</v>
      </c>
      <c r="C165" s="12" t="s">
        <v>288</v>
      </c>
      <c r="D165" s="15" t="s">
        <v>295</v>
      </c>
      <c r="E165" s="242">
        <v>36000</v>
      </c>
      <c r="F165" s="13"/>
    </row>
    <row r="166" customHeight="1" spans="1:6">
      <c r="A166" s="27">
        <v>34</v>
      </c>
      <c r="B166" s="11" t="s">
        <v>294</v>
      </c>
      <c r="C166" s="12" t="s">
        <v>288</v>
      </c>
      <c r="D166" s="15" t="s">
        <v>306</v>
      </c>
      <c r="E166" s="242">
        <v>36000</v>
      </c>
      <c r="F166" s="13"/>
    </row>
    <row r="167" customHeight="1" spans="1:6">
      <c r="A167" s="27">
        <v>35</v>
      </c>
      <c r="B167" s="11" t="s">
        <v>296</v>
      </c>
      <c r="C167" s="12" t="s">
        <v>288</v>
      </c>
      <c r="D167" s="15" t="s">
        <v>306</v>
      </c>
      <c r="E167" s="242">
        <v>36000</v>
      </c>
      <c r="F167" s="13"/>
    </row>
    <row r="168" customHeight="1" spans="1:6">
      <c r="A168" s="27">
        <v>36</v>
      </c>
      <c r="B168" s="14" t="s">
        <v>297</v>
      </c>
      <c r="C168" s="12" t="s">
        <v>288</v>
      </c>
      <c r="D168" s="15" t="s">
        <v>306</v>
      </c>
      <c r="E168" s="242">
        <v>36000</v>
      </c>
      <c r="F168" s="13"/>
    </row>
    <row r="169" customHeight="1" spans="1:6">
      <c r="A169" s="27">
        <v>37</v>
      </c>
      <c r="B169" s="11" t="s">
        <v>298</v>
      </c>
      <c r="C169" s="12" t="s">
        <v>288</v>
      </c>
      <c r="D169" s="15" t="s">
        <v>306</v>
      </c>
      <c r="E169" s="242">
        <v>36000</v>
      </c>
      <c r="F169" s="13"/>
    </row>
    <row r="170" customHeight="1" spans="1:6">
      <c r="A170" s="27">
        <v>38</v>
      </c>
      <c r="B170" s="18" t="s">
        <v>299</v>
      </c>
      <c r="C170" s="12" t="s">
        <v>288</v>
      </c>
      <c r="D170" s="15" t="s">
        <v>306</v>
      </c>
      <c r="E170" s="242">
        <v>36000</v>
      </c>
      <c r="F170" s="13"/>
    </row>
    <row r="171" customHeight="1" spans="1:6">
      <c r="A171" s="27">
        <v>39</v>
      </c>
      <c r="B171" s="18" t="s">
        <v>300</v>
      </c>
      <c r="C171" s="12" t="s">
        <v>288</v>
      </c>
      <c r="D171" s="15" t="s">
        <v>306</v>
      </c>
      <c r="E171" s="242">
        <v>36000</v>
      </c>
      <c r="F171" s="13"/>
    </row>
    <row r="172" customHeight="1" spans="1:6">
      <c r="A172" s="27">
        <v>40</v>
      </c>
      <c r="B172" s="11" t="s">
        <v>301</v>
      </c>
      <c r="C172" s="12" t="s">
        <v>308</v>
      </c>
      <c r="D172" s="15" t="s">
        <v>588</v>
      </c>
      <c r="E172" s="242">
        <v>36000</v>
      </c>
      <c r="F172" s="13"/>
    </row>
    <row r="173" customHeight="1" spans="1:6">
      <c r="A173" s="27">
        <v>41</v>
      </c>
      <c r="B173" s="11" t="s">
        <v>304</v>
      </c>
      <c r="C173" s="12" t="s">
        <v>308</v>
      </c>
      <c r="D173" s="15" t="s">
        <v>588</v>
      </c>
      <c r="E173" s="242">
        <v>36000</v>
      </c>
      <c r="F173" s="13"/>
    </row>
    <row r="174" customHeight="1" spans="1:6">
      <c r="A174" s="27">
        <v>42</v>
      </c>
      <c r="B174" s="18" t="s">
        <v>305</v>
      </c>
      <c r="C174" s="12" t="s">
        <v>308</v>
      </c>
      <c r="D174" s="15" t="s">
        <v>1017</v>
      </c>
      <c r="E174" s="242">
        <v>36000</v>
      </c>
      <c r="F174" s="13"/>
    </row>
    <row r="175" customHeight="1" spans="1:6">
      <c r="A175" s="27">
        <v>43</v>
      </c>
      <c r="B175" s="11" t="s">
        <v>307</v>
      </c>
      <c r="C175" s="12" t="s">
        <v>308</v>
      </c>
      <c r="D175" s="15" t="s">
        <v>1023</v>
      </c>
      <c r="E175" s="242">
        <v>36000</v>
      </c>
      <c r="F175" s="13"/>
    </row>
    <row r="176" customHeight="1" spans="1:6">
      <c r="A176" s="27">
        <v>44</v>
      </c>
      <c r="B176" s="11" t="s">
        <v>309</v>
      </c>
      <c r="C176" s="12" t="s">
        <v>310</v>
      </c>
      <c r="D176" s="15" t="s">
        <v>1024</v>
      </c>
      <c r="E176" s="242">
        <v>36000</v>
      </c>
      <c r="F176" s="13"/>
    </row>
    <row r="177" customHeight="1" spans="1:6">
      <c r="A177" s="27">
        <v>45</v>
      </c>
      <c r="B177" s="11" t="s">
        <v>312</v>
      </c>
      <c r="C177" s="12" t="s">
        <v>310</v>
      </c>
      <c r="D177" s="15" t="s">
        <v>1024</v>
      </c>
      <c r="E177" s="242">
        <v>36000</v>
      </c>
      <c r="F177" s="13"/>
    </row>
    <row r="178" customHeight="1" spans="1:6">
      <c r="A178" s="27">
        <v>46</v>
      </c>
      <c r="B178" s="11" t="s">
        <v>313</v>
      </c>
      <c r="C178" s="12" t="s">
        <v>310</v>
      </c>
      <c r="D178" s="15" t="s">
        <v>1024</v>
      </c>
      <c r="E178" s="242">
        <v>36000</v>
      </c>
      <c r="F178" s="13"/>
    </row>
    <row r="179" customHeight="1" spans="1:6">
      <c r="A179" s="27">
        <v>47</v>
      </c>
      <c r="B179" s="11" t="s">
        <v>314</v>
      </c>
      <c r="C179" s="12" t="s">
        <v>310</v>
      </c>
      <c r="D179" s="15" t="s">
        <v>1024</v>
      </c>
      <c r="E179" s="242">
        <v>36000</v>
      </c>
      <c r="F179" s="13"/>
    </row>
    <row r="180" customHeight="1" spans="1:6">
      <c r="A180" s="27">
        <v>48</v>
      </c>
      <c r="B180" s="11" t="s">
        <v>315</v>
      </c>
      <c r="C180" s="12" t="s">
        <v>310</v>
      </c>
      <c r="D180" s="15" t="s">
        <v>1024</v>
      </c>
      <c r="E180" s="242">
        <v>36000</v>
      </c>
      <c r="F180" s="13"/>
    </row>
    <row r="181" customHeight="1" spans="1:6">
      <c r="A181" s="27">
        <v>49</v>
      </c>
      <c r="B181" s="18" t="s">
        <v>316</v>
      </c>
      <c r="C181" s="12" t="s">
        <v>310</v>
      </c>
      <c r="D181" s="15" t="s">
        <v>1024</v>
      </c>
      <c r="E181" s="242">
        <v>36000</v>
      </c>
      <c r="F181" s="13"/>
    </row>
    <row r="182" customHeight="1" spans="1:6">
      <c r="A182" s="27">
        <v>50</v>
      </c>
      <c r="B182" s="18" t="s">
        <v>317</v>
      </c>
      <c r="C182" s="12" t="s">
        <v>310</v>
      </c>
      <c r="D182" s="15" t="s">
        <v>1024</v>
      </c>
      <c r="E182" s="242">
        <v>36000</v>
      </c>
      <c r="F182" s="13"/>
    </row>
    <row r="183" customHeight="1" spans="1:6">
      <c r="A183" s="27">
        <v>51</v>
      </c>
      <c r="B183" s="11" t="s">
        <v>318</v>
      </c>
      <c r="C183" s="12" t="s">
        <v>308</v>
      </c>
      <c r="D183" s="15" t="s">
        <v>1024</v>
      </c>
      <c r="E183" s="242">
        <v>36000</v>
      </c>
      <c r="F183" s="13"/>
    </row>
    <row r="184" customHeight="1" spans="1:6">
      <c r="A184" s="27">
        <v>52</v>
      </c>
      <c r="B184" s="11" t="s">
        <v>319</v>
      </c>
      <c r="C184" s="12" t="s">
        <v>308</v>
      </c>
      <c r="D184" s="15" t="s">
        <v>1024</v>
      </c>
      <c r="E184" s="242">
        <v>36000</v>
      </c>
      <c r="F184" s="13"/>
    </row>
    <row r="185" customHeight="1" spans="1:6">
      <c r="A185" s="27">
        <v>53</v>
      </c>
      <c r="B185" s="18" t="s">
        <v>320</v>
      </c>
      <c r="C185" s="12" t="s">
        <v>310</v>
      </c>
      <c r="D185" s="15" t="s">
        <v>1042</v>
      </c>
      <c r="E185" s="242">
        <v>36000</v>
      </c>
      <c r="F185" s="13"/>
    </row>
    <row r="186" customHeight="1" spans="1:6">
      <c r="A186" s="27">
        <v>54</v>
      </c>
      <c r="B186" s="18" t="s">
        <v>325</v>
      </c>
      <c r="C186" s="12" t="s">
        <v>310</v>
      </c>
      <c r="D186" s="15" t="s">
        <v>1025</v>
      </c>
      <c r="E186" s="242">
        <v>36000</v>
      </c>
      <c r="F186" s="13"/>
    </row>
    <row r="187" customHeight="1" spans="1:6">
      <c r="A187" s="27"/>
      <c r="B187" s="8" t="s">
        <v>96</v>
      </c>
      <c r="C187" s="28" t="s">
        <v>1193</v>
      </c>
      <c r="D187" s="29"/>
      <c r="E187" s="251">
        <v>2970000</v>
      </c>
      <c r="F187" s="13"/>
    </row>
    <row r="188" ht="9" customHeight="1" spans="1:6">
      <c r="A188" s="27"/>
      <c r="B188" s="8"/>
      <c r="C188" s="28"/>
      <c r="D188" s="29"/>
      <c r="E188" s="251"/>
      <c r="F188" s="13"/>
    </row>
    <row r="189" ht="40.5" customHeight="1" spans="1:6">
      <c r="A189" s="4"/>
      <c r="B189" s="252" t="s">
        <v>336</v>
      </c>
      <c r="C189" s="253">
        <f>C35+C40+C55+C60+C76+C84+C97+C104+C114+C131+C187</f>
        <v>145</v>
      </c>
      <c r="D189" s="254"/>
      <c r="E189" s="255">
        <f>E187+E131+E119+E114+E104+E97+E84+E76+E60+E55+E40+E35</f>
        <v>13068000</v>
      </c>
      <c r="F189" s="13"/>
    </row>
    <row r="190" customHeight="1" spans="2:6">
      <c r="B190" s="33"/>
      <c r="D190" s="34"/>
      <c r="E190" s="34"/>
      <c r="F190" s="35"/>
    </row>
    <row r="191" ht="65.25" customHeight="1" spans="2:6">
      <c r="B191" s="33"/>
      <c r="C191" s="34"/>
      <c r="D191" s="34"/>
      <c r="E191" s="34"/>
      <c r="F191" s="256"/>
    </row>
    <row r="192" customHeight="1" spans="6:6">
      <c r="F192" s="256"/>
    </row>
    <row r="193" customHeight="1" spans="6:6">
      <c r="F193" s="256"/>
    </row>
    <row r="194" customHeight="1" spans="6:6">
      <c r="F194" s="256">
        <f>SUM(F191:F193)</f>
        <v>0</v>
      </c>
    </row>
  </sheetData>
  <pageMargins left="0.236220472440945" right="0.236220472440945" top="0.984251968503937" bottom="0.984251968503937" header="0.511811023622047" footer="0.511811023622047"/>
  <pageSetup paperSize="9" scale="76" orientation="portrait" horizontalDpi="1200" verticalDpi="1200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.5"/>
  <sheetData/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28" activePane="bottomRight" state="frozen"/>
      <selection/>
      <selection pane="topRight"/>
      <selection pane="bottomLeft"/>
      <selection pane="bottomRight" activeCell="E49" sqref="E49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7090909090909" style="1" customWidth="1"/>
    <col min="6" max="6" width="20.4272727272727" style="1" customWidth="1"/>
    <col min="7" max="7" width="19.5727272727273" style="1" customWidth="1"/>
    <col min="8" max="8" width="20.1363636363636" style="1" customWidth="1"/>
    <col min="9" max="9" width="21.7090909090909" style="1" customWidth="1"/>
    <col min="10" max="16384" width="9.13636363636364" style="1"/>
  </cols>
  <sheetData>
    <row r="1" ht="27" customHeight="1" spans="1:4">
      <c r="A1" s="76" t="s">
        <v>0</v>
      </c>
      <c r="B1" s="76"/>
      <c r="C1" s="76"/>
      <c r="D1" s="76"/>
    </row>
    <row r="2" ht="33.75" customHeight="1" spans="1:7">
      <c r="A2" s="76" t="s">
        <v>1195</v>
      </c>
      <c r="B2" s="77"/>
      <c r="C2" s="76"/>
      <c r="D2" s="76"/>
      <c r="E2" s="78"/>
      <c r="F2" s="78"/>
      <c r="G2" s="78"/>
    </row>
    <row r="3" ht="9.75" customHeight="1"/>
    <row r="4" ht="45" customHeight="1" spans="1:7">
      <c r="A4" s="4"/>
      <c r="B4" s="5" t="s">
        <v>2</v>
      </c>
      <c r="C4" s="6" t="s">
        <v>3</v>
      </c>
      <c r="D4" s="7" t="s">
        <v>4</v>
      </c>
      <c r="E4" s="24" t="s">
        <v>592</v>
      </c>
      <c r="F4" s="24" t="s">
        <v>479</v>
      </c>
      <c r="G4" s="80" t="s">
        <v>1196</v>
      </c>
    </row>
    <row r="5" customHeight="1" spans="1:7">
      <c r="A5" s="9" t="s">
        <v>20</v>
      </c>
      <c r="B5" s="8" t="s">
        <v>21</v>
      </c>
      <c r="C5" s="8"/>
      <c r="D5" s="8"/>
      <c r="E5" s="82" t="s">
        <v>19</v>
      </c>
      <c r="F5" s="230" t="s">
        <v>19</v>
      </c>
      <c r="G5" s="82" t="s">
        <v>19</v>
      </c>
    </row>
    <row r="6" customHeight="1" spans="1:9">
      <c r="A6" s="10">
        <v>1</v>
      </c>
      <c r="B6" s="11" t="s">
        <v>22</v>
      </c>
      <c r="C6" s="12" t="s">
        <v>23</v>
      </c>
      <c r="D6" s="12" t="s">
        <v>24</v>
      </c>
      <c r="E6" s="85">
        <f>201165.84</f>
        <v>201165.84</v>
      </c>
      <c r="F6" s="231">
        <v>201165.835946667</v>
      </c>
      <c r="G6" s="85">
        <v>0</v>
      </c>
      <c r="H6" s="13"/>
      <c r="I6" s="13"/>
    </row>
    <row r="7" customHeight="1" spans="1:9">
      <c r="A7" s="10">
        <v>2</v>
      </c>
      <c r="B7" s="11" t="s">
        <v>1085</v>
      </c>
      <c r="C7" s="4" t="s">
        <v>1175</v>
      </c>
      <c r="D7" s="10" t="s">
        <v>189</v>
      </c>
      <c r="E7" s="85" t="e">
        <f>#REF!</f>
        <v>#REF!</v>
      </c>
      <c r="F7" s="231">
        <v>128510.394458667</v>
      </c>
      <c r="G7" s="85" t="e">
        <f>F7-E7</f>
        <v>#REF!</v>
      </c>
      <c r="H7" s="13"/>
      <c r="I7" s="13"/>
    </row>
    <row r="8" customHeight="1" spans="1:9">
      <c r="A8" s="10">
        <v>3</v>
      </c>
      <c r="B8" s="14" t="s">
        <v>1176</v>
      </c>
      <c r="C8" s="4" t="s">
        <v>1177</v>
      </c>
      <c r="D8" s="10" t="s">
        <v>189</v>
      </c>
      <c r="E8" s="85">
        <f>116473.51</f>
        <v>116473.51</v>
      </c>
      <c r="F8" s="231">
        <v>119107.951418667</v>
      </c>
      <c r="G8" s="85">
        <f t="shared" ref="G8:G36" si="0">F8-E8</f>
        <v>2634.441418667</v>
      </c>
      <c r="H8" s="13"/>
      <c r="I8" s="13"/>
    </row>
    <row r="9" customHeight="1" spans="1:9">
      <c r="A9" s="10">
        <v>4</v>
      </c>
      <c r="B9" s="11" t="s">
        <v>25</v>
      </c>
      <c r="C9" s="12" t="s">
        <v>26</v>
      </c>
      <c r="D9" s="10" t="s">
        <v>27</v>
      </c>
      <c r="E9" s="85">
        <f>79993.51</f>
        <v>79993.51</v>
      </c>
      <c r="F9" s="231">
        <v>82627.9514186667</v>
      </c>
      <c r="G9" s="85">
        <f t="shared" si="0"/>
        <v>2634.4414186667</v>
      </c>
      <c r="H9" s="13"/>
      <c r="I9" s="13"/>
    </row>
    <row r="10" customHeight="1" spans="1:9">
      <c r="A10" s="10">
        <v>5</v>
      </c>
      <c r="B10" s="14" t="s">
        <v>28</v>
      </c>
      <c r="C10" s="4" t="s">
        <v>29</v>
      </c>
      <c r="D10" s="15" t="s">
        <v>110</v>
      </c>
      <c r="E10" s="85">
        <f>107095.69</f>
        <v>107095.69</v>
      </c>
      <c r="F10" s="231">
        <v>109730.053370667</v>
      </c>
      <c r="G10" s="85">
        <f t="shared" si="0"/>
        <v>2634.36337066699</v>
      </c>
      <c r="H10" s="13"/>
      <c r="I10" s="13"/>
    </row>
    <row r="11" customHeight="1" spans="1:9">
      <c r="A11" s="10">
        <v>6</v>
      </c>
      <c r="B11" s="14" t="s">
        <v>173</v>
      </c>
      <c r="C11" s="4" t="s">
        <v>1087</v>
      </c>
      <c r="D11" s="16" t="s">
        <v>110</v>
      </c>
      <c r="E11" s="85" t="e">
        <f>#REF!</f>
        <v>#REF!</v>
      </c>
      <c r="F11" s="231">
        <v>99032.6778506667</v>
      </c>
      <c r="G11" s="85" t="e">
        <f t="shared" si="0"/>
        <v>#REF!</v>
      </c>
      <c r="H11" s="13"/>
      <c r="I11" s="13"/>
    </row>
    <row r="12" customHeight="1" spans="1:9">
      <c r="A12" s="10">
        <v>7</v>
      </c>
      <c r="B12" s="11" t="s">
        <v>30</v>
      </c>
      <c r="C12" s="17" t="s">
        <v>31</v>
      </c>
      <c r="D12" s="16" t="s">
        <v>110</v>
      </c>
      <c r="E12" s="85" t="e">
        <f>#REF!</f>
        <v>#REF!</v>
      </c>
      <c r="F12" s="231">
        <v>79832.6778506667</v>
      </c>
      <c r="G12" s="85" t="e">
        <f t="shared" si="0"/>
        <v>#REF!</v>
      </c>
      <c r="H12" s="13"/>
      <c r="I12" s="13"/>
    </row>
    <row r="13" customHeight="1" spans="1:9">
      <c r="A13" s="10">
        <v>8</v>
      </c>
      <c r="B13" s="14" t="s">
        <v>32</v>
      </c>
      <c r="C13" s="4" t="s">
        <v>33</v>
      </c>
      <c r="D13" s="16" t="s">
        <v>110</v>
      </c>
      <c r="E13" s="85" t="e">
        <f>#REF!</f>
        <v>#REF!</v>
      </c>
      <c r="F13" s="231">
        <v>79832.6778506667</v>
      </c>
      <c r="G13" s="85" t="e">
        <f t="shared" si="0"/>
        <v>#REF!</v>
      </c>
      <c r="H13" s="13"/>
      <c r="I13" s="13"/>
    </row>
    <row r="14" customHeight="1" spans="1:9">
      <c r="A14" s="10">
        <v>9</v>
      </c>
      <c r="B14" s="11" t="s">
        <v>34</v>
      </c>
      <c r="C14" s="12" t="s">
        <v>35</v>
      </c>
      <c r="D14" s="15" t="s">
        <v>36</v>
      </c>
      <c r="E14" s="85">
        <f>64436.1</f>
        <v>64436.1</v>
      </c>
      <c r="F14" s="231">
        <v>64436.1031466667</v>
      </c>
      <c r="G14" s="85">
        <f t="shared" si="0"/>
        <v>0.00314666669873986</v>
      </c>
      <c r="H14" s="13"/>
      <c r="I14" s="13"/>
    </row>
    <row r="15" customHeight="1" spans="1:9">
      <c r="A15" s="10">
        <v>10</v>
      </c>
      <c r="B15" s="18" t="s">
        <v>521</v>
      </c>
      <c r="C15" s="12" t="s">
        <v>574</v>
      </c>
      <c r="D15" s="10" t="s">
        <v>573</v>
      </c>
      <c r="E15" s="85">
        <f>60212.92</f>
        <v>60212.92</v>
      </c>
      <c r="F15" s="231">
        <v>62404.9802666667</v>
      </c>
      <c r="G15" s="85">
        <f t="shared" si="0"/>
        <v>2192.0602666667</v>
      </c>
      <c r="H15" s="13"/>
      <c r="I15" s="13"/>
    </row>
    <row r="16" customHeight="1" spans="1:9">
      <c r="A16" s="10">
        <v>11</v>
      </c>
      <c r="B16" s="19" t="s">
        <v>1178</v>
      </c>
      <c r="C16" s="4" t="s">
        <v>1179</v>
      </c>
      <c r="D16" s="16" t="s">
        <v>222</v>
      </c>
      <c r="E16" s="85">
        <f>52638.9</f>
        <v>52638.9</v>
      </c>
      <c r="F16" s="231">
        <v>54186.6094346667</v>
      </c>
      <c r="G16" s="85">
        <f t="shared" si="0"/>
        <v>1547.7094346667</v>
      </c>
      <c r="H16" s="13"/>
      <c r="I16" s="13"/>
    </row>
    <row r="17" ht="19.5" customHeight="1" spans="1:9">
      <c r="A17" s="10">
        <v>12</v>
      </c>
      <c r="B17" s="14" t="s">
        <v>1088</v>
      </c>
      <c r="C17" s="4" t="s">
        <v>41</v>
      </c>
      <c r="D17" s="10" t="s">
        <v>222</v>
      </c>
      <c r="E17" s="85">
        <f>43380</f>
        <v>43380</v>
      </c>
      <c r="F17" s="231">
        <v>44734.3393886667</v>
      </c>
      <c r="G17" s="85">
        <f t="shared" si="0"/>
        <v>1354.3393886667</v>
      </c>
      <c r="H17" s="13"/>
      <c r="I17" s="13"/>
    </row>
    <row r="18" ht="19.5" customHeight="1" spans="1:9">
      <c r="A18" s="10">
        <v>13</v>
      </c>
      <c r="B18" s="14" t="s">
        <v>1180</v>
      </c>
      <c r="C18" s="4" t="s">
        <v>1181</v>
      </c>
      <c r="D18" s="10" t="s">
        <v>222</v>
      </c>
      <c r="E18" s="85">
        <f>85278.9</f>
        <v>85278.9</v>
      </c>
      <c r="F18" s="231">
        <v>86826.6094346667</v>
      </c>
      <c r="G18" s="85">
        <f t="shared" si="0"/>
        <v>1547.7094346667</v>
      </c>
      <c r="H18" s="13"/>
      <c r="I18" s="13"/>
    </row>
    <row r="19" customHeight="1" spans="1:9">
      <c r="A19" s="10">
        <v>14</v>
      </c>
      <c r="B19" s="11" t="s">
        <v>40</v>
      </c>
      <c r="C19" s="4" t="s">
        <v>41</v>
      </c>
      <c r="D19" s="15" t="s">
        <v>222</v>
      </c>
      <c r="E19" s="85" t="e">
        <f>#REF!</f>
        <v>#REF!</v>
      </c>
      <c r="F19" s="231">
        <v>44006.6165886667</v>
      </c>
      <c r="G19" s="85" t="e">
        <f t="shared" si="0"/>
        <v>#REF!</v>
      </c>
      <c r="H19" s="13"/>
      <c r="I19" s="13"/>
    </row>
    <row r="20" customHeight="1" spans="1:9">
      <c r="A20" s="10">
        <v>15</v>
      </c>
      <c r="B20" s="11" t="s">
        <v>50</v>
      </c>
      <c r="C20" s="12" t="s">
        <v>51</v>
      </c>
      <c r="D20" s="15" t="s">
        <v>1019</v>
      </c>
      <c r="E20" s="85">
        <f>46673.26</f>
        <v>46673.26</v>
      </c>
      <c r="F20" s="231">
        <v>46666.6666666667</v>
      </c>
      <c r="G20" s="85">
        <f t="shared" si="0"/>
        <v>-6.59333333330142</v>
      </c>
      <c r="H20" s="13"/>
      <c r="I20" s="13"/>
    </row>
    <row r="21" customHeight="1" spans="1:9">
      <c r="A21" s="10">
        <v>16</v>
      </c>
      <c r="B21" s="18" t="s">
        <v>53</v>
      </c>
      <c r="C21" s="4" t="s">
        <v>54</v>
      </c>
      <c r="D21" s="15" t="s">
        <v>1020</v>
      </c>
      <c r="E21" s="85">
        <f>63364.81</f>
        <v>63364.81</v>
      </c>
      <c r="F21" s="231">
        <v>64913.2636586667</v>
      </c>
      <c r="G21" s="85">
        <f t="shared" si="0"/>
        <v>1548.4536586667</v>
      </c>
      <c r="H21" s="13"/>
      <c r="I21" s="13"/>
    </row>
    <row r="22" customHeight="1" spans="1:9">
      <c r="A22" s="10">
        <v>17</v>
      </c>
      <c r="B22" s="11" t="s">
        <v>204</v>
      </c>
      <c r="C22" s="12" t="s">
        <v>581</v>
      </c>
      <c r="D22" s="15" t="s">
        <v>62</v>
      </c>
      <c r="E22" s="85">
        <f>31848.56</f>
        <v>31848.56</v>
      </c>
      <c r="F22" s="231">
        <v>34871.9674146667</v>
      </c>
      <c r="G22" s="85">
        <f t="shared" si="0"/>
        <v>3023.4074146667</v>
      </c>
      <c r="H22" s="13"/>
      <c r="I22" s="13"/>
    </row>
    <row r="23" ht="18.75" customHeight="1" spans="1:9">
      <c r="A23" s="10">
        <v>18</v>
      </c>
      <c r="B23" s="11" t="s">
        <v>60</v>
      </c>
      <c r="C23" s="12" t="s">
        <v>61</v>
      </c>
      <c r="D23" s="15" t="s">
        <v>135</v>
      </c>
      <c r="E23" s="85" t="e">
        <f>#REF!</f>
        <v>#REF!</v>
      </c>
      <c r="F23" s="231">
        <v>32008.5634586667</v>
      </c>
      <c r="G23" s="85" t="e">
        <f t="shared" si="0"/>
        <v>#REF!</v>
      </c>
      <c r="H23" s="13"/>
      <c r="I23" s="13"/>
    </row>
    <row r="24" ht="18.75" customHeight="1" spans="1:9">
      <c r="A24" s="10">
        <v>19</v>
      </c>
      <c r="B24" s="11" t="s">
        <v>202</v>
      </c>
      <c r="C24" s="4" t="s">
        <v>203</v>
      </c>
      <c r="D24" s="15" t="s">
        <v>135</v>
      </c>
      <c r="E24" s="85" t="e">
        <f>#REF!</f>
        <v>#REF!</v>
      </c>
      <c r="F24" s="231">
        <v>32098.9510986667</v>
      </c>
      <c r="G24" s="85" t="e">
        <f t="shared" si="0"/>
        <v>#REF!</v>
      </c>
      <c r="H24" s="13"/>
      <c r="I24" s="13"/>
    </row>
    <row r="25" ht="18.75" customHeight="1" spans="1:9">
      <c r="A25" s="10">
        <v>20</v>
      </c>
      <c r="B25" s="18" t="s">
        <v>254</v>
      </c>
      <c r="C25" s="4" t="s">
        <v>1197</v>
      </c>
      <c r="D25" s="15" t="s">
        <v>587</v>
      </c>
      <c r="E25" s="85">
        <f>27105.99</f>
        <v>27105.99</v>
      </c>
      <c r="F25" s="231">
        <v>27873.0796866667</v>
      </c>
      <c r="G25" s="85">
        <f t="shared" si="0"/>
        <v>767.089686666699</v>
      </c>
      <c r="H25" s="13"/>
      <c r="I25" s="13"/>
    </row>
    <row r="26" ht="18.75" customHeight="1" spans="1:9">
      <c r="A26" s="10">
        <v>21</v>
      </c>
      <c r="B26" s="18" t="s">
        <v>1182</v>
      </c>
      <c r="C26" s="12" t="s">
        <v>91</v>
      </c>
      <c r="D26" s="15" t="s">
        <v>265</v>
      </c>
      <c r="E26" s="220">
        <f>26339.08</f>
        <v>26339.08</v>
      </c>
      <c r="F26" s="231">
        <v>27105.9865626667</v>
      </c>
      <c r="G26" s="85">
        <f t="shared" si="0"/>
        <v>766.9065626667</v>
      </c>
      <c r="H26" s="13"/>
      <c r="I26" s="13"/>
    </row>
    <row r="27" ht="18.75" customHeight="1" spans="1:9">
      <c r="A27" s="10">
        <v>22</v>
      </c>
      <c r="B27" s="4" t="s">
        <v>73</v>
      </c>
      <c r="C27" s="4" t="s">
        <v>74</v>
      </c>
      <c r="D27" s="10" t="s">
        <v>80</v>
      </c>
      <c r="E27" s="85">
        <v>21640.95</v>
      </c>
      <c r="F27" s="231">
        <v>21640.9528626667</v>
      </c>
      <c r="G27" s="85">
        <f t="shared" si="0"/>
        <v>0.00286266670082114</v>
      </c>
      <c r="H27" s="13"/>
      <c r="I27" s="13"/>
    </row>
    <row r="28" ht="18.75" customHeight="1" spans="1:9">
      <c r="A28" s="10">
        <v>23</v>
      </c>
      <c r="B28" s="18" t="s">
        <v>76</v>
      </c>
      <c r="C28" s="12" t="s">
        <v>74</v>
      </c>
      <c r="D28" s="15" t="s">
        <v>80</v>
      </c>
      <c r="E28" s="85">
        <f>21640.95</f>
        <v>21640.95</v>
      </c>
      <c r="F28" s="231">
        <v>22338.4826046667</v>
      </c>
      <c r="G28" s="85">
        <f t="shared" si="0"/>
        <v>697.5326046667</v>
      </c>
      <c r="H28" s="13"/>
      <c r="I28" s="13"/>
    </row>
    <row r="29" ht="18.75" customHeight="1" spans="1:9">
      <c r="A29" s="10">
        <v>24</v>
      </c>
      <c r="B29" s="11" t="s">
        <v>1089</v>
      </c>
      <c r="C29" s="12" t="s">
        <v>1090</v>
      </c>
      <c r="D29" s="15" t="s">
        <v>80</v>
      </c>
      <c r="E29" s="85">
        <v>21640.95</v>
      </c>
      <c r="F29" s="231">
        <v>22338.4826046667</v>
      </c>
      <c r="G29" s="85">
        <f t="shared" si="0"/>
        <v>697.5326046667</v>
      </c>
      <c r="H29" s="13"/>
      <c r="I29" s="13"/>
    </row>
    <row r="30" ht="18.75" customHeight="1" spans="1:9">
      <c r="A30" s="10">
        <v>25</v>
      </c>
      <c r="B30" s="18" t="s">
        <v>78</v>
      </c>
      <c r="C30" s="12" t="s">
        <v>1036</v>
      </c>
      <c r="D30" s="15" t="s">
        <v>1198</v>
      </c>
      <c r="E30" s="85">
        <f>17572.89</f>
        <v>17572.89</v>
      </c>
      <c r="F30" s="231">
        <v>18102.9027326667</v>
      </c>
      <c r="G30" s="85">
        <f t="shared" si="0"/>
        <v>530.012732666699</v>
      </c>
      <c r="H30" s="13"/>
      <c r="I30" s="13"/>
    </row>
    <row r="31" ht="18.75" customHeight="1" spans="1:9">
      <c r="A31" s="10">
        <v>26</v>
      </c>
      <c r="B31" s="11" t="s">
        <v>182</v>
      </c>
      <c r="C31" s="17" t="s">
        <v>1199</v>
      </c>
      <c r="D31" s="15" t="s">
        <v>1014</v>
      </c>
      <c r="E31" s="220">
        <f>17572.89</f>
        <v>17572.89</v>
      </c>
      <c r="F31" s="231">
        <v>18102.9027326667</v>
      </c>
      <c r="G31" s="85">
        <f t="shared" si="0"/>
        <v>530.012732666699</v>
      </c>
      <c r="H31" s="13"/>
      <c r="I31" s="13"/>
    </row>
    <row r="32" ht="18.75" customHeight="1" spans="1:9">
      <c r="A32" s="10">
        <v>27</v>
      </c>
      <c r="B32" s="18" t="s">
        <v>81</v>
      </c>
      <c r="C32" s="4" t="s">
        <v>1091</v>
      </c>
      <c r="D32" s="10" t="s">
        <v>1014</v>
      </c>
      <c r="E32" s="85">
        <f>17572.89</f>
        <v>17572.89</v>
      </c>
      <c r="F32" s="231">
        <v>18102.9027326667</v>
      </c>
      <c r="G32" s="85">
        <f t="shared" si="0"/>
        <v>530.012732666699</v>
      </c>
      <c r="H32" s="13"/>
      <c r="I32" s="13"/>
    </row>
    <row r="33" ht="18.75" customHeight="1" spans="1:9">
      <c r="A33" s="10">
        <v>28</v>
      </c>
      <c r="B33" s="18" t="s">
        <v>85</v>
      </c>
      <c r="C33" s="17" t="s">
        <v>86</v>
      </c>
      <c r="D33" s="15" t="s">
        <v>80</v>
      </c>
      <c r="E33" s="220">
        <v>21640.95</v>
      </c>
      <c r="F33" s="231">
        <v>22338.4826046667</v>
      </c>
      <c r="G33" s="85">
        <f t="shared" si="0"/>
        <v>697.5326046667</v>
      </c>
      <c r="H33" s="13"/>
      <c r="I33" s="13"/>
    </row>
    <row r="34" ht="18.75" customHeight="1" spans="1:9">
      <c r="A34" s="10">
        <v>29</v>
      </c>
      <c r="B34" s="18" t="s">
        <v>88</v>
      </c>
      <c r="C34" s="4" t="s">
        <v>1200</v>
      </c>
      <c r="D34" s="10" t="s">
        <v>92</v>
      </c>
      <c r="E34" s="85">
        <f>16512.68</f>
        <v>16512.68</v>
      </c>
      <c r="F34" s="231">
        <v>17042.7138666667</v>
      </c>
      <c r="G34" s="85">
        <f t="shared" si="0"/>
        <v>530.033866666701</v>
      </c>
      <c r="H34" s="13"/>
      <c r="I34" s="13"/>
    </row>
    <row r="35" ht="18.75" customHeight="1" spans="1:9">
      <c r="A35" s="10">
        <v>30</v>
      </c>
      <c r="B35" s="18" t="s">
        <v>1009</v>
      </c>
      <c r="C35" s="12" t="s">
        <v>91</v>
      </c>
      <c r="D35" s="15" t="s">
        <v>92</v>
      </c>
      <c r="E35" s="85">
        <f t="shared" ref="E35:E36" si="1">16512.68</f>
        <v>16512.68</v>
      </c>
      <c r="F35" s="231">
        <v>17042.8658666667</v>
      </c>
      <c r="G35" s="85">
        <f t="shared" si="0"/>
        <v>530.185866666699</v>
      </c>
      <c r="H35" s="13"/>
      <c r="I35" s="13"/>
    </row>
    <row r="36" ht="18.75" customHeight="1" spans="1:9">
      <c r="A36" s="10">
        <v>31</v>
      </c>
      <c r="B36" s="18" t="s">
        <v>1183</v>
      </c>
      <c r="C36" s="12" t="s">
        <v>91</v>
      </c>
      <c r="D36" s="15" t="s">
        <v>92</v>
      </c>
      <c r="E36" s="85">
        <f t="shared" si="1"/>
        <v>16512.68</v>
      </c>
      <c r="F36" s="231">
        <v>17043.0178666667</v>
      </c>
      <c r="G36" s="85">
        <f t="shared" si="0"/>
        <v>530.337866666701</v>
      </c>
      <c r="H36" s="13"/>
      <c r="I36" s="13"/>
    </row>
    <row r="37" ht="26.25" customHeight="1" spans="1:9">
      <c r="A37" s="10"/>
      <c r="B37" s="20" t="s">
        <v>96</v>
      </c>
      <c r="C37" s="21">
        <v>31</v>
      </c>
      <c r="D37" s="15"/>
      <c r="E37" s="221" t="e">
        <f t="shared" ref="E37" si="2">SUM(E6:E36)</f>
        <v>#REF!</v>
      </c>
      <c r="F37" s="221">
        <f t="shared" ref="F37" si="3">SUM(F6:F36)</f>
        <v>1716067.66344667</v>
      </c>
      <c r="G37" s="221" t="e">
        <f t="shared" ref="G37" si="4">SUM(G6:G36)</f>
        <v>#REF!</v>
      </c>
      <c r="H37" s="13"/>
      <c r="I37" s="13"/>
    </row>
    <row r="38" ht="18.75" customHeight="1" spans="1:9">
      <c r="A38" s="10"/>
      <c r="B38" s="22"/>
      <c r="C38" s="4"/>
      <c r="D38" s="15"/>
      <c r="E38" s="221"/>
      <c r="F38" s="232"/>
      <c r="G38" s="221"/>
      <c r="H38" s="13"/>
      <c r="I38" s="13"/>
    </row>
    <row r="39" ht="18.75" customHeight="1" spans="1:9">
      <c r="A39" s="10"/>
      <c r="B39" s="20" t="s">
        <v>97</v>
      </c>
      <c r="C39" s="4"/>
      <c r="D39" s="15"/>
      <c r="E39" s="85"/>
      <c r="F39" s="231"/>
      <c r="G39" s="85"/>
      <c r="H39" s="13"/>
      <c r="I39" s="13"/>
    </row>
    <row r="40" ht="18.75" customHeight="1" spans="1:9">
      <c r="A40" s="10">
        <v>1</v>
      </c>
      <c r="B40" s="18" t="s">
        <v>98</v>
      </c>
      <c r="C40" s="4" t="s">
        <v>99</v>
      </c>
      <c r="D40" s="10" t="s">
        <v>100</v>
      </c>
      <c r="E40" s="85">
        <f>156349.82</f>
        <v>156349.82</v>
      </c>
      <c r="F40" s="231">
        <v>161106.806858667</v>
      </c>
      <c r="G40" s="85">
        <f>F40-E40</f>
        <v>4756.98685866699</v>
      </c>
      <c r="H40" s="13"/>
      <c r="I40" s="13"/>
    </row>
    <row r="41" ht="18.75" customHeight="1" spans="1:9">
      <c r="A41" s="10">
        <v>2</v>
      </c>
      <c r="B41" s="18" t="s">
        <v>101</v>
      </c>
      <c r="C41" s="4" t="s">
        <v>615</v>
      </c>
      <c r="D41" s="10" t="s">
        <v>95</v>
      </c>
      <c r="E41" s="85">
        <f>16512.68</f>
        <v>16512.68</v>
      </c>
      <c r="F41" s="231">
        <v>16512.6821906667</v>
      </c>
      <c r="G41" s="85">
        <f>F41-E41</f>
        <v>0.0021906666988798</v>
      </c>
      <c r="H41" s="13"/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172862.5</v>
      </c>
      <c r="F42" s="232">
        <f>SUM(F40:F41)</f>
        <v>177619.489049334</v>
      </c>
      <c r="G42" s="232">
        <f>SUM(G40:G41)</f>
        <v>4756.98904933369</v>
      </c>
      <c r="H42" s="13"/>
      <c r="I42" s="13"/>
    </row>
    <row r="43" customHeight="1" spans="1:9">
      <c r="A43" s="10"/>
      <c r="B43" s="14"/>
      <c r="C43" s="4"/>
      <c r="D43" s="10"/>
      <c r="E43" s="221"/>
      <c r="F43" s="231"/>
      <c r="G43" s="85"/>
      <c r="H43" s="13"/>
      <c r="I43" s="13"/>
    </row>
    <row r="44" customHeight="1" spans="1:9">
      <c r="A44" s="10"/>
      <c r="B44" s="23" t="s">
        <v>107</v>
      </c>
      <c r="C44" s="5"/>
      <c r="D44" s="24"/>
      <c r="E44" s="85"/>
      <c r="F44" s="231"/>
      <c r="G44" s="85"/>
      <c r="H44" s="13"/>
      <c r="I44" s="13"/>
    </row>
    <row r="45" customHeight="1" spans="1:9">
      <c r="A45" s="10">
        <v>1</v>
      </c>
      <c r="B45" s="11" t="s">
        <v>501</v>
      </c>
      <c r="C45" s="4" t="s">
        <v>502</v>
      </c>
      <c r="D45" s="10" t="s">
        <v>100</v>
      </c>
      <c r="E45" s="85">
        <f>180306.81</f>
        <v>180306.81</v>
      </c>
      <c r="F45" s="231">
        <v>180306.806858667</v>
      </c>
      <c r="G45" s="85">
        <f>F45-E45</f>
        <v>-0.00314133299980313</v>
      </c>
      <c r="H45" s="13"/>
      <c r="I45" s="13"/>
    </row>
    <row r="46" customHeight="1" spans="1:9">
      <c r="A46" s="10">
        <v>2</v>
      </c>
      <c r="B46" s="11" t="s">
        <v>491</v>
      </c>
      <c r="C46" s="4" t="s">
        <v>44</v>
      </c>
      <c r="D46" s="10" t="s">
        <v>36</v>
      </c>
      <c r="E46" s="85">
        <f>79956.94</f>
        <v>79956.94</v>
      </c>
      <c r="F46" s="231">
        <v>79956.9391466667</v>
      </c>
      <c r="G46" s="85">
        <f t="shared" ref="G46:G56" si="5">F46-E46</f>
        <v>-0.000853333302075043</v>
      </c>
      <c r="H46" s="13"/>
      <c r="I46" s="13"/>
    </row>
    <row r="47" customHeight="1" spans="1:9">
      <c r="A47" s="10">
        <v>3</v>
      </c>
      <c r="B47" s="11" t="s">
        <v>108</v>
      </c>
      <c r="C47" s="4" t="s">
        <v>112</v>
      </c>
      <c r="D47" s="10" t="s">
        <v>36</v>
      </c>
      <c r="E47" s="85">
        <f>79956.94</f>
        <v>79956.94</v>
      </c>
      <c r="F47" s="231">
        <v>79956.9391466667</v>
      </c>
      <c r="G47" s="85">
        <f t="shared" si="5"/>
        <v>-0.000853333302075043</v>
      </c>
      <c r="H47" s="13"/>
      <c r="I47" s="13"/>
    </row>
    <row r="48" customHeight="1" spans="1:9">
      <c r="A48" s="10">
        <v>4</v>
      </c>
      <c r="B48" s="11" t="s">
        <v>111</v>
      </c>
      <c r="C48" s="4" t="s">
        <v>112</v>
      </c>
      <c r="D48" s="10" t="s">
        <v>36</v>
      </c>
      <c r="E48" s="85">
        <f>77764.98</f>
        <v>77764.98</v>
      </c>
      <c r="F48" s="231">
        <v>79956.9391466667</v>
      </c>
      <c r="G48" s="85">
        <f t="shared" si="5"/>
        <v>2191.9591466667</v>
      </c>
      <c r="H48" s="13"/>
      <c r="I48" s="13"/>
    </row>
    <row r="49" customHeight="1" spans="1:9">
      <c r="A49" s="10">
        <v>5</v>
      </c>
      <c r="B49" s="11" t="s">
        <v>113</v>
      </c>
      <c r="C49" s="4" t="s">
        <v>112</v>
      </c>
      <c r="D49" s="10" t="s">
        <v>131</v>
      </c>
      <c r="E49" s="85" t="e">
        <f>#REF!</f>
        <v>#REF!</v>
      </c>
      <c r="F49" s="231">
        <v>70061.5197866667</v>
      </c>
      <c r="G49" s="85" t="e">
        <f t="shared" si="5"/>
        <v>#REF!</v>
      </c>
      <c r="H49" s="13"/>
      <c r="I49" s="13"/>
    </row>
    <row r="50" customHeight="1" spans="1:9">
      <c r="A50" s="10">
        <v>6</v>
      </c>
      <c r="B50" s="11" t="s">
        <v>114</v>
      </c>
      <c r="C50" s="4" t="s">
        <v>46</v>
      </c>
      <c r="D50" s="10" t="s">
        <v>222</v>
      </c>
      <c r="E50" s="85">
        <f>56478.9</f>
        <v>56478.9</v>
      </c>
      <c r="F50" s="231">
        <v>57889.8647946667</v>
      </c>
      <c r="G50" s="85">
        <f t="shared" si="5"/>
        <v>1410.9647946667</v>
      </c>
      <c r="H50" s="13"/>
      <c r="I50" s="13"/>
    </row>
    <row r="51" customHeight="1" spans="1:9">
      <c r="A51" s="10">
        <v>7</v>
      </c>
      <c r="B51" s="14" t="s">
        <v>115</v>
      </c>
      <c r="C51" s="4" t="s">
        <v>133</v>
      </c>
      <c r="D51" s="16" t="s">
        <v>222</v>
      </c>
      <c r="E51" s="85">
        <f>56478.9</f>
        <v>56478.9</v>
      </c>
      <c r="F51" s="231">
        <v>58026.6094346667</v>
      </c>
      <c r="G51" s="85">
        <f t="shared" si="5"/>
        <v>1547.7094346667</v>
      </c>
      <c r="H51" s="13"/>
      <c r="I51" s="13"/>
    </row>
    <row r="52" customHeight="1" spans="1:9">
      <c r="A52" s="10">
        <v>8</v>
      </c>
      <c r="B52" s="11" t="s">
        <v>1094</v>
      </c>
      <c r="C52" s="4" t="s">
        <v>133</v>
      </c>
      <c r="D52" s="10" t="s">
        <v>148</v>
      </c>
      <c r="E52" s="85" t="e">
        <f>#REF!</f>
        <v>#REF!</v>
      </c>
      <c r="F52" s="231">
        <v>55518.9029066667</v>
      </c>
      <c r="G52" s="85" t="e">
        <f t="shared" si="5"/>
        <v>#REF!</v>
      </c>
      <c r="H52" s="13"/>
      <c r="I52" s="13"/>
    </row>
    <row r="53" customHeight="1" spans="1:9">
      <c r="A53" s="10">
        <v>9</v>
      </c>
      <c r="B53" s="11" t="s">
        <v>45</v>
      </c>
      <c r="C53" s="4" t="s">
        <v>483</v>
      </c>
      <c r="D53" s="10" t="s">
        <v>52</v>
      </c>
      <c r="E53" s="85">
        <f>48052.11</f>
        <v>48052.11</v>
      </c>
      <c r="F53" s="231">
        <v>49548.7761866667</v>
      </c>
      <c r="G53" s="85">
        <f t="shared" si="5"/>
        <v>1496.6661866667</v>
      </c>
      <c r="H53" s="13"/>
      <c r="I53" s="13"/>
    </row>
    <row r="54" customHeight="1" spans="1:9">
      <c r="A54" s="10">
        <v>10</v>
      </c>
      <c r="B54" s="11" t="s">
        <v>118</v>
      </c>
      <c r="C54" s="4" t="s">
        <v>117</v>
      </c>
      <c r="D54" s="10" t="s">
        <v>83</v>
      </c>
      <c r="E54" s="85">
        <f>28360.95</f>
        <v>28360.95</v>
      </c>
      <c r="F54" s="231">
        <v>28360.9528626667</v>
      </c>
      <c r="G54" s="85">
        <f t="shared" si="5"/>
        <v>0.00286266670082114</v>
      </c>
      <c r="H54" s="13"/>
      <c r="I54" s="13"/>
    </row>
    <row r="55" customHeight="1" spans="1:9">
      <c r="A55" s="10">
        <v>11</v>
      </c>
      <c r="B55" s="11" t="s">
        <v>580</v>
      </c>
      <c r="C55" s="4" t="s">
        <v>117</v>
      </c>
      <c r="D55" s="10" t="s">
        <v>83</v>
      </c>
      <c r="E55" s="85">
        <f>28360.95</f>
        <v>28360.95</v>
      </c>
      <c r="F55" s="231">
        <v>28360.9528626667</v>
      </c>
      <c r="G55" s="85">
        <f t="shared" si="5"/>
        <v>0.00286266670082114</v>
      </c>
      <c r="H55" s="13"/>
      <c r="I55" s="13"/>
    </row>
    <row r="56" customHeight="1" spans="1:9">
      <c r="A56" s="10">
        <v>12</v>
      </c>
      <c r="B56" s="11" t="s">
        <v>119</v>
      </c>
      <c r="C56" s="4" t="s">
        <v>117</v>
      </c>
      <c r="D56" s="10" t="s">
        <v>83</v>
      </c>
      <c r="E56" s="85">
        <f>28360.95</f>
        <v>28360.95</v>
      </c>
      <c r="F56" s="231">
        <v>28360.9528626667</v>
      </c>
      <c r="G56" s="85">
        <f t="shared" si="5"/>
        <v>0.00286266670082114</v>
      </c>
      <c r="H56" s="13"/>
      <c r="I56" s="13"/>
    </row>
    <row r="57" ht="25.5" customHeight="1" spans="1:9">
      <c r="A57" s="10"/>
      <c r="B57" s="20" t="s">
        <v>96</v>
      </c>
      <c r="C57" s="21">
        <v>12</v>
      </c>
      <c r="D57" s="21"/>
      <c r="E57" s="93" t="e">
        <f t="shared" ref="E57:G57" si="6">SUM(E45:E56)</f>
        <v>#REF!</v>
      </c>
      <c r="F57" s="93">
        <f t="shared" si="6"/>
        <v>796306.155996001</v>
      </c>
      <c r="G57" s="93" t="e">
        <f t="shared" si="6"/>
        <v>#REF!</v>
      </c>
      <c r="H57" s="13"/>
      <c r="I57" s="13"/>
    </row>
    <row r="58" customHeight="1" spans="1:9">
      <c r="A58" s="10"/>
      <c r="B58" s="22"/>
      <c r="C58" s="21"/>
      <c r="D58" s="21"/>
      <c r="E58" s="146"/>
      <c r="F58" s="233"/>
      <c r="G58" s="146"/>
      <c r="H58" s="13"/>
      <c r="I58" s="13"/>
    </row>
    <row r="59" customHeight="1" spans="1:9">
      <c r="A59" s="10"/>
      <c r="B59" s="20" t="s">
        <v>120</v>
      </c>
      <c r="C59" s="21"/>
      <c r="D59" s="21"/>
      <c r="E59" s="146"/>
      <c r="F59" s="233"/>
      <c r="G59" s="146"/>
      <c r="H59" s="13"/>
      <c r="I59" s="13"/>
    </row>
    <row r="60" customHeight="1" spans="1:9">
      <c r="A60" s="10">
        <v>1</v>
      </c>
      <c r="B60" s="11" t="s">
        <v>503</v>
      </c>
      <c r="C60" s="12" t="s">
        <v>122</v>
      </c>
      <c r="D60" s="15" t="s">
        <v>100</v>
      </c>
      <c r="E60" s="85">
        <f>180306.81</f>
        <v>180306.81</v>
      </c>
      <c r="F60" s="231">
        <f>'[13]August 2022  (2)'!$AA$56</f>
        <v>180306.806858667</v>
      </c>
      <c r="G60" s="85">
        <f>F60-E60</f>
        <v>-0.00314133299980313</v>
      </c>
      <c r="H60" s="13"/>
      <c r="I60" s="13"/>
    </row>
    <row r="61" customHeight="1" spans="1:9">
      <c r="A61" s="10"/>
      <c r="B61" s="20" t="s">
        <v>96</v>
      </c>
      <c r="C61" s="21">
        <v>1</v>
      </c>
      <c r="D61" s="21"/>
      <c r="E61" s="93">
        <f>SUM(E60:E60)</f>
        <v>180306.81</v>
      </c>
      <c r="F61" s="93">
        <f>SUM(F60:F60)</f>
        <v>180306.806858667</v>
      </c>
      <c r="G61" s="85">
        <f>F61-E61</f>
        <v>-0.00314133299980313</v>
      </c>
      <c r="H61" s="13"/>
      <c r="I61" s="13"/>
    </row>
    <row r="62" customHeight="1" spans="1:9">
      <c r="A62" s="10"/>
      <c r="B62" s="20"/>
      <c r="C62" s="21"/>
      <c r="D62" s="21"/>
      <c r="E62" s="146"/>
      <c r="F62" s="233"/>
      <c r="G62" s="146"/>
      <c r="H62" s="13"/>
      <c r="I62" s="13"/>
    </row>
    <row r="63" customHeight="1" spans="1:9">
      <c r="A63" s="10"/>
      <c r="B63" s="20" t="s">
        <v>126</v>
      </c>
      <c r="C63" s="21"/>
      <c r="D63" s="21"/>
      <c r="E63" s="146"/>
      <c r="F63" s="233"/>
      <c r="G63" s="146"/>
      <c r="H63" s="13"/>
      <c r="I63" s="13"/>
    </row>
    <row r="64" customHeight="1" spans="1:9">
      <c r="A64" s="10">
        <v>1</v>
      </c>
      <c r="B64" s="11" t="s">
        <v>127</v>
      </c>
      <c r="C64" s="17" t="s">
        <v>128</v>
      </c>
      <c r="D64" s="10" t="s">
        <v>100</v>
      </c>
      <c r="E64" s="85">
        <f>180306.81</f>
        <v>180306.81</v>
      </c>
      <c r="F64" s="231">
        <v>180306.806858667</v>
      </c>
      <c r="G64" s="85">
        <f>F64-E64</f>
        <v>-0.00314133299980313</v>
      </c>
      <c r="H64" s="13"/>
      <c r="I64" s="13"/>
    </row>
    <row r="65" customHeight="1" spans="1:9">
      <c r="A65" s="10">
        <v>2</v>
      </c>
      <c r="B65" s="18" t="s">
        <v>129</v>
      </c>
      <c r="C65" s="17" t="s">
        <v>130</v>
      </c>
      <c r="D65" s="15" t="s">
        <v>1021</v>
      </c>
      <c r="E65" s="85">
        <v>75572.92</v>
      </c>
      <c r="F65" s="231">
        <v>75572.9156906667</v>
      </c>
      <c r="G65" s="85">
        <f t="shared" ref="G65:G76" si="7">F65-E65</f>
        <v>-0.00430933329334948</v>
      </c>
      <c r="H65" s="13"/>
      <c r="I65" s="13"/>
    </row>
    <row r="66" customHeight="1" spans="1:9">
      <c r="A66" s="10">
        <v>3</v>
      </c>
      <c r="B66" s="11" t="s">
        <v>132</v>
      </c>
      <c r="C66" s="4" t="s">
        <v>165</v>
      </c>
      <c r="D66" s="10" t="s">
        <v>52</v>
      </c>
      <c r="E66" s="85">
        <f>48170.87</f>
        <v>48170.87</v>
      </c>
      <c r="F66" s="231">
        <v>49548.7761866667</v>
      </c>
      <c r="G66" s="85">
        <f t="shared" si="7"/>
        <v>1377.9061866667</v>
      </c>
      <c r="H66" s="13"/>
      <c r="I66" s="13"/>
    </row>
    <row r="67" customHeight="1" spans="1:9">
      <c r="A67" s="10">
        <v>4</v>
      </c>
      <c r="B67" s="18" t="s">
        <v>486</v>
      </c>
      <c r="C67" s="17" t="s">
        <v>165</v>
      </c>
      <c r="D67" s="15" t="s">
        <v>1019</v>
      </c>
      <c r="E67" s="85">
        <f>46673.26</f>
        <v>46673.26</v>
      </c>
      <c r="F67" s="231">
        <v>48170.8702826667</v>
      </c>
      <c r="G67" s="85">
        <f t="shared" si="7"/>
        <v>1497.6102826667</v>
      </c>
      <c r="H67" s="13"/>
      <c r="I67" s="13"/>
    </row>
    <row r="68" customHeight="1" spans="1:9">
      <c r="A68" s="10">
        <v>5</v>
      </c>
      <c r="B68" s="14" t="s">
        <v>519</v>
      </c>
      <c r="C68" s="17" t="s">
        <v>133</v>
      </c>
      <c r="D68" s="15" t="s">
        <v>222</v>
      </c>
      <c r="E68" s="85">
        <v>56478.9</v>
      </c>
      <c r="F68" s="231">
        <v>58026.6094346667</v>
      </c>
      <c r="G68" s="85">
        <f t="shared" si="7"/>
        <v>1547.7094346667</v>
      </c>
      <c r="H68" s="13"/>
      <c r="I68" s="13"/>
    </row>
    <row r="69" customHeight="1" spans="1:9">
      <c r="A69" s="10">
        <v>6</v>
      </c>
      <c r="B69" s="11" t="s">
        <v>134</v>
      </c>
      <c r="C69" s="4" t="s">
        <v>117</v>
      </c>
      <c r="D69" s="10" t="s">
        <v>1201</v>
      </c>
      <c r="E69" s="85">
        <v>36127.27</v>
      </c>
      <c r="F69" s="231">
        <v>37661.4213546667</v>
      </c>
      <c r="G69" s="85">
        <f t="shared" si="7"/>
        <v>1534.1513546667</v>
      </c>
      <c r="H69" s="13"/>
      <c r="I69" s="13"/>
    </row>
    <row r="70" customHeight="1" spans="1:9">
      <c r="A70" s="10">
        <v>7</v>
      </c>
      <c r="B70" s="11" t="s">
        <v>1102</v>
      </c>
      <c r="C70" s="17" t="s">
        <v>67</v>
      </c>
      <c r="D70" s="15" t="s">
        <v>62</v>
      </c>
      <c r="E70" s="85">
        <v>41248.56</v>
      </c>
      <c r="F70" s="231">
        <v>43278.4947746667</v>
      </c>
      <c r="G70" s="85">
        <f t="shared" si="7"/>
        <v>2029.9347746667</v>
      </c>
      <c r="H70" s="13"/>
      <c r="I70" s="13"/>
    </row>
    <row r="71" customHeight="1" spans="1:9">
      <c r="A71" s="10">
        <v>8</v>
      </c>
      <c r="B71" s="11" t="s">
        <v>136</v>
      </c>
      <c r="C71" s="17" t="s">
        <v>67</v>
      </c>
      <c r="D71" s="15" t="s">
        <v>65</v>
      </c>
      <c r="E71" s="85">
        <f>40149.18</f>
        <v>40149.18</v>
      </c>
      <c r="F71" s="231">
        <v>40149.1752666667</v>
      </c>
      <c r="G71" s="85">
        <f t="shared" si="7"/>
        <v>-0.00473333329864545</v>
      </c>
      <c r="H71" s="13"/>
      <c r="I71" s="13"/>
    </row>
    <row r="72" customHeight="1" spans="1:9">
      <c r="A72" s="10">
        <v>9</v>
      </c>
      <c r="B72" s="11" t="s">
        <v>137</v>
      </c>
      <c r="C72" s="17" t="s">
        <v>67</v>
      </c>
      <c r="D72" s="15" t="s">
        <v>65</v>
      </c>
      <c r="E72" s="85">
        <f>40149.18</f>
        <v>40149.18</v>
      </c>
      <c r="F72" s="231">
        <v>40149.1752666667</v>
      </c>
      <c r="G72" s="85">
        <f t="shared" si="7"/>
        <v>-0.00473333329864545</v>
      </c>
      <c r="H72" s="13"/>
      <c r="I72" s="13"/>
    </row>
    <row r="73" customHeight="1" spans="1:9">
      <c r="A73" s="10">
        <v>10</v>
      </c>
      <c r="B73" s="11" t="s">
        <v>138</v>
      </c>
      <c r="C73" s="4" t="s">
        <v>139</v>
      </c>
      <c r="D73" s="10" t="s">
        <v>135</v>
      </c>
      <c r="E73" s="85" t="e">
        <f>#REF!</f>
        <v>#REF!</v>
      </c>
      <c r="F73" s="231">
        <f>'[13]August 2022  (2)'!$Z$69</f>
        <v>41338.9510986667</v>
      </c>
      <c r="G73" s="85" t="e">
        <f t="shared" si="7"/>
        <v>#REF!</v>
      </c>
      <c r="H73" s="13"/>
      <c r="I73" s="13"/>
    </row>
    <row r="74" customHeight="1" spans="1:9">
      <c r="A74" s="10">
        <v>11</v>
      </c>
      <c r="B74" s="11" t="s">
        <v>1184</v>
      </c>
      <c r="C74" s="17" t="s">
        <v>117</v>
      </c>
      <c r="D74" s="10" t="s">
        <v>104</v>
      </c>
      <c r="E74" s="85">
        <f>32291.82</f>
        <v>32291.82</v>
      </c>
      <c r="F74" s="231">
        <v>33059.0784066667</v>
      </c>
      <c r="G74" s="85">
        <f t="shared" si="7"/>
        <v>767.258406666697</v>
      </c>
      <c r="H74" s="13"/>
      <c r="I74" s="13"/>
    </row>
    <row r="75" customHeight="1" spans="1:9">
      <c r="A75" s="10">
        <v>12</v>
      </c>
      <c r="B75" s="11" t="s">
        <v>77</v>
      </c>
      <c r="C75" s="17" t="s">
        <v>64</v>
      </c>
      <c r="D75" s="10" t="s">
        <v>80</v>
      </c>
      <c r="E75" s="85">
        <f>24685.95</f>
        <v>24685.95</v>
      </c>
      <c r="F75" s="231">
        <v>29058.4826046667</v>
      </c>
      <c r="G75" s="85">
        <f t="shared" si="7"/>
        <v>4372.5326046667</v>
      </c>
      <c r="H75" s="13"/>
      <c r="I75" s="13"/>
    </row>
    <row r="76" customHeight="1" spans="1:9">
      <c r="A76" s="10">
        <v>13</v>
      </c>
      <c r="B76" s="14" t="s">
        <v>63</v>
      </c>
      <c r="C76" s="17" t="s">
        <v>64</v>
      </c>
      <c r="D76" s="10" t="s">
        <v>92</v>
      </c>
      <c r="E76" s="85">
        <f>24685.95</f>
        <v>24685.95</v>
      </c>
      <c r="F76" s="231">
        <v>25271.7714666667</v>
      </c>
      <c r="G76" s="85">
        <f t="shared" si="7"/>
        <v>585.821466666701</v>
      </c>
      <c r="H76" s="13"/>
      <c r="I76" s="13"/>
    </row>
    <row r="77" customHeight="1" spans="1:9">
      <c r="A77" s="10"/>
      <c r="B77" s="20" t="s">
        <v>96</v>
      </c>
      <c r="C77" s="21">
        <v>13</v>
      </c>
      <c r="D77" s="21"/>
      <c r="E77" s="93" t="e">
        <f t="shared" ref="E77:G77" si="8">SUM(E64:E76)</f>
        <v>#REF!</v>
      </c>
      <c r="F77" s="93">
        <f t="shared" si="8"/>
        <v>701592.528692667</v>
      </c>
      <c r="G77" s="93" t="e">
        <f t="shared" si="8"/>
        <v>#REF!</v>
      </c>
      <c r="H77" s="13"/>
      <c r="I77" s="13"/>
    </row>
    <row r="78" customHeight="1" spans="1:9">
      <c r="A78" s="10"/>
      <c r="B78" s="22"/>
      <c r="C78" s="21"/>
      <c r="D78" s="21"/>
      <c r="E78" s="146"/>
      <c r="F78" s="233"/>
      <c r="G78" s="146"/>
      <c r="H78" s="13"/>
      <c r="I78" s="13"/>
    </row>
    <row r="79" customHeight="1" spans="1:9">
      <c r="A79" s="10"/>
      <c r="B79" s="20" t="s">
        <v>141</v>
      </c>
      <c r="C79" s="21"/>
      <c r="D79" s="21"/>
      <c r="E79" s="146"/>
      <c r="F79" s="233"/>
      <c r="G79" s="146"/>
      <c r="H79" s="13"/>
      <c r="I79" s="13"/>
    </row>
    <row r="80" customHeight="1" spans="1:9">
      <c r="A80" s="10">
        <v>1</v>
      </c>
      <c r="B80" s="11" t="s">
        <v>142</v>
      </c>
      <c r="C80" s="4" t="s">
        <v>143</v>
      </c>
      <c r="D80" s="10" t="s">
        <v>100</v>
      </c>
      <c r="E80" s="85">
        <f>180306.81</f>
        <v>180306.81</v>
      </c>
      <c r="F80" s="231">
        <v>180306.806858667</v>
      </c>
      <c r="G80" s="85">
        <f>F80-E80</f>
        <v>-0.00314133299980313</v>
      </c>
      <c r="H80" s="13"/>
      <c r="I80" s="13"/>
    </row>
    <row r="81" customHeight="1" spans="1:9">
      <c r="A81" s="10">
        <v>2</v>
      </c>
      <c r="B81" s="14" t="s">
        <v>520</v>
      </c>
      <c r="C81" s="4" t="s">
        <v>572</v>
      </c>
      <c r="D81" s="15" t="s">
        <v>1021</v>
      </c>
      <c r="E81" s="85">
        <f>75572.92</f>
        <v>75572.92</v>
      </c>
      <c r="F81" s="231">
        <v>75572.9156906667</v>
      </c>
      <c r="G81" s="85">
        <f t="shared" ref="G81:G84" si="9">F81-E81</f>
        <v>-0.00430933329334948</v>
      </c>
      <c r="H81" s="13"/>
      <c r="I81" s="13"/>
    </row>
    <row r="82" customHeight="1" spans="1:9">
      <c r="A82" s="10">
        <v>3</v>
      </c>
      <c r="B82" s="14" t="s">
        <v>1185</v>
      </c>
      <c r="C82" s="4" t="s">
        <v>1186</v>
      </c>
      <c r="D82" s="15" t="s">
        <v>1021</v>
      </c>
      <c r="E82" s="85">
        <f>75572.92</f>
        <v>75572.92</v>
      </c>
      <c r="F82" s="231">
        <v>75572.9156906667</v>
      </c>
      <c r="G82" s="85">
        <f t="shared" si="9"/>
        <v>-0.00430933329334948</v>
      </c>
      <c r="H82" s="13"/>
      <c r="I82" s="13"/>
    </row>
    <row r="83" customHeight="1" spans="1:9">
      <c r="A83" s="10">
        <v>4</v>
      </c>
      <c r="B83" s="11" t="s">
        <v>146</v>
      </c>
      <c r="C83" s="4" t="s">
        <v>1037</v>
      </c>
      <c r="D83" s="15" t="s">
        <v>52</v>
      </c>
      <c r="E83" s="85">
        <v>48170.87</v>
      </c>
      <c r="F83" s="231">
        <v>49548.7761866667</v>
      </c>
      <c r="G83" s="85">
        <f t="shared" si="9"/>
        <v>1377.9061866667</v>
      </c>
      <c r="H83" s="13"/>
      <c r="I83" s="13"/>
    </row>
    <row r="84" customHeight="1" spans="1:9">
      <c r="A84" s="10">
        <v>5</v>
      </c>
      <c r="B84" s="11" t="s">
        <v>149</v>
      </c>
      <c r="C84" s="4" t="s">
        <v>152</v>
      </c>
      <c r="D84" s="10" t="s">
        <v>104</v>
      </c>
      <c r="E84" s="85">
        <f>32291.82</f>
        <v>32291.82</v>
      </c>
      <c r="F84" s="231">
        <v>33059.0784066667</v>
      </c>
      <c r="G84" s="85">
        <f t="shared" si="9"/>
        <v>767.258406666697</v>
      </c>
      <c r="H84" s="13"/>
      <c r="I84" s="13"/>
    </row>
    <row r="85" customHeight="1" spans="1:9">
      <c r="A85" s="10"/>
      <c r="B85" s="20" t="s">
        <v>96</v>
      </c>
      <c r="C85" s="21">
        <v>5</v>
      </c>
      <c r="D85" s="21"/>
      <c r="E85" s="93">
        <f t="shared" ref="E85:G85" si="10">SUM(E80:E84)</f>
        <v>411915.34</v>
      </c>
      <c r="F85" s="93">
        <f t="shared" si="10"/>
        <v>414060.492833334</v>
      </c>
      <c r="G85" s="93">
        <f t="shared" si="10"/>
        <v>2145.15283333381</v>
      </c>
      <c r="H85" s="13"/>
      <c r="I85" s="13"/>
    </row>
    <row r="86" customHeight="1" spans="1:9">
      <c r="A86" s="10"/>
      <c r="B86" s="20"/>
      <c r="C86" s="21"/>
      <c r="D86" s="21"/>
      <c r="E86" s="146"/>
      <c r="F86" s="231"/>
      <c r="G86" s="85"/>
      <c r="H86" s="13"/>
      <c r="I86" s="13"/>
    </row>
    <row r="87" customHeight="1" spans="1:9">
      <c r="A87" s="10"/>
      <c r="B87" s="20" t="s">
        <v>155</v>
      </c>
      <c r="C87" s="25"/>
      <c r="D87" s="21"/>
      <c r="E87" s="146"/>
      <c r="F87" s="231"/>
      <c r="G87" s="85"/>
      <c r="H87" s="13"/>
      <c r="I87" s="13"/>
    </row>
    <row r="88" ht="23.25" customHeight="1" spans="1:9">
      <c r="A88" s="10">
        <v>1</v>
      </c>
      <c r="B88" s="11" t="s">
        <v>1202</v>
      </c>
      <c r="C88" s="4" t="s">
        <v>1203</v>
      </c>
      <c r="D88" s="10" t="s">
        <v>189</v>
      </c>
      <c r="E88" s="85">
        <f>97273.51</f>
        <v>97273.51</v>
      </c>
      <c r="F88" s="231">
        <v>99907.9514186667</v>
      </c>
      <c r="G88" s="85">
        <f>F88-E88</f>
        <v>2634.4414186667</v>
      </c>
      <c r="H88" s="13"/>
      <c r="I88" s="13"/>
    </row>
    <row r="89" customHeight="1" spans="1:9">
      <c r="A89" s="10">
        <v>2</v>
      </c>
      <c r="B89" s="11" t="s">
        <v>156</v>
      </c>
      <c r="C89" s="4" t="s">
        <v>112</v>
      </c>
      <c r="D89" s="10" t="s">
        <v>36</v>
      </c>
      <c r="E89" s="85">
        <f>79956.94</f>
        <v>79956.94</v>
      </c>
      <c r="F89" s="231">
        <v>79956.9391466667</v>
      </c>
      <c r="G89" s="85">
        <f t="shared" ref="G89:G98" si="11">F89-E89</f>
        <v>-0.000853333302075043</v>
      </c>
      <c r="H89" s="13"/>
      <c r="I89" s="13"/>
    </row>
    <row r="90" customHeight="1" spans="1:9">
      <c r="A90" s="10">
        <v>3</v>
      </c>
      <c r="B90" s="11" t="s">
        <v>157</v>
      </c>
      <c r="C90" s="4" t="s">
        <v>112</v>
      </c>
      <c r="D90" s="10" t="s">
        <v>36</v>
      </c>
      <c r="E90" s="85">
        <f>79796.1</f>
        <v>79796.1</v>
      </c>
      <c r="F90" s="231">
        <v>79796.1031466666</v>
      </c>
      <c r="G90" s="85">
        <f t="shared" si="11"/>
        <v>0.00314666659687646</v>
      </c>
      <c r="H90" s="13"/>
      <c r="I90" s="13"/>
    </row>
    <row r="91" customHeight="1" spans="1:9">
      <c r="A91" s="10">
        <v>4</v>
      </c>
      <c r="B91" s="14" t="s">
        <v>201</v>
      </c>
      <c r="C91" s="4" t="s">
        <v>133</v>
      </c>
      <c r="D91" s="10" t="s">
        <v>42</v>
      </c>
      <c r="E91" s="85">
        <f>57894.08</f>
        <v>57894.08</v>
      </c>
      <c r="F91" s="231">
        <v>59441.7820426667</v>
      </c>
      <c r="G91" s="85">
        <f t="shared" si="11"/>
        <v>1547.7020426667</v>
      </c>
      <c r="H91" s="13"/>
      <c r="I91" s="13"/>
    </row>
    <row r="92" customHeight="1" spans="1:9">
      <c r="A92" s="10">
        <v>5</v>
      </c>
      <c r="B92" s="11" t="s">
        <v>158</v>
      </c>
      <c r="C92" s="4" t="s">
        <v>46</v>
      </c>
      <c r="D92" s="10" t="s">
        <v>222</v>
      </c>
      <c r="E92" s="85">
        <f>56478.9</f>
        <v>56478.9</v>
      </c>
      <c r="F92" s="231">
        <v>58026.6094346667</v>
      </c>
      <c r="G92" s="85">
        <f t="shared" si="11"/>
        <v>1547.7094346667</v>
      </c>
      <c r="H92" s="13"/>
      <c r="I92" s="13"/>
    </row>
    <row r="93" ht="21.6" customHeight="1" spans="1:9">
      <c r="A93" s="10">
        <v>6</v>
      </c>
      <c r="B93" s="11" t="s">
        <v>159</v>
      </c>
      <c r="C93" s="4" t="s">
        <v>483</v>
      </c>
      <c r="D93" s="15" t="s">
        <v>52</v>
      </c>
      <c r="E93" s="85">
        <f>48170.87</f>
        <v>48170.87</v>
      </c>
      <c r="F93" s="231">
        <v>49548.7761866667</v>
      </c>
      <c r="G93" s="85">
        <f t="shared" si="11"/>
        <v>1377.9061866667</v>
      </c>
      <c r="H93" s="13"/>
      <c r="I93" s="13"/>
    </row>
    <row r="94" ht="21.6" customHeight="1" spans="1:9">
      <c r="A94" s="10">
        <v>7</v>
      </c>
      <c r="B94" s="11" t="s">
        <v>160</v>
      </c>
      <c r="C94" s="12" t="s">
        <v>165</v>
      </c>
      <c r="D94" s="15" t="s">
        <v>1019</v>
      </c>
      <c r="E94" s="85">
        <f>46673.26</f>
        <v>46673.26</v>
      </c>
      <c r="F94" s="231">
        <v>48170.8702826667</v>
      </c>
      <c r="G94" s="85">
        <f t="shared" si="11"/>
        <v>1497.6102826667</v>
      </c>
      <c r="H94" s="13"/>
      <c r="I94" s="13"/>
    </row>
    <row r="95" ht="21.6" customHeight="1" spans="1:9">
      <c r="A95" s="10">
        <v>8</v>
      </c>
      <c r="B95" s="11" t="s">
        <v>161</v>
      </c>
      <c r="C95" s="12" t="s">
        <v>165</v>
      </c>
      <c r="D95" s="15" t="s">
        <v>1019</v>
      </c>
      <c r="E95" s="85">
        <f>46673.26</f>
        <v>46673.26</v>
      </c>
      <c r="F95" s="231">
        <v>48170.8702826667</v>
      </c>
      <c r="G95" s="85">
        <f t="shared" si="11"/>
        <v>1497.6102826667</v>
      </c>
      <c r="H95" s="13"/>
      <c r="I95" s="13"/>
    </row>
    <row r="96" ht="21.6" customHeight="1" spans="1:9">
      <c r="A96" s="10">
        <v>9</v>
      </c>
      <c r="B96" s="11" t="s">
        <v>163</v>
      </c>
      <c r="C96" s="17" t="s">
        <v>67</v>
      </c>
      <c r="D96" s="15" t="s">
        <v>65</v>
      </c>
      <c r="E96" s="85">
        <f>40149.18</f>
        <v>40149.18</v>
      </c>
      <c r="F96" s="231">
        <v>40149.1752666667</v>
      </c>
      <c r="G96" s="85">
        <f t="shared" si="11"/>
        <v>-0.00473333329864545</v>
      </c>
      <c r="H96" s="13"/>
      <c r="I96" s="13"/>
    </row>
    <row r="97" ht="21.6" customHeight="1" spans="1:9">
      <c r="A97" s="10">
        <v>10</v>
      </c>
      <c r="B97" s="11" t="s">
        <v>167</v>
      </c>
      <c r="C97" s="4" t="s">
        <v>168</v>
      </c>
      <c r="D97" s="10" t="s">
        <v>70</v>
      </c>
      <c r="E97" s="85">
        <v>0</v>
      </c>
      <c r="F97" s="231">
        <v>0</v>
      </c>
      <c r="G97" s="85">
        <f t="shared" si="11"/>
        <v>0</v>
      </c>
      <c r="H97" s="13"/>
      <c r="I97" s="13"/>
    </row>
    <row r="98" ht="21.6" customHeight="1" spans="1:9">
      <c r="A98" s="10">
        <v>11</v>
      </c>
      <c r="B98" s="11" t="s">
        <v>169</v>
      </c>
      <c r="C98" s="17" t="s">
        <v>170</v>
      </c>
      <c r="D98" s="15" t="s">
        <v>92</v>
      </c>
      <c r="E98" s="85">
        <f>24685.95</f>
        <v>24685.95</v>
      </c>
      <c r="F98" s="231">
        <v>24749.7970626667</v>
      </c>
      <c r="G98" s="85">
        <f t="shared" si="11"/>
        <v>63.8470626667004</v>
      </c>
      <c r="H98" s="13"/>
      <c r="I98" s="13"/>
    </row>
    <row r="99" customHeight="1" spans="1:9">
      <c r="A99" s="10"/>
      <c r="B99" s="20" t="s">
        <v>96</v>
      </c>
      <c r="C99" s="21">
        <v>11</v>
      </c>
      <c r="D99" s="21"/>
      <c r="E99" s="93">
        <f>SUM(E88:E98)</f>
        <v>577752.05</v>
      </c>
      <c r="F99" s="93">
        <f t="shared" ref="F99:G99" si="12">SUM(F88:F98)</f>
        <v>587918.874270667</v>
      </c>
      <c r="G99" s="93">
        <f t="shared" si="12"/>
        <v>10166.8242706669</v>
      </c>
      <c r="H99" s="13"/>
      <c r="I99" s="13"/>
    </row>
    <row r="100" customHeight="1" spans="1:9">
      <c r="A100" s="10"/>
      <c r="B100" s="22"/>
      <c r="C100" s="21"/>
      <c r="D100" s="21"/>
      <c r="E100" s="146"/>
      <c r="F100" s="233"/>
      <c r="G100" s="146"/>
      <c r="H100" s="13"/>
      <c r="I100" s="13"/>
    </row>
    <row r="101" customHeight="1" spans="1:9">
      <c r="A101" s="10"/>
      <c r="B101" s="20" t="s">
        <v>172</v>
      </c>
      <c r="C101" s="21"/>
      <c r="D101" s="21"/>
      <c r="E101" s="146"/>
      <c r="F101" s="233"/>
      <c r="G101" s="146"/>
      <c r="H101" s="13"/>
      <c r="I101" s="13"/>
    </row>
    <row r="102" customHeight="1" spans="1:9">
      <c r="A102" s="10">
        <v>1</v>
      </c>
      <c r="B102" s="18" t="s">
        <v>576</v>
      </c>
      <c r="C102" s="10" t="s">
        <v>577</v>
      </c>
      <c r="D102" s="15" t="s">
        <v>110</v>
      </c>
      <c r="E102" s="85">
        <f>79993.51</f>
        <v>79993.51</v>
      </c>
      <c r="F102" s="231">
        <v>79993.5138506667</v>
      </c>
      <c r="G102" s="85">
        <f>F102-E102</f>
        <v>0.00385066670423839</v>
      </c>
      <c r="H102" s="13"/>
      <c r="I102" s="13"/>
    </row>
    <row r="103" customHeight="1" spans="1:9">
      <c r="A103" s="10">
        <v>2</v>
      </c>
      <c r="B103" s="11" t="s">
        <v>37</v>
      </c>
      <c r="C103" s="4" t="s">
        <v>177</v>
      </c>
      <c r="D103" s="10" t="s">
        <v>222</v>
      </c>
      <c r="E103" s="85">
        <f>43380.1</f>
        <v>43380.1</v>
      </c>
      <c r="F103" s="231">
        <v>44734.3393886667</v>
      </c>
      <c r="G103" s="85">
        <f t="shared" ref="G103:G105" si="13">F103-E103</f>
        <v>1354.23938866671</v>
      </c>
      <c r="H103" s="13"/>
      <c r="I103" s="13"/>
    </row>
    <row r="104" customHeight="1" spans="1:9">
      <c r="A104" s="10">
        <v>3</v>
      </c>
      <c r="B104" s="18" t="s">
        <v>1204</v>
      </c>
      <c r="C104" s="4" t="s">
        <v>1205</v>
      </c>
      <c r="D104" s="15" t="s">
        <v>1019</v>
      </c>
      <c r="E104" s="85">
        <f>38272.44</f>
        <v>38272.44</v>
      </c>
      <c r="F104" s="231">
        <v>39582.8448306667</v>
      </c>
      <c r="G104" s="85">
        <f t="shared" si="13"/>
        <v>1310.4048306667</v>
      </c>
      <c r="H104" s="13"/>
      <c r="I104" s="13"/>
    </row>
    <row r="105" customHeight="1" spans="1:9">
      <c r="A105" s="10">
        <v>4</v>
      </c>
      <c r="B105" s="11" t="s">
        <v>180</v>
      </c>
      <c r="C105" s="4" t="s">
        <v>181</v>
      </c>
      <c r="D105" s="15" t="s">
        <v>135</v>
      </c>
      <c r="E105" s="85" t="e">
        <f>#REF!</f>
        <v>#REF!</v>
      </c>
      <c r="F105" s="231">
        <v>32098.9510986667</v>
      </c>
      <c r="G105" s="85" t="e">
        <f t="shared" si="13"/>
        <v>#REF!</v>
      </c>
      <c r="H105" s="13"/>
      <c r="I105" s="13"/>
    </row>
    <row r="106" customHeight="1" spans="1:9">
      <c r="A106" s="4"/>
      <c r="B106" s="20" t="s">
        <v>96</v>
      </c>
      <c r="C106" s="21">
        <v>4</v>
      </c>
      <c r="D106" s="26"/>
      <c r="E106" s="93" t="e">
        <f t="shared" ref="E106:G106" si="14">SUM(E102:E105)</f>
        <v>#REF!</v>
      </c>
      <c r="F106" s="93">
        <f t="shared" si="14"/>
        <v>196409.649168667</v>
      </c>
      <c r="G106" s="93" t="e">
        <f t="shared" si="14"/>
        <v>#REF!</v>
      </c>
      <c r="H106" s="13"/>
      <c r="I106" s="13"/>
    </row>
    <row r="107" customHeight="1" spans="1:9">
      <c r="A107" s="4"/>
      <c r="B107" s="22"/>
      <c r="C107" s="21"/>
      <c r="D107" s="26"/>
      <c r="E107" s="146"/>
      <c r="F107" s="233"/>
      <c r="G107" s="146"/>
      <c r="H107" s="13"/>
      <c r="I107" s="13"/>
    </row>
    <row r="108" customHeight="1" spans="1:9">
      <c r="A108" s="4"/>
      <c r="B108" s="20" t="s">
        <v>184</v>
      </c>
      <c r="C108" s="4"/>
      <c r="D108" s="4"/>
      <c r="E108" s="4"/>
      <c r="F108" s="234"/>
      <c r="G108" s="4"/>
      <c r="H108" s="13"/>
      <c r="I108" s="13"/>
    </row>
    <row r="109" customHeight="1" spans="1:9">
      <c r="A109" s="4">
        <v>1</v>
      </c>
      <c r="B109" s="11" t="s">
        <v>185</v>
      </c>
      <c r="C109" s="12" t="s">
        <v>186</v>
      </c>
      <c r="D109" s="15" t="s">
        <v>100</v>
      </c>
      <c r="E109" s="85">
        <f>180306.81</f>
        <v>180306.81</v>
      </c>
      <c r="F109" s="231">
        <v>180145.970858667</v>
      </c>
      <c r="G109" s="85">
        <f>F109-E109</f>
        <v>-160.83914133301</v>
      </c>
      <c r="H109" s="13"/>
      <c r="I109" s="13"/>
    </row>
    <row r="110" customHeight="1" spans="1:9">
      <c r="A110" s="4">
        <v>2</v>
      </c>
      <c r="B110" s="11" t="s">
        <v>187</v>
      </c>
      <c r="C110" s="4" t="s">
        <v>188</v>
      </c>
      <c r="D110" s="16" t="s">
        <v>110</v>
      </c>
      <c r="E110" s="85" t="e">
        <f>#REF!</f>
        <v>#REF!</v>
      </c>
      <c r="F110" s="231">
        <v>97147.0852106667</v>
      </c>
      <c r="G110" s="85" t="e">
        <f t="shared" ref="G110:G115" si="15">F110-E110</f>
        <v>#REF!</v>
      </c>
      <c r="H110" s="13"/>
      <c r="I110" s="13"/>
    </row>
    <row r="111" customHeight="1" spans="1:9">
      <c r="A111" s="4">
        <v>3</v>
      </c>
      <c r="B111" s="11" t="s">
        <v>190</v>
      </c>
      <c r="C111" s="4" t="s">
        <v>191</v>
      </c>
      <c r="D111" s="10" t="s">
        <v>192</v>
      </c>
      <c r="E111" s="85">
        <f>58814.67</f>
        <v>58814.67</v>
      </c>
      <c r="F111" s="231">
        <v>58941.1017434667</v>
      </c>
      <c r="G111" s="85">
        <f t="shared" si="15"/>
        <v>126.431743466703</v>
      </c>
      <c r="H111" s="13"/>
      <c r="I111" s="13"/>
    </row>
    <row r="112" customHeight="1" spans="1:9">
      <c r="A112" s="4">
        <v>4</v>
      </c>
      <c r="B112" s="11" t="s">
        <v>193</v>
      </c>
      <c r="C112" s="4" t="s">
        <v>191</v>
      </c>
      <c r="D112" s="10" t="s">
        <v>192</v>
      </c>
      <c r="E112" s="85">
        <f>57194.24</f>
        <v>57194.24</v>
      </c>
      <c r="F112" s="231">
        <v>58941.1017434667</v>
      </c>
      <c r="G112" s="85">
        <f t="shared" si="15"/>
        <v>1746.8617434667</v>
      </c>
      <c r="H112" s="13"/>
      <c r="I112" s="13"/>
    </row>
    <row r="113" customHeight="1" spans="1:9">
      <c r="A113" s="4">
        <v>5</v>
      </c>
      <c r="B113" s="11" t="s">
        <v>194</v>
      </c>
      <c r="C113" s="4" t="s">
        <v>195</v>
      </c>
      <c r="D113" s="15" t="s">
        <v>198</v>
      </c>
      <c r="E113" s="85">
        <f>30699.58</f>
        <v>30699.58</v>
      </c>
      <c r="F113" s="231">
        <v>31285.6032033067</v>
      </c>
      <c r="G113" s="85">
        <f t="shared" si="15"/>
        <v>586.023203306697</v>
      </c>
      <c r="H113" s="13"/>
      <c r="I113" s="13"/>
    </row>
    <row r="114" customHeight="1" spans="1:9">
      <c r="A114" s="4">
        <v>6</v>
      </c>
      <c r="B114" s="18" t="s">
        <v>197</v>
      </c>
      <c r="C114" s="4" t="s">
        <v>195</v>
      </c>
      <c r="D114" s="10" t="s">
        <v>1014</v>
      </c>
      <c r="E114" s="85">
        <f>30049.31</f>
        <v>30049.31</v>
      </c>
      <c r="F114" s="231">
        <v>30635.1206886667</v>
      </c>
      <c r="G114" s="85">
        <f t="shared" si="15"/>
        <v>585.810688666697</v>
      </c>
      <c r="H114" s="13"/>
      <c r="I114" s="13"/>
    </row>
    <row r="115" customHeight="1" spans="1:9">
      <c r="A115" s="4">
        <v>7</v>
      </c>
      <c r="B115" s="18" t="s">
        <v>199</v>
      </c>
      <c r="C115" s="4" t="s">
        <v>195</v>
      </c>
      <c r="D115" s="15" t="s">
        <v>92</v>
      </c>
      <c r="E115" s="85">
        <f>28813.07</f>
        <v>28813.07</v>
      </c>
      <c r="F115" s="231">
        <v>29055.5841614267</v>
      </c>
      <c r="G115" s="85">
        <f t="shared" si="15"/>
        <v>242.514161426701</v>
      </c>
      <c r="H115" s="13"/>
      <c r="I115" s="13"/>
    </row>
    <row r="116" customHeight="1" spans="1:9">
      <c r="A116" s="4"/>
      <c r="B116" s="20" t="s">
        <v>96</v>
      </c>
      <c r="C116" s="21">
        <v>7</v>
      </c>
      <c r="D116" s="4"/>
      <c r="E116" s="223" t="e">
        <f t="shared" ref="E116:G116" si="16">SUM(E109:E115)</f>
        <v>#REF!</v>
      </c>
      <c r="F116" s="223">
        <f t="shared" si="16"/>
        <v>486151.567609667</v>
      </c>
      <c r="G116" s="223" t="e">
        <f t="shared" si="16"/>
        <v>#REF!</v>
      </c>
      <c r="H116" s="13"/>
      <c r="I116" s="13"/>
    </row>
    <row r="117" customHeight="1" spans="1:9">
      <c r="A117" s="4"/>
      <c r="B117" s="22"/>
      <c r="C117" s="10"/>
      <c r="D117" s="4"/>
      <c r="E117" s="224"/>
      <c r="F117" s="235"/>
      <c r="G117" s="224"/>
      <c r="H117" s="13"/>
      <c r="I117" s="13"/>
    </row>
    <row r="118" customHeight="1" spans="1:9">
      <c r="A118" s="4"/>
      <c r="B118" s="20" t="s">
        <v>213</v>
      </c>
      <c r="C118" s="21"/>
      <c r="D118" s="21"/>
      <c r="E118" s="146"/>
      <c r="F118" s="231"/>
      <c r="G118" s="85"/>
      <c r="H118" s="13"/>
      <c r="I118" s="13"/>
    </row>
    <row r="119" customHeight="1" spans="1:9">
      <c r="A119" s="4">
        <v>1</v>
      </c>
      <c r="B119" s="11" t="s">
        <v>214</v>
      </c>
      <c r="C119" s="12" t="s">
        <v>215</v>
      </c>
      <c r="D119" s="15" t="s">
        <v>100</v>
      </c>
      <c r="E119" s="85">
        <f>179914.45</f>
        <v>179914.45</v>
      </c>
      <c r="F119" s="231">
        <v>179914.454698667</v>
      </c>
      <c r="G119" s="85">
        <f>F119-E119</f>
        <v>0.0046986669767648</v>
      </c>
      <c r="H119" s="13"/>
      <c r="I119" s="13"/>
    </row>
    <row r="120" customHeight="1" spans="1:9">
      <c r="A120" s="4" t="s">
        <v>1206</v>
      </c>
      <c r="B120" s="11" t="s">
        <v>1207</v>
      </c>
      <c r="C120" s="12" t="s">
        <v>1208</v>
      </c>
      <c r="D120" s="15" t="s">
        <v>189</v>
      </c>
      <c r="E120" s="85">
        <f>101827.95</f>
        <v>101827.95</v>
      </c>
      <c r="F120" s="231">
        <v>101827.951418667</v>
      </c>
      <c r="G120" s="85">
        <f t="shared" ref="G120:G129" si="17">F120-E120</f>
        <v>0.00141866700141691</v>
      </c>
      <c r="H120" s="13"/>
      <c r="I120" s="13"/>
    </row>
    <row r="121" customHeight="1" spans="1:9">
      <c r="A121" s="4">
        <v>3</v>
      </c>
      <c r="B121" s="11" t="s">
        <v>216</v>
      </c>
      <c r="C121" s="12" t="s">
        <v>219</v>
      </c>
      <c r="D121" s="15" t="s">
        <v>36</v>
      </c>
      <c r="E121" s="85">
        <f>83636.1</f>
        <v>83636.1</v>
      </c>
      <c r="F121" s="231">
        <v>83636.1031466666</v>
      </c>
      <c r="G121" s="85">
        <f t="shared" si="17"/>
        <v>0.00314666659687646</v>
      </c>
      <c r="H121" s="13"/>
      <c r="I121" s="13"/>
    </row>
    <row r="122" customHeight="1" spans="1:9">
      <c r="A122" s="4">
        <v>4</v>
      </c>
      <c r="B122" s="14" t="s">
        <v>218</v>
      </c>
      <c r="C122" s="12" t="s">
        <v>219</v>
      </c>
      <c r="D122" s="15" t="s">
        <v>36</v>
      </c>
      <c r="E122" s="85">
        <f>64436.1</f>
        <v>64436.1</v>
      </c>
      <c r="F122" s="231">
        <v>64436.1031466667</v>
      </c>
      <c r="G122" s="85">
        <f t="shared" si="17"/>
        <v>0.00314666669873986</v>
      </c>
      <c r="H122" s="13"/>
      <c r="I122" s="13"/>
    </row>
    <row r="123" customHeight="1" spans="1:9">
      <c r="A123" s="4">
        <v>5</v>
      </c>
      <c r="B123" s="14" t="s">
        <v>523</v>
      </c>
      <c r="C123" s="12" t="s">
        <v>219</v>
      </c>
      <c r="D123" s="15" t="s">
        <v>39</v>
      </c>
      <c r="E123" s="85">
        <f>60212.92</f>
        <v>60212.92</v>
      </c>
      <c r="F123" s="231">
        <v>60212.9156906667</v>
      </c>
      <c r="G123" s="85">
        <f t="shared" si="17"/>
        <v>-0.00430933330062544</v>
      </c>
      <c r="H123" s="13"/>
      <c r="I123" s="13"/>
    </row>
    <row r="124" customHeight="1" spans="1:9">
      <c r="A124" s="4">
        <v>6</v>
      </c>
      <c r="B124" s="11" t="s">
        <v>220</v>
      </c>
      <c r="C124" s="12" t="s">
        <v>221</v>
      </c>
      <c r="D124" s="15" t="s">
        <v>148</v>
      </c>
      <c r="E124" s="85" t="e">
        <f>#REF!</f>
        <v>#REF!</v>
      </c>
      <c r="F124" s="231">
        <v>42652.3733766667</v>
      </c>
      <c r="G124" s="85" t="e">
        <f t="shared" si="17"/>
        <v>#REF!</v>
      </c>
      <c r="H124" s="13"/>
      <c r="I124" s="13"/>
    </row>
    <row r="125" customHeight="1" spans="1:9">
      <c r="A125" s="4">
        <v>7</v>
      </c>
      <c r="B125" s="11" t="s">
        <v>223</v>
      </c>
      <c r="C125" s="12" t="s">
        <v>224</v>
      </c>
      <c r="D125" s="15" t="s">
        <v>52</v>
      </c>
      <c r="E125" s="85">
        <f>44518.93</f>
        <v>44518.93</v>
      </c>
      <c r="F125" s="231">
        <v>45724.5991766667</v>
      </c>
      <c r="G125" s="85">
        <f t="shared" si="17"/>
        <v>1205.6691766667</v>
      </c>
      <c r="H125" s="13"/>
      <c r="I125" s="13"/>
    </row>
    <row r="126" customHeight="1" spans="1:9">
      <c r="A126" s="4">
        <v>8</v>
      </c>
      <c r="B126" s="11" t="s">
        <v>225</v>
      </c>
      <c r="C126" s="12" t="s">
        <v>1039</v>
      </c>
      <c r="D126" s="15" t="s">
        <v>52</v>
      </c>
      <c r="E126" s="85">
        <f>39478.93</f>
        <v>39478.93</v>
      </c>
      <c r="F126" s="231">
        <v>40684.5991766667</v>
      </c>
      <c r="G126" s="85">
        <f t="shared" si="17"/>
        <v>1205.6691766667</v>
      </c>
      <c r="H126" s="13"/>
      <c r="I126" s="13"/>
    </row>
    <row r="127" customHeight="1" spans="1:9">
      <c r="A127" s="4">
        <v>9</v>
      </c>
      <c r="B127" s="18" t="s">
        <v>1209</v>
      </c>
      <c r="C127" s="12" t="s">
        <v>1210</v>
      </c>
      <c r="D127" s="15" t="s">
        <v>55</v>
      </c>
      <c r="E127" s="85">
        <f>38272.44</f>
        <v>38272.44</v>
      </c>
      <c r="F127" s="231">
        <v>39582.8448306667</v>
      </c>
      <c r="G127" s="85">
        <f t="shared" si="17"/>
        <v>1310.4048306667</v>
      </c>
      <c r="H127" s="13"/>
      <c r="I127" s="13"/>
    </row>
    <row r="128" customHeight="1" spans="1:9">
      <c r="A128" s="4">
        <v>10</v>
      </c>
      <c r="B128" s="11" t="s">
        <v>226</v>
      </c>
      <c r="C128" s="12" t="s">
        <v>227</v>
      </c>
      <c r="D128" s="10" t="s">
        <v>80</v>
      </c>
      <c r="E128" s="85">
        <f>21640.95</f>
        <v>21640.95</v>
      </c>
      <c r="F128" s="231">
        <v>22338.4826046667</v>
      </c>
      <c r="G128" s="85">
        <f t="shared" si="17"/>
        <v>697.5326046667</v>
      </c>
      <c r="H128" s="13"/>
      <c r="I128" s="13"/>
    </row>
    <row r="129" customHeight="1" spans="1:9">
      <c r="A129" s="4">
        <v>11</v>
      </c>
      <c r="B129" s="18" t="s">
        <v>228</v>
      </c>
      <c r="C129" s="12" t="s">
        <v>229</v>
      </c>
      <c r="D129" s="15" t="s">
        <v>92</v>
      </c>
      <c r="E129" s="85">
        <f>25245.23</f>
        <v>25245.23</v>
      </c>
      <c r="F129" s="231">
        <v>17042.7138666667</v>
      </c>
      <c r="G129" s="85">
        <f t="shared" si="17"/>
        <v>-8202.5161333333</v>
      </c>
      <c r="H129" s="13"/>
      <c r="I129" s="13"/>
    </row>
    <row r="130" customHeight="1" spans="1:9">
      <c r="A130" s="4"/>
      <c r="B130" s="20" t="s">
        <v>96</v>
      </c>
      <c r="C130" s="26" t="s">
        <v>1211</v>
      </c>
      <c r="D130" s="15"/>
      <c r="E130" s="93" t="e">
        <f t="shared" ref="E130:G130" si="18">SUM(E119:E129)</f>
        <v>#REF!</v>
      </c>
      <c r="F130" s="93">
        <f t="shared" si="18"/>
        <v>698053.141133334</v>
      </c>
      <c r="G130" s="93" t="e">
        <f t="shared" si="18"/>
        <v>#REF!</v>
      </c>
      <c r="H130" s="13"/>
      <c r="I130" s="13"/>
    </row>
    <row r="131" customHeight="1" spans="1:9">
      <c r="A131" s="4"/>
      <c r="B131" s="22"/>
      <c r="C131" s="26"/>
      <c r="D131" s="15"/>
      <c r="E131" s="146"/>
      <c r="F131" s="233"/>
      <c r="G131" s="146"/>
      <c r="H131" s="13"/>
      <c r="I131" s="13"/>
    </row>
    <row r="132" customHeight="1" spans="1:9">
      <c r="A132" s="4"/>
      <c r="B132" s="20" t="s">
        <v>234</v>
      </c>
      <c r="C132" s="12"/>
      <c r="D132" s="15"/>
      <c r="E132" s="85"/>
      <c r="F132" s="231"/>
      <c r="G132" s="85"/>
      <c r="H132" s="13"/>
      <c r="I132" s="13"/>
    </row>
    <row r="133" customHeight="1" spans="1:9">
      <c r="A133" s="27">
        <v>1</v>
      </c>
      <c r="B133" s="11" t="s">
        <v>235</v>
      </c>
      <c r="C133" s="12" t="s">
        <v>236</v>
      </c>
      <c r="D133" s="15" t="s">
        <v>100</v>
      </c>
      <c r="E133" s="85">
        <f>161106.81</f>
        <v>161106.81</v>
      </c>
      <c r="F133" s="231">
        <v>161106.806858667</v>
      </c>
      <c r="G133" s="85">
        <f>F133-E133</f>
        <v>-0.00314133299980313</v>
      </c>
      <c r="H133" s="13"/>
      <c r="I133" s="13"/>
    </row>
    <row r="134" customHeight="1" spans="1:9">
      <c r="A134" s="27">
        <v>2</v>
      </c>
      <c r="B134" s="11" t="s">
        <v>524</v>
      </c>
      <c r="C134" s="12" t="s">
        <v>575</v>
      </c>
      <c r="D134" s="15" t="s">
        <v>189</v>
      </c>
      <c r="E134" s="85">
        <v>82627.95</v>
      </c>
      <c r="F134" s="231">
        <v>82467.1154186667</v>
      </c>
      <c r="G134" s="85">
        <f t="shared" ref="G134:G187" si="19">F134-E134</f>
        <v>-160.8345813333</v>
      </c>
      <c r="H134" s="13"/>
      <c r="I134" s="13"/>
    </row>
    <row r="135" customHeight="1" spans="1:9">
      <c r="A135" s="27">
        <v>3</v>
      </c>
      <c r="B135" s="14" t="s">
        <v>237</v>
      </c>
      <c r="C135" s="4" t="s">
        <v>238</v>
      </c>
      <c r="D135" s="16" t="s">
        <v>110</v>
      </c>
      <c r="E135" s="85" t="e">
        <f>#REF!</f>
        <v>#REF!</v>
      </c>
      <c r="F135" s="231">
        <v>89465.1970506667</v>
      </c>
      <c r="G135" s="85" t="e">
        <f t="shared" si="19"/>
        <v>#REF!</v>
      </c>
      <c r="H135" s="13"/>
      <c r="I135" s="13"/>
    </row>
    <row r="136" customHeight="1" spans="1:9">
      <c r="A136" s="27">
        <v>4</v>
      </c>
      <c r="B136" s="11" t="s">
        <v>239</v>
      </c>
      <c r="C136" s="12" t="s">
        <v>582</v>
      </c>
      <c r="D136" s="15" t="s">
        <v>222</v>
      </c>
      <c r="E136" s="85">
        <f>43380.1</f>
        <v>43380.1</v>
      </c>
      <c r="F136" s="231">
        <v>44734.3393886667</v>
      </c>
      <c r="G136" s="85">
        <f t="shared" si="19"/>
        <v>1354.23938866671</v>
      </c>
      <c r="H136" s="13"/>
      <c r="I136" s="13"/>
    </row>
    <row r="137" customHeight="1" spans="1:9">
      <c r="A137" s="27">
        <v>5</v>
      </c>
      <c r="B137" s="11" t="s">
        <v>241</v>
      </c>
      <c r="C137" s="4" t="s">
        <v>583</v>
      </c>
      <c r="D137" s="15" t="s">
        <v>222</v>
      </c>
      <c r="E137" s="85">
        <f>43380.1</f>
        <v>43380.1</v>
      </c>
      <c r="F137" s="231">
        <v>44846.6165886667</v>
      </c>
      <c r="G137" s="85">
        <f t="shared" si="19"/>
        <v>1466.5165886667</v>
      </c>
      <c r="H137" s="13"/>
      <c r="I137" s="13"/>
    </row>
    <row r="138" customHeight="1" spans="1:9">
      <c r="A138" s="27">
        <v>6</v>
      </c>
      <c r="B138" s="11" t="s">
        <v>176</v>
      </c>
      <c r="C138" s="4" t="s">
        <v>585</v>
      </c>
      <c r="D138" s="15" t="s">
        <v>52</v>
      </c>
      <c r="E138" s="85">
        <f>39582.84</f>
        <v>39582.84</v>
      </c>
      <c r="F138" s="231">
        <v>40698.1248566667</v>
      </c>
      <c r="G138" s="85">
        <f t="shared" si="19"/>
        <v>1115.2848566667</v>
      </c>
      <c r="H138" s="13"/>
      <c r="I138" s="13"/>
    </row>
    <row r="139" customHeight="1" spans="1:9">
      <c r="A139" s="27">
        <v>7</v>
      </c>
      <c r="B139" s="11" t="s">
        <v>178</v>
      </c>
      <c r="C139" s="12" t="s">
        <v>584</v>
      </c>
      <c r="D139" s="15" t="s">
        <v>62</v>
      </c>
      <c r="E139" s="85">
        <f>32848.56</f>
        <v>32848.56</v>
      </c>
      <c r="F139" s="231">
        <v>34968.8824146667</v>
      </c>
      <c r="G139" s="85">
        <f t="shared" si="19"/>
        <v>2120.32241466671</v>
      </c>
      <c r="H139" s="13"/>
      <c r="I139" s="13"/>
    </row>
    <row r="140" customHeight="1" spans="1:9">
      <c r="A140" s="27">
        <v>8</v>
      </c>
      <c r="B140" s="11" t="s">
        <v>244</v>
      </c>
      <c r="C140" s="12" t="s">
        <v>584</v>
      </c>
      <c r="D140" s="15" t="s">
        <v>62</v>
      </c>
      <c r="E140" s="85">
        <f>32938.95</f>
        <v>32938.95</v>
      </c>
      <c r="F140" s="231">
        <v>34968.8824146667</v>
      </c>
      <c r="G140" s="85">
        <f t="shared" si="19"/>
        <v>2029.93241466671</v>
      </c>
      <c r="H140" s="13"/>
      <c r="I140" s="13"/>
    </row>
    <row r="141" customHeight="1" spans="1:9">
      <c r="A141" s="27">
        <v>9</v>
      </c>
      <c r="B141" s="11" t="s">
        <v>245</v>
      </c>
      <c r="C141" s="4" t="s">
        <v>585</v>
      </c>
      <c r="D141" s="15" t="s">
        <v>62</v>
      </c>
      <c r="E141" s="85">
        <f>32938.95</f>
        <v>32938.95</v>
      </c>
      <c r="F141" s="231">
        <v>34968.8824146667</v>
      </c>
      <c r="G141" s="85">
        <f t="shared" si="19"/>
        <v>2029.93241466671</v>
      </c>
      <c r="H141" s="13"/>
      <c r="I141" s="13"/>
    </row>
    <row r="142" customHeight="1" spans="1:9">
      <c r="A142" s="27">
        <v>10</v>
      </c>
      <c r="B142" s="11" t="s">
        <v>247</v>
      </c>
      <c r="C142" s="12" t="s">
        <v>252</v>
      </c>
      <c r="D142" s="15" t="s">
        <v>135</v>
      </c>
      <c r="E142" s="85" t="e">
        <f>#REF!</f>
        <v>#REF!</v>
      </c>
      <c r="F142" s="231">
        <v>32022.1682386667</v>
      </c>
      <c r="G142" s="85" t="e">
        <f t="shared" si="19"/>
        <v>#REF!</v>
      </c>
      <c r="H142" s="13"/>
      <c r="I142" s="13"/>
    </row>
    <row r="143" customHeight="1" spans="1:9">
      <c r="A143" s="27">
        <v>11</v>
      </c>
      <c r="B143" s="11" t="s">
        <v>249</v>
      </c>
      <c r="C143" s="12" t="s">
        <v>1041</v>
      </c>
      <c r="D143" s="15" t="s">
        <v>587</v>
      </c>
      <c r="E143" s="85">
        <f>27029.2</f>
        <v>27029.2</v>
      </c>
      <c r="F143" s="231">
        <v>27794.2066266667</v>
      </c>
      <c r="G143" s="85">
        <f t="shared" si="19"/>
        <v>765.006626666698</v>
      </c>
      <c r="H143" s="13"/>
      <c r="I143" s="13"/>
    </row>
    <row r="144" customHeight="1" spans="1:9">
      <c r="A144" s="27">
        <v>12</v>
      </c>
      <c r="B144" s="11" t="s">
        <v>251</v>
      </c>
      <c r="C144" s="12" t="s">
        <v>252</v>
      </c>
      <c r="D144" s="15" t="s">
        <v>62</v>
      </c>
      <c r="E144" s="85" t="e">
        <f>#REF!</f>
        <v>#REF!</v>
      </c>
      <c r="F144" s="231">
        <v>34128.8824146667</v>
      </c>
      <c r="G144" s="85" t="e">
        <f t="shared" si="19"/>
        <v>#REF!</v>
      </c>
      <c r="H144" s="13"/>
      <c r="I144" s="13"/>
    </row>
    <row r="145" customHeight="1" spans="1:9">
      <c r="A145" s="27">
        <v>13</v>
      </c>
      <c r="B145" s="11" t="s">
        <v>256</v>
      </c>
      <c r="C145" s="4" t="s">
        <v>586</v>
      </c>
      <c r="D145" s="15" t="s">
        <v>104</v>
      </c>
      <c r="E145" s="85">
        <f>26339.08</f>
        <v>26339.08</v>
      </c>
      <c r="F145" s="231">
        <v>27031.2933426667</v>
      </c>
      <c r="G145" s="85">
        <f t="shared" si="19"/>
        <v>692.213342666699</v>
      </c>
      <c r="H145" s="13"/>
      <c r="I145" s="13"/>
    </row>
    <row r="146" customHeight="1" spans="1:9">
      <c r="A146" s="27">
        <v>14</v>
      </c>
      <c r="B146" s="11" t="s">
        <v>257</v>
      </c>
      <c r="C146" s="4" t="s">
        <v>586</v>
      </c>
      <c r="D146" s="15" t="s">
        <v>265</v>
      </c>
      <c r="E146" s="85">
        <f>26264.39</f>
        <v>26264.39</v>
      </c>
      <c r="F146" s="231">
        <v>27105.9865626667</v>
      </c>
      <c r="G146" s="85">
        <f t="shared" si="19"/>
        <v>841.596562666702</v>
      </c>
      <c r="H146" s="13"/>
      <c r="I146" s="13"/>
    </row>
    <row r="147" customHeight="1" spans="1:9">
      <c r="A147" s="27">
        <v>15</v>
      </c>
      <c r="B147" s="11" t="s">
        <v>258</v>
      </c>
      <c r="C147" s="4" t="s">
        <v>586</v>
      </c>
      <c r="D147" s="15" t="s">
        <v>265</v>
      </c>
      <c r="E147" s="85">
        <f>26339.08</f>
        <v>26339.08</v>
      </c>
      <c r="F147" s="231">
        <v>27105.9865626667</v>
      </c>
      <c r="G147" s="85">
        <f t="shared" si="19"/>
        <v>766.9065626667</v>
      </c>
      <c r="H147" s="13"/>
      <c r="I147" s="13"/>
    </row>
    <row r="148" customHeight="1" spans="1:9">
      <c r="A148" s="27">
        <v>16</v>
      </c>
      <c r="B148" s="11" t="s">
        <v>259</v>
      </c>
      <c r="C148" s="12" t="s">
        <v>260</v>
      </c>
      <c r="D148" s="15" t="s">
        <v>70</v>
      </c>
      <c r="E148" s="85">
        <f>25571.82</f>
        <v>25571.82</v>
      </c>
      <c r="F148" s="231">
        <v>25571.8157286667</v>
      </c>
      <c r="G148" s="85">
        <f t="shared" si="19"/>
        <v>-0.00427133329867502</v>
      </c>
      <c r="H148" s="13"/>
      <c r="I148" s="13"/>
    </row>
    <row r="149" customHeight="1" spans="1:9">
      <c r="A149" s="27">
        <v>17</v>
      </c>
      <c r="B149" s="11" t="s">
        <v>1022</v>
      </c>
      <c r="C149" s="12" t="s">
        <v>262</v>
      </c>
      <c r="D149" s="10" t="s">
        <v>83</v>
      </c>
      <c r="E149" s="85">
        <f>21640.95</f>
        <v>21640.95</v>
      </c>
      <c r="F149" s="231">
        <v>21640.9528626667</v>
      </c>
      <c r="G149" s="85">
        <f t="shared" si="19"/>
        <v>0.00286266670082114</v>
      </c>
      <c r="H149" s="13"/>
      <c r="I149" s="13"/>
    </row>
    <row r="150" customHeight="1" spans="1:9">
      <c r="A150" s="27">
        <v>18</v>
      </c>
      <c r="B150" s="11" t="s">
        <v>263</v>
      </c>
      <c r="C150" s="12" t="s">
        <v>264</v>
      </c>
      <c r="D150" s="15" t="s">
        <v>104</v>
      </c>
      <c r="E150" s="85" t="e">
        <f>#REF!</f>
        <v>#REF!</v>
      </c>
      <c r="F150" s="231">
        <v>27105.9865626667</v>
      </c>
      <c r="G150" s="85" t="e">
        <f t="shared" si="19"/>
        <v>#REF!</v>
      </c>
      <c r="H150" s="13"/>
      <c r="I150" s="13"/>
    </row>
    <row r="151" customHeight="1" spans="1:9">
      <c r="A151" s="27">
        <v>19</v>
      </c>
      <c r="B151" s="11" t="s">
        <v>266</v>
      </c>
      <c r="C151" s="12" t="s">
        <v>267</v>
      </c>
      <c r="D151" s="15" t="s">
        <v>80</v>
      </c>
      <c r="E151" s="85">
        <v>21640.95</v>
      </c>
      <c r="F151" s="231">
        <v>22281.8153646667</v>
      </c>
      <c r="G151" s="85">
        <f t="shared" si="19"/>
        <v>640.865364666701</v>
      </c>
      <c r="H151" s="13"/>
      <c r="I151" s="13"/>
    </row>
    <row r="152" customHeight="1" spans="1:9">
      <c r="A152" s="27">
        <v>20</v>
      </c>
      <c r="B152" s="11" t="s">
        <v>268</v>
      </c>
      <c r="C152" s="12" t="s">
        <v>269</v>
      </c>
      <c r="D152" s="15" t="s">
        <v>104</v>
      </c>
      <c r="E152" s="85">
        <v>25571.7080406667</v>
      </c>
      <c r="F152" s="231">
        <v>27105.9865626667</v>
      </c>
      <c r="G152" s="85">
        <f t="shared" si="19"/>
        <v>1534.278522</v>
      </c>
      <c r="H152" s="13"/>
      <c r="I152" s="13"/>
    </row>
    <row r="153" customHeight="1" spans="1:9">
      <c r="A153" s="27">
        <v>21</v>
      </c>
      <c r="B153" s="11" t="s">
        <v>270</v>
      </c>
      <c r="C153" s="12" t="s">
        <v>271</v>
      </c>
      <c r="D153" s="15" t="s">
        <v>80</v>
      </c>
      <c r="E153" s="85">
        <f>18102.9+3538.05</f>
        <v>21640.95</v>
      </c>
      <c r="F153" s="231">
        <v>22338.4826046667</v>
      </c>
      <c r="G153" s="85">
        <f t="shared" si="19"/>
        <v>697.5326046667</v>
      </c>
      <c r="H153" s="13"/>
      <c r="I153" s="13"/>
    </row>
    <row r="154" customHeight="1" spans="1:9">
      <c r="A154" s="27">
        <v>22</v>
      </c>
      <c r="B154" s="18" t="s">
        <v>272</v>
      </c>
      <c r="C154" s="12" t="s">
        <v>278</v>
      </c>
      <c r="D154" s="15" t="s">
        <v>1198</v>
      </c>
      <c r="E154" s="85">
        <f>17572.89</f>
        <v>17572.89</v>
      </c>
      <c r="F154" s="231">
        <v>18102.9027326667</v>
      </c>
      <c r="G154" s="85">
        <f t="shared" si="19"/>
        <v>530.012732666699</v>
      </c>
      <c r="H154" s="13"/>
      <c r="I154" s="13"/>
    </row>
    <row r="155" customHeight="1" spans="1:9">
      <c r="A155" s="27">
        <v>23</v>
      </c>
      <c r="B155" s="18" t="s">
        <v>1212</v>
      </c>
      <c r="C155" s="12" t="s">
        <v>276</v>
      </c>
      <c r="D155" s="15" t="s">
        <v>92</v>
      </c>
      <c r="E155" s="85">
        <f>16512.68</f>
        <v>16512.68</v>
      </c>
      <c r="F155" s="231">
        <v>17042.7138666667</v>
      </c>
      <c r="G155" s="85">
        <f t="shared" si="19"/>
        <v>530.033866666701</v>
      </c>
      <c r="H155" s="13"/>
      <c r="I155" s="13"/>
    </row>
    <row r="156" customHeight="1" spans="1:9">
      <c r="A156" s="27">
        <v>24</v>
      </c>
      <c r="B156" s="18" t="s">
        <v>275</v>
      </c>
      <c r="C156" s="12" t="s">
        <v>276</v>
      </c>
      <c r="D156" s="15" t="s">
        <v>95</v>
      </c>
      <c r="E156" s="85">
        <f>16512.68</f>
        <v>16512.68</v>
      </c>
      <c r="F156" s="231">
        <v>16512.6821906667</v>
      </c>
      <c r="G156" s="85">
        <f t="shared" si="19"/>
        <v>0.0021906666988798</v>
      </c>
      <c r="H156" s="13"/>
      <c r="I156" s="13"/>
    </row>
    <row r="157" customHeight="1" spans="1:9">
      <c r="A157" s="27">
        <v>25</v>
      </c>
      <c r="B157" s="18" t="s">
        <v>277</v>
      </c>
      <c r="C157" s="12" t="s">
        <v>278</v>
      </c>
      <c r="D157" s="15" t="s">
        <v>95</v>
      </c>
      <c r="E157" s="85">
        <f t="shared" ref="E157:E159" si="20">16512.68</f>
        <v>16512.68</v>
      </c>
      <c r="F157" s="231">
        <v>16514.2287906667</v>
      </c>
      <c r="G157" s="85">
        <f t="shared" si="19"/>
        <v>1.54879066670037</v>
      </c>
      <c r="H157" s="13"/>
      <c r="I157" s="13"/>
    </row>
    <row r="158" customHeight="1" spans="1:9">
      <c r="A158" s="27">
        <v>26</v>
      </c>
      <c r="B158" s="18" t="s">
        <v>279</v>
      </c>
      <c r="C158" s="12" t="s">
        <v>280</v>
      </c>
      <c r="D158" s="15" t="s">
        <v>92</v>
      </c>
      <c r="E158" s="85">
        <f t="shared" si="20"/>
        <v>16512.68</v>
      </c>
      <c r="F158" s="231">
        <v>17043.0178666667</v>
      </c>
      <c r="G158" s="85">
        <f t="shared" si="19"/>
        <v>530.337866666701</v>
      </c>
      <c r="H158" s="13"/>
      <c r="I158" s="13"/>
    </row>
    <row r="159" customHeight="1" spans="1:9">
      <c r="A159" s="27">
        <v>27</v>
      </c>
      <c r="B159" s="18" t="s">
        <v>281</v>
      </c>
      <c r="C159" s="12" t="s">
        <v>282</v>
      </c>
      <c r="D159" s="15" t="s">
        <v>92</v>
      </c>
      <c r="E159" s="85">
        <f t="shared" si="20"/>
        <v>16512.68</v>
      </c>
      <c r="F159" s="231">
        <v>17008.32336</v>
      </c>
      <c r="G159" s="85">
        <f t="shared" si="19"/>
        <v>495.643359999998</v>
      </c>
      <c r="H159" s="13"/>
      <c r="I159" s="13"/>
    </row>
    <row r="160" customHeight="1" spans="1:9">
      <c r="A160" s="27">
        <v>28</v>
      </c>
      <c r="B160" s="11" t="s">
        <v>287</v>
      </c>
      <c r="C160" s="12" t="s">
        <v>288</v>
      </c>
      <c r="D160" s="15" t="s">
        <v>295</v>
      </c>
      <c r="E160" s="85">
        <f>9117.05</f>
        <v>9117.05</v>
      </c>
      <c r="F160" s="231">
        <v>10776.4576266667</v>
      </c>
      <c r="G160" s="85">
        <f t="shared" si="19"/>
        <v>1659.4076266667</v>
      </c>
      <c r="H160" s="13"/>
      <c r="I160" s="13"/>
    </row>
    <row r="161" customHeight="1" spans="1:9">
      <c r="A161" s="27">
        <v>29</v>
      </c>
      <c r="B161" s="11" t="s">
        <v>290</v>
      </c>
      <c r="C161" s="12" t="s">
        <v>288</v>
      </c>
      <c r="D161" s="15" t="s">
        <v>295</v>
      </c>
      <c r="E161" s="85">
        <f>9504.2</f>
        <v>9504.2</v>
      </c>
      <c r="F161" s="231">
        <v>11232.4576266667</v>
      </c>
      <c r="G161" s="85">
        <f t="shared" si="19"/>
        <v>1728.2576266667</v>
      </c>
      <c r="H161" s="13"/>
      <c r="I161" s="13"/>
    </row>
    <row r="162" customHeight="1" spans="1:9">
      <c r="A162" s="27">
        <v>30</v>
      </c>
      <c r="B162" s="11" t="s">
        <v>291</v>
      </c>
      <c r="C162" s="12" t="s">
        <v>288</v>
      </c>
      <c r="D162" s="15" t="s">
        <v>295</v>
      </c>
      <c r="E162" s="85">
        <f>9144.2</f>
        <v>9144.2</v>
      </c>
      <c r="F162" s="231">
        <v>10776.4576266667</v>
      </c>
      <c r="G162" s="85">
        <f t="shared" si="19"/>
        <v>1632.2576266667</v>
      </c>
      <c r="H162" s="13"/>
      <c r="I162" s="13"/>
    </row>
    <row r="163" customHeight="1" spans="1:9">
      <c r="A163" s="27">
        <v>31</v>
      </c>
      <c r="B163" s="11" t="s">
        <v>739</v>
      </c>
      <c r="C163" s="12" t="s">
        <v>288</v>
      </c>
      <c r="D163" s="15" t="s">
        <v>295</v>
      </c>
      <c r="E163" s="85">
        <f>9144.2</f>
        <v>9144.2</v>
      </c>
      <c r="F163" s="231">
        <v>10776.4576266667</v>
      </c>
      <c r="G163" s="85">
        <f t="shared" si="19"/>
        <v>1632.2576266667</v>
      </c>
      <c r="H163" s="13"/>
      <c r="I163" s="13"/>
    </row>
    <row r="164" customHeight="1" spans="1:9">
      <c r="A164" s="27">
        <v>32</v>
      </c>
      <c r="B164" s="11" t="s">
        <v>292</v>
      </c>
      <c r="C164" s="12" t="s">
        <v>288</v>
      </c>
      <c r="D164" s="15" t="s">
        <v>295</v>
      </c>
      <c r="E164" s="85">
        <f>9117.05</f>
        <v>9117.05</v>
      </c>
      <c r="F164" s="231">
        <v>10743.7372</v>
      </c>
      <c r="G164" s="85">
        <f t="shared" si="19"/>
        <v>1626.6872</v>
      </c>
      <c r="H164" s="13"/>
      <c r="I164" s="13"/>
    </row>
    <row r="165" customHeight="1" spans="1:9">
      <c r="A165" s="27">
        <v>33</v>
      </c>
      <c r="B165" s="11" t="s">
        <v>293</v>
      </c>
      <c r="C165" s="12" t="s">
        <v>288</v>
      </c>
      <c r="D165" s="15" t="s">
        <v>295</v>
      </c>
      <c r="E165" s="85">
        <f>9144.2</f>
        <v>9144.2</v>
      </c>
      <c r="F165" s="231">
        <v>10776.4576266667</v>
      </c>
      <c r="G165" s="85">
        <f t="shared" si="19"/>
        <v>1632.2576266667</v>
      </c>
      <c r="H165" s="13"/>
      <c r="I165" s="13"/>
    </row>
    <row r="166" customHeight="1" spans="1:9">
      <c r="A166" s="27">
        <v>34</v>
      </c>
      <c r="B166" s="11" t="s">
        <v>294</v>
      </c>
      <c r="C166" s="12" t="s">
        <v>288</v>
      </c>
      <c r="D166" s="15" t="s">
        <v>306</v>
      </c>
      <c r="E166" s="85">
        <v>9152.6</v>
      </c>
      <c r="F166" s="231">
        <v>9504.20414</v>
      </c>
      <c r="G166" s="85">
        <f t="shared" si="19"/>
        <v>351.604139999999</v>
      </c>
      <c r="H166" s="13"/>
      <c r="I166" s="13"/>
    </row>
    <row r="167" customHeight="1" spans="1:9">
      <c r="A167" s="27">
        <v>35</v>
      </c>
      <c r="B167" s="11" t="s">
        <v>296</v>
      </c>
      <c r="C167" s="12" t="s">
        <v>288</v>
      </c>
      <c r="D167" s="15" t="s">
        <v>306</v>
      </c>
      <c r="E167" s="85">
        <v>8792.6</v>
      </c>
      <c r="F167" s="231">
        <v>9144.20414</v>
      </c>
      <c r="G167" s="85">
        <f t="shared" si="19"/>
        <v>351.604139999999</v>
      </c>
      <c r="H167" s="13"/>
      <c r="I167" s="13"/>
    </row>
    <row r="168" customHeight="1" spans="1:9">
      <c r="A168" s="27">
        <v>36</v>
      </c>
      <c r="B168" s="11" t="s">
        <v>1190</v>
      </c>
      <c r="C168" s="12" t="s">
        <v>288</v>
      </c>
      <c r="D168" s="15" t="s">
        <v>306</v>
      </c>
      <c r="E168" s="85">
        <v>8792.6</v>
      </c>
      <c r="F168" s="231">
        <v>9144.20414</v>
      </c>
      <c r="G168" s="85">
        <f t="shared" si="19"/>
        <v>351.604139999999</v>
      </c>
      <c r="H168" s="13"/>
      <c r="I168" s="13"/>
    </row>
    <row r="169" customHeight="1" spans="1:9">
      <c r="A169" s="27">
        <v>37</v>
      </c>
      <c r="B169" s="14" t="s">
        <v>297</v>
      </c>
      <c r="C169" s="12" t="s">
        <v>288</v>
      </c>
      <c r="D169" s="15" t="s">
        <v>306</v>
      </c>
      <c r="E169" s="85">
        <v>9152.6</v>
      </c>
      <c r="F169" s="231">
        <v>9504.20414</v>
      </c>
      <c r="G169" s="85">
        <f t="shared" si="19"/>
        <v>351.604139999999</v>
      </c>
      <c r="H169" s="13"/>
      <c r="I169" s="13"/>
    </row>
    <row r="170" customHeight="1" spans="1:9">
      <c r="A170" s="27">
        <v>38</v>
      </c>
      <c r="B170" s="11" t="s">
        <v>298</v>
      </c>
      <c r="C170" s="12" t="s">
        <v>288</v>
      </c>
      <c r="D170" s="15" t="s">
        <v>306</v>
      </c>
      <c r="E170" s="85">
        <v>8792.6</v>
      </c>
      <c r="F170" s="231">
        <v>9144.20414</v>
      </c>
      <c r="G170" s="85">
        <f t="shared" si="19"/>
        <v>351.604139999999</v>
      </c>
      <c r="H170" s="13"/>
      <c r="I170" s="13"/>
    </row>
    <row r="171" customHeight="1" spans="1:9">
      <c r="A171" s="27">
        <v>39</v>
      </c>
      <c r="B171" s="18" t="s">
        <v>299</v>
      </c>
      <c r="C171" s="12" t="s">
        <v>288</v>
      </c>
      <c r="D171" s="15" t="s">
        <v>306</v>
      </c>
      <c r="E171" s="85">
        <v>8792.6</v>
      </c>
      <c r="F171" s="231">
        <v>9144.20414</v>
      </c>
      <c r="G171" s="85">
        <f t="shared" si="19"/>
        <v>351.604139999999</v>
      </c>
      <c r="H171" s="13"/>
      <c r="I171" s="13"/>
    </row>
    <row r="172" customHeight="1" spans="1:9">
      <c r="A172" s="27">
        <v>40</v>
      </c>
      <c r="B172" s="18" t="s">
        <v>300</v>
      </c>
      <c r="C172" s="12" t="s">
        <v>288</v>
      </c>
      <c r="D172" s="15" t="s">
        <v>306</v>
      </c>
      <c r="E172" s="85">
        <v>9152.6</v>
      </c>
      <c r="F172" s="231">
        <v>9504.20414</v>
      </c>
      <c r="G172" s="85">
        <f t="shared" si="19"/>
        <v>351.604139999999</v>
      </c>
      <c r="H172" s="13"/>
      <c r="I172" s="13"/>
    </row>
    <row r="173" customHeight="1" spans="1:9">
      <c r="A173" s="27">
        <v>41</v>
      </c>
      <c r="B173" s="11" t="s">
        <v>301</v>
      </c>
      <c r="C173" s="12" t="s">
        <v>308</v>
      </c>
      <c r="D173" s="15" t="s">
        <v>588</v>
      </c>
      <c r="E173" s="85">
        <f>4227.52</f>
        <v>4227.52</v>
      </c>
      <c r="F173" s="231">
        <v>4365.33075466667</v>
      </c>
      <c r="G173" s="85">
        <f t="shared" si="19"/>
        <v>137.81075466667</v>
      </c>
      <c r="H173" s="13"/>
      <c r="I173" s="13"/>
    </row>
    <row r="174" customHeight="1" spans="1:9">
      <c r="A174" s="27">
        <v>42</v>
      </c>
      <c r="B174" s="11" t="s">
        <v>304</v>
      </c>
      <c r="C174" s="12" t="s">
        <v>308</v>
      </c>
      <c r="D174" s="15" t="s">
        <v>588</v>
      </c>
      <c r="E174" s="85">
        <f>4227.52</f>
        <v>4227.52</v>
      </c>
      <c r="F174" s="231">
        <v>4365.33075466667</v>
      </c>
      <c r="G174" s="85">
        <f t="shared" si="19"/>
        <v>137.81075466667</v>
      </c>
      <c r="H174" s="13"/>
      <c r="I174" s="13"/>
    </row>
    <row r="175" customHeight="1" spans="1:9">
      <c r="A175" s="27">
        <v>43</v>
      </c>
      <c r="B175" s="18" t="s">
        <v>305</v>
      </c>
      <c r="C175" s="12" t="s">
        <v>308</v>
      </c>
      <c r="D175" s="15" t="s">
        <v>1017</v>
      </c>
      <c r="E175" s="85">
        <f>4365.33</f>
        <v>4365.33</v>
      </c>
      <c r="F175" s="231">
        <v>4504.41092</v>
      </c>
      <c r="G175" s="85">
        <f t="shared" si="19"/>
        <v>139.08092</v>
      </c>
      <c r="H175" s="13"/>
      <c r="I175" s="13"/>
    </row>
    <row r="176" customHeight="1" spans="1:9">
      <c r="A176" s="27">
        <v>44</v>
      </c>
      <c r="B176" s="11" t="s">
        <v>307</v>
      </c>
      <c r="C176" s="12" t="s">
        <v>308</v>
      </c>
      <c r="D176" s="15" t="s">
        <v>1023</v>
      </c>
      <c r="E176" s="85">
        <f>4089.72</f>
        <v>4089.72</v>
      </c>
      <c r="F176" s="231">
        <v>4227.52372266667</v>
      </c>
      <c r="G176" s="85">
        <f t="shared" si="19"/>
        <v>137.803722666671</v>
      </c>
      <c r="H176" s="13"/>
      <c r="I176" s="13"/>
    </row>
    <row r="177" customHeight="1" spans="1:9">
      <c r="A177" s="27">
        <v>45</v>
      </c>
      <c r="B177" s="11" t="s">
        <v>309</v>
      </c>
      <c r="C177" s="12" t="s">
        <v>310</v>
      </c>
      <c r="D177" s="15" t="s">
        <v>1024</v>
      </c>
      <c r="E177" s="85">
        <f>3951.8</f>
        <v>3951.8</v>
      </c>
      <c r="F177" s="231">
        <v>4089.71669066667</v>
      </c>
      <c r="G177" s="85">
        <f t="shared" si="19"/>
        <v>137.91669066667</v>
      </c>
      <c r="H177" s="13"/>
      <c r="I177" s="13"/>
    </row>
    <row r="178" customHeight="1" spans="1:9">
      <c r="A178" s="27">
        <v>46</v>
      </c>
      <c r="B178" s="11" t="s">
        <v>312</v>
      </c>
      <c r="C178" s="12" t="s">
        <v>310</v>
      </c>
      <c r="D178" s="15" t="s">
        <v>1024</v>
      </c>
      <c r="E178" s="85">
        <f>3687.8</f>
        <v>3687.8</v>
      </c>
      <c r="F178" s="231">
        <v>3825.71669066667</v>
      </c>
      <c r="G178" s="85">
        <f t="shared" si="19"/>
        <v>137.91669066667</v>
      </c>
      <c r="H178" s="13"/>
      <c r="I178" s="13"/>
    </row>
    <row r="179" customHeight="1" spans="1:9">
      <c r="A179" s="27">
        <v>47</v>
      </c>
      <c r="B179" s="11" t="s">
        <v>313</v>
      </c>
      <c r="C179" s="12" t="s">
        <v>310</v>
      </c>
      <c r="D179" s="15" t="s">
        <v>1024</v>
      </c>
      <c r="E179" s="85">
        <f>3951.8</f>
        <v>3951.8</v>
      </c>
      <c r="F179" s="231">
        <v>4089.71669066667</v>
      </c>
      <c r="G179" s="85">
        <f t="shared" si="19"/>
        <v>137.91669066667</v>
      </c>
      <c r="H179" s="13"/>
      <c r="I179" s="13"/>
    </row>
    <row r="180" customHeight="1" spans="1:9">
      <c r="A180" s="27">
        <v>48</v>
      </c>
      <c r="B180" s="11" t="s">
        <v>314</v>
      </c>
      <c r="C180" s="12" t="s">
        <v>310</v>
      </c>
      <c r="D180" s="15" t="s">
        <v>1024</v>
      </c>
      <c r="E180" s="85">
        <f>3687.8</f>
        <v>3687.8</v>
      </c>
      <c r="F180" s="231">
        <v>3825.71669066667</v>
      </c>
      <c r="G180" s="85">
        <f t="shared" si="19"/>
        <v>137.91669066667</v>
      </c>
      <c r="H180" s="13"/>
      <c r="I180" s="13"/>
    </row>
    <row r="181" customHeight="1" spans="1:9">
      <c r="A181" s="27">
        <v>49</v>
      </c>
      <c r="B181" s="11" t="s">
        <v>315</v>
      </c>
      <c r="C181" s="12" t="s">
        <v>310</v>
      </c>
      <c r="D181" s="15" t="s">
        <v>1024</v>
      </c>
      <c r="E181" s="85">
        <f>3951.8</f>
        <v>3951.8</v>
      </c>
      <c r="F181" s="231">
        <v>4089.71669066667</v>
      </c>
      <c r="G181" s="85">
        <f t="shared" si="19"/>
        <v>137.91669066667</v>
      </c>
      <c r="H181" s="13"/>
      <c r="I181" s="13"/>
    </row>
    <row r="182" customHeight="1" spans="1:9">
      <c r="A182" s="27">
        <v>50</v>
      </c>
      <c r="B182" s="18" t="s">
        <v>316</v>
      </c>
      <c r="C182" s="12" t="s">
        <v>310</v>
      </c>
      <c r="D182" s="15" t="s">
        <v>1024</v>
      </c>
      <c r="E182" s="85">
        <f>3687.8</f>
        <v>3687.8</v>
      </c>
      <c r="F182" s="231">
        <v>3825.71669066667</v>
      </c>
      <c r="G182" s="85">
        <f t="shared" si="19"/>
        <v>137.91669066667</v>
      </c>
      <c r="H182" s="13"/>
      <c r="I182" s="13"/>
    </row>
    <row r="183" customHeight="1" spans="1:9">
      <c r="A183" s="27">
        <v>51</v>
      </c>
      <c r="B183" s="18" t="s">
        <v>317</v>
      </c>
      <c r="C183" s="12" t="s">
        <v>310</v>
      </c>
      <c r="D183" s="15" t="s">
        <v>1024</v>
      </c>
      <c r="E183" s="85">
        <f>3951.8</f>
        <v>3951.8</v>
      </c>
      <c r="F183" s="231">
        <v>4089.71669066667</v>
      </c>
      <c r="G183" s="85">
        <f t="shared" si="19"/>
        <v>137.91669066667</v>
      </c>
      <c r="H183" s="13"/>
      <c r="I183" s="13"/>
    </row>
    <row r="184" customHeight="1" spans="1:9">
      <c r="A184" s="27">
        <v>52</v>
      </c>
      <c r="B184" s="11" t="s">
        <v>318</v>
      </c>
      <c r="C184" s="12" t="s">
        <v>308</v>
      </c>
      <c r="D184" s="15" t="s">
        <v>1024</v>
      </c>
      <c r="E184" s="85">
        <f>3951.8</f>
        <v>3951.8</v>
      </c>
      <c r="F184" s="231">
        <v>4089.71669066667</v>
      </c>
      <c r="G184" s="85">
        <f t="shared" si="19"/>
        <v>137.91669066667</v>
      </c>
      <c r="H184" s="13"/>
      <c r="I184" s="13"/>
    </row>
    <row r="185" customHeight="1" spans="1:9">
      <c r="A185" s="27">
        <v>53</v>
      </c>
      <c r="B185" s="11" t="s">
        <v>319</v>
      </c>
      <c r="C185" s="12" t="s">
        <v>308</v>
      </c>
      <c r="D185" s="15" t="s">
        <v>1024</v>
      </c>
      <c r="E185" s="85">
        <f>3951.8</f>
        <v>3951.8</v>
      </c>
      <c r="F185" s="231">
        <v>4089.71669066667</v>
      </c>
      <c r="G185" s="85">
        <f t="shared" si="19"/>
        <v>137.91669066667</v>
      </c>
      <c r="H185" s="13"/>
      <c r="I185" s="13"/>
    </row>
    <row r="186" customHeight="1" spans="1:9">
      <c r="A186" s="27">
        <v>54</v>
      </c>
      <c r="B186" s="18" t="s">
        <v>320</v>
      </c>
      <c r="C186" s="12" t="s">
        <v>310</v>
      </c>
      <c r="D186" s="15" t="s">
        <v>1042</v>
      </c>
      <c r="E186" s="85">
        <f>3183.66</f>
        <v>3183.66</v>
      </c>
      <c r="F186" s="231">
        <v>3064.87207866667</v>
      </c>
      <c r="G186" s="85">
        <f t="shared" si="19"/>
        <v>-118.78792133333</v>
      </c>
      <c r="H186" s="13"/>
      <c r="I186" s="13"/>
    </row>
    <row r="187" customHeight="1" spans="1:9">
      <c r="A187" s="27">
        <v>55</v>
      </c>
      <c r="B187" s="18" t="s">
        <v>325</v>
      </c>
      <c r="C187" s="12" t="s">
        <v>310</v>
      </c>
      <c r="D187" s="15" t="s">
        <v>1025</v>
      </c>
      <c r="E187" s="85">
        <f>2972.91</f>
        <v>2972.91</v>
      </c>
      <c r="F187" s="231">
        <v>3091.53684866667</v>
      </c>
      <c r="G187" s="85">
        <f t="shared" si="19"/>
        <v>118.62684866667</v>
      </c>
      <c r="H187" s="13"/>
      <c r="I187" s="13"/>
    </row>
    <row r="188" customHeight="1" spans="1:9">
      <c r="A188" s="27"/>
      <c r="B188" s="8" t="s">
        <v>96</v>
      </c>
      <c r="C188" s="28" t="s">
        <v>1191</v>
      </c>
      <c r="D188" s="29"/>
      <c r="E188" s="93" t="e">
        <f>SUM(E133:E187)</f>
        <v>#REF!</v>
      </c>
      <c r="F188" s="93">
        <f t="shared" ref="F188:G188" si="21">SUM(F133:F187)</f>
        <v>1181488.189256</v>
      </c>
      <c r="G188" s="93" t="e">
        <f t="shared" si="21"/>
        <v>#REF!</v>
      </c>
      <c r="H188" s="13"/>
      <c r="I188" s="13"/>
    </row>
    <row r="189" customHeight="1" spans="1:9">
      <c r="A189" s="4"/>
      <c r="B189" s="30" t="s">
        <v>336</v>
      </c>
      <c r="C189" s="31">
        <f>C37+C42+C57+C61+C77+C85+C99+C106+C116+C130+C188+2</f>
        <v>154</v>
      </c>
      <c r="D189" s="32"/>
      <c r="E189" s="227" t="e">
        <f>E37+E42+E57+E61+E77+E85+E99+E106+E116+E130+E188</f>
        <v>#REF!</v>
      </c>
      <c r="F189" s="227">
        <f t="shared" ref="F189:G189" si="22">F37+F42+F57+F61+F77+F85+F99+F106+F116+F130+F188</f>
        <v>7135974.55831501</v>
      </c>
      <c r="G189" s="227" t="e">
        <f t="shared" si="22"/>
        <v>#REF!</v>
      </c>
      <c r="H189" s="13"/>
      <c r="I189" s="13"/>
    </row>
    <row r="190" customHeight="1" spans="2:9">
      <c r="B190" s="33"/>
      <c r="D190" s="34"/>
      <c r="E190" s="229"/>
      <c r="F190" s="229"/>
      <c r="G190" s="229"/>
      <c r="I190" s="35"/>
    </row>
    <row r="191" ht="65.25" customHeight="1" spans="2:7">
      <c r="B191" s="33"/>
      <c r="C191" s="34"/>
      <c r="D191" s="34"/>
      <c r="E191" s="229"/>
      <c r="F191" s="229"/>
      <c r="G191" s="229"/>
    </row>
  </sheetData>
  <mergeCells count="1">
    <mergeCell ref="A1:D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1"/>
  <sheetViews>
    <sheetView view="pageBreakPreview" zoomScaleNormal="100" workbookViewId="0">
      <pane xSplit="3" ySplit="6" topLeftCell="D188" activePane="bottomRight" state="frozen"/>
      <selection/>
      <selection pane="topRight"/>
      <selection pane="bottomLeft"/>
      <selection pane="bottomRight" activeCell="D191" sqref="D191"/>
    </sheetView>
  </sheetViews>
  <sheetFormatPr defaultColWidth="9.13636363636364" defaultRowHeight="20.1" customHeight="1"/>
  <cols>
    <col min="1" max="1" width="5.42727272727273" style="1" customWidth="1"/>
    <col min="2" max="2" width="43.8545454545455" style="1" customWidth="1"/>
    <col min="3" max="3" width="40.4272727272727" style="1" customWidth="1"/>
    <col min="4" max="4" width="11.5727272727273" style="1" customWidth="1"/>
    <col min="5" max="5" width="17.8545454545455" style="1" customWidth="1"/>
    <col min="6" max="7" width="14.8545454545455" style="1" customWidth="1"/>
    <col min="8" max="8" width="17.7090909090909" style="1" customWidth="1"/>
    <col min="9" max="9" width="21.7090909090909" style="1" customWidth="1"/>
    <col min="10" max="16384" width="9.13636363636364" style="1"/>
  </cols>
  <sheetData>
    <row r="1" ht="27" customHeight="1" spans="1:5">
      <c r="A1" s="76" t="s">
        <v>0</v>
      </c>
      <c r="B1" s="76"/>
      <c r="C1" s="76"/>
      <c r="D1" s="76"/>
      <c r="E1" s="76"/>
    </row>
    <row r="2" ht="33.75" customHeight="1" spans="1:8">
      <c r="A2" s="76" t="s">
        <v>1195</v>
      </c>
      <c r="B2" s="77"/>
      <c r="C2" s="76"/>
      <c r="D2" s="76"/>
      <c r="E2" s="216"/>
      <c r="F2" s="78"/>
      <c r="G2" s="78"/>
      <c r="H2" s="78"/>
    </row>
    <row r="3" ht="9.75" customHeight="1" spans="5:5">
      <c r="E3" s="217" t="e">
        <f>'[1]FEB 08'!E11/'[1]FEB 08'!M11</f>
        <v>#REF!</v>
      </c>
    </row>
    <row r="4" ht="45" customHeight="1" spans="1:8">
      <c r="A4" s="4"/>
      <c r="B4" s="5" t="s">
        <v>2</v>
      </c>
      <c r="C4" s="6" t="s">
        <v>3</v>
      </c>
      <c r="D4" s="7" t="s">
        <v>4</v>
      </c>
      <c r="E4" s="218" t="s">
        <v>5</v>
      </c>
      <c r="F4" s="218" t="s">
        <v>1213</v>
      </c>
      <c r="G4" s="218" t="s">
        <v>1214</v>
      </c>
      <c r="H4" s="24" t="s">
        <v>594</v>
      </c>
    </row>
    <row r="5" customHeight="1" spans="1:8">
      <c r="A5" s="9" t="s">
        <v>20</v>
      </c>
      <c r="B5" s="8" t="s">
        <v>21</v>
      </c>
      <c r="C5" s="8"/>
      <c r="D5" s="8"/>
      <c r="E5" s="82" t="s">
        <v>19</v>
      </c>
      <c r="F5" s="82" t="s">
        <v>19</v>
      </c>
      <c r="G5" s="82" t="s">
        <v>19</v>
      </c>
      <c r="H5" s="82" t="s">
        <v>19</v>
      </c>
    </row>
    <row r="6" customHeight="1" spans="1:9">
      <c r="A6" s="10">
        <v>1</v>
      </c>
      <c r="B6" s="11" t="s">
        <v>22</v>
      </c>
      <c r="C6" s="12" t="s">
        <v>23</v>
      </c>
      <c r="D6" s="12" t="s">
        <v>24</v>
      </c>
      <c r="E6" s="85">
        <v>160488.75</v>
      </c>
      <c r="F6" s="85"/>
      <c r="G6" s="85"/>
      <c r="H6" s="85"/>
      <c r="I6" s="13"/>
    </row>
    <row r="7" customHeight="1" spans="1:9">
      <c r="A7" s="10">
        <v>2</v>
      </c>
      <c r="B7" s="11" t="s">
        <v>1085</v>
      </c>
      <c r="C7" s="4" t="s">
        <v>1175</v>
      </c>
      <c r="D7" s="10" t="s">
        <v>189</v>
      </c>
      <c r="E7" s="85">
        <f>42653.17</f>
        <v>42653.17</v>
      </c>
      <c r="F7" s="85">
        <f>0.025*E7</f>
        <v>1066.32925</v>
      </c>
      <c r="G7" s="85">
        <f>'[14]April 2022'!$H$26</f>
        <v>1028.94225</v>
      </c>
      <c r="H7" s="85">
        <f>F7-G7</f>
        <v>37.3869999999999</v>
      </c>
      <c r="I7" s="13"/>
    </row>
    <row r="8" customHeight="1" spans="1:9">
      <c r="A8" s="10">
        <v>3</v>
      </c>
      <c r="B8" s="14" t="s">
        <v>1176</v>
      </c>
      <c r="C8" s="4" t="s">
        <v>1177</v>
      </c>
      <c r="D8" s="10" t="s">
        <v>189</v>
      </c>
      <c r="E8" s="85">
        <f>42653.17</f>
        <v>42653.17</v>
      </c>
      <c r="F8" s="85"/>
      <c r="G8" s="85"/>
      <c r="H8" s="85">
        <f t="shared" ref="H8:H71" si="0">F8-G8</f>
        <v>0</v>
      </c>
      <c r="I8" s="13"/>
    </row>
    <row r="9" customHeight="1" spans="1:9">
      <c r="A9" s="10">
        <v>4</v>
      </c>
      <c r="B9" s="11" t="s">
        <v>25</v>
      </c>
      <c r="C9" s="12" t="s">
        <v>26</v>
      </c>
      <c r="D9" s="10" t="s">
        <v>27</v>
      </c>
      <c r="E9" s="85">
        <f>42653.17</f>
        <v>42653.17</v>
      </c>
      <c r="F9" s="85"/>
      <c r="G9" s="85"/>
      <c r="H9" s="85">
        <f t="shared" si="0"/>
        <v>0</v>
      </c>
      <c r="I9" s="13"/>
    </row>
    <row r="10" customHeight="1" spans="1:9">
      <c r="A10" s="10">
        <v>5</v>
      </c>
      <c r="B10" s="14" t="s">
        <v>28</v>
      </c>
      <c r="C10" s="4" t="s">
        <v>29</v>
      </c>
      <c r="D10" s="15" t="s">
        <v>110</v>
      </c>
      <c r="E10" s="85">
        <v>41157.69</v>
      </c>
      <c r="F10" s="85"/>
      <c r="G10" s="85"/>
      <c r="H10" s="85">
        <f t="shared" si="0"/>
        <v>0</v>
      </c>
      <c r="I10" s="13"/>
    </row>
    <row r="11" customHeight="1" spans="1:9">
      <c r="A11" s="10">
        <v>6</v>
      </c>
      <c r="B11" s="14" t="s">
        <v>173</v>
      </c>
      <c r="C11" s="4" t="s">
        <v>1087</v>
      </c>
      <c r="D11" s="16" t="s">
        <v>110</v>
      </c>
      <c r="E11" s="85">
        <f>41157.69</f>
        <v>41157.69</v>
      </c>
      <c r="F11" s="85">
        <f>0.025*E11</f>
        <v>1028.94225</v>
      </c>
      <c r="G11" s="85">
        <f>G7</f>
        <v>1028.94225</v>
      </c>
      <c r="H11" s="85">
        <f t="shared" si="0"/>
        <v>0</v>
      </c>
      <c r="I11" s="13"/>
    </row>
    <row r="12" customHeight="1" spans="1:9">
      <c r="A12" s="10">
        <v>7</v>
      </c>
      <c r="B12" s="11" t="s">
        <v>30</v>
      </c>
      <c r="C12" s="17" t="s">
        <v>31</v>
      </c>
      <c r="D12" s="16" t="s">
        <v>110</v>
      </c>
      <c r="E12" s="85">
        <f t="shared" ref="E12:E13" si="1">41157.69</f>
        <v>41157.69</v>
      </c>
      <c r="F12" s="85">
        <f>0.025*E12</f>
        <v>1028.94225</v>
      </c>
      <c r="G12" s="85">
        <f>1028.94</f>
        <v>1028.94</v>
      </c>
      <c r="H12" s="85">
        <f t="shared" si="0"/>
        <v>0.00225000000000364</v>
      </c>
      <c r="I12" s="13"/>
    </row>
    <row r="13" customHeight="1" spans="1:9">
      <c r="A13" s="10">
        <v>8</v>
      </c>
      <c r="B13" s="14" t="s">
        <v>32</v>
      </c>
      <c r="C13" s="4" t="s">
        <v>33</v>
      </c>
      <c r="D13" s="16" t="s">
        <v>110</v>
      </c>
      <c r="E13" s="85">
        <f t="shared" si="1"/>
        <v>41157.69</v>
      </c>
      <c r="F13" s="85">
        <f>0.025*E13</f>
        <v>1028.94225</v>
      </c>
      <c r="G13" s="85">
        <f>1028.94</f>
        <v>1028.94</v>
      </c>
      <c r="H13" s="85">
        <f t="shared" si="0"/>
        <v>0.00225000000000364</v>
      </c>
      <c r="I13" s="13"/>
    </row>
    <row r="14" customHeight="1" spans="1:9">
      <c r="A14" s="10">
        <v>9</v>
      </c>
      <c r="B14" s="11" t="s">
        <v>34</v>
      </c>
      <c r="C14" s="12" t="s">
        <v>35</v>
      </c>
      <c r="D14" s="15" t="s">
        <v>36</v>
      </c>
      <c r="E14" s="85">
        <v>33507.5</v>
      </c>
      <c r="F14" s="85">
        <f>0.025*E14</f>
        <v>837.6875</v>
      </c>
      <c r="G14" s="85">
        <f>'[14]April 2022'!$H$28</f>
        <v>837.6875</v>
      </c>
      <c r="H14" s="85">
        <f t="shared" si="0"/>
        <v>0</v>
      </c>
      <c r="I14" s="13"/>
    </row>
    <row r="15" customHeight="1" spans="1:9">
      <c r="A15" s="10">
        <v>10</v>
      </c>
      <c r="B15" s="18" t="s">
        <v>521</v>
      </c>
      <c r="C15" s="12" t="s">
        <v>574</v>
      </c>
      <c r="D15" s="10" t="s">
        <v>573</v>
      </c>
      <c r="E15" s="85">
        <v>32263.2</v>
      </c>
      <c r="F15" s="85"/>
      <c r="G15" s="85"/>
      <c r="H15" s="85">
        <f t="shared" si="0"/>
        <v>0</v>
      </c>
      <c r="I15" s="13"/>
    </row>
    <row r="16" customHeight="1" spans="1:9">
      <c r="A16" s="10">
        <v>11</v>
      </c>
      <c r="B16" s="19" t="s">
        <v>1178</v>
      </c>
      <c r="C16" s="4" t="s">
        <v>1179</v>
      </c>
      <c r="D16" s="16" t="s">
        <v>222</v>
      </c>
      <c r="E16" s="85">
        <v>27611.23</v>
      </c>
      <c r="F16" s="85">
        <v>0</v>
      </c>
      <c r="G16" s="85">
        <v>0</v>
      </c>
      <c r="H16" s="85">
        <f t="shared" si="0"/>
        <v>0</v>
      </c>
      <c r="I16" s="13"/>
    </row>
    <row r="17" ht="19.5" customHeight="1" spans="1:9">
      <c r="A17" s="10">
        <v>12</v>
      </c>
      <c r="B17" s="14" t="s">
        <v>1088</v>
      </c>
      <c r="C17" s="4" t="s">
        <v>41</v>
      </c>
      <c r="D17" s="10" t="s">
        <v>222</v>
      </c>
      <c r="E17" s="85">
        <v>27611.23</v>
      </c>
      <c r="F17" s="85">
        <f>0.025*E17</f>
        <v>690.28075</v>
      </c>
      <c r="G17" s="85">
        <f>'[14]April 2022'!$H$27</f>
        <v>668.31625</v>
      </c>
      <c r="H17" s="85">
        <f t="shared" si="0"/>
        <v>21.9644999999999</v>
      </c>
      <c r="I17" s="13"/>
    </row>
    <row r="18" ht="19.5" customHeight="1" spans="1:9">
      <c r="A18" s="10">
        <v>13</v>
      </c>
      <c r="B18" s="14" t="s">
        <v>1180</v>
      </c>
      <c r="C18" s="4" t="s">
        <v>1181</v>
      </c>
      <c r="D18" s="10" t="s">
        <v>222</v>
      </c>
      <c r="E18" s="85">
        <v>27611.23</v>
      </c>
      <c r="F18" s="85"/>
      <c r="G18" s="85"/>
      <c r="H18" s="85">
        <f t="shared" si="0"/>
        <v>0</v>
      </c>
      <c r="I18" s="13"/>
    </row>
    <row r="19" customHeight="1" spans="1:9">
      <c r="A19" s="10">
        <v>14</v>
      </c>
      <c r="B19" s="11" t="s">
        <v>40</v>
      </c>
      <c r="C19" s="4" t="s">
        <v>41</v>
      </c>
      <c r="D19" s="15" t="s">
        <v>222</v>
      </c>
      <c r="E19" s="85">
        <v>27611.23</v>
      </c>
      <c r="F19" s="85"/>
      <c r="G19" s="85"/>
      <c r="H19" s="85">
        <f t="shared" si="0"/>
        <v>0</v>
      </c>
      <c r="I19" s="13"/>
    </row>
    <row r="20" customHeight="1" spans="1:9">
      <c r="A20" s="10">
        <v>15</v>
      </c>
      <c r="B20" s="11" t="s">
        <v>50</v>
      </c>
      <c r="C20" s="12" t="s">
        <v>51</v>
      </c>
      <c r="D20" s="15" t="s">
        <v>1019</v>
      </c>
      <c r="E20" s="85">
        <v>24741.26</v>
      </c>
      <c r="F20" s="85"/>
      <c r="G20" s="85"/>
      <c r="H20" s="85">
        <f t="shared" si="0"/>
        <v>0</v>
      </c>
      <c r="I20" s="13"/>
    </row>
    <row r="21" customHeight="1" spans="1:9">
      <c r="A21" s="10">
        <v>16</v>
      </c>
      <c r="B21" s="18" t="s">
        <v>53</v>
      </c>
      <c r="C21" s="4" t="s">
        <v>54</v>
      </c>
      <c r="D21" s="15" t="s">
        <v>1020</v>
      </c>
      <c r="E21" s="85">
        <f>23891.12</f>
        <v>23891.12</v>
      </c>
      <c r="F21" s="85">
        <f>0.025*E21</f>
        <v>597.278</v>
      </c>
      <c r="G21" s="85">
        <f>'[14]April 2022'!$H$52</f>
        <v>576.87475</v>
      </c>
      <c r="H21" s="85">
        <f t="shared" si="0"/>
        <v>20.40325</v>
      </c>
      <c r="I21" s="13"/>
    </row>
    <row r="22" customHeight="1" spans="1:9">
      <c r="A22" s="10">
        <v>17</v>
      </c>
      <c r="B22" s="11" t="s">
        <v>204</v>
      </c>
      <c r="C22" s="12" t="s">
        <v>581</v>
      </c>
      <c r="D22" s="15" t="s">
        <v>62</v>
      </c>
      <c r="E22" s="85">
        <f>22837.82</f>
        <v>22837.82</v>
      </c>
      <c r="F22" s="85">
        <f>0.025*E22</f>
        <v>570.9455</v>
      </c>
      <c r="G22" s="85">
        <f>'[14]April 2022'!$H$45</f>
        <v>538.022</v>
      </c>
      <c r="H22" s="85">
        <f t="shared" si="0"/>
        <v>32.9235</v>
      </c>
      <c r="I22" s="13"/>
    </row>
    <row r="23" ht="18.75" customHeight="1" spans="1:9">
      <c r="A23" s="10">
        <v>18</v>
      </c>
      <c r="B23" s="11" t="s">
        <v>60</v>
      </c>
      <c r="C23" s="12" t="s">
        <v>61</v>
      </c>
      <c r="D23" s="15" t="s">
        <v>135</v>
      </c>
      <c r="E23" s="85">
        <v>21520.88</v>
      </c>
      <c r="F23" s="85"/>
      <c r="G23" s="85"/>
      <c r="H23" s="85">
        <f t="shared" si="0"/>
        <v>0</v>
      </c>
      <c r="I23" s="13"/>
    </row>
    <row r="24" ht="18.75" customHeight="1" spans="1:9">
      <c r="A24" s="10">
        <v>19</v>
      </c>
      <c r="B24" s="11" t="s">
        <v>202</v>
      </c>
      <c r="C24" s="4" t="s">
        <v>203</v>
      </c>
      <c r="D24" s="15" t="s">
        <v>135</v>
      </c>
      <c r="E24" s="85">
        <v>21520.88</v>
      </c>
      <c r="F24" s="85"/>
      <c r="G24" s="85"/>
      <c r="H24" s="85">
        <f t="shared" si="0"/>
        <v>0</v>
      </c>
      <c r="I24" s="13"/>
    </row>
    <row r="25" ht="18.75" customHeight="1" spans="1:9">
      <c r="A25" s="10">
        <v>20</v>
      </c>
      <c r="B25" s="18" t="s">
        <v>254</v>
      </c>
      <c r="C25" s="4" t="s">
        <v>1197</v>
      </c>
      <c r="D25" s="15" t="s">
        <v>587</v>
      </c>
      <c r="E25" s="85">
        <f>18779.3</f>
        <v>18779.3</v>
      </c>
      <c r="F25" s="85">
        <f>0</f>
        <v>0</v>
      </c>
      <c r="G25" s="85">
        <f>0</f>
        <v>0</v>
      </c>
      <c r="H25" s="85">
        <f t="shared" si="0"/>
        <v>0</v>
      </c>
      <c r="I25" s="13"/>
    </row>
    <row r="26" ht="18.75" customHeight="1" spans="1:9">
      <c r="A26" s="10">
        <v>21</v>
      </c>
      <c r="B26" s="18" t="s">
        <v>1182</v>
      </c>
      <c r="C26" s="12" t="s">
        <v>91</v>
      </c>
      <c r="D26" s="15" t="s">
        <v>265</v>
      </c>
      <c r="E26" s="85">
        <v>18281.64</v>
      </c>
      <c r="F26" s="85"/>
      <c r="G26" s="85"/>
      <c r="H26" s="85">
        <f t="shared" si="0"/>
        <v>0</v>
      </c>
      <c r="I26" s="13"/>
    </row>
    <row r="27" ht="18.75" customHeight="1" spans="1:9">
      <c r="A27" s="10">
        <v>22</v>
      </c>
      <c r="B27" s="4" t="s">
        <v>73</v>
      </c>
      <c r="C27" s="4" t="s">
        <v>74</v>
      </c>
      <c r="D27" s="10" t="s">
        <v>80</v>
      </c>
      <c r="E27" s="219">
        <v>14736.14</v>
      </c>
      <c r="F27" s="85"/>
      <c r="G27" s="85"/>
      <c r="H27" s="85">
        <f t="shared" si="0"/>
        <v>0</v>
      </c>
      <c r="I27" s="13"/>
    </row>
    <row r="28" ht="18.75" customHeight="1" spans="1:9">
      <c r="A28" s="10">
        <v>23</v>
      </c>
      <c r="B28" s="18" t="s">
        <v>76</v>
      </c>
      <c r="C28" s="12" t="s">
        <v>74</v>
      </c>
      <c r="D28" s="15" t="s">
        <v>80</v>
      </c>
      <c r="E28" s="85">
        <f t="shared" ref="E28:E29" si="2">15188.67</f>
        <v>15188.67</v>
      </c>
      <c r="F28" s="85"/>
      <c r="G28" s="85"/>
      <c r="H28" s="85">
        <f t="shared" si="0"/>
        <v>0</v>
      </c>
      <c r="I28" s="13"/>
    </row>
    <row r="29" ht="18.75" customHeight="1" spans="1:9">
      <c r="A29" s="10">
        <v>24</v>
      </c>
      <c r="B29" s="11" t="s">
        <v>1089</v>
      </c>
      <c r="C29" s="12" t="s">
        <v>1090</v>
      </c>
      <c r="D29" s="15" t="s">
        <v>80</v>
      </c>
      <c r="E29" s="85">
        <f t="shared" si="2"/>
        <v>15188.67</v>
      </c>
      <c r="F29" s="85"/>
      <c r="G29" s="85"/>
      <c r="H29" s="85">
        <f t="shared" si="0"/>
        <v>0</v>
      </c>
      <c r="I29" s="13"/>
    </row>
    <row r="30" ht="18.75" customHeight="1" spans="1:9">
      <c r="A30" s="10">
        <v>25</v>
      </c>
      <c r="B30" s="18" t="s">
        <v>78</v>
      </c>
      <c r="C30" s="12" t="s">
        <v>1036</v>
      </c>
      <c r="D30" s="15" t="s">
        <v>1198</v>
      </c>
      <c r="E30" s="220">
        <v>13492.21</v>
      </c>
      <c r="F30" s="85"/>
      <c r="G30" s="85"/>
      <c r="H30" s="85">
        <f t="shared" si="0"/>
        <v>0</v>
      </c>
      <c r="I30" s="13"/>
    </row>
    <row r="31" ht="18.75" customHeight="1" spans="1:9">
      <c r="A31" s="10">
        <v>26</v>
      </c>
      <c r="B31" s="11" t="s">
        <v>182</v>
      </c>
      <c r="C31" s="17" t="s">
        <v>1199</v>
      </c>
      <c r="D31" s="15" t="s">
        <v>1014</v>
      </c>
      <c r="E31" s="85">
        <v>13492.21</v>
      </c>
      <c r="F31" s="85"/>
      <c r="G31" s="85"/>
      <c r="H31" s="85">
        <f t="shared" si="0"/>
        <v>0</v>
      </c>
      <c r="I31" s="13"/>
    </row>
    <row r="32" ht="18.75" customHeight="1" spans="1:9">
      <c r="A32" s="10">
        <v>27</v>
      </c>
      <c r="B32" s="18" t="s">
        <v>81</v>
      </c>
      <c r="C32" s="4" t="s">
        <v>1091</v>
      </c>
      <c r="D32" s="10" t="s">
        <v>1014</v>
      </c>
      <c r="E32" s="85">
        <v>13492.21</v>
      </c>
      <c r="F32" s="85"/>
      <c r="G32" s="85"/>
      <c r="H32" s="85">
        <f t="shared" si="0"/>
        <v>0</v>
      </c>
      <c r="I32" s="13"/>
    </row>
    <row r="33" ht="18.75" customHeight="1" spans="1:9">
      <c r="A33" s="10">
        <v>28</v>
      </c>
      <c r="B33" s="18" t="s">
        <v>85</v>
      </c>
      <c r="C33" s="17" t="s">
        <v>86</v>
      </c>
      <c r="D33" s="15" t="s">
        <v>80</v>
      </c>
      <c r="E33" s="85">
        <v>15188.67</v>
      </c>
      <c r="F33" s="85">
        <f>0</f>
        <v>0</v>
      </c>
      <c r="G33" s="85">
        <f>0</f>
        <v>0</v>
      </c>
      <c r="H33" s="85">
        <f t="shared" si="0"/>
        <v>0</v>
      </c>
      <c r="I33" s="13"/>
    </row>
    <row r="34" ht="18.75" customHeight="1" spans="1:9">
      <c r="A34" s="10">
        <v>29</v>
      </c>
      <c r="B34" s="18" t="s">
        <v>88</v>
      </c>
      <c r="C34" s="4" t="s">
        <v>1200</v>
      </c>
      <c r="D34" s="10" t="s">
        <v>92</v>
      </c>
      <c r="E34" s="85">
        <f>12732</f>
        <v>12732</v>
      </c>
      <c r="F34" s="85"/>
      <c r="G34" s="85"/>
      <c r="H34" s="85">
        <f t="shared" si="0"/>
        <v>0</v>
      </c>
      <c r="I34" s="13"/>
    </row>
    <row r="35" ht="18.75" customHeight="1" spans="1:9">
      <c r="A35" s="10">
        <v>30</v>
      </c>
      <c r="B35" s="18" t="s">
        <v>1009</v>
      </c>
      <c r="C35" s="12" t="s">
        <v>91</v>
      </c>
      <c r="D35" s="15" t="s">
        <v>92</v>
      </c>
      <c r="E35" s="85">
        <f>12732</f>
        <v>12732</v>
      </c>
      <c r="F35" s="85"/>
      <c r="G35" s="85"/>
      <c r="H35" s="85">
        <f t="shared" si="0"/>
        <v>0</v>
      </c>
      <c r="I35" s="13"/>
    </row>
    <row r="36" ht="18.75" customHeight="1" spans="1:9">
      <c r="A36" s="10">
        <v>31</v>
      </c>
      <c r="B36" s="18" t="s">
        <v>1183</v>
      </c>
      <c r="C36" s="12" t="s">
        <v>91</v>
      </c>
      <c r="D36" s="15" t="s">
        <v>92</v>
      </c>
      <c r="E36" s="85">
        <f>12732</f>
        <v>12732</v>
      </c>
      <c r="F36" s="85"/>
      <c r="G36" s="85"/>
      <c r="H36" s="85">
        <f t="shared" si="0"/>
        <v>0</v>
      </c>
      <c r="I36" s="13"/>
    </row>
    <row r="37" ht="26.25" customHeight="1" spans="1:9">
      <c r="A37" s="10"/>
      <c r="B37" s="20" t="s">
        <v>96</v>
      </c>
      <c r="C37" s="21">
        <v>31</v>
      </c>
      <c r="D37" s="15"/>
      <c r="E37" s="221">
        <f t="shared" ref="E37:F37" si="3">SUM(E6:E36)</f>
        <v>919842.32</v>
      </c>
      <c r="F37" s="221">
        <f t="shared" si="3"/>
        <v>6849.34775</v>
      </c>
      <c r="G37" s="221">
        <f t="shared" ref="G37" si="4">SUM(G6:G36)</f>
        <v>6736.665</v>
      </c>
      <c r="H37" s="146">
        <f t="shared" si="0"/>
        <v>112.68275</v>
      </c>
      <c r="I37" s="13"/>
    </row>
    <row r="38" ht="18.75" customHeight="1" spans="1:9">
      <c r="A38" s="10"/>
      <c r="B38" s="22"/>
      <c r="C38" s="4"/>
      <c r="D38" s="15"/>
      <c r="E38" s="221"/>
      <c r="F38" s="221"/>
      <c r="G38" s="221"/>
      <c r="H38" s="85">
        <f t="shared" si="0"/>
        <v>0</v>
      </c>
      <c r="I38" s="13"/>
    </row>
    <row r="39" ht="18.75" customHeight="1" spans="1:9">
      <c r="A39" s="10"/>
      <c r="B39" s="20" t="s">
        <v>97</v>
      </c>
      <c r="C39" s="4"/>
      <c r="D39" s="15"/>
      <c r="E39" s="85"/>
      <c r="F39" s="85"/>
      <c r="G39" s="85"/>
      <c r="H39" s="85">
        <f t="shared" si="0"/>
        <v>0</v>
      </c>
      <c r="I39" s="13"/>
    </row>
    <row r="40" ht="18.75" customHeight="1" spans="1:9">
      <c r="A40" s="10">
        <v>1</v>
      </c>
      <c r="B40" s="18" t="s">
        <v>98</v>
      </c>
      <c r="C40" s="4" t="s">
        <v>99</v>
      </c>
      <c r="D40" s="10" t="s">
        <v>100</v>
      </c>
      <c r="E40" s="85">
        <v>81740.02</v>
      </c>
      <c r="F40" s="85"/>
      <c r="G40" s="85"/>
      <c r="H40" s="85">
        <f t="shared" si="0"/>
        <v>0</v>
      </c>
      <c r="I40" s="13"/>
    </row>
    <row r="41" ht="18.75" customHeight="1" spans="1:9">
      <c r="A41" s="10">
        <v>2</v>
      </c>
      <c r="B41" s="18" t="s">
        <v>101</v>
      </c>
      <c r="C41" s="4" t="s">
        <v>615</v>
      </c>
      <c r="D41" s="10" t="s">
        <v>95</v>
      </c>
      <c r="E41" s="219">
        <v>12351.94</v>
      </c>
      <c r="F41" s="85">
        <f>0</f>
        <v>0</v>
      </c>
      <c r="G41" s="85">
        <f>0</f>
        <v>0</v>
      </c>
      <c r="H41" s="85">
        <f t="shared" si="0"/>
        <v>0</v>
      </c>
      <c r="I41" s="13"/>
    </row>
    <row r="42" ht="19.5" customHeight="1" spans="1:9">
      <c r="A42" s="10"/>
      <c r="B42" s="14"/>
      <c r="C42" s="21">
        <v>2</v>
      </c>
      <c r="D42" s="10"/>
      <c r="E42" s="221">
        <f>SUM(E40:E41)</f>
        <v>94091.96</v>
      </c>
      <c r="F42" s="221">
        <f>SUM(F40:F41)</f>
        <v>0</v>
      </c>
      <c r="G42" s="221">
        <f>SUM(G40:G41)</f>
        <v>0</v>
      </c>
      <c r="H42" s="85">
        <f t="shared" si="0"/>
        <v>0</v>
      </c>
      <c r="I42" s="13"/>
    </row>
    <row r="43" customHeight="1" spans="1:9">
      <c r="A43" s="10"/>
      <c r="B43" s="14"/>
      <c r="C43" s="4"/>
      <c r="D43" s="10"/>
      <c r="E43" s="221"/>
      <c r="F43" s="221"/>
      <c r="G43" s="221"/>
      <c r="H43" s="85">
        <f t="shared" si="0"/>
        <v>0</v>
      </c>
      <c r="I43" s="13"/>
    </row>
    <row r="44" customHeight="1" spans="1:9">
      <c r="A44" s="10"/>
      <c r="B44" s="23" t="s">
        <v>107</v>
      </c>
      <c r="C44" s="5"/>
      <c r="D44" s="24"/>
      <c r="E44" s="221"/>
      <c r="F44" s="85"/>
      <c r="G44" s="85"/>
      <c r="H44" s="85">
        <f t="shared" si="0"/>
        <v>0</v>
      </c>
      <c r="I44" s="13"/>
    </row>
    <row r="45" customHeight="1" spans="1:9">
      <c r="A45" s="10">
        <v>1</v>
      </c>
      <c r="B45" s="11" t="s">
        <v>501</v>
      </c>
      <c r="C45" s="4" t="s">
        <v>502</v>
      </c>
      <c r="D45" s="10" t="s">
        <v>100</v>
      </c>
      <c r="E45" s="85">
        <v>81740.02</v>
      </c>
      <c r="F45" s="85"/>
      <c r="G45" s="85"/>
      <c r="H45" s="85">
        <f t="shared" si="0"/>
        <v>0</v>
      </c>
      <c r="I45" s="13"/>
    </row>
    <row r="46" customHeight="1" spans="1:9">
      <c r="A46" s="10">
        <v>2</v>
      </c>
      <c r="B46" s="11" t="s">
        <v>491</v>
      </c>
      <c r="C46" s="4" t="s">
        <v>44</v>
      </c>
      <c r="D46" s="10" t="s">
        <v>36</v>
      </c>
      <c r="E46" s="85">
        <v>33507.5</v>
      </c>
      <c r="F46" s="85"/>
      <c r="G46" s="85"/>
      <c r="H46" s="85">
        <f t="shared" si="0"/>
        <v>0</v>
      </c>
      <c r="I46" s="13"/>
    </row>
    <row r="47" customHeight="1" spans="1:9">
      <c r="A47" s="10">
        <v>3</v>
      </c>
      <c r="B47" s="11" t="s">
        <v>108</v>
      </c>
      <c r="C47" s="4" t="s">
        <v>112</v>
      </c>
      <c r="D47" s="10" t="s">
        <v>36</v>
      </c>
      <c r="E47" s="85">
        <v>33507.5</v>
      </c>
      <c r="F47" s="85"/>
      <c r="G47" s="85"/>
      <c r="H47" s="85">
        <f t="shared" si="0"/>
        <v>0</v>
      </c>
      <c r="I47" s="13"/>
    </row>
    <row r="48" customHeight="1" spans="1:9">
      <c r="A48" s="10">
        <v>4</v>
      </c>
      <c r="B48" s="11" t="s">
        <v>111</v>
      </c>
      <c r="C48" s="4" t="s">
        <v>112</v>
      </c>
      <c r="D48" s="10" t="s">
        <v>36</v>
      </c>
      <c r="E48" s="85">
        <v>33507.5</v>
      </c>
      <c r="F48" s="85"/>
      <c r="G48" s="85"/>
      <c r="H48" s="85">
        <f t="shared" si="0"/>
        <v>0</v>
      </c>
      <c r="I48" s="13"/>
    </row>
    <row r="49" customHeight="1" spans="1:9">
      <c r="A49" s="10">
        <v>5</v>
      </c>
      <c r="B49" s="11" t="s">
        <v>113</v>
      </c>
      <c r="C49" s="4" t="s">
        <v>112</v>
      </c>
      <c r="D49" s="10" t="s">
        <v>131</v>
      </c>
      <c r="E49" s="85">
        <v>32263.2</v>
      </c>
      <c r="F49" s="85">
        <f>0.025*E49</f>
        <v>806.58</v>
      </c>
      <c r="G49" s="85">
        <f>837.69</f>
        <v>837.69</v>
      </c>
      <c r="H49" s="85">
        <f t="shared" si="0"/>
        <v>-31.11</v>
      </c>
      <c r="I49" s="13"/>
    </row>
    <row r="50" customHeight="1" spans="1:9">
      <c r="A50" s="10">
        <v>6</v>
      </c>
      <c r="B50" s="11" t="s">
        <v>114</v>
      </c>
      <c r="C50" s="4" t="s">
        <v>46</v>
      </c>
      <c r="D50" s="10" t="s">
        <v>222</v>
      </c>
      <c r="E50" s="85">
        <v>27611.23</v>
      </c>
      <c r="F50" s="85"/>
      <c r="G50" s="85"/>
      <c r="H50" s="85">
        <f t="shared" si="0"/>
        <v>0</v>
      </c>
      <c r="I50" s="13"/>
    </row>
    <row r="51" customHeight="1" spans="1:9">
      <c r="A51" s="10">
        <v>7</v>
      </c>
      <c r="B51" s="14" t="s">
        <v>115</v>
      </c>
      <c r="C51" s="4" t="s">
        <v>133</v>
      </c>
      <c r="D51" s="16" t="s">
        <v>222</v>
      </c>
      <c r="E51" s="85">
        <v>27611.23</v>
      </c>
      <c r="F51" s="85">
        <v>0</v>
      </c>
      <c r="G51" s="85">
        <v>0</v>
      </c>
      <c r="H51" s="85">
        <f t="shared" si="0"/>
        <v>0</v>
      </c>
      <c r="I51" s="13"/>
    </row>
    <row r="52" customHeight="1" spans="1:9">
      <c r="A52" s="10">
        <v>8</v>
      </c>
      <c r="B52" s="11" t="s">
        <v>1094</v>
      </c>
      <c r="C52" s="4" t="s">
        <v>133</v>
      </c>
      <c r="D52" s="10" t="s">
        <v>148</v>
      </c>
      <c r="E52" s="85">
        <v>26732.65</v>
      </c>
      <c r="F52" s="85"/>
      <c r="G52" s="85"/>
      <c r="H52" s="85">
        <f t="shared" si="0"/>
        <v>0</v>
      </c>
      <c r="I52" s="13"/>
    </row>
    <row r="53" customHeight="1" spans="1:9">
      <c r="A53" s="10">
        <v>9</v>
      </c>
      <c r="B53" s="11" t="s">
        <v>45</v>
      </c>
      <c r="C53" s="4" t="s">
        <v>483</v>
      </c>
      <c r="D53" s="10" t="s">
        <v>52</v>
      </c>
      <c r="E53" s="85">
        <v>25523.45</v>
      </c>
      <c r="F53" s="85">
        <f>0.025*E53</f>
        <v>638.08625</v>
      </c>
      <c r="G53" s="85">
        <f>'[14]April 2022'!$H$46</f>
        <v>618.5315</v>
      </c>
      <c r="H53" s="85">
        <f t="shared" si="0"/>
        <v>19.55475</v>
      </c>
      <c r="I53" s="13"/>
    </row>
    <row r="54" customHeight="1" spans="1:9">
      <c r="A54" s="10">
        <v>10</v>
      </c>
      <c r="B54" s="11" t="s">
        <v>118</v>
      </c>
      <c r="C54" s="4" t="s">
        <v>117</v>
      </c>
      <c r="D54" s="10" t="s">
        <v>83</v>
      </c>
      <c r="E54" s="219">
        <f>14736.14</f>
        <v>14736.14</v>
      </c>
      <c r="F54" s="85"/>
      <c r="G54" s="85"/>
      <c r="H54" s="85">
        <f t="shared" si="0"/>
        <v>0</v>
      </c>
      <c r="I54" s="13"/>
    </row>
    <row r="55" customHeight="1" spans="1:9">
      <c r="A55" s="10">
        <v>11</v>
      </c>
      <c r="B55" s="11" t="s">
        <v>580</v>
      </c>
      <c r="C55" s="4" t="s">
        <v>117</v>
      </c>
      <c r="D55" s="10" t="s">
        <v>83</v>
      </c>
      <c r="E55" s="219">
        <f>14736.14</f>
        <v>14736.14</v>
      </c>
      <c r="F55" s="85"/>
      <c r="G55" s="85"/>
      <c r="H55" s="85">
        <f t="shared" si="0"/>
        <v>0</v>
      </c>
      <c r="I55" s="13"/>
    </row>
    <row r="56" customHeight="1" spans="1:9">
      <c r="A56" s="10">
        <v>12</v>
      </c>
      <c r="B56" s="11" t="s">
        <v>119</v>
      </c>
      <c r="C56" s="4" t="s">
        <v>117</v>
      </c>
      <c r="D56" s="10" t="s">
        <v>83</v>
      </c>
      <c r="E56" s="219">
        <f>14736.14</f>
        <v>14736.14</v>
      </c>
      <c r="F56" s="85"/>
      <c r="G56" s="85"/>
      <c r="H56" s="85">
        <f t="shared" si="0"/>
        <v>0</v>
      </c>
      <c r="I56" s="13"/>
    </row>
    <row r="57" ht="25.5" customHeight="1" spans="1:9">
      <c r="A57" s="10"/>
      <c r="B57" s="20" t="s">
        <v>96</v>
      </c>
      <c r="C57" s="21">
        <v>12</v>
      </c>
      <c r="D57" s="21"/>
      <c r="E57" s="93">
        <f>SUM(E45:E56)</f>
        <v>366212.7</v>
      </c>
      <c r="F57" s="93">
        <f>SUM(F45:F56)</f>
        <v>1444.66625</v>
      </c>
      <c r="G57" s="93">
        <f t="shared" ref="G57" si="5">SUM(G45:G56)</f>
        <v>1456.2215</v>
      </c>
      <c r="H57" s="85">
        <f t="shared" si="0"/>
        <v>-11.5552499999999</v>
      </c>
      <c r="I57" s="13"/>
    </row>
    <row r="58" customHeight="1" spans="1:9">
      <c r="A58" s="10"/>
      <c r="B58" s="22"/>
      <c r="C58" s="21"/>
      <c r="D58" s="21"/>
      <c r="E58" s="146"/>
      <c r="F58" s="146"/>
      <c r="G58" s="146"/>
      <c r="H58" s="85">
        <f t="shared" si="0"/>
        <v>0</v>
      </c>
      <c r="I58" s="13"/>
    </row>
    <row r="59" customHeight="1" spans="1:9">
      <c r="A59" s="10"/>
      <c r="B59" s="20" t="s">
        <v>120</v>
      </c>
      <c r="C59" s="21"/>
      <c r="D59" s="21"/>
      <c r="E59" s="146"/>
      <c r="F59" s="146"/>
      <c r="G59" s="146"/>
      <c r="H59" s="85">
        <f t="shared" si="0"/>
        <v>0</v>
      </c>
      <c r="I59" s="13"/>
    </row>
    <row r="60" customHeight="1" spans="1:9">
      <c r="A60" s="10">
        <v>1</v>
      </c>
      <c r="B60" s="11" t="s">
        <v>503</v>
      </c>
      <c r="C60" s="12" t="s">
        <v>122</v>
      </c>
      <c r="D60" s="15" t="s">
        <v>100</v>
      </c>
      <c r="E60" s="85">
        <v>81740.02</v>
      </c>
      <c r="F60" s="85">
        <v>0</v>
      </c>
      <c r="G60" s="85">
        <v>0</v>
      </c>
      <c r="H60" s="85">
        <f t="shared" si="0"/>
        <v>0</v>
      </c>
      <c r="I60" s="13"/>
    </row>
    <row r="61" customHeight="1" spans="1:9">
      <c r="A61" s="10"/>
      <c r="B61" s="20" t="s">
        <v>96</v>
      </c>
      <c r="C61" s="21">
        <v>1</v>
      </c>
      <c r="D61" s="21"/>
      <c r="E61" s="93">
        <f>SUM(E60:E60)</f>
        <v>81740.02</v>
      </c>
      <c r="F61" s="93">
        <f>SUM(F60:F60)</f>
        <v>0</v>
      </c>
      <c r="G61" s="93">
        <f>SUM(G60:G60)</f>
        <v>0</v>
      </c>
      <c r="H61" s="85">
        <f t="shared" si="0"/>
        <v>0</v>
      </c>
      <c r="I61" s="13"/>
    </row>
    <row r="62" customHeight="1" spans="1:9">
      <c r="A62" s="10"/>
      <c r="B62" s="20"/>
      <c r="C62" s="21"/>
      <c r="D62" s="21"/>
      <c r="E62" s="146"/>
      <c r="F62" s="146"/>
      <c r="G62" s="146"/>
      <c r="H62" s="85">
        <f t="shared" si="0"/>
        <v>0</v>
      </c>
      <c r="I62" s="13"/>
    </row>
    <row r="63" customHeight="1" spans="1:9">
      <c r="A63" s="10"/>
      <c r="B63" s="20" t="s">
        <v>126</v>
      </c>
      <c r="C63" s="21"/>
      <c r="D63" s="21"/>
      <c r="E63" s="146"/>
      <c r="F63" s="146"/>
      <c r="G63" s="146"/>
      <c r="H63" s="85">
        <f t="shared" si="0"/>
        <v>0</v>
      </c>
      <c r="I63" s="13"/>
    </row>
    <row r="64" customHeight="1" spans="1:9">
      <c r="A64" s="10">
        <v>1</v>
      </c>
      <c r="B64" s="11" t="s">
        <v>127</v>
      </c>
      <c r="C64" s="17" t="s">
        <v>128</v>
      </c>
      <c r="D64" s="10" t="s">
        <v>100</v>
      </c>
      <c r="E64" s="85">
        <v>81740.02</v>
      </c>
      <c r="F64" s="85"/>
      <c r="G64" s="85"/>
      <c r="H64" s="85">
        <f t="shared" si="0"/>
        <v>0</v>
      </c>
      <c r="I64" s="13"/>
    </row>
    <row r="65" customHeight="1" spans="1:9">
      <c r="A65" s="10">
        <v>2</v>
      </c>
      <c r="B65" s="18" t="s">
        <v>129</v>
      </c>
      <c r="C65" s="17" t="s">
        <v>130</v>
      </c>
      <c r="D65" s="15" t="s">
        <v>1021</v>
      </c>
      <c r="E65" s="219">
        <v>31018.84</v>
      </c>
      <c r="F65" s="85"/>
      <c r="G65" s="85"/>
      <c r="H65" s="85">
        <f t="shared" si="0"/>
        <v>0</v>
      </c>
      <c r="I65" s="13"/>
    </row>
    <row r="66" customHeight="1" spans="1:9">
      <c r="A66" s="10">
        <v>3</v>
      </c>
      <c r="B66" s="11" t="s">
        <v>132</v>
      </c>
      <c r="C66" s="4" t="s">
        <v>165</v>
      </c>
      <c r="D66" s="10" t="s">
        <v>52</v>
      </c>
      <c r="E66" s="85">
        <v>25523.45</v>
      </c>
      <c r="F66" s="85"/>
      <c r="G66" s="85"/>
      <c r="H66" s="85">
        <f t="shared" si="0"/>
        <v>0</v>
      </c>
      <c r="I66" s="13"/>
    </row>
    <row r="67" customHeight="1" spans="1:9">
      <c r="A67" s="10">
        <v>4</v>
      </c>
      <c r="B67" s="18" t="s">
        <v>486</v>
      </c>
      <c r="C67" s="17" t="s">
        <v>165</v>
      </c>
      <c r="D67" s="15" t="s">
        <v>1019</v>
      </c>
      <c r="E67" s="85">
        <v>24741.26</v>
      </c>
      <c r="F67" s="85">
        <f>0</f>
        <v>0</v>
      </c>
      <c r="G67" s="85">
        <f>0</f>
        <v>0</v>
      </c>
      <c r="H67" s="85">
        <f t="shared" si="0"/>
        <v>0</v>
      </c>
      <c r="I67" s="13"/>
    </row>
    <row r="68" customHeight="1" spans="1:9">
      <c r="A68" s="10">
        <v>5</v>
      </c>
      <c r="B68" s="14" t="s">
        <v>519</v>
      </c>
      <c r="C68" s="17" t="s">
        <v>133</v>
      </c>
      <c r="D68" s="15" t="s">
        <v>222</v>
      </c>
      <c r="E68" s="85">
        <v>27611.23</v>
      </c>
      <c r="F68" s="85"/>
      <c r="G68" s="85"/>
      <c r="H68" s="85">
        <f t="shared" si="0"/>
        <v>0</v>
      </c>
      <c r="I68" s="13"/>
    </row>
    <row r="69" customHeight="1" spans="1:9">
      <c r="A69" s="10">
        <v>6</v>
      </c>
      <c r="B69" s="11" t="s">
        <v>134</v>
      </c>
      <c r="C69" s="4" t="s">
        <v>117</v>
      </c>
      <c r="D69" s="10" t="s">
        <v>1201</v>
      </c>
      <c r="E69" s="85">
        <f>20769.92</f>
        <v>20769.92</v>
      </c>
      <c r="F69" s="85"/>
      <c r="G69" s="85"/>
      <c r="H69" s="85">
        <f t="shared" si="0"/>
        <v>0</v>
      </c>
      <c r="I69" s="13"/>
    </row>
    <row r="70" customHeight="1" spans="1:9">
      <c r="A70" s="10">
        <v>7</v>
      </c>
      <c r="B70" s="11" t="s">
        <v>1102</v>
      </c>
      <c r="C70" s="17" t="s">
        <v>67</v>
      </c>
      <c r="D70" s="15" t="s">
        <v>62</v>
      </c>
      <c r="E70" s="85">
        <f>22837.82</f>
        <v>22837.82</v>
      </c>
      <c r="F70" s="85">
        <f>0.025*E70</f>
        <v>570.9455</v>
      </c>
      <c r="G70" s="85">
        <f>'[14]April 2022'!$H$41</f>
        <v>538.022</v>
      </c>
      <c r="H70" s="85">
        <f t="shared" si="0"/>
        <v>32.9235</v>
      </c>
      <c r="I70" s="13"/>
    </row>
    <row r="71" customHeight="1" spans="1:9">
      <c r="A71" s="10">
        <v>8</v>
      </c>
      <c r="B71" s="11" t="s">
        <v>136</v>
      </c>
      <c r="C71" s="17" t="s">
        <v>67</v>
      </c>
      <c r="D71" s="15" t="s">
        <v>65</v>
      </c>
      <c r="E71" s="222">
        <v>20749</v>
      </c>
      <c r="F71" s="85"/>
      <c r="G71" s="85"/>
      <c r="H71" s="85">
        <f t="shared" si="0"/>
        <v>0</v>
      </c>
      <c r="I71" s="13"/>
    </row>
    <row r="72" customHeight="1" spans="1:9">
      <c r="A72" s="10">
        <v>9</v>
      </c>
      <c r="B72" s="11" t="s">
        <v>137</v>
      </c>
      <c r="C72" s="17" t="s">
        <v>67</v>
      </c>
      <c r="D72" s="15" t="s">
        <v>65</v>
      </c>
      <c r="E72" s="222">
        <v>20749</v>
      </c>
      <c r="F72" s="85"/>
      <c r="G72" s="85"/>
      <c r="H72" s="85">
        <f t="shared" ref="H72:H135" si="6">F72-G72</f>
        <v>0</v>
      </c>
      <c r="I72" s="13"/>
    </row>
    <row r="73" customHeight="1" spans="1:9">
      <c r="A73" s="10">
        <v>10</v>
      </c>
      <c r="B73" s="11" t="s">
        <v>138</v>
      </c>
      <c r="C73" s="4" t="s">
        <v>139</v>
      </c>
      <c r="D73" s="10" t="s">
        <v>135</v>
      </c>
      <c r="E73" s="85">
        <v>21520.88</v>
      </c>
      <c r="F73" s="85"/>
      <c r="G73" s="85"/>
      <c r="H73" s="85">
        <f t="shared" si="6"/>
        <v>0</v>
      </c>
      <c r="I73" s="13"/>
    </row>
    <row r="74" customHeight="1" spans="1:9">
      <c r="A74" s="10">
        <v>11</v>
      </c>
      <c r="B74" s="11" t="s">
        <v>1184</v>
      </c>
      <c r="C74" s="17" t="s">
        <v>117</v>
      </c>
      <c r="D74" s="10" t="s">
        <v>104</v>
      </c>
      <c r="E74" s="85">
        <v>17784.1</v>
      </c>
      <c r="F74" s="85"/>
      <c r="G74" s="85"/>
      <c r="H74" s="85">
        <f t="shared" si="6"/>
        <v>0</v>
      </c>
      <c r="I74" s="13"/>
    </row>
    <row r="75" customHeight="1" spans="1:9">
      <c r="A75" s="10">
        <v>12</v>
      </c>
      <c r="B75" s="11" t="s">
        <v>77</v>
      </c>
      <c r="C75" s="17" t="s">
        <v>64</v>
      </c>
      <c r="D75" s="10" t="s">
        <v>80</v>
      </c>
      <c r="E75" s="85">
        <f>15188.67</f>
        <v>15188.67</v>
      </c>
      <c r="F75" s="85"/>
      <c r="G75" s="85"/>
      <c r="H75" s="85">
        <f t="shared" si="6"/>
        <v>0</v>
      </c>
      <c r="I75" s="13"/>
    </row>
    <row r="76" customHeight="1" spans="1:9">
      <c r="A76" s="10">
        <v>13</v>
      </c>
      <c r="B76" s="14" t="s">
        <v>63</v>
      </c>
      <c r="C76" s="17" t="s">
        <v>64</v>
      </c>
      <c r="D76" s="10" t="s">
        <v>92</v>
      </c>
      <c r="E76" s="85">
        <f>12732</f>
        <v>12732</v>
      </c>
      <c r="F76" s="85"/>
      <c r="G76" s="85"/>
      <c r="H76" s="85">
        <f t="shared" si="6"/>
        <v>0</v>
      </c>
      <c r="I76" s="13"/>
    </row>
    <row r="77" customHeight="1" spans="1:9">
      <c r="A77" s="10"/>
      <c r="B77" s="20" t="s">
        <v>96</v>
      </c>
      <c r="C77" s="21">
        <v>13</v>
      </c>
      <c r="D77" s="21"/>
      <c r="E77" s="93">
        <f>SUM(E64:E76)</f>
        <v>342966.19</v>
      </c>
      <c r="F77" s="93">
        <f t="shared" ref="F77:G77" si="7">SUM(F64:F76)</f>
        <v>570.9455</v>
      </c>
      <c r="G77" s="93">
        <f t="shared" si="7"/>
        <v>538.022</v>
      </c>
      <c r="H77" s="85">
        <f t="shared" si="6"/>
        <v>32.9235</v>
      </c>
      <c r="I77" s="13"/>
    </row>
    <row r="78" customHeight="1" spans="1:9">
      <c r="A78" s="10"/>
      <c r="B78" s="22"/>
      <c r="C78" s="21"/>
      <c r="D78" s="21"/>
      <c r="E78" s="146"/>
      <c r="F78" s="146"/>
      <c r="G78" s="146"/>
      <c r="H78" s="85">
        <f t="shared" si="6"/>
        <v>0</v>
      </c>
      <c r="I78" s="13"/>
    </row>
    <row r="79" customHeight="1" spans="1:9">
      <c r="A79" s="10"/>
      <c r="B79" s="20" t="s">
        <v>141</v>
      </c>
      <c r="C79" s="21"/>
      <c r="D79" s="21"/>
      <c r="E79" s="146"/>
      <c r="F79" s="146"/>
      <c r="G79" s="146"/>
      <c r="H79" s="85">
        <f t="shared" si="6"/>
        <v>0</v>
      </c>
      <c r="I79" s="13"/>
    </row>
    <row r="80" customHeight="1" spans="1:9">
      <c r="A80" s="10">
        <v>1</v>
      </c>
      <c r="B80" s="11" t="s">
        <v>142</v>
      </c>
      <c r="C80" s="4" t="s">
        <v>143</v>
      </c>
      <c r="D80" s="10" t="s">
        <v>100</v>
      </c>
      <c r="E80" s="85">
        <v>81740.02</v>
      </c>
      <c r="F80" s="85">
        <v>0</v>
      </c>
      <c r="G80" s="85">
        <v>0</v>
      </c>
      <c r="H80" s="85">
        <f t="shared" si="6"/>
        <v>0</v>
      </c>
      <c r="I80" s="13"/>
    </row>
    <row r="81" customHeight="1" spans="1:9">
      <c r="A81" s="10">
        <v>2</v>
      </c>
      <c r="B81" s="14" t="s">
        <v>520</v>
      </c>
      <c r="C81" s="4" t="s">
        <v>572</v>
      </c>
      <c r="D81" s="15" t="s">
        <v>1021</v>
      </c>
      <c r="E81" s="222">
        <v>31018.84</v>
      </c>
      <c r="F81" s="85">
        <v>0</v>
      </c>
      <c r="G81" s="85">
        <v>0</v>
      </c>
      <c r="H81" s="85">
        <f t="shared" si="6"/>
        <v>0</v>
      </c>
      <c r="I81" s="13"/>
    </row>
    <row r="82" customHeight="1" spans="1:9">
      <c r="A82" s="10">
        <v>3</v>
      </c>
      <c r="B82" s="14" t="s">
        <v>1185</v>
      </c>
      <c r="C82" s="4" t="s">
        <v>1186</v>
      </c>
      <c r="D82" s="15" t="s">
        <v>1021</v>
      </c>
      <c r="E82" s="222">
        <v>31018.84</v>
      </c>
      <c r="F82" s="85">
        <v>0</v>
      </c>
      <c r="G82" s="85">
        <v>0</v>
      </c>
      <c r="H82" s="85">
        <f t="shared" si="6"/>
        <v>0</v>
      </c>
      <c r="I82" s="13"/>
    </row>
    <row r="83" customHeight="1" spans="1:9">
      <c r="A83" s="10">
        <v>4</v>
      </c>
      <c r="B83" s="11" t="s">
        <v>146</v>
      </c>
      <c r="C83" s="4" t="s">
        <v>1037</v>
      </c>
      <c r="D83" s="15" t="s">
        <v>52</v>
      </c>
      <c r="E83" s="85">
        <v>25523.45</v>
      </c>
      <c r="F83" s="85">
        <f>0.025*E83</f>
        <v>638.08625</v>
      </c>
      <c r="G83" s="85">
        <f>'[14]April 2022'!$H$38</f>
        <v>618.5315</v>
      </c>
      <c r="H83" s="85">
        <f t="shared" si="6"/>
        <v>19.55475</v>
      </c>
      <c r="I83" s="13"/>
    </row>
    <row r="84" customHeight="1" spans="1:9">
      <c r="A84" s="10">
        <v>5</v>
      </c>
      <c r="B84" s="11" t="s">
        <v>149</v>
      </c>
      <c r="C84" s="4" t="s">
        <v>152</v>
      </c>
      <c r="D84" s="10" t="s">
        <v>104</v>
      </c>
      <c r="E84" s="85">
        <v>17784.1</v>
      </c>
      <c r="F84" s="85"/>
      <c r="G84" s="85"/>
      <c r="H84" s="85">
        <f t="shared" si="6"/>
        <v>0</v>
      </c>
      <c r="I84" s="13"/>
    </row>
    <row r="85" customHeight="1" spans="1:9">
      <c r="A85" s="10"/>
      <c r="B85" s="20" t="s">
        <v>96</v>
      </c>
      <c r="C85" s="21">
        <v>5</v>
      </c>
      <c r="D85" s="21"/>
      <c r="E85" s="93">
        <f>SUM(E80:E84)</f>
        <v>187085.25</v>
      </c>
      <c r="F85" s="93">
        <f t="shared" ref="F85:G85" si="8">SUM(F80:F84)</f>
        <v>638.08625</v>
      </c>
      <c r="G85" s="93">
        <f t="shared" si="8"/>
        <v>618.5315</v>
      </c>
      <c r="H85" s="85">
        <f t="shared" si="6"/>
        <v>19.55475</v>
      </c>
      <c r="I85" s="13"/>
    </row>
    <row r="86" customHeight="1" spans="1:9">
      <c r="A86" s="10"/>
      <c r="B86" s="20"/>
      <c r="C86" s="21"/>
      <c r="D86" s="21"/>
      <c r="E86" s="146"/>
      <c r="F86" s="146"/>
      <c r="G86" s="146"/>
      <c r="H86" s="85">
        <f t="shared" si="6"/>
        <v>0</v>
      </c>
      <c r="I86" s="13"/>
    </row>
    <row r="87" customHeight="1" spans="1:9">
      <c r="A87" s="10"/>
      <c r="B87" s="20" t="s">
        <v>155</v>
      </c>
      <c r="C87" s="25"/>
      <c r="D87" s="21"/>
      <c r="E87" s="146"/>
      <c r="F87" s="146"/>
      <c r="G87" s="146"/>
      <c r="H87" s="85">
        <f t="shared" si="6"/>
        <v>0</v>
      </c>
      <c r="I87" s="13"/>
    </row>
    <row r="88" ht="23.25" customHeight="1" spans="1:9">
      <c r="A88" s="10">
        <v>1</v>
      </c>
      <c r="B88" s="11" t="s">
        <v>1202</v>
      </c>
      <c r="C88" s="4" t="s">
        <v>1203</v>
      </c>
      <c r="D88" s="10" t="s">
        <v>189</v>
      </c>
      <c r="E88" s="85">
        <v>42653.17</v>
      </c>
      <c r="F88" s="85"/>
      <c r="G88" s="85"/>
      <c r="H88" s="85">
        <f t="shared" si="6"/>
        <v>0</v>
      </c>
      <c r="I88" s="13"/>
    </row>
    <row r="89" customHeight="1" spans="1:9">
      <c r="A89" s="10">
        <v>2</v>
      </c>
      <c r="B89" s="11" t="s">
        <v>156</v>
      </c>
      <c r="C89" s="4" t="s">
        <v>112</v>
      </c>
      <c r="D89" s="10" t="s">
        <v>36</v>
      </c>
      <c r="E89" s="85">
        <v>33507.5</v>
      </c>
      <c r="F89" s="85"/>
      <c r="G89" s="85"/>
      <c r="H89" s="85">
        <f t="shared" si="6"/>
        <v>0</v>
      </c>
      <c r="I89" s="13"/>
    </row>
    <row r="90" customHeight="1" spans="1:9">
      <c r="A90" s="10">
        <v>3</v>
      </c>
      <c r="B90" s="11" t="s">
        <v>157</v>
      </c>
      <c r="C90" s="4" t="s">
        <v>112</v>
      </c>
      <c r="D90" s="10" t="s">
        <v>36</v>
      </c>
      <c r="E90" s="85">
        <v>33507.5</v>
      </c>
      <c r="F90" s="85">
        <f>0.025*E90</f>
        <v>837.6875</v>
      </c>
      <c r="G90" s="85">
        <f>'[14]April 2022'!$H$37</f>
        <v>837.6875</v>
      </c>
      <c r="H90" s="85">
        <f t="shared" si="6"/>
        <v>0</v>
      </c>
      <c r="I90" s="13"/>
    </row>
    <row r="91" customHeight="1" spans="1:9">
      <c r="A91" s="10">
        <v>4</v>
      </c>
      <c r="B91" s="14" t="s">
        <v>201</v>
      </c>
      <c r="C91" s="4" t="s">
        <v>133</v>
      </c>
      <c r="D91" s="10" t="s">
        <v>42</v>
      </c>
      <c r="E91" s="85">
        <f>28489.81</f>
        <v>28489.81</v>
      </c>
      <c r="F91" s="85">
        <f>0.025*E91</f>
        <v>712.24525</v>
      </c>
      <c r="G91" s="85">
        <f>'[14]April 2022'!$H$44</f>
        <v>690.28075</v>
      </c>
      <c r="H91" s="85">
        <f t="shared" si="6"/>
        <v>21.9645</v>
      </c>
      <c r="I91" s="13"/>
    </row>
    <row r="92" customHeight="1" spans="1:9">
      <c r="A92" s="10">
        <v>5</v>
      </c>
      <c r="B92" s="11" t="s">
        <v>158</v>
      </c>
      <c r="C92" s="4" t="s">
        <v>46</v>
      </c>
      <c r="D92" s="10" t="s">
        <v>222</v>
      </c>
      <c r="E92" s="85">
        <v>27611.23</v>
      </c>
      <c r="F92" s="85"/>
      <c r="G92" s="85"/>
      <c r="H92" s="85">
        <f t="shared" si="6"/>
        <v>0</v>
      </c>
      <c r="I92" s="13"/>
    </row>
    <row r="93" ht="21.6" customHeight="1" spans="1:9">
      <c r="A93" s="10">
        <v>6</v>
      </c>
      <c r="B93" s="11" t="s">
        <v>159</v>
      </c>
      <c r="C93" s="4" t="s">
        <v>483</v>
      </c>
      <c r="D93" s="15" t="s">
        <v>52</v>
      </c>
      <c r="E93" s="85">
        <v>25523.45</v>
      </c>
      <c r="F93" s="85"/>
      <c r="G93" s="85"/>
      <c r="H93" s="85">
        <f t="shared" si="6"/>
        <v>0</v>
      </c>
      <c r="I93" s="13"/>
    </row>
    <row r="94" ht="21.6" customHeight="1" spans="1:9">
      <c r="A94" s="10">
        <v>7</v>
      </c>
      <c r="B94" s="11" t="s">
        <v>160</v>
      </c>
      <c r="C94" s="12" t="s">
        <v>165</v>
      </c>
      <c r="D94" s="15" t="s">
        <v>1019</v>
      </c>
      <c r="E94" s="85">
        <v>24741.26</v>
      </c>
      <c r="F94" s="85"/>
      <c r="G94" s="85"/>
      <c r="H94" s="85">
        <f t="shared" si="6"/>
        <v>0</v>
      </c>
      <c r="I94" s="13"/>
    </row>
    <row r="95" ht="21.6" customHeight="1" spans="1:9">
      <c r="A95" s="10">
        <v>8</v>
      </c>
      <c r="B95" s="11" t="s">
        <v>161</v>
      </c>
      <c r="C95" s="12" t="s">
        <v>165</v>
      </c>
      <c r="D95" s="15" t="s">
        <v>1019</v>
      </c>
      <c r="E95" s="85">
        <v>24741.26</v>
      </c>
      <c r="F95" s="85"/>
      <c r="G95" s="85"/>
      <c r="H95" s="85">
        <f t="shared" si="6"/>
        <v>0</v>
      </c>
      <c r="I95" s="13"/>
    </row>
    <row r="96" ht="21.6" customHeight="1" spans="1:9">
      <c r="A96" s="10">
        <v>9</v>
      </c>
      <c r="B96" s="11" t="s">
        <v>163</v>
      </c>
      <c r="C96" s="17" t="s">
        <v>67</v>
      </c>
      <c r="D96" s="15" t="s">
        <v>65</v>
      </c>
      <c r="E96" s="222">
        <f>20749</f>
        <v>20749</v>
      </c>
      <c r="F96" s="85"/>
      <c r="G96" s="85"/>
      <c r="H96" s="85">
        <f t="shared" si="6"/>
        <v>0</v>
      </c>
      <c r="I96" s="13"/>
    </row>
    <row r="97" ht="21.6" customHeight="1" spans="1:9">
      <c r="A97" s="10">
        <v>10</v>
      </c>
      <c r="B97" s="11" t="s">
        <v>167</v>
      </c>
      <c r="C97" s="4" t="s">
        <v>168</v>
      </c>
      <c r="D97" s="10" t="s">
        <v>70</v>
      </c>
      <c r="E97" s="222">
        <v>0</v>
      </c>
      <c r="F97" s="85"/>
      <c r="G97" s="85"/>
      <c r="H97" s="85">
        <f t="shared" si="6"/>
        <v>0</v>
      </c>
      <c r="I97" s="13"/>
    </row>
    <row r="98" ht="21.6" customHeight="1" spans="1:9">
      <c r="A98" s="10">
        <v>11</v>
      </c>
      <c r="B98" s="11" t="s">
        <v>169</v>
      </c>
      <c r="C98" s="17" t="s">
        <v>170</v>
      </c>
      <c r="D98" s="15" t="s">
        <v>92</v>
      </c>
      <c r="E98" s="85">
        <f>12732</f>
        <v>12732</v>
      </c>
      <c r="F98" s="85">
        <v>0</v>
      </c>
      <c r="G98" s="85">
        <v>0</v>
      </c>
      <c r="H98" s="85">
        <f t="shared" si="6"/>
        <v>0</v>
      </c>
      <c r="I98" s="13"/>
    </row>
    <row r="99" customHeight="1" spans="1:9">
      <c r="A99" s="10"/>
      <c r="B99" s="20" t="s">
        <v>96</v>
      </c>
      <c r="C99" s="21">
        <v>11</v>
      </c>
      <c r="D99" s="21"/>
      <c r="E99" s="93">
        <f t="shared" ref="E99:G99" si="9">SUM(E88:E98)</f>
        <v>274256.18</v>
      </c>
      <c r="F99" s="93">
        <f t="shared" si="9"/>
        <v>1549.93275</v>
      </c>
      <c r="G99" s="93">
        <f t="shared" si="9"/>
        <v>1527.96825</v>
      </c>
      <c r="H99" s="85">
        <f t="shared" si="6"/>
        <v>21.9645</v>
      </c>
      <c r="I99" s="13"/>
    </row>
    <row r="100" customHeight="1" spans="1:9">
      <c r="A100" s="10"/>
      <c r="B100" s="22"/>
      <c r="C100" s="21"/>
      <c r="D100" s="21"/>
      <c r="E100" s="146"/>
      <c r="F100" s="146"/>
      <c r="G100" s="146"/>
      <c r="H100" s="85">
        <f t="shared" si="6"/>
        <v>0</v>
      </c>
      <c r="I100" s="13"/>
    </row>
    <row r="101" customHeight="1" spans="1:9">
      <c r="A101" s="10"/>
      <c r="B101" s="20" t="s">
        <v>172</v>
      </c>
      <c r="C101" s="21"/>
      <c r="D101" s="21"/>
      <c r="E101" s="146"/>
      <c r="F101" s="146"/>
      <c r="G101" s="146"/>
      <c r="H101" s="85">
        <f t="shared" si="6"/>
        <v>0</v>
      </c>
      <c r="I101" s="13"/>
    </row>
    <row r="102" customHeight="1" spans="1:9">
      <c r="A102" s="10">
        <v>1</v>
      </c>
      <c r="B102" s="18" t="s">
        <v>576</v>
      </c>
      <c r="C102" s="10" t="s">
        <v>577</v>
      </c>
      <c r="D102" s="15" t="s">
        <v>110</v>
      </c>
      <c r="E102" s="222">
        <v>41157.69</v>
      </c>
      <c r="F102" s="85"/>
      <c r="G102" s="85"/>
      <c r="H102" s="85">
        <f t="shared" si="6"/>
        <v>0</v>
      </c>
      <c r="I102" s="13"/>
    </row>
    <row r="103" customHeight="1" spans="1:9">
      <c r="A103" s="10">
        <v>2</v>
      </c>
      <c r="B103" s="11" t="s">
        <v>37</v>
      </c>
      <c r="C103" s="4" t="s">
        <v>177</v>
      </c>
      <c r="D103" s="10" t="s">
        <v>222</v>
      </c>
      <c r="E103" s="85">
        <v>27611.23</v>
      </c>
      <c r="F103" s="85">
        <f>0.025*E103</f>
        <v>690.28075</v>
      </c>
      <c r="G103" s="85">
        <f>'[14]April 2022'!$H$54</f>
        <v>668.31625</v>
      </c>
      <c r="H103" s="85">
        <f t="shared" si="6"/>
        <v>21.9644999999999</v>
      </c>
      <c r="I103" s="13"/>
    </row>
    <row r="104" customHeight="1" spans="1:9">
      <c r="A104" s="10">
        <v>3</v>
      </c>
      <c r="B104" s="18" t="s">
        <v>1204</v>
      </c>
      <c r="C104" s="4" t="s">
        <v>1205</v>
      </c>
      <c r="D104" s="15" t="s">
        <v>1019</v>
      </c>
      <c r="E104" s="85">
        <v>24741.26</v>
      </c>
      <c r="F104" s="85"/>
      <c r="G104" s="85"/>
      <c r="H104" s="85">
        <f t="shared" si="6"/>
        <v>0</v>
      </c>
      <c r="I104" s="13"/>
    </row>
    <row r="105" customHeight="1" spans="1:9">
      <c r="A105" s="10">
        <v>4</v>
      </c>
      <c r="B105" s="11" t="s">
        <v>180</v>
      </c>
      <c r="C105" s="4" t="s">
        <v>181</v>
      </c>
      <c r="D105" s="15" t="s">
        <v>135</v>
      </c>
      <c r="E105" s="85">
        <v>21520.88</v>
      </c>
      <c r="F105" s="85"/>
      <c r="G105" s="85"/>
      <c r="H105" s="85">
        <f t="shared" si="6"/>
        <v>0</v>
      </c>
      <c r="I105" s="13"/>
    </row>
    <row r="106" customHeight="1" spans="1:9">
      <c r="A106" s="4"/>
      <c r="B106" s="20" t="s">
        <v>96</v>
      </c>
      <c r="C106" s="21">
        <v>4</v>
      </c>
      <c r="D106" s="26"/>
      <c r="E106" s="93">
        <f>SUM(E102:E105)</f>
        <v>115031.06</v>
      </c>
      <c r="F106" s="93">
        <f t="shared" ref="F106:G106" si="10">SUM(F102:F105)</f>
        <v>690.28075</v>
      </c>
      <c r="G106" s="93">
        <f t="shared" si="10"/>
        <v>668.31625</v>
      </c>
      <c r="H106" s="85">
        <f t="shared" si="6"/>
        <v>21.9644999999999</v>
      </c>
      <c r="I106" s="13"/>
    </row>
    <row r="107" customHeight="1" spans="1:9">
      <c r="A107" s="4"/>
      <c r="B107" s="22"/>
      <c r="C107" s="21"/>
      <c r="D107" s="26"/>
      <c r="E107" s="146"/>
      <c r="F107" s="146"/>
      <c r="G107" s="146"/>
      <c r="H107" s="85">
        <f t="shared" si="6"/>
        <v>0</v>
      </c>
      <c r="I107" s="13"/>
    </row>
    <row r="108" customHeight="1" spans="1:9">
      <c r="A108" s="4"/>
      <c r="B108" s="20" t="s">
        <v>184</v>
      </c>
      <c r="C108" s="4"/>
      <c r="D108" s="4"/>
      <c r="E108" s="4"/>
      <c r="F108" s="4"/>
      <c r="G108" s="4"/>
      <c r="H108" s="85">
        <f t="shared" si="6"/>
        <v>0</v>
      </c>
      <c r="I108" s="13"/>
    </row>
    <row r="109" customHeight="1" spans="1:9">
      <c r="A109" s="4">
        <v>1</v>
      </c>
      <c r="B109" s="11" t="s">
        <v>185</v>
      </c>
      <c r="C109" s="12" t="s">
        <v>186</v>
      </c>
      <c r="D109" s="15" t="s">
        <v>100</v>
      </c>
      <c r="E109" s="85">
        <v>81740.02</v>
      </c>
      <c r="F109" s="85">
        <v>0</v>
      </c>
      <c r="G109" s="85">
        <v>0</v>
      </c>
      <c r="H109" s="85">
        <f t="shared" si="6"/>
        <v>0</v>
      </c>
      <c r="I109" s="13"/>
    </row>
    <row r="110" customHeight="1" spans="1:9">
      <c r="A110" s="4">
        <v>2</v>
      </c>
      <c r="B110" s="11" t="s">
        <v>187</v>
      </c>
      <c r="C110" s="4" t="s">
        <v>188</v>
      </c>
      <c r="D110" s="16" t="s">
        <v>110</v>
      </c>
      <c r="E110" s="85">
        <v>41157.69</v>
      </c>
      <c r="F110" s="85">
        <f>0.025*E110</f>
        <v>1028.94225</v>
      </c>
      <c r="G110" s="85">
        <f>G7</f>
        <v>1028.94225</v>
      </c>
      <c r="H110" s="85">
        <f t="shared" si="6"/>
        <v>0</v>
      </c>
      <c r="I110" s="13"/>
    </row>
    <row r="111" customHeight="1" spans="1:9">
      <c r="A111" s="4">
        <v>3</v>
      </c>
      <c r="B111" s="11" t="s">
        <v>190</v>
      </c>
      <c r="C111" s="4" t="s">
        <v>191</v>
      </c>
      <c r="D111" s="10" t="s">
        <v>192</v>
      </c>
      <c r="E111" s="85">
        <v>26339.3</v>
      </c>
      <c r="F111" s="85">
        <f>0.025*E111</f>
        <v>658.4825</v>
      </c>
      <c r="G111" s="85">
        <f>'[14]April 2022'!$H$35</f>
        <v>658.4825</v>
      </c>
      <c r="H111" s="85">
        <f t="shared" si="6"/>
        <v>0</v>
      </c>
      <c r="I111" s="13"/>
    </row>
    <row r="112" customHeight="1" spans="1:9">
      <c r="A112" s="4">
        <v>4</v>
      </c>
      <c r="B112" s="11" t="s">
        <v>193</v>
      </c>
      <c r="C112" s="4" t="s">
        <v>191</v>
      </c>
      <c r="D112" s="10" t="s">
        <v>192</v>
      </c>
      <c r="E112" s="85">
        <v>26339.3</v>
      </c>
      <c r="F112" s="85"/>
      <c r="G112" s="85"/>
      <c r="H112" s="85">
        <f t="shared" si="6"/>
        <v>0</v>
      </c>
      <c r="I112" s="13"/>
    </row>
    <row r="113" customHeight="1" spans="1:9">
      <c r="A113" s="4">
        <v>5</v>
      </c>
      <c r="B113" s="11" t="s">
        <v>194</v>
      </c>
      <c r="C113" s="4" t="s">
        <v>195</v>
      </c>
      <c r="D113" s="15" t="s">
        <v>198</v>
      </c>
      <c r="E113" s="220">
        <f>13872.4</f>
        <v>13872.4</v>
      </c>
      <c r="F113" s="85"/>
      <c r="G113" s="85"/>
      <c r="H113" s="85">
        <f t="shared" si="6"/>
        <v>0</v>
      </c>
      <c r="I113" s="13"/>
    </row>
    <row r="114" customHeight="1" spans="1:9">
      <c r="A114" s="4">
        <v>6</v>
      </c>
      <c r="B114" s="18" t="s">
        <v>197</v>
      </c>
      <c r="C114" s="4" t="s">
        <v>195</v>
      </c>
      <c r="D114" s="10" t="s">
        <v>1014</v>
      </c>
      <c r="E114" s="85">
        <v>13492.21</v>
      </c>
      <c r="F114" s="85"/>
      <c r="G114" s="85"/>
      <c r="H114" s="85">
        <f t="shared" si="6"/>
        <v>0</v>
      </c>
      <c r="I114" s="13"/>
    </row>
    <row r="115" customHeight="1" spans="1:9">
      <c r="A115" s="4">
        <v>7</v>
      </c>
      <c r="B115" s="18" t="s">
        <v>199</v>
      </c>
      <c r="C115" s="4" t="s">
        <v>195</v>
      </c>
      <c r="D115" s="15" t="s">
        <v>92</v>
      </c>
      <c r="E115" s="220">
        <f>12732</f>
        <v>12732</v>
      </c>
      <c r="F115" s="85"/>
      <c r="G115" s="85"/>
      <c r="H115" s="85">
        <f t="shared" si="6"/>
        <v>0</v>
      </c>
      <c r="I115" s="13"/>
    </row>
    <row r="116" customHeight="1" spans="1:9">
      <c r="A116" s="4"/>
      <c r="B116" s="20" t="s">
        <v>96</v>
      </c>
      <c r="C116" s="21">
        <v>7</v>
      </c>
      <c r="D116" s="4"/>
      <c r="E116" s="223">
        <f>SUM(E109:E115)</f>
        <v>215672.92</v>
      </c>
      <c r="F116" s="223">
        <f t="shared" ref="F116:G116" si="11">SUM(F109:F115)</f>
        <v>1687.42475</v>
      </c>
      <c r="G116" s="223">
        <f t="shared" si="11"/>
        <v>1687.42475</v>
      </c>
      <c r="H116" s="85">
        <f t="shared" si="6"/>
        <v>0</v>
      </c>
      <c r="I116" s="13"/>
    </row>
    <row r="117" customHeight="1" spans="1:9">
      <c r="A117" s="4"/>
      <c r="B117" s="22"/>
      <c r="C117" s="10"/>
      <c r="D117" s="4"/>
      <c r="E117" s="224"/>
      <c r="F117" s="224"/>
      <c r="G117" s="224"/>
      <c r="H117" s="85">
        <f t="shared" si="6"/>
        <v>0</v>
      </c>
      <c r="I117" s="13"/>
    </row>
    <row r="118" customHeight="1" spans="1:9">
      <c r="A118" s="4"/>
      <c r="B118" s="20" t="s">
        <v>213</v>
      </c>
      <c r="C118" s="21"/>
      <c r="D118" s="21"/>
      <c r="E118" s="146"/>
      <c r="F118" s="146"/>
      <c r="G118" s="146"/>
      <c r="H118" s="85">
        <f t="shared" si="6"/>
        <v>0</v>
      </c>
      <c r="I118" s="13"/>
    </row>
    <row r="119" customHeight="1" spans="1:9">
      <c r="A119" s="4">
        <v>1</v>
      </c>
      <c r="B119" s="11" t="s">
        <v>214</v>
      </c>
      <c r="C119" s="12" t="s">
        <v>215</v>
      </c>
      <c r="D119" s="15" t="s">
        <v>100</v>
      </c>
      <c r="E119" s="85">
        <v>81740.02</v>
      </c>
      <c r="F119" s="85">
        <f>0.025*E119</f>
        <v>2043.5005</v>
      </c>
      <c r="G119" s="85">
        <f>'[14]April 2022'!$H$21</f>
        <v>2043.5005</v>
      </c>
      <c r="H119" s="85">
        <f t="shared" si="6"/>
        <v>0</v>
      </c>
      <c r="I119" s="13"/>
    </row>
    <row r="120" customHeight="1" spans="1:9">
      <c r="A120" s="4" t="s">
        <v>1206</v>
      </c>
      <c r="B120" s="11" t="s">
        <v>1207</v>
      </c>
      <c r="C120" s="12" t="s">
        <v>1208</v>
      </c>
      <c r="D120" s="15" t="s">
        <v>189</v>
      </c>
      <c r="E120" s="85">
        <v>42653.17</v>
      </c>
      <c r="F120" s="85"/>
      <c r="G120" s="85"/>
      <c r="H120" s="85">
        <f t="shared" si="6"/>
        <v>0</v>
      </c>
      <c r="I120" s="13"/>
    </row>
    <row r="121" customHeight="1" spans="1:9">
      <c r="A121" s="4">
        <v>3</v>
      </c>
      <c r="B121" s="11" t="s">
        <v>216</v>
      </c>
      <c r="C121" s="12" t="s">
        <v>219</v>
      </c>
      <c r="D121" s="15" t="s">
        <v>36</v>
      </c>
      <c r="E121" s="85">
        <v>33507.5</v>
      </c>
      <c r="F121" s="85">
        <f>0.025*E121</f>
        <v>837.6875</v>
      </c>
      <c r="G121" s="85">
        <f>'[14]April 2022'!$H$20</f>
        <v>837.6875</v>
      </c>
      <c r="H121" s="85">
        <f t="shared" si="6"/>
        <v>0</v>
      </c>
      <c r="I121" s="13"/>
    </row>
    <row r="122" customHeight="1" spans="1:9">
      <c r="A122" s="4">
        <v>4</v>
      </c>
      <c r="B122" s="14" t="s">
        <v>218</v>
      </c>
      <c r="C122" s="12" t="s">
        <v>219</v>
      </c>
      <c r="D122" s="15" t="s">
        <v>36</v>
      </c>
      <c r="E122" s="85">
        <v>33507.5</v>
      </c>
      <c r="F122" s="85">
        <f>0.025*E122</f>
        <v>837.6875</v>
      </c>
      <c r="G122" s="85">
        <f>'[14]April 2022'!$H$22</f>
        <v>837.6875</v>
      </c>
      <c r="H122" s="85">
        <f t="shared" si="6"/>
        <v>0</v>
      </c>
      <c r="I122" s="13"/>
    </row>
    <row r="123" customHeight="1" spans="1:9">
      <c r="A123" s="4">
        <v>5</v>
      </c>
      <c r="B123" s="14" t="s">
        <v>523</v>
      </c>
      <c r="C123" s="12" t="s">
        <v>219</v>
      </c>
      <c r="D123" s="15" t="s">
        <v>39</v>
      </c>
      <c r="E123" s="222">
        <v>31018.84</v>
      </c>
      <c r="F123" s="85"/>
      <c r="G123" s="85"/>
      <c r="H123" s="85">
        <f t="shared" si="6"/>
        <v>0</v>
      </c>
      <c r="I123" s="13"/>
    </row>
    <row r="124" customHeight="1" spans="1:9">
      <c r="A124" s="4">
        <v>6</v>
      </c>
      <c r="B124" s="11" t="s">
        <v>220</v>
      </c>
      <c r="C124" s="12" t="s">
        <v>221</v>
      </c>
      <c r="D124" s="15" t="s">
        <v>148</v>
      </c>
      <c r="E124" s="85">
        <v>26732.65</v>
      </c>
      <c r="F124" s="85"/>
      <c r="G124" s="85"/>
      <c r="H124" s="85">
        <f t="shared" si="6"/>
        <v>0</v>
      </c>
      <c r="I124" s="13"/>
    </row>
    <row r="125" customHeight="1" spans="1:9">
      <c r="A125" s="4">
        <v>7</v>
      </c>
      <c r="B125" s="11" t="s">
        <v>223</v>
      </c>
      <c r="C125" s="12" t="s">
        <v>224</v>
      </c>
      <c r="D125" s="15" t="s">
        <v>52</v>
      </c>
      <c r="E125" s="85">
        <v>25523.45</v>
      </c>
      <c r="F125" s="85">
        <f>0.025*E125</f>
        <v>638.08625</v>
      </c>
      <c r="G125" s="85">
        <f>'[14]April 2022'!$H$48</f>
        <v>618.5315</v>
      </c>
      <c r="H125" s="85">
        <f t="shared" si="6"/>
        <v>19.55475</v>
      </c>
      <c r="I125" s="13"/>
    </row>
    <row r="126" customHeight="1" spans="1:9">
      <c r="A126" s="4">
        <v>8</v>
      </c>
      <c r="B126" s="11" t="s">
        <v>225</v>
      </c>
      <c r="C126" s="12" t="s">
        <v>1039</v>
      </c>
      <c r="D126" s="15" t="s">
        <v>52</v>
      </c>
      <c r="E126" s="85">
        <v>25523.45</v>
      </c>
      <c r="F126" s="85">
        <f>0.025*E126</f>
        <v>638.08625</v>
      </c>
      <c r="G126" s="85">
        <f>'[14]April 2022'!$H$24</f>
        <v>618.5315</v>
      </c>
      <c r="H126" s="85">
        <f t="shared" si="6"/>
        <v>19.55475</v>
      </c>
      <c r="I126" s="13"/>
    </row>
    <row r="127" customHeight="1" spans="1:9">
      <c r="A127" s="4">
        <v>9</v>
      </c>
      <c r="B127" s="18" t="s">
        <v>1209</v>
      </c>
      <c r="C127" s="12" t="s">
        <v>1210</v>
      </c>
      <c r="D127" s="15" t="s">
        <v>55</v>
      </c>
      <c r="E127" s="85">
        <v>24741.26</v>
      </c>
      <c r="F127" s="85"/>
      <c r="G127" s="85"/>
      <c r="H127" s="85">
        <f t="shared" si="6"/>
        <v>0</v>
      </c>
      <c r="I127" s="13"/>
    </row>
    <row r="128" customHeight="1" spans="1:9">
      <c r="A128" s="4">
        <v>10</v>
      </c>
      <c r="B128" s="11" t="s">
        <v>226</v>
      </c>
      <c r="C128" s="12" t="s">
        <v>227</v>
      </c>
      <c r="D128" s="10" t="s">
        <v>80</v>
      </c>
      <c r="E128" s="85">
        <f>15188.67</f>
        <v>15188.67</v>
      </c>
      <c r="F128" s="85"/>
      <c r="G128" s="85"/>
      <c r="H128" s="85">
        <f t="shared" si="6"/>
        <v>0</v>
      </c>
      <c r="I128" s="13"/>
    </row>
    <row r="129" customHeight="1" spans="1:9">
      <c r="A129" s="4">
        <v>11</v>
      </c>
      <c r="B129" s="18" t="s">
        <v>228</v>
      </c>
      <c r="C129" s="12" t="s">
        <v>229</v>
      </c>
      <c r="D129" s="15" t="s">
        <v>92</v>
      </c>
      <c r="E129" s="85">
        <f>12732</f>
        <v>12732</v>
      </c>
      <c r="F129" s="85">
        <f>0</f>
        <v>0</v>
      </c>
      <c r="G129" s="85">
        <f>0</f>
        <v>0</v>
      </c>
      <c r="H129" s="85">
        <f t="shared" si="6"/>
        <v>0</v>
      </c>
      <c r="I129" s="13"/>
    </row>
    <row r="130" customHeight="1" spans="1:9">
      <c r="A130" s="4"/>
      <c r="B130" s="20" t="s">
        <v>96</v>
      </c>
      <c r="C130" s="26" t="s">
        <v>1211</v>
      </c>
      <c r="D130" s="15"/>
      <c r="E130" s="146">
        <f t="shared" ref="E130" si="12">SUM(E119:E129)</f>
        <v>352868.51</v>
      </c>
      <c r="F130" s="93">
        <f t="shared" ref="F130:G130" si="13">SUM(F119:F129)</f>
        <v>4995.048</v>
      </c>
      <c r="G130" s="93">
        <f t="shared" si="13"/>
        <v>4955.9385</v>
      </c>
      <c r="H130" s="146">
        <f t="shared" si="6"/>
        <v>39.1095000000005</v>
      </c>
      <c r="I130" s="13"/>
    </row>
    <row r="131" customHeight="1" spans="1:9">
      <c r="A131" s="4"/>
      <c r="B131" s="22"/>
      <c r="C131" s="26"/>
      <c r="D131" s="15"/>
      <c r="E131" s="146"/>
      <c r="F131" s="146"/>
      <c r="G131" s="146"/>
      <c r="H131" s="85">
        <f t="shared" si="6"/>
        <v>0</v>
      </c>
      <c r="I131" s="13"/>
    </row>
    <row r="132" customHeight="1" spans="1:9">
      <c r="A132" s="4"/>
      <c r="B132" s="20" t="s">
        <v>234</v>
      </c>
      <c r="C132" s="12"/>
      <c r="D132" s="15"/>
      <c r="E132" s="85"/>
      <c r="F132" s="85"/>
      <c r="G132" s="85"/>
      <c r="H132" s="85">
        <f t="shared" si="6"/>
        <v>0</v>
      </c>
      <c r="I132" s="13"/>
    </row>
    <row r="133" customHeight="1" spans="1:9">
      <c r="A133" s="27">
        <v>1</v>
      </c>
      <c r="B133" s="11" t="s">
        <v>235</v>
      </c>
      <c r="C133" s="12" t="s">
        <v>236</v>
      </c>
      <c r="D133" s="15" t="s">
        <v>100</v>
      </c>
      <c r="E133" s="85">
        <v>81740.02</v>
      </c>
      <c r="F133" s="85"/>
      <c r="G133" s="85"/>
      <c r="H133" s="85">
        <f t="shared" si="6"/>
        <v>0</v>
      </c>
      <c r="I133" s="13"/>
    </row>
    <row r="134" customHeight="1" spans="1:9">
      <c r="A134" s="27">
        <v>2</v>
      </c>
      <c r="B134" s="11" t="s">
        <v>524</v>
      </c>
      <c r="C134" s="12" t="s">
        <v>575</v>
      </c>
      <c r="D134" s="15" t="s">
        <v>189</v>
      </c>
      <c r="E134" s="85">
        <v>42653.17</v>
      </c>
      <c r="H134" s="85">
        <f t="shared" si="6"/>
        <v>0</v>
      </c>
      <c r="I134" s="13"/>
    </row>
    <row r="135" customHeight="1" spans="1:9">
      <c r="A135" s="27">
        <v>3</v>
      </c>
      <c r="B135" s="14" t="s">
        <v>237</v>
      </c>
      <c r="C135" s="4" t="s">
        <v>238</v>
      </c>
      <c r="D135" s="16" t="s">
        <v>110</v>
      </c>
      <c r="E135" s="85">
        <v>41157.69</v>
      </c>
      <c r="F135" s="85">
        <f>0.025*E135</f>
        <v>1028.94225</v>
      </c>
      <c r="G135" s="85">
        <f>G7</f>
        <v>1028.94225</v>
      </c>
      <c r="H135" s="85">
        <f t="shared" si="6"/>
        <v>0</v>
      </c>
      <c r="I135" s="13"/>
    </row>
    <row r="136" customHeight="1" spans="1:9">
      <c r="A136" s="27">
        <v>4</v>
      </c>
      <c r="B136" s="11" t="s">
        <v>239</v>
      </c>
      <c r="C136" s="12" t="s">
        <v>582</v>
      </c>
      <c r="D136" s="15" t="s">
        <v>222</v>
      </c>
      <c r="E136" s="85">
        <v>27611.23</v>
      </c>
      <c r="F136" s="85">
        <f>0.025*E136</f>
        <v>690.28075</v>
      </c>
      <c r="G136" s="85">
        <f>'[14]April 2022'!$H$47</f>
        <v>668.31625</v>
      </c>
      <c r="H136" s="85">
        <f t="shared" ref="H136:H189" si="14">F136-G136</f>
        <v>21.9644999999999</v>
      </c>
      <c r="I136" s="13"/>
    </row>
    <row r="137" customHeight="1" spans="1:9">
      <c r="A137" s="27">
        <v>5</v>
      </c>
      <c r="B137" s="11" t="s">
        <v>241</v>
      </c>
      <c r="C137" s="4" t="s">
        <v>583</v>
      </c>
      <c r="D137" s="15" t="s">
        <v>222</v>
      </c>
      <c r="E137" s="85">
        <v>27611.23</v>
      </c>
      <c r="F137" s="85">
        <f>0.025*E137</f>
        <v>690.28075</v>
      </c>
      <c r="G137" s="85">
        <f>'[14]April 2022'!$H$50</f>
        <v>668.31625</v>
      </c>
      <c r="H137" s="85">
        <f t="shared" si="14"/>
        <v>21.9644999999999</v>
      </c>
      <c r="I137" s="13"/>
    </row>
    <row r="138" customHeight="1" spans="1:9">
      <c r="A138" s="27">
        <v>6</v>
      </c>
      <c r="B138" s="11" t="s">
        <v>176</v>
      </c>
      <c r="C138" s="4" t="s">
        <v>585</v>
      </c>
      <c r="D138" s="15" t="s">
        <v>52</v>
      </c>
      <c r="E138" s="85">
        <v>25523.45</v>
      </c>
      <c r="F138" s="85"/>
      <c r="G138" s="85"/>
      <c r="H138" s="85">
        <f t="shared" si="14"/>
        <v>0</v>
      </c>
      <c r="I138" s="13"/>
    </row>
    <row r="139" customHeight="1" spans="1:9">
      <c r="A139" s="27">
        <v>7</v>
      </c>
      <c r="B139" s="11" t="s">
        <v>178</v>
      </c>
      <c r="C139" s="12" t="s">
        <v>584</v>
      </c>
      <c r="D139" s="15" t="s">
        <v>62</v>
      </c>
      <c r="E139" s="85">
        <f>22837.82</f>
        <v>22837.82</v>
      </c>
      <c r="F139" s="85">
        <f>0.025*E139</f>
        <v>570.9455</v>
      </c>
      <c r="G139" s="85">
        <f>'[14]April 2022'!$H$40</f>
        <v>538.022</v>
      </c>
      <c r="H139" s="85">
        <f t="shared" si="14"/>
        <v>32.9235</v>
      </c>
      <c r="I139" s="13"/>
    </row>
    <row r="140" customHeight="1" spans="1:9">
      <c r="A140" s="27">
        <v>8</v>
      </c>
      <c r="B140" s="11" t="s">
        <v>244</v>
      </c>
      <c r="C140" s="12" t="s">
        <v>584</v>
      </c>
      <c r="D140" s="15" t="s">
        <v>62</v>
      </c>
      <c r="E140" s="85">
        <f t="shared" ref="E140:E141" si="15">22837.82</f>
        <v>22837.82</v>
      </c>
      <c r="F140" s="85"/>
      <c r="G140" s="85"/>
      <c r="H140" s="85">
        <f t="shared" si="14"/>
        <v>0</v>
      </c>
      <c r="I140" s="13"/>
    </row>
    <row r="141" customHeight="1" spans="1:9">
      <c r="A141" s="27">
        <v>9</v>
      </c>
      <c r="B141" s="11" t="s">
        <v>245</v>
      </c>
      <c r="C141" s="4" t="s">
        <v>585</v>
      </c>
      <c r="D141" s="15" t="s">
        <v>62</v>
      </c>
      <c r="E141" s="85">
        <f t="shared" si="15"/>
        <v>22837.82</v>
      </c>
      <c r="F141" s="85"/>
      <c r="G141" s="85"/>
      <c r="H141" s="85">
        <f t="shared" si="14"/>
        <v>0</v>
      </c>
      <c r="I141" s="13"/>
    </row>
    <row r="142" customHeight="1" spans="1:9">
      <c r="A142" s="27">
        <v>10</v>
      </c>
      <c r="B142" s="11" t="s">
        <v>247</v>
      </c>
      <c r="C142" s="12" t="s">
        <v>252</v>
      </c>
      <c r="D142" s="15" t="s">
        <v>135</v>
      </c>
      <c r="E142" s="85">
        <v>21520.88</v>
      </c>
      <c r="F142" s="85"/>
      <c r="G142" s="85"/>
      <c r="H142" s="85">
        <f t="shared" si="14"/>
        <v>0</v>
      </c>
      <c r="I142" s="13"/>
    </row>
    <row r="143" customHeight="1" spans="1:9">
      <c r="A143" s="27">
        <v>11</v>
      </c>
      <c r="B143" s="11" t="s">
        <v>249</v>
      </c>
      <c r="C143" s="12" t="s">
        <v>1041</v>
      </c>
      <c r="D143" s="15" t="s">
        <v>587</v>
      </c>
      <c r="E143" s="220">
        <v>18779.3</v>
      </c>
      <c r="F143" s="85">
        <f>0.025*E143</f>
        <v>469.4825</v>
      </c>
      <c r="G143" s="85">
        <f>'[14]April 2022'!$H$43</f>
        <v>457.041</v>
      </c>
      <c r="H143" s="85">
        <f t="shared" si="14"/>
        <v>12.4415</v>
      </c>
      <c r="I143" s="13"/>
    </row>
    <row r="144" customHeight="1" spans="1:9">
      <c r="A144" s="27">
        <v>12</v>
      </c>
      <c r="B144" s="11" t="s">
        <v>251</v>
      </c>
      <c r="C144" s="12" t="s">
        <v>252</v>
      </c>
      <c r="D144" s="15" t="s">
        <v>62</v>
      </c>
      <c r="E144" s="85">
        <v>22837.82</v>
      </c>
      <c r="F144" s="85">
        <f>0.025*E144</f>
        <v>570.9455</v>
      </c>
      <c r="G144" s="85">
        <f>G139</f>
        <v>538.022</v>
      </c>
      <c r="H144" s="85">
        <f t="shared" si="14"/>
        <v>32.9235</v>
      </c>
      <c r="I144" s="13"/>
    </row>
    <row r="145" customHeight="1" spans="1:9">
      <c r="A145" s="27">
        <v>13</v>
      </c>
      <c r="B145" s="11" t="s">
        <v>256</v>
      </c>
      <c r="C145" s="4" t="s">
        <v>586</v>
      </c>
      <c r="D145" s="15" t="s">
        <v>104</v>
      </c>
      <c r="E145" s="220">
        <v>18281.64</v>
      </c>
      <c r="F145" s="85"/>
      <c r="G145" s="85"/>
      <c r="H145" s="85">
        <f t="shared" si="14"/>
        <v>0</v>
      </c>
      <c r="I145" s="13"/>
    </row>
    <row r="146" customHeight="1" spans="1:9">
      <c r="A146" s="27">
        <v>14</v>
      </c>
      <c r="B146" s="11" t="s">
        <v>257</v>
      </c>
      <c r="C146" s="4" t="s">
        <v>586</v>
      </c>
      <c r="D146" s="15" t="s">
        <v>265</v>
      </c>
      <c r="E146" s="220">
        <v>18281.64</v>
      </c>
      <c r="F146" s="85">
        <f>0.025*E146</f>
        <v>457.041</v>
      </c>
      <c r="G146" s="85">
        <f>'[14]April 2022'!$H$36</f>
        <v>444.6025</v>
      </c>
      <c r="H146" s="85">
        <f t="shared" si="14"/>
        <v>12.4385</v>
      </c>
      <c r="I146" s="13"/>
    </row>
    <row r="147" customHeight="1" spans="1:9">
      <c r="A147" s="27">
        <v>15</v>
      </c>
      <c r="B147" s="11" t="s">
        <v>258</v>
      </c>
      <c r="C147" s="4" t="s">
        <v>586</v>
      </c>
      <c r="D147" s="15" t="s">
        <v>265</v>
      </c>
      <c r="E147" s="220">
        <v>18281.64</v>
      </c>
      <c r="F147" s="85"/>
      <c r="G147" s="85"/>
      <c r="H147" s="85">
        <f t="shared" si="14"/>
        <v>0</v>
      </c>
      <c r="I147" s="13"/>
    </row>
    <row r="148" customHeight="1" spans="1:9">
      <c r="A148" s="27">
        <v>16</v>
      </c>
      <c r="B148" s="11" t="s">
        <v>259</v>
      </c>
      <c r="C148" s="12" t="s">
        <v>260</v>
      </c>
      <c r="D148" s="15" t="s">
        <v>70</v>
      </c>
      <c r="E148" s="225">
        <f>17286.33</f>
        <v>17286.33</v>
      </c>
      <c r="F148" s="85"/>
      <c r="G148" s="85"/>
      <c r="H148" s="85">
        <f t="shared" si="14"/>
        <v>0</v>
      </c>
      <c r="I148" s="13"/>
    </row>
    <row r="149" customHeight="1" spans="1:9">
      <c r="A149" s="27">
        <v>17</v>
      </c>
      <c r="B149" s="11" t="s">
        <v>1022</v>
      </c>
      <c r="C149" s="12" t="s">
        <v>262</v>
      </c>
      <c r="D149" s="10" t="s">
        <v>83</v>
      </c>
      <c r="E149" s="222">
        <f>14736.14</f>
        <v>14736.14</v>
      </c>
      <c r="F149" s="85"/>
      <c r="G149" s="85"/>
      <c r="H149" s="85">
        <f t="shared" si="14"/>
        <v>0</v>
      </c>
      <c r="I149" s="13"/>
    </row>
    <row r="150" customHeight="1" spans="1:9">
      <c r="A150" s="27">
        <v>18</v>
      </c>
      <c r="B150" s="11" t="s">
        <v>263</v>
      </c>
      <c r="C150" s="12" t="s">
        <v>264</v>
      </c>
      <c r="D150" s="15" t="s">
        <v>104</v>
      </c>
      <c r="E150" s="220">
        <v>18281.64</v>
      </c>
      <c r="F150" s="85"/>
      <c r="G150" s="85"/>
      <c r="H150" s="85">
        <f t="shared" si="14"/>
        <v>0</v>
      </c>
      <c r="I150" s="13"/>
    </row>
    <row r="151" customHeight="1" spans="1:9">
      <c r="A151" s="27">
        <v>19</v>
      </c>
      <c r="B151" s="11" t="s">
        <v>266</v>
      </c>
      <c r="C151" s="12" t="s">
        <v>267</v>
      </c>
      <c r="D151" s="15" t="s">
        <v>80</v>
      </c>
      <c r="E151" s="220">
        <f>15188.67</f>
        <v>15188.67</v>
      </c>
      <c r="F151" s="85"/>
      <c r="G151" s="85"/>
      <c r="H151" s="85">
        <f t="shared" si="14"/>
        <v>0</v>
      </c>
      <c r="I151" s="13"/>
    </row>
    <row r="152" customHeight="1" spans="1:9">
      <c r="A152" s="27">
        <v>20</v>
      </c>
      <c r="B152" s="11" t="s">
        <v>268</v>
      </c>
      <c r="C152" s="12" t="s">
        <v>269</v>
      </c>
      <c r="D152" s="15" t="s">
        <v>104</v>
      </c>
      <c r="E152" s="220">
        <v>18281.64</v>
      </c>
      <c r="F152" s="85">
        <f>0.025*E152</f>
        <v>457.041</v>
      </c>
      <c r="G152" s="85">
        <f>G146</f>
        <v>444.6025</v>
      </c>
      <c r="H152" s="85">
        <f t="shared" si="14"/>
        <v>12.4385</v>
      </c>
      <c r="I152" s="13"/>
    </row>
    <row r="153" customHeight="1" spans="1:9">
      <c r="A153" s="27">
        <v>21</v>
      </c>
      <c r="B153" s="11" t="s">
        <v>270</v>
      </c>
      <c r="C153" s="12" t="s">
        <v>271</v>
      </c>
      <c r="D153" s="15" t="s">
        <v>80</v>
      </c>
      <c r="E153" s="220">
        <v>15188.67</v>
      </c>
      <c r="F153" s="85"/>
      <c r="G153" s="85"/>
      <c r="H153" s="85">
        <f t="shared" si="14"/>
        <v>0</v>
      </c>
      <c r="I153" s="13"/>
    </row>
    <row r="154" customHeight="1" spans="1:9">
      <c r="A154" s="27">
        <v>22</v>
      </c>
      <c r="B154" s="18" t="s">
        <v>272</v>
      </c>
      <c r="C154" s="12" t="s">
        <v>278</v>
      </c>
      <c r="D154" s="15" t="s">
        <v>1198</v>
      </c>
      <c r="E154" s="220">
        <v>13492.21</v>
      </c>
      <c r="F154" s="85"/>
      <c r="G154" s="85"/>
      <c r="H154" s="85">
        <f t="shared" si="14"/>
        <v>0</v>
      </c>
      <c r="I154" s="13"/>
    </row>
    <row r="155" customHeight="1" spans="1:9">
      <c r="A155" s="27">
        <v>23</v>
      </c>
      <c r="B155" s="18" t="s">
        <v>1212</v>
      </c>
      <c r="C155" s="12" t="s">
        <v>276</v>
      </c>
      <c r="D155" s="15" t="s">
        <v>92</v>
      </c>
      <c r="E155" s="85">
        <f>12732</f>
        <v>12732</v>
      </c>
      <c r="F155" s="85">
        <f>0</f>
        <v>0</v>
      </c>
      <c r="G155" s="85">
        <f>0</f>
        <v>0</v>
      </c>
      <c r="H155" s="85">
        <f t="shared" si="14"/>
        <v>0</v>
      </c>
      <c r="I155" s="13"/>
    </row>
    <row r="156" customHeight="1" spans="1:9">
      <c r="A156" s="27">
        <v>24</v>
      </c>
      <c r="B156" s="18" t="s">
        <v>275</v>
      </c>
      <c r="C156" s="12" t="s">
        <v>276</v>
      </c>
      <c r="D156" s="15" t="s">
        <v>95</v>
      </c>
      <c r="E156" s="222">
        <v>12351.94</v>
      </c>
      <c r="F156" s="85">
        <f>0</f>
        <v>0</v>
      </c>
      <c r="G156" s="85">
        <f>0</f>
        <v>0</v>
      </c>
      <c r="H156" s="85">
        <f t="shared" si="14"/>
        <v>0</v>
      </c>
      <c r="I156" s="13"/>
    </row>
    <row r="157" customHeight="1" spans="1:9">
      <c r="A157" s="27">
        <v>25</v>
      </c>
      <c r="B157" s="18" t="s">
        <v>277</v>
      </c>
      <c r="C157" s="12" t="s">
        <v>278</v>
      </c>
      <c r="D157" s="15" t="s">
        <v>95</v>
      </c>
      <c r="E157" s="222">
        <v>12352.94</v>
      </c>
      <c r="F157" s="85">
        <f>0</f>
        <v>0</v>
      </c>
      <c r="G157" s="85">
        <f>0</f>
        <v>0</v>
      </c>
      <c r="H157" s="85">
        <f t="shared" si="14"/>
        <v>0</v>
      </c>
      <c r="I157" s="13"/>
    </row>
    <row r="158" customHeight="1" spans="1:9">
      <c r="A158" s="27">
        <v>26</v>
      </c>
      <c r="B158" s="18" t="s">
        <v>279</v>
      </c>
      <c r="C158" s="12" t="s">
        <v>280</v>
      </c>
      <c r="D158" s="15" t="s">
        <v>92</v>
      </c>
      <c r="E158" s="85">
        <v>12732</v>
      </c>
      <c r="F158" s="85">
        <f>0</f>
        <v>0</v>
      </c>
      <c r="G158" s="85">
        <f>0</f>
        <v>0</v>
      </c>
      <c r="H158" s="85">
        <f t="shared" si="14"/>
        <v>0</v>
      </c>
      <c r="I158" s="13"/>
    </row>
    <row r="159" customHeight="1" spans="1:9">
      <c r="A159" s="27">
        <v>27</v>
      </c>
      <c r="B159" s="18" t="s">
        <v>281</v>
      </c>
      <c r="C159" s="12" t="s">
        <v>282</v>
      </c>
      <c r="D159" s="15" t="s">
        <v>92</v>
      </c>
      <c r="E159" s="85">
        <v>12732</v>
      </c>
      <c r="F159" s="85">
        <f>0</f>
        <v>0</v>
      </c>
      <c r="G159" s="85">
        <f>0</f>
        <v>0</v>
      </c>
      <c r="H159" s="85">
        <f t="shared" si="14"/>
        <v>0</v>
      </c>
      <c r="I159" s="13"/>
    </row>
    <row r="160" customHeight="1" spans="1:9">
      <c r="A160" s="27">
        <v>28</v>
      </c>
      <c r="B160" s="11" t="s">
        <v>287</v>
      </c>
      <c r="C160" s="12" t="s">
        <v>288</v>
      </c>
      <c r="D160" s="15" t="s">
        <v>295</v>
      </c>
      <c r="E160" s="226">
        <f>10527.6</f>
        <v>10527.6</v>
      </c>
      <c r="F160" s="85">
        <f>0.025*E160</f>
        <v>263.19</v>
      </c>
      <c r="G160" s="85">
        <f>'[14]April 2022'!$H$39</f>
        <v>226.2535</v>
      </c>
      <c r="H160" s="85">
        <f t="shared" si="14"/>
        <v>36.9365</v>
      </c>
      <c r="I160" s="13"/>
    </row>
    <row r="161" customHeight="1" spans="1:9">
      <c r="A161" s="27">
        <v>29</v>
      </c>
      <c r="B161" s="11" t="s">
        <v>290</v>
      </c>
      <c r="C161" s="12" t="s">
        <v>288</v>
      </c>
      <c r="D161" s="15" t="s">
        <v>295</v>
      </c>
      <c r="E161" s="226">
        <f t="shared" ref="E161:E165" si="16">10527.6</f>
        <v>10527.6</v>
      </c>
      <c r="F161" s="85"/>
      <c r="G161" s="85"/>
      <c r="H161" s="85">
        <f t="shared" si="14"/>
        <v>0</v>
      </c>
      <c r="I161" s="13"/>
    </row>
    <row r="162" customHeight="1" spans="1:9">
      <c r="A162" s="27">
        <v>30</v>
      </c>
      <c r="B162" s="11" t="s">
        <v>291</v>
      </c>
      <c r="C162" s="12" t="s">
        <v>288</v>
      </c>
      <c r="D162" s="15" t="s">
        <v>295</v>
      </c>
      <c r="E162" s="226">
        <f t="shared" si="16"/>
        <v>10527.6</v>
      </c>
      <c r="F162" s="85"/>
      <c r="G162" s="85"/>
      <c r="H162" s="85">
        <f t="shared" si="14"/>
        <v>0</v>
      </c>
      <c r="I162" s="13"/>
    </row>
    <row r="163" customHeight="1" spans="1:9">
      <c r="A163" s="27">
        <v>31</v>
      </c>
      <c r="B163" s="11" t="s">
        <v>739</v>
      </c>
      <c r="C163" s="12" t="s">
        <v>288</v>
      </c>
      <c r="D163" s="15" t="s">
        <v>295</v>
      </c>
      <c r="E163" s="226">
        <f t="shared" si="16"/>
        <v>10527.6</v>
      </c>
      <c r="F163" s="85"/>
      <c r="G163" s="85"/>
      <c r="H163" s="85">
        <f t="shared" si="14"/>
        <v>0</v>
      </c>
      <c r="I163" s="13"/>
    </row>
    <row r="164" customHeight="1" spans="1:9">
      <c r="A164" s="27">
        <v>32</v>
      </c>
      <c r="B164" s="11" t="s">
        <v>292</v>
      </c>
      <c r="C164" s="12" t="s">
        <v>288</v>
      </c>
      <c r="D164" s="15" t="s">
        <v>295</v>
      </c>
      <c r="E164" s="226">
        <f t="shared" si="16"/>
        <v>10527.6</v>
      </c>
      <c r="F164" s="85">
        <v>263.19</v>
      </c>
      <c r="G164" s="85">
        <f>'[14]April 2022'!$H$51</f>
        <v>226.2535</v>
      </c>
      <c r="H164" s="85">
        <f t="shared" si="14"/>
        <v>36.9365</v>
      </c>
      <c r="I164" s="13"/>
    </row>
    <row r="165" customHeight="1" spans="1:9">
      <c r="A165" s="27">
        <v>33</v>
      </c>
      <c r="B165" s="11" t="s">
        <v>293</v>
      </c>
      <c r="C165" s="12" t="s">
        <v>288</v>
      </c>
      <c r="D165" s="15" t="s">
        <v>295</v>
      </c>
      <c r="E165" s="226">
        <f t="shared" si="16"/>
        <v>10527.6</v>
      </c>
      <c r="F165" s="85"/>
      <c r="G165" s="85"/>
      <c r="H165" s="85">
        <f t="shared" si="14"/>
        <v>0</v>
      </c>
      <c r="I165" s="13"/>
    </row>
    <row r="166" customHeight="1" spans="1:9">
      <c r="A166" s="27">
        <v>34</v>
      </c>
      <c r="B166" s="11" t="s">
        <v>294</v>
      </c>
      <c r="C166" s="12" t="s">
        <v>288</v>
      </c>
      <c r="D166" s="15" t="s">
        <v>306</v>
      </c>
      <c r="E166" s="85">
        <v>9050.14</v>
      </c>
      <c r="F166" s="85"/>
      <c r="G166" s="85"/>
      <c r="H166" s="85">
        <f t="shared" si="14"/>
        <v>0</v>
      </c>
      <c r="I166" s="13"/>
    </row>
    <row r="167" customHeight="1" spans="1:9">
      <c r="A167" s="27">
        <v>35</v>
      </c>
      <c r="B167" s="11" t="s">
        <v>296</v>
      </c>
      <c r="C167" s="12" t="s">
        <v>288</v>
      </c>
      <c r="D167" s="15" t="s">
        <v>306</v>
      </c>
      <c r="E167" s="85">
        <v>9050.14</v>
      </c>
      <c r="F167" s="85"/>
      <c r="G167" s="85"/>
      <c r="H167" s="85">
        <f t="shared" si="14"/>
        <v>0</v>
      </c>
      <c r="I167" s="13"/>
    </row>
    <row r="168" customHeight="1" spans="1:9">
      <c r="A168" s="27">
        <v>36</v>
      </c>
      <c r="B168" s="11" t="s">
        <v>1190</v>
      </c>
      <c r="C168" s="12" t="s">
        <v>288</v>
      </c>
      <c r="D168" s="15" t="s">
        <v>306</v>
      </c>
      <c r="E168" s="85">
        <v>9050.14</v>
      </c>
      <c r="F168" s="85"/>
      <c r="G168" s="85"/>
      <c r="H168" s="85">
        <f t="shared" si="14"/>
        <v>0</v>
      </c>
      <c r="I168" s="13"/>
    </row>
    <row r="169" customHeight="1" spans="1:9">
      <c r="A169" s="27">
        <v>37</v>
      </c>
      <c r="B169" s="14" t="s">
        <v>297</v>
      </c>
      <c r="C169" s="12" t="s">
        <v>288</v>
      </c>
      <c r="D169" s="15" t="s">
        <v>306</v>
      </c>
      <c r="E169" s="85">
        <v>9050.14</v>
      </c>
      <c r="F169" s="85"/>
      <c r="G169" s="85"/>
      <c r="H169" s="85">
        <f t="shared" si="14"/>
        <v>0</v>
      </c>
      <c r="I169" s="13"/>
    </row>
    <row r="170" customHeight="1" spans="1:9">
      <c r="A170" s="27">
        <v>38</v>
      </c>
      <c r="B170" s="11" t="s">
        <v>298</v>
      </c>
      <c r="C170" s="12" t="s">
        <v>288</v>
      </c>
      <c r="D170" s="15" t="s">
        <v>306</v>
      </c>
      <c r="E170" s="85">
        <v>9050.14</v>
      </c>
      <c r="F170" s="85"/>
      <c r="G170" s="85"/>
      <c r="H170" s="85">
        <f t="shared" si="14"/>
        <v>0</v>
      </c>
      <c r="I170" s="13"/>
    </row>
    <row r="171" customHeight="1" spans="1:9">
      <c r="A171" s="27">
        <v>39</v>
      </c>
      <c r="B171" s="18" t="s">
        <v>299</v>
      </c>
      <c r="C171" s="12" t="s">
        <v>288</v>
      </c>
      <c r="D171" s="15" t="s">
        <v>306</v>
      </c>
      <c r="E171" s="85">
        <v>9050.14</v>
      </c>
      <c r="F171" s="85"/>
      <c r="G171" s="85"/>
      <c r="H171" s="85">
        <f t="shared" si="14"/>
        <v>0</v>
      </c>
      <c r="I171" s="13"/>
    </row>
    <row r="172" customHeight="1" spans="1:9">
      <c r="A172" s="27">
        <v>40</v>
      </c>
      <c r="B172" s="18" t="s">
        <v>300</v>
      </c>
      <c r="C172" s="12" t="s">
        <v>288</v>
      </c>
      <c r="D172" s="15" t="s">
        <v>306</v>
      </c>
      <c r="E172" s="85">
        <v>9050.14</v>
      </c>
      <c r="F172" s="85"/>
      <c r="G172" s="85"/>
      <c r="H172" s="85">
        <f t="shared" si="14"/>
        <v>0</v>
      </c>
      <c r="I172" s="13"/>
    </row>
    <row r="173" customHeight="1" spans="1:9">
      <c r="A173" s="27">
        <v>41</v>
      </c>
      <c r="B173" s="11" t="s">
        <v>301</v>
      </c>
      <c r="C173" s="12" t="s">
        <v>308</v>
      </c>
      <c r="D173" s="15" t="s">
        <v>588</v>
      </c>
      <c r="E173" s="85">
        <v>5428.12</v>
      </c>
      <c r="F173" s="85"/>
      <c r="G173" s="85"/>
      <c r="H173" s="85">
        <f t="shared" si="14"/>
        <v>0</v>
      </c>
      <c r="I173" s="13"/>
    </row>
    <row r="174" customHeight="1" spans="1:9">
      <c r="A174" s="27">
        <v>42</v>
      </c>
      <c r="B174" s="11" t="s">
        <v>304</v>
      </c>
      <c r="C174" s="12" t="s">
        <v>308</v>
      </c>
      <c r="D174" s="15" t="s">
        <v>588</v>
      </c>
      <c r="E174" s="85">
        <v>5428.12</v>
      </c>
      <c r="F174" s="85"/>
      <c r="G174" s="85"/>
      <c r="H174" s="85">
        <f t="shared" si="14"/>
        <v>0</v>
      </c>
      <c r="I174" s="13"/>
    </row>
    <row r="175" customHeight="1" spans="1:9">
      <c r="A175" s="27">
        <v>43</v>
      </c>
      <c r="B175" s="18" t="s">
        <v>305</v>
      </c>
      <c r="C175" s="12" t="s">
        <v>308</v>
      </c>
      <c r="D175" s="15" t="s">
        <v>1017</v>
      </c>
      <c r="E175" s="85">
        <f>5598.92</f>
        <v>5598.92</v>
      </c>
      <c r="F175" s="85"/>
      <c r="G175" s="85"/>
      <c r="H175" s="85">
        <f t="shared" si="14"/>
        <v>0</v>
      </c>
      <c r="I175" s="13"/>
    </row>
    <row r="176" customHeight="1" spans="1:9">
      <c r="A176" s="27">
        <v>44</v>
      </c>
      <c r="B176" s="11" t="s">
        <v>307</v>
      </c>
      <c r="C176" s="12" t="s">
        <v>308</v>
      </c>
      <c r="D176" s="15" t="s">
        <v>1023</v>
      </c>
      <c r="E176" s="85">
        <v>5257.44</v>
      </c>
      <c r="F176" s="85"/>
      <c r="G176" s="85"/>
      <c r="H176" s="85">
        <f t="shared" si="14"/>
        <v>0</v>
      </c>
      <c r="I176" s="13"/>
    </row>
    <row r="177" customHeight="1" spans="1:9">
      <c r="A177" s="27">
        <v>45</v>
      </c>
      <c r="B177" s="11" t="s">
        <v>309</v>
      </c>
      <c r="C177" s="12" t="s">
        <v>310</v>
      </c>
      <c r="D177" s="15" t="s">
        <v>1024</v>
      </c>
      <c r="E177" s="85">
        <v>5086.76</v>
      </c>
      <c r="F177" s="85"/>
      <c r="G177" s="85"/>
      <c r="H177" s="85">
        <f t="shared" si="14"/>
        <v>0</v>
      </c>
      <c r="I177" s="13"/>
    </row>
    <row r="178" customHeight="1" spans="1:9">
      <c r="A178" s="27">
        <v>46</v>
      </c>
      <c r="B178" s="11" t="s">
        <v>312</v>
      </c>
      <c r="C178" s="12" t="s">
        <v>310</v>
      </c>
      <c r="D178" s="15" t="s">
        <v>1024</v>
      </c>
      <c r="E178" s="85">
        <v>5086.76</v>
      </c>
      <c r="F178" s="85"/>
      <c r="G178" s="85"/>
      <c r="H178" s="85">
        <f t="shared" si="14"/>
        <v>0</v>
      </c>
      <c r="I178" s="13"/>
    </row>
    <row r="179" customHeight="1" spans="1:9">
      <c r="A179" s="27">
        <v>47</v>
      </c>
      <c r="B179" s="11" t="s">
        <v>313</v>
      </c>
      <c r="C179" s="12" t="s">
        <v>310</v>
      </c>
      <c r="D179" s="15" t="s">
        <v>1024</v>
      </c>
      <c r="E179" s="85">
        <v>5086.76</v>
      </c>
      <c r="F179" s="85"/>
      <c r="G179" s="85"/>
      <c r="H179" s="85">
        <f t="shared" si="14"/>
        <v>0</v>
      </c>
      <c r="I179" s="13"/>
    </row>
    <row r="180" customHeight="1" spans="1:9">
      <c r="A180" s="27">
        <v>48</v>
      </c>
      <c r="B180" s="11" t="s">
        <v>314</v>
      </c>
      <c r="C180" s="12" t="s">
        <v>310</v>
      </c>
      <c r="D180" s="15" t="s">
        <v>1024</v>
      </c>
      <c r="E180" s="85">
        <v>5086.76</v>
      </c>
      <c r="F180" s="85"/>
      <c r="G180" s="85"/>
      <c r="H180" s="85">
        <f t="shared" si="14"/>
        <v>0</v>
      </c>
      <c r="I180" s="13"/>
    </row>
    <row r="181" customHeight="1" spans="1:9">
      <c r="A181" s="27">
        <v>49</v>
      </c>
      <c r="B181" s="11" t="s">
        <v>315</v>
      </c>
      <c r="C181" s="12" t="s">
        <v>310</v>
      </c>
      <c r="D181" s="15" t="s">
        <v>1024</v>
      </c>
      <c r="E181" s="85">
        <v>5086.76</v>
      </c>
      <c r="F181" s="85"/>
      <c r="G181" s="85"/>
      <c r="H181" s="85">
        <f t="shared" si="14"/>
        <v>0</v>
      </c>
      <c r="I181" s="13"/>
    </row>
    <row r="182" customHeight="1" spans="1:9">
      <c r="A182" s="27">
        <v>50</v>
      </c>
      <c r="B182" s="18" t="s">
        <v>316</v>
      </c>
      <c r="C182" s="12" t="s">
        <v>310</v>
      </c>
      <c r="D182" s="15" t="s">
        <v>1024</v>
      </c>
      <c r="E182" s="85">
        <v>5086.76</v>
      </c>
      <c r="F182" s="85"/>
      <c r="G182" s="85"/>
      <c r="H182" s="85">
        <f t="shared" si="14"/>
        <v>0</v>
      </c>
      <c r="I182" s="13"/>
    </row>
    <row r="183" customHeight="1" spans="1:9">
      <c r="A183" s="27">
        <v>51</v>
      </c>
      <c r="B183" s="18" t="s">
        <v>317</v>
      </c>
      <c r="C183" s="12" t="s">
        <v>310</v>
      </c>
      <c r="D183" s="15" t="s">
        <v>1024</v>
      </c>
      <c r="E183" s="85">
        <v>5086.76</v>
      </c>
      <c r="F183" s="85"/>
      <c r="G183" s="85"/>
      <c r="H183" s="85">
        <f t="shared" si="14"/>
        <v>0</v>
      </c>
      <c r="I183" s="13"/>
    </row>
    <row r="184" customHeight="1" spans="1:9">
      <c r="A184" s="27">
        <v>52</v>
      </c>
      <c r="B184" s="11" t="s">
        <v>318</v>
      </c>
      <c r="C184" s="12" t="s">
        <v>308</v>
      </c>
      <c r="D184" s="15" t="s">
        <v>1024</v>
      </c>
      <c r="E184" s="85">
        <v>5086.76</v>
      </c>
      <c r="F184" s="85"/>
      <c r="G184" s="85"/>
      <c r="H184" s="85">
        <f t="shared" si="14"/>
        <v>0</v>
      </c>
      <c r="I184" s="13"/>
    </row>
    <row r="185" customHeight="1" spans="1:9">
      <c r="A185" s="27">
        <v>53</v>
      </c>
      <c r="B185" s="11" t="s">
        <v>319</v>
      </c>
      <c r="C185" s="12" t="s">
        <v>308</v>
      </c>
      <c r="D185" s="15" t="s">
        <v>1024</v>
      </c>
      <c r="E185" s="85">
        <v>5086.76</v>
      </c>
      <c r="F185" s="85"/>
      <c r="G185" s="85"/>
      <c r="H185" s="85">
        <f t="shared" si="14"/>
        <v>0</v>
      </c>
      <c r="I185" s="13"/>
    </row>
    <row r="186" customHeight="1" spans="1:9">
      <c r="A186" s="27">
        <v>54</v>
      </c>
      <c r="B186" s="18" t="s">
        <v>320</v>
      </c>
      <c r="C186" s="12" t="s">
        <v>310</v>
      </c>
      <c r="D186" s="15" t="s">
        <v>1042</v>
      </c>
      <c r="E186" s="85">
        <f>4689.38</f>
        <v>4689.38</v>
      </c>
      <c r="F186" s="85"/>
      <c r="G186" s="85"/>
      <c r="H186" s="85">
        <f t="shared" si="14"/>
        <v>0</v>
      </c>
      <c r="I186" s="13"/>
    </row>
    <row r="187" customHeight="1" spans="1:9">
      <c r="A187" s="27">
        <v>55</v>
      </c>
      <c r="B187" s="18" t="s">
        <v>325</v>
      </c>
      <c r="C187" s="12" t="s">
        <v>310</v>
      </c>
      <c r="D187" s="15" t="s">
        <v>1025</v>
      </c>
      <c r="E187" s="220">
        <f>4395.43</f>
        <v>4395.43</v>
      </c>
      <c r="F187" s="85"/>
      <c r="G187" s="85"/>
      <c r="H187" s="85">
        <f t="shared" si="14"/>
        <v>0</v>
      </c>
      <c r="I187" s="13"/>
    </row>
    <row r="188" customHeight="1" spans="1:9">
      <c r="A188" s="27"/>
      <c r="B188" s="8" t="s">
        <v>96</v>
      </c>
      <c r="C188" s="28" t="s">
        <v>1191</v>
      </c>
      <c r="D188" s="29"/>
      <c r="E188" s="93">
        <f t="shared" ref="E188:G188" si="17">SUM(E133:E187)</f>
        <v>811244.18</v>
      </c>
      <c r="F188" s="93">
        <f t="shared" si="17"/>
        <v>5461.33925</v>
      </c>
      <c r="G188" s="93">
        <f t="shared" si="17"/>
        <v>5240.37175</v>
      </c>
      <c r="H188" s="146">
        <f t="shared" si="14"/>
        <v>220.9675</v>
      </c>
      <c r="I188" s="13"/>
    </row>
    <row r="189" customHeight="1" spans="1:9">
      <c r="A189" s="4"/>
      <c r="B189" s="30" t="s">
        <v>336</v>
      </c>
      <c r="C189" s="31">
        <f>C37+C42+C57+C61+C77+C85+C99+C106+C116+C130+C188+2</f>
        <v>154</v>
      </c>
      <c r="D189" s="32"/>
      <c r="E189" s="227">
        <v>3773721.59</v>
      </c>
      <c r="F189" s="227">
        <f>F37+F42+F57+F61+F77+F85+F99+F106+F116+F130+F188</f>
        <v>23887.07125</v>
      </c>
      <c r="G189" s="227">
        <f>G37+G42+G57+G61+G77+G85+G99+G106+G116+G130+G188</f>
        <v>23429.4595</v>
      </c>
      <c r="H189" s="146">
        <f t="shared" si="14"/>
        <v>457.61175</v>
      </c>
      <c r="I189" s="13"/>
    </row>
    <row r="190" customHeight="1" spans="2:9">
      <c r="B190" s="33"/>
      <c r="D190" s="34"/>
      <c r="E190" s="34"/>
      <c r="F190" s="228"/>
      <c r="G190" s="228"/>
      <c r="H190" s="229"/>
      <c r="I190" s="35"/>
    </row>
    <row r="191" ht="65.25" customHeight="1" spans="2:8">
      <c r="B191" s="33"/>
      <c r="C191" s="34"/>
      <c r="D191" s="34"/>
      <c r="E191" s="34"/>
      <c r="F191" s="228"/>
      <c r="G191" s="228"/>
      <c r="H191" s="229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47" orientation="landscape" horizontalDpi="1200" verticalDpi="1200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80"/>
  <sheetViews>
    <sheetView workbookViewId="0">
      <selection activeCell="F6" sqref="F6"/>
    </sheetView>
  </sheetViews>
  <sheetFormatPr defaultColWidth="9.13636363636364" defaultRowHeight="12.5"/>
  <cols>
    <col min="1" max="1" width="3.28181818181818" style="213" customWidth="1"/>
    <col min="2" max="2" width="35.2818181818182" style="213" customWidth="1"/>
    <col min="3" max="3" width="12.7090909090909" style="213" customWidth="1"/>
    <col min="4" max="4" width="9.28181818181818" style="213" customWidth="1"/>
    <col min="5" max="5" width="12.7090909090909" style="213" customWidth="1"/>
    <col min="6" max="6" width="12" style="213" customWidth="1"/>
    <col min="7" max="7" width="9.28181818181818" style="213" customWidth="1"/>
    <col min="8" max="8" width="9.13636363636364" style="213"/>
    <col min="9" max="9" width="12.7090909090909" style="213" customWidth="1"/>
    <col min="10" max="10" width="10.1363636363636" style="213" customWidth="1"/>
    <col min="11" max="11" width="9.28181818181818" style="213" customWidth="1"/>
    <col min="12" max="14" width="11.7090909090909" style="213" customWidth="1"/>
    <col min="15" max="15" width="12.7090909090909" style="213" customWidth="1"/>
    <col min="16" max="19" width="9.28181818181818" style="213" customWidth="1"/>
    <col min="20" max="20" width="10.1363636363636" style="213" customWidth="1"/>
    <col min="21" max="22" width="11.7090909090909" style="213" customWidth="1"/>
    <col min="23" max="23" width="9.28181818181818" style="213" customWidth="1"/>
    <col min="24" max="24" width="10.1363636363636" style="213" customWidth="1"/>
    <col min="25" max="25" width="9.13636363636364" style="213"/>
    <col min="26" max="27" width="11.7090909090909" style="213" customWidth="1"/>
    <col min="28" max="28" width="9.28181818181818" style="213" customWidth="1"/>
    <col min="29" max="16384" width="9.13636363636364" style="213"/>
  </cols>
  <sheetData>
    <row r="1" ht="13" spans="1:1">
      <c r="A1" s="214" t="s">
        <v>0</v>
      </c>
    </row>
    <row r="2" ht="13" spans="1:1">
      <c r="A2" s="214" t="s">
        <v>443</v>
      </c>
    </row>
    <row r="3" ht="13" spans="1:1">
      <c r="A3" s="214" t="s">
        <v>1215</v>
      </c>
    </row>
    <row r="4" ht="90" customHeight="1" spans="1:28">
      <c r="A4" s="215" t="s">
        <v>445</v>
      </c>
      <c r="B4" s="215" t="s">
        <v>446</v>
      </c>
      <c r="C4" s="215" t="s">
        <v>447</v>
      </c>
      <c r="D4" s="215" t="s">
        <v>448</v>
      </c>
      <c r="E4" s="215" t="s">
        <v>449</v>
      </c>
      <c r="F4" s="215" t="s">
        <v>450</v>
      </c>
      <c r="G4" s="215" t="s">
        <v>451</v>
      </c>
      <c r="H4" s="215" t="s">
        <v>452</v>
      </c>
      <c r="I4" s="215" t="s">
        <v>453</v>
      </c>
      <c r="J4" s="215"/>
      <c r="K4" s="215"/>
      <c r="L4" s="215"/>
      <c r="M4" s="215" t="s">
        <v>454</v>
      </c>
      <c r="N4" s="215" t="s">
        <v>455</v>
      </c>
      <c r="O4" s="215" t="s">
        <v>456</v>
      </c>
      <c r="P4" s="215" t="s">
        <v>457</v>
      </c>
      <c r="Q4" s="215" t="s">
        <v>458</v>
      </c>
      <c r="R4" s="215" t="s">
        <v>459</v>
      </c>
      <c r="S4" s="215" t="s">
        <v>460</v>
      </c>
      <c r="T4" s="215" t="s">
        <v>461</v>
      </c>
      <c r="U4" s="215" t="s">
        <v>462</v>
      </c>
      <c r="V4" s="215" t="s">
        <v>463</v>
      </c>
      <c r="W4" s="215"/>
      <c r="X4" s="215" t="s">
        <v>464</v>
      </c>
      <c r="Y4" s="215" t="s">
        <v>465</v>
      </c>
      <c r="Z4" s="215" t="s">
        <v>466</v>
      </c>
      <c r="AA4" s="215" t="s">
        <v>1216</v>
      </c>
      <c r="AB4" s="215" t="s">
        <v>518</v>
      </c>
    </row>
    <row r="5" spans="1:28">
      <c r="A5">
        <v>1</v>
      </c>
      <c r="B5" s="213" t="s">
        <v>22</v>
      </c>
      <c r="C5" s="213">
        <v>1158849.84</v>
      </c>
      <c r="D5" s="213">
        <v>12</v>
      </c>
      <c r="E5" s="213">
        <v>13906198.08</v>
      </c>
      <c r="I5" s="213">
        <v>13906198.08</v>
      </c>
      <c r="J5" s="213">
        <v>200000</v>
      </c>
      <c r="K5" s="213">
        <v>0.2</v>
      </c>
      <c r="L5" s="213">
        <v>2781239.616</v>
      </c>
      <c r="M5" s="213">
        <v>2981239.616</v>
      </c>
      <c r="N5" s="213">
        <v>2981239.616</v>
      </c>
      <c r="O5" s="213">
        <v>10924958.464</v>
      </c>
      <c r="P5" s="213">
        <v>21000</v>
      </c>
      <c r="Q5" s="213">
        <v>33000</v>
      </c>
      <c r="R5" s="213">
        <v>75000</v>
      </c>
      <c r="S5" s="213">
        <v>95000</v>
      </c>
      <c r="T5" s="213">
        <v>336000</v>
      </c>
      <c r="U5" s="213">
        <v>1853990.03136</v>
      </c>
      <c r="V5" s="213">
        <v>2413990.03136</v>
      </c>
      <c r="W5" s="213">
        <v>12</v>
      </c>
      <c r="X5" s="213">
        <v>201165.835946667</v>
      </c>
      <c r="Z5" s="213">
        <v>201165.835946667</v>
      </c>
      <c r="AA5" s="213">
        <v>201165.84</v>
      </c>
      <c r="AB5" s="213">
        <v>-0.0040533333667554</v>
      </c>
    </row>
    <row r="6" spans="1:28">
      <c r="A6">
        <v>3</v>
      </c>
      <c r="B6" s="213" t="s">
        <v>1085</v>
      </c>
      <c r="C6" s="213">
        <v>781465.02475</v>
      </c>
      <c r="D6" s="213">
        <v>12</v>
      </c>
      <c r="E6" s="213">
        <v>9377580.297</v>
      </c>
      <c r="F6" s="213">
        <v>12347.31</v>
      </c>
      <c r="I6" s="213">
        <v>9365232.987</v>
      </c>
      <c r="J6" s="213">
        <v>200000</v>
      </c>
      <c r="K6" s="213">
        <v>0.2</v>
      </c>
      <c r="L6" s="213">
        <v>1873046.5974</v>
      </c>
      <c r="M6" s="213">
        <v>2073046.5974</v>
      </c>
      <c r="N6" s="213">
        <v>2085393.9074</v>
      </c>
      <c r="O6" s="213">
        <v>7292186.3896</v>
      </c>
      <c r="P6" s="213">
        <v>21000</v>
      </c>
      <c r="Q6" s="213">
        <v>33000</v>
      </c>
      <c r="R6" s="213">
        <v>75000</v>
      </c>
      <c r="S6" s="213">
        <v>95000</v>
      </c>
      <c r="T6" s="213">
        <v>336000</v>
      </c>
      <c r="U6" s="213">
        <v>982124.733504</v>
      </c>
      <c r="V6" s="213">
        <v>1542124.733504</v>
      </c>
      <c r="W6" s="213">
        <v>12</v>
      </c>
      <c r="X6" s="213">
        <v>128510.394458667</v>
      </c>
      <c r="Z6" s="213">
        <v>128510.394458667</v>
      </c>
      <c r="AA6" s="213">
        <v>128508.388250667</v>
      </c>
      <c r="AB6" s="213">
        <v>2.0062079999916</v>
      </c>
    </row>
    <row r="7" spans="1:28">
      <c r="A7">
        <v>4</v>
      </c>
      <c r="B7" s="213" t="s">
        <v>1176</v>
      </c>
      <c r="C7" s="213">
        <v>731465.02475</v>
      </c>
      <c r="D7" s="213">
        <v>12</v>
      </c>
      <c r="E7" s="213">
        <v>8777580.297</v>
      </c>
      <c r="I7" s="213">
        <v>8777580.297</v>
      </c>
      <c r="J7" s="213">
        <v>200000</v>
      </c>
      <c r="K7" s="213">
        <v>0.2</v>
      </c>
      <c r="L7" s="213">
        <v>1755516.0594</v>
      </c>
      <c r="M7" s="213">
        <v>1955516.0594</v>
      </c>
      <c r="N7" s="213">
        <v>1955516.0594</v>
      </c>
      <c r="O7" s="213">
        <v>6822064.2376</v>
      </c>
      <c r="P7" s="213">
        <v>21000</v>
      </c>
      <c r="Q7" s="213">
        <v>33000</v>
      </c>
      <c r="R7" s="213">
        <v>75000</v>
      </c>
      <c r="S7" s="213">
        <v>95000</v>
      </c>
      <c r="T7" s="213">
        <v>336000</v>
      </c>
      <c r="U7" s="213">
        <v>869295.417024</v>
      </c>
      <c r="V7" s="213">
        <v>1429295.417024</v>
      </c>
      <c r="W7" s="213">
        <v>12</v>
      </c>
      <c r="X7" s="213">
        <v>119107.951418667</v>
      </c>
      <c r="Z7" s="213">
        <v>119107.951418667</v>
      </c>
      <c r="AA7" s="213">
        <v>116473.51</v>
      </c>
      <c r="AB7" s="213">
        <v>2634.44141866668</v>
      </c>
    </row>
    <row r="8" spans="1:28">
      <c r="A8">
        <v>5</v>
      </c>
      <c r="B8" s="213" t="s">
        <v>25</v>
      </c>
      <c r="C8" s="213">
        <v>541465.02475</v>
      </c>
      <c r="D8" s="213">
        <v>12</v>
      </c>
      <c r="E8" s="213">
        <v>6497580.297</v>
      </c>
      <c r="I8" s="213">
        <v>6497580.297</v>
      </c>
      <c r="J8" s="213">
        <v>200000</v>
      </c>
      <c r="K8" s="213">
        <v>0.2</v>
      </c>
      <c r="L8" s="213">
        <v>1299516.0594</v>
      </c>
      <c r="M8" s="213">
        <v>1499516.0594</v>
      </c>
      <c r="N8" s="213">
        <v>1499516.0594</v>
      </c>
      <c r="O8" s="213">
        <v>4998064.2376</v>
      </c>
      <c r="P8" s="213">
        <v>21000</v>
      </c>
      <c r="Q8" s="213">
        <v>33000</v>
      </c>
      <c r="R8" s="213">
        <v>75000</v>
      </c>
      <c r="S8" s="213">
        <v>95000</v>
      </c>
      <c r="T8" s="213">
        <v>336000</v>
      </c>
      <c r="U8" s="213">
        <v>431535.417024</v>
      </c>
      <c r="V8" s="213">
        <v>991535.417024</v>
      </c>
      <c r="W8" s="213">
        <v>12</v>
      </c>
      <c r="X8" s="213">
        <v>82627.9514186667</v>
      </c>
      <c r="Z8" s="213">
        <v>82627.9514186667</v>
      </c>
      <c r="AA8" s="213">
        <v>79993.51</v>
      </c>
      <c r="AB8" s="213">
        <v>2634.44141866668</v>
      </c>
    </row>
    <row r="9" spans="1:28">
      <c r="A9">
        <v>6</v>
      </c>
      <c r="B9" s="213" t="s">
        <v>28</v>
      </c>
      <c r="C9" s="213">
        <v>682621.80575</v>
      </c>
      <c r="D9" s="213">
        <v>12</v>
      </c>
      <c r="E9" s="213">
        <v>8191461.669</v>
      </c>
      <c r="I9" s="213">
        <v>8191461.669</v>
      </c>
      <c r="J9" s="213">
        <v>200000</v>
      </c>
      <c r="K9" s="213">
        <v>0.2</v>
      </c>
      <c r="L9" s="213">
        <v>1638292.3338</v>
      </c>
      <c r="M9" s="213">
        <v>1838292.3338</v>
      </c>
      <c r="N9" s="213">
        <v>1838292.3338</v>
      </c>
      <c r="O9" s="213">
        <v>6353169.3352</v>
      </c>
      <c r="P9" s="213">
        <v>21000</v>
      </c>
      <c r="Q9" s="213">
        <v>33000</v>
      </c>
      <c r="R9" s="213">
        <v>75000</v>
      </c>
      <c r="S9" s="213">
        <v>95000</v>
      </c>
      <c r="T9" s="213">
        <v>336000</v>
      </c>
      <c r="U9" s="213">
        <v>756760.640448</v>
      </c>
      <c r="V9" s="213">
        <v>1316760.640448</v>
      </c>
      <c r="W9" s="213">
        <v>12</v>
      </c>
      <c r="X9" s="213">
        <v>109730.053370667</v>
      </c>
      <c r="Z9" s="213">
        <v>109730.053370667</v>
      </c>
      <c r="AA9" s="213">
        <v>107095.69</v>
      </c>
      <c r="AB9" s="213">
        <v>2634.36337066664</v>
      </c>
    </row>
    <row r="10" spans="1:28">
      <c r="A10">
        <v>7</v>
      </c>
      <c r="B10" s="213" t="s">
        <v>173</v>
      </c>
      <c r="C10" s="213">
        <v>627743.99575</v>
      </c>
      <c r="D10" s="213">
        <v>12</v>
      </c>
      <c r="E10" s="213">
        <v>7532927.949</v>
      </c>
      <c r="F10" s="213">
        <v>10052.25</v>
      </c>
      <c r="I10" s="213">
        <v>7522875.699</v>
      </c>
      <c r="J10" s="213">
        <v>200000</v>
      </c>
      <c r="K10" s="213">
        <v>0.2</v>
      </c>
      <c r="L10" s="213">
        <v>1504575.1398</v>
      </c>
      <c r="M10" s="213">
        <v>1704575.1398</v>
      </c>
      <c r="N10" s="213">
        <v>1714627.3898</v>
      </c>
      <c r="O10" s="213">
        <v>5818300.5592</v>
      </c>
      <c r="P10" s="213">
        <v>21000</v>
      </c>
      <c r="Q10" s="213">
        <v>33000</v>
      </c>
      <c r="R10" s="213">
        <v>75000</v>
      </c>
      <c r="S10" s="213">
        <v>95000</v>
      </c>
      <c r="T10" s="213">
        <v>336000</v>
      </c>
      <c r="U10" s="213">
        <v>628392.134208</v>
      </c>
      <c r="V10" s="213">
        <v>1188392.134208</v>
      </c>
      <c r="W10" s="213">
        <v>12</v>
      </c>
      <c r="X10" s="213">
        <v>99032.6778506667</v>
      </c>
      <c r="Z10" s="213">
        <v>99032.6778506667</v>
      </c>
      <c r="AA10" s="213">
        <v>96398.3738666666</v>
      </c>
      <c r="AB10" s="213">
        <v>2634.30398400003</v>
      </c>
    </row>
    <row r="11" spans="1:28">
      <c r="A11">
        <v>8</v>
      </c>
      <c r="B11" s="213" t="s">
        <v>30</v>
      </c>
      <c r="C11" s="213">
        <v>527743.99575</v>
      </c>
      <c r="D11" s="213">
        <v>12</v>
      </c>
      <c r="E11" s="213">
        <v>6332927.949</v>
      </c>
      <c r="F11" s="213">
        <v>10052.25</v>
      </c>
      <c r="I11" s="213">
        <v>6322875.699</v>
      </c>
      <c r="J11" s="213">
        <v>200000</v>
      </c>
      <c r="K11" s="213">
        <v>0.2</v>
      </c>
      <c r="L11" s="213">
        <v>1264575.1398</v>
      </c>
      <c r="M11" s="213">
        <v>1464575.1398</v>
      </c>
      <c r="N11" s="213">
        <v>1474627.3898</v>
      </c>
      <c r="O11" s="213">
        <v>4858300.5592</v>
      </c>
      <c r="P11" s="213">
        <v>21000</v>
      </c>
      <c r="Q11" s="213">
        <v>33000</v>
      </c>
      <c r="R11" s="213">
        <v>75000</v>
      </c>
      <c r="S11" s="213">
        <v>95000</v>
      </c>
      <c r="T11" s="213">
        <v>336000</v>
      </c>
      <c r="U11" s="213">
        <v>397992.134208</v>
      </c>
      <c r="V11" s="213">
        <v>957992.134208</v>
      </c>
      <c r="W11" s="213">
        <v>12</v>
      </c>
      <c r="X11" s="213">
        <v>79832.6778506667</v>
      </c>
      <c r="Z11" s="213">
        <v>79832.6778506667</v>
      </c>
      <c r="AA11" s="213">
        <v>77198.3738666667</v>
      </c>
      <c r="AB11" s="213">
        <v>2634.303984</v>
      </c>
    </row>
    <row r="12" spans="1:28">
      <c r="A12">
        <v>9</v>
      </c>
      <c r="B12" s="213" t="s">
        <v>32</v>
      </c>
      <c r="C12" s="213">
        <v>527743.99575</v>
      </c>
      <c r="D12" s="213">
        <v>12</v>
      </c>
      <c r="E12" s="213">
        <v>6332927.949</v>
      </c>
      <c r="F12" s="213">
        <v>10052.25</v>
      </c>
      <c r="I12" s="213">
        <v>6322875.699</v>
      </c>
      <c r="J12" s="213">
        <v>200000</v>
      </c>
      <c r="K12" s="213">
        <v>0.2</v>
      </c>
      <c r="L12" s="213">
        <v>1264575.1398</v>
      </c>
      <c r="M12" s="213">
        <v>1464575.1398</v>
      </c>
      <c r="N12" s="213">
        <v>1474627.3898</v>
      </c>
      <c r="O12" s="213">
        <v>4858300.5592</v>
      </c>
      <c r="P12" s="213">
        <v>21000</v>
      </c>
      <c r="Q12" s="213">
        <v>33000</v>
      </c>
      <c r="R12" s="213">
        <v>75000</v>
      </c>
      <c r="S12" s="213">
        <v>95000</v>
      </c>
      <c r="T12" s="213">
        <v>336000</v>
      </c>
      <c r="U12" s="213">
        <v>397992.134208</v>
      </c>
      <c r="V12" s="213">
        <v>957992.134208</v>
      </c>
      <c r="W12" s="213">
        <v>12</v>
      </c>
      <c r="X12" s="213">
        <v>79832.6778506667</v>
      </c>
      <c r="Z12" s="213">
        <v>79832.6778506667</v>
      </c>
      <c r="AA12" s="213">
        <v>77198.3738666667</v>
      </c>
      <c r="AB12" s="213">
        <v>2634.303984</v>
      </c>
    </row>
    <row r="13" spans="1:28">
      <c r="A13">
        <v>10</v>
      </c>
      <c r="B13" s="213" t="s">
        <v>34</v>
      </c>
      <c r="C13" s="213">
        <v>447553.5025</v>
      </c>
      <c r="D13" s="213">
        <v>12</v>
      </c>
      <c r="E13" s="213">
        <v>5370642.03</v>
      </c>
      <c r="F13" s="213">
        <v>10052.25</v>
      </c>
      <c r="I13" s="213">
        <v>5360589.78</v>
      </c>
      <c r="J13" s="213">
        <v>200000</v>
      </c>
      <c r="K13" s="213">
        <v>0.2</v>
      </c>
      <c r="L13" s="213">
        <v>1072117.956</v>
      </c>
      <c r="M13" s="213">
        <v>1272117.956</v>
      </c>
      <c r="N13" s="213">
        <v>1282170.206</v>
      </c>
      <c r="O13" s="213">
        <v>4088471.824</v>
      </c>
      <c r="P13" s="213">
        <v>21000</v>
      </c>
      <c r="Q13" s="213">
        <v>33000</v>
      </c>
      <c r="R13" s="213">
        <v>75000</v>
      </c>
      <c r="S13" s="213">
        <v>95000</v>
      </c>
      <c r="T13" s="213">
        <v>336000</v>
      </c>
      <c r="U13" s="213">
        <v>213233.23776</v>
      </c>
      <c r="V13" s="213">
        <v>773233.23776</v>
      </c>
      <c r="W13" s="213">
        <v>12</v>
      </c>
      <c r="X13" s="213">
        <v>64436.1031466667</v>
      </c>
      <c r="Z13" s="213">
        <v>64436.1031466667</v>
      </c>
      <c r="AA13" s="213">
        <v>64436.1</v>
      </c>
      <c r="AB13" s="213">
        <v>0.00314666666236008</v>
      </c>
    </row>
    <row r="14" spans="1:28">
      <c r="A14">
        <v>11</v>
      </c>
      <c r="B14" s="213" t="s">
        <v>521</v>
      </c>
      <c r="C14" s="213">
        <v>436137.05</v>
      </c>
      <c r="D14" s="213">
        <v>12</v>
      </c>
      <c r="E14" s="213">
        <v>5233644.6</v>
      </c>
      <c r="I14" s="213">
        <v>5233644.6</v>
      </c>
      <c r="J14" s="213">
        <v>200000</v>
      </c>
      <c r="K14" s="213">
        <v>0.2</v>
      </c>
      <c r="L14" s="213">
        <v>1046728.92</v>
      </c>
      <c r="M14" s="213">
        <v>1246728.92</v>
      </c>
      <c r="N14" s="213">
        <v>1246728.92</v>
      </c>
      <c r="O14" s="213">
        <v>3986915.68</v>
      </c>
      <c r="P14" s="213">
        <v>21000</v>
      </c>
      <c r="Q14" s="213">
        <v>33000</v>
      </c>
      <c r="R14" s="213">
        <v>75000</v>
      </c>
      <c r="S14" s="213">
        <v>95000</v>
      </c>
      <c r="T14" s="213">
        <v>336000</v>
      </c>
      <c r="U14" s="213">
        <v>188859.7632</v>
      </c>
      <c r="V14" s="213">
        <v>748859.7632</v>
      </c>
      <c r="W14" s="213">
        <v>12</v>
      </c>
      <c r="X14" s="213">
        <v>62404.9802666667</v>
      </c>
      <c r="Z14" s="213">
        <v>62404.9802666667</v>
      </c>
      <c r="AA14" s="213">
        <v>60212.92</v>
      </c>
      <c r="AB14" s="213">
        <v>2192.06026666666</v>
      </c>
    </row>
    <row r="15" spans="1:28">
      <c r="A15">
        <v>12</v>
      </c>
      <c r="B15" s="213" t="s">
        <v>1178</v>
      </c>
      <c r="C15" s="213">
        <v>393333.03525</v>
      </c>
      <c r="D15" s="213">
        <v>12</v>
      </c>
      <c r="E15" s="213">
        <v>4719996.423</v>
      </c>
      <c r="I15" s="213">
        <v>4719996.423</v>
      </c>
      <c r="J15" s="213">
        <v>200000</v>
      </c>
      <c r="K15" s="213">
        <v>0.2</v>
      </c>
      <c r="L15" s="213">
        <v>943999.2846</v>
      </c>
      <c r="M15" s="213">
        <v>1143999.2846</v>
      </c>
      <c r="N15" s="213">
        <v>1143999.2846</v>
      </c>
      <c r="O15" s="213">
        <v>3575997.1384</v>
      </c>
      <c r="P15" s="213">
        <v>21000</v>
      </c>
      <c r="Q15" s="213">
        <v>33000</v>
      </c>
      <c r="R15" s="213">
        <v>75000</v>
      </c>
      <c r="S15" s="213">
        <v>95000</v>
      </c>
      <c r="T15" s="213">
        <v>336000</v>
      </c>
      <c r="U15" s="213">
        <v>90239.3132160001</v>
      </c>
      <c r="V15" s="213">
        <v>650239.313216</v>
      </c>
      <c r="W15" s="213">
        <v>12</v>
      </c>
      <c r="X15" s="213">
        <v>54186.6094346667</v>
      </c>
      <c r="Z15" s="213">
        <v>54186.6094346667</v>
      </c>
      <c r="AA15" s="213">
        <v>52638.9</v>
      </c>
      <c r="AB15" s="213">
        <v>1547.70943466667</v>
      </c>
    </row>
    <row r="16" spans="1:28">
      <c r="A16">
        <v>13</v>
      </c>
      <c r="B16" s="213" t="s">
        <v>1088</v>
      </c>
      <c r="C16" s="213">
        <v>343333.03525</v>
      </c>
      <c r="D16" s="213">
        <v>12</v>
      </c>
      <c r="E16" s="213">
        <v>4119996.423</v>
      </c>
      <c r="F16" s="213">
        <v>8019.8</v>
      </c>
      <c r="I16" s="213">
        <v>4111976.623</v>
      </c>
      <c r="J16" s="213">
        <v>200000</v>
      </c>
      <c r="K16" s="213">
        <v>0.2</v>
      </c>
      <c r="L16" s="213">
        <v>822395.3246</v>
      </c>
      <c r="M16" s="213">
        <v>1022395.3246</v>
      </c>
      <c r="N16" s="213">
        <v>1030415.1246</v>
      </c>
      <c r="O16" s="213">
        <v>3089581.2984</v>
      </c>
      <c r="P16" s="213">
        <v>21000</v>
      </c>
      <c r="Q16" s="213">
        <v>33000</v>
      </c>
      <c r="R16" s="213">
        <v>75000</v>
      </c>
      <c r="S16" s="213">
        <v>95000</v>
      </c>
      <c r="T16" s="213">
        <v>312812.072664</v>
      </c>
      <c r="V16" s="213">
        <v>536812.072664</v>
      </c>
      <c r="W16" s="213">
        <v>12</v>
      </c>
      <c r="X16" s="213">
        <v>44734.3393886667</v>
      </c>
      <c r="Z16" s="213">
        <v>44734.3393886667</v>
      </c>
      <c r="AA16" s="213">
        <v>43380</v>
      </c>
      <c r="AB16" s="213">
        <v>1354.33938866665</v>
      </c>
    </row>
    <row r="17" spans="1:28">
      <c r="A17">
        <v>14</v>
      </c>
      <c r="B17" s="213" t="s">
        <v>1180</v>
      </c>
      <c r="C17" s="213">
        <v>563333.03525</v>
      </c>
      <c r="D17" s="213">
        <v>12</v>
      </c>
      <c r="E17" s="213">
        <v>6759996.423</v>
      </c>
      <c r="I17" s="213">
        <v>6759996.423</v>
      </c>
      <c r="J17" s="213">
        <v>200000</v>
      </c>
      <c r="K17" s="213">
        <v>0.2</v>
      </c>
      <c r="L17" s="213">
        <v>1351999.2846</v>
      </c>
      <c r="M17" s="213">
        <v>1551999.2846</v>
      </c>
      <c r="N17" s="213">
        <v>1551999.2846</v>
      </c>
      <c r="O17" s="213">
        <v>5207997.1384</v>
      </c>
      <c r="P17" s="213">
        <v>21000</v>
      </c>
      <c r="Q17" s="213">
        <v>33000</v>
      </c>
      <c r="R17" s="213">
        <v>75000</v>
      </c>
      <c r="S17" s="213">
        <v>95000</v>
      </c>
      <c r="T17" s="213">
        <v>336000</v>
      </c>
      <c r="U17" s="213">
        <v>481919.313216</v>
      </c>
      <c r="V17" s="213">
        <v>1041919.313216</v>
      </c>
      <c r="W17" s="213">
        <v>12</v>
      </c>
      <c r="X17" s="213">
        <v>86826.6094346667</v>
      </c>
      <c r="Z17" s="213">
        <v>86826.6094346667</v>
      </c>
      <c r="AA17" s="213">
        <v>85278.9</v>
      </c>
      <c r="AB17" s="213">
        <v>1547.70943466666</v>
      </c>
    </row>
    <row r="18" spans="1:28">
      <c r="A18">
        <v>15</v>
      </c>
      <c r="B18" s="213" t="s">
        <v>40</v>
      </c>
      <c r="C18" s="213">
        <v>338333.03525</v>
      </c>
      <c r="D18" s="213">
        <v>12</v>
      </c>
      <c r="E18" s="213">
        <v>4059996.423</v>
      </c>
      <c r="I18" s="213">
        <v>4059996.423</v>
      </c>
      <c r="J18" s="213">
        <v>200000</v>
      </c>
      <c r="K18" s="213">
        <v>0.2</v>
      </c>
      <c r="L18" s="213">
        <v>811999.2846</v>
      </c>
      <c r="M18" s="213">
        <v>1011999.2846</v>
      </c>
      <c r="N18" s="213">
        <v>1011999.2846</v>
      </c>
      <c r="O18" s="213">
        <v>3047997.1384</v>
      </c>
      <c r="P18" s="213">
        <v>21000</v>
      </c>
      <c r="Q18" s="213">
        <v>33000</v>
      </c>
      <c r="R18" s="213">
        <v>75000</v>
      </c>
      <c r="S18" s="213">
        <v>95000</v>
      </c>
      <c r="T18" s="213">
        <v>304079.399064</v>
      </c>
      <c r="V18" s="213">
        <v>528079.399064</v>
      </c>
      <c r="W18" s="213">
        <v>12</v>
      </c>
      <c r="X18" s="213">
        <v>44006.6165886667</v>
      </c>
      <c r="Z18" s="213">
        <v>44006.6165886667</v>
      </c>
      <c r="AA18" s="213">
        <v>43492.0396866667</v>
      </c>
      <c r="AB18" s="213">
        <v>514.576901999993</v>
      </c>
    </row>
    <row r="19" spans="1:28">
      <c r="A19">
        <v>16</v>
      </c>
      <c r="B19" s="213" t="s">
        <v>50</v>
      </c>
      <c r="C19" s="213">
        <v>362001.0605</v>
      </c>
      <c r="D19" s="213">
        <v>12</v>
      </c>
      <c r="E19" s="213">
        <v>4344012.726</v>
      </c>
      <c r="F19" s="213">
        <v>7422.38</v>
      </c>
      <c r="I19" s="213">
        <v>4336590.346</v>
      </c>
      <c r="J19" s="213">
        <v>200000</v>
      </c>
      <c r="K19" s="213">
        <v>0.2</v>
      </c>
      <c r="L19" s="213">
        <v>867318.0692</v>
      </c>
      <c r="M19" s="213">
        <v>1067318.0692</v>
      </c>
      <c r="N19" s="213">
        <v>1074740.4492</v>
      </c>
      <c r="O19" s="213">
        <v>3269272.2768</v>
      </c>
      <c r="P19" s="213">
        <v>21000</v>
      </c>
      <c r="Q19" s="213">
        <v>33000</v>
      </c>
      <c r="R19" s="213">
        <v>75000</v>
      </c>
      <c r="S19" s="213">
        <v>95000</v>
      </c>
      <c r="T19" s="213">
        <v>336000</v>
      </c>
      <c r="V19" s="213">
        <v>560000</v>
      </c>
      <c r="W19" s="213">
        <v>12</v>
      </c>
      <c r="X19" s="213">
        <v>46666.6666666667</v>
      </c>
      <c r="Z19" s="213">
        <v>46666.6666666667</v>
      </c>
      <c r="AA19" s="213">
        <v>46673.26</v>
      </c>
      <c r="AB19" s="213">
        <v>-6.5933333333378</v>
      </c>
    </row>
    <row r="20" spans="1:28">
      <c r="A20">
        <v>17</v>
      </c>
      <c r="B20" s="213" t="s">
        <v>53</v>
      </c>
      <c r="C20" s="213">
        <v>449201.026</v>
      </c>
      <c r="D20" s="213">
        <v>12</v>
      </c>
      <c r="E20" s="213">
        <v>5390412.312</v>
      </c>
      <c r="I20" s="213">
        <v>5390412.312</v>
      </c>
      <c r="J20" s="213">
        <v>200000</v>
      </c>
      <c r="K20" s="213">
        <v>0.2</v>
      </c>
      <c r="L20" s="213">
        <v>1078082.4624</v>
      </c>
      <c r="M20" s="213">
        <v>1278082.4624</v>
      </c>
      <c r="N20" s="213">
        <v>1278082.4624</v>
      </c>
      <c r="O20" s="213">
        <v>4112329.8496</v>
      </c>
      <c r="P20" s="213">
        <v>21000</v>
      </c>
      <c r="Q20" s="213">
        <v>33000</v>
      </c>
      <c r="R20" s="213">
        <v>75000</v>
      </c>
      <c r="S20" s="213">
        <v>95000</v>
      </c>
      <c r="T20" s="213">
        <v>336000</v>
      </c>
      <c r="U20" s="213">
        <v>218959.163904</v>
      </c>
      <c r="V20" s="213">
        <v>778959.163904</v>
      </c>
      <c r="W20" s="213">
        <v>12</v>
      </c>
      <c r="X20" s="213">
        <v>64913.2636586667</v>
      </c>
      <c r="Z20" s="213">
        <v>64913.2636586667</v>
      </c>
      <c r="AA20" s="213">
        <v>63364.81</v>
      </c>
      <c r="AB20" s="213">
        <v>1548.45365866666</v>
      </c>
    </row>
    <row r="21" spans="1:28">
      <c r="A21">
        <v>18</v>
      </c>
      <c r="B21" s="213" t="s">
        <v>204</v>
      </c>
      <c r="C21" s="213">
        <v>284536.9985</v>
      </c>
      <c r="D21" s="213">
        <v>12</v>
      </c>
      <c r="E21" s="213">
        <v>3414443.982</v>
      </c>
      <c r="F21" s="213">
        <v>6922.5</v>
      </c>
      <c r="I21" s="213">
        <v>3407521.482</v>
      </c>
      <c r="J21" s="213">
        <v>200000</v>
      </c>
      <c r="K21" s="213">
        <v>0.2</v>
      </c>
      <c r="L21" s="213">
        <v>681504.2964</v>
      </c>
      <c r="M21" s="213">
        <v>881504.2964</v>
      </c>
      <c r="N21" s="213">
        <v>888426.7964</v>
      </c>
      <c r="O21" s="213">
        <v>2526017.1856</v>
      </c>
      <c r="P21" s="213">
        <v>21000</v>
      </c>
      <c r="Q21" s="213">
        <v>33000</v>
      </c>
      <c r="R21" s="213">
        <v>75000</v>
      </c>
      <c r="S21" s="213">
        <v>95000</v>
      </c>
      <c r="T21" s="213">
        <v>194463.608976</v>
      </c>
      <c r="U21" s="213">
        <v>0</v>
      </c>
      <c r="V21" s="213">
        <v>418463.608976</v>
      </c>
      <c r="W21" s="213">
        <v>12</v>
      </c>
      <c r="X21" s="213">
        <v>34871.9674146667</v>
      </c>
      <c r="Z21" s="213">
        <v>34871.9674146667</v>
      </c>
      <c r="AA21" s="213">
        <v>31848.56</v>
      </c>
      <c r="AB21" s="213">
        <v>3023.40741466666</v>
      </c>
    </row>
    <row r="22" spans="1:28">
      <c r="A22">
        <v>19</v>
      </c>
      <c r="B22" s="213" t="s">
        <v>60</v>
      </c>
      <c r="C22" s="213">
        <v>267454.074</v>
      </c>
      <c r="D22" s="213">
        <v>12</v>
      </c>
      <c r="E22" s="213">
        <v>3209448.888</v>
      </c>
      <c r="F22" s="213">
        <v>6456.26</v>
      </c>
      <c r="I22" s="213">
        <v>3202992.628</v>
      </c>
      <c r="J22" s="213">
        <v>200000</v>
      </c>
      <c r="K22" s="213">
        <v>0.2</v>
      </c>
      <c r="L22" s="213">
        <v>640598.5256</v>
      </c>
      <c r="M22" s="213">
        <v>840598.5256</v>
      </c>
      <c r="N22" s="213">
        <v>847054.7856</v>
      </c>
      <c r="O22" s="213">
        <v>2362394.1024</v>
      </c>
      <c r="P22" s="213">
        <v>21000</v>
      </c>
      <c r="Q22" s="213">
        <v>33000</v>
      </c>
      <c r="R22" s="213">
        <v>75000</v>
      </c>
      <c r="S22" s="213">
        <v>95000</v>
      </c>
      <c r="T22" s="213">
        <v>160102.761504</v>
      </c>
      <c r="V22" s="213">
        <v>384102.761504</v>
      </c>
      <c r="W22" s="213">
        <v>12</v>
      </c>
      <c r="X22" s="213">
        <v>32008.5634586667</v>
      </c>
      <c r="Z22" s="213">
        <v>32008.5634586667</v>
      </c>
      <c r="AA22" s="213">
        <v>31749.1891266667</v>
      </c>
      <c r="AB22" s="213">
        <v>259.374332000007</v>
      </c>
    </row>
    <row r="23" spans="1:28">
      <c r="A23">
        <v>20</v>
      </c>
      <c r="B23" s="213" t="s">
        <v>202</v>
      </c>
      <c r="C23" s="213">
        <v>267454.074</v>
      </c>
      <c r="D23" s="213">
        <v>12</v>
      </c>
      <c r="E23" s="213">
        <v>3209448.888</v>
      </c>
      <c r="I23" s="213">
        <v>3209448.888</v>
      </c>
      <c r="J23" s="213">
        <v>200000</v>
      </c>
      <c r="K23" s="213">
        <v>0.2</v>
      </c>
      <c r="L23" s="213">
        <v>641889.7776</v>
      </c>
      <c r="M23" s="213">
        <v>841889.7776</v>
      </c>
      <c r="N23" s="213">
        <v>841889.7776</v>
      </c>
      <c r="O23" s="213">
        <v>2367559.1104</v>
      </c>
      <c r="P23" s="213">
        <v>21000</v>
      </c>
      <c r="Q23" s="213">
        <v>33000</v>
      </c>
      <c r="R23" s="213">
        <v>75000</v>
      </c>
      <c r="S23" s="213">
        <v>95000</v>
      </c>
      <c r="T23" s="213">
        <v>161187.413184</v>
      </c>
      <c r="V23" s="213">
        <v>385187.413184</v>
      </c>
      <c r="W23" s="213">
        <v>12</v>
      </c>
      <c r="X23" s="213">
        <v>32098.9510986667</v>
      </c>
      <c r="Z23" s="213">
        <v>32098.9510986667</v>
      </c>
      <c r="AA23" s="213">
        <v>31749.1891266667</v>
      </c>
      <c r="AB23" s="213">
        <v>349.761972000008</v>
      </c>
    </row>
    <row r="24" spans="1:28">
      <c r="A24">
        <v>21</v>
      </c>
      <c r="B24" s="213" t="s">
        <v>254</v>
      </c>
      <c r="C24" s="213">
        <v>242300.0775</v>
      </c>
      <c r="D24" s="213">
        <v>12</v>
      </c>
      <c r="E24" s="213">
        <v>2907600.93</v>
      </c>
      <c r="I24" s="213">
        <v>2907600.93</v>
      </c>
      <c r="J24" s="213">
        <v>200000</v>
      </c>
      <c r="K24" s="213">
        <v>0.2</v>
      </c>
      <c r="L24" s="213">
        <v>581520.186</v>
      </c>
      <c r="M24" s="213">
        <v>781520.186</v>
      </c>
      <c r="N24" s="213">
        <v>781520.186</v>
      </c>
      <c r="O24" s="213">
        <v>2126080.744</v>
      </c>
      <c r="P24" s="213">
        <v>21000</v>
      </c>
      <c r="Q24" s="213">
        <v>33000</v>
      </c>
      <c r="R24" s="213">
        <v>75000</v>
      </c>
      <c r="S24" s="213">
        <v>95000</v>
      </c>
      <c r="T24" s="213">
        <v>110476.95624</v>
      </c>
      <c r="V24" s="213">
        <v>334476.95624</v>
      </c>
      <c r="W24" s="213">
        <v>12</v>
      </c>
      <c r="X24" s="213">
        <v>27873.0796866667</v>
      </c>
      <c r="Z24" s="213">
        <v>27873.0796866667</v>
      </c>
      <c r="AA24" s="213">
        <v>27105.99</v>
      </c>
      <c r="AB24" s="213">
        <v>767.089686666663</v>
      </c>
    </row>
    <row r="25" spans="1:28">
      <c r="A25">
        <v>22</v>
      </c>
      <c r="B25" s="213" t="s">
        <v>1182</v>
      </c>
      <c r="C25" s="213">
        <v>237734.047</v>
      </c>
      <c r="D25" s="213">
        <v>12</v>
      </c>
      <c r="E25" s="213">
        <v>2852808.564</v>
      </c>
      <c r="I25" s="213">
        <v>2852808.564</v>
      </c>
      <c r="J25" s="213">
        <v>200000</v>
      </c>
      <c r="K25" s="213">
        <v>0.2</v>
      </c>
      <c r="L25" s="213">
        <v>570561.7128</v>
      </c>
      <c r="M25" s="213">
        <v>770561.7128</v>
      </c>
      <c r="N25" s="213">
        <v>770561.7128</v>
      </c>
      <c r="O25" s="213">
        <v>2082246.8512</v>
      </c>
      <c r="P25" s="213">
        <v>21000</v>
      </c>
      <c r="Q25" s="213">
        <v>33000</v>
      </c>
      <c r="R25" s="213">
        <v>75000</v>
      </c>
      <c r="S25" s="213">
        <v>95000</v>
      </c>
      <c r="T25" s="213">
        <v>101271.838752</v>
      </c>
      <c r="V25" s="213">
        <v>325271.838752</v>
      </c>
      <c r="W25" s="213">
        <v>12</v>
      </c>
      <c r="X25" s="213">
        <v>27105.9865626667</v>
      </c>
      <c r="Z25" s="213">
        <v>27105.9865626667</v>
      </c>
      <c r="AA25" s="213">
        <v>26339.08</v>
      </c>
      <c r="AB25" s="213">
        <v>766.906562666667</v>
      </c>
    </row>
    <row r="26" spans="1:28">
      <c r="A26">
        <v>23</v>
      </c>
      <c r="B26" s="213" t="s">
        <v>73</v>
      </c>
      <c r="C26" s="213">
        <v>205204.0845</v>
      </c>
      <c r="D26" s="213">
        <v>12</v>
      </c>
      <c r="E26" s="213">
        <v>2462449.014</v>
      </c>
      <c r="I26" s="213">
        <v>2462449.014</v>
      </c>
      <c r="J26" s="213">
        <v>200000</v>
      </c>
      <c r="K26" s="213">
        <v>0.2</v>
      </c>
      <c r="L26" s="213">
        <v>492489.8028</v>
      </c>
      <c r="M26" s="213">
        <v>692489.8028</v>
      </c>
      <c r="N26" s="213">
        <v>692489.8028</v>
      </c>
      <c r="O26" s="213">
        <v>1769959.2112</v>
      </c>
      <c r="P26" s="213">
        <v>21000</v>
      </c>
      <c r="Q26" s="213">
        <v>33000</v>
      </c>
      <c r="R26" s="213">
        <v>75000</v>
      </c>
      <c r="S26" s="213">
        <v>95000</v>
      </c>
      <c r="T26" s="213">
        <v>35691.434352</v>
      </c>
      <c r="V26" s="213">
        <v>259691.434352</v>
      </c>
      <c r="W26" s="213">
        <v>12</v>
      </c>
      <c r="X26" s="213">
        <v>21640.9528626667</v>
      </c>
      <c r="Z26" s="213">
        <v>21640.9528626667</v>
      </c>
      <c r="AA26" s="213">
        <v>21640.95</v>
      </c>
      <c r="AB26" s="213">
        <v>0.00286266666807933</v>
      </c>
    </row>
    <row r="27" spans="1:28">
      <c r="A27">
        <v>24</v>
      </c>
      <c r="B27" s="213" t="s">
        <v>76</v>
      </c>
      <c r="C27" s="213">
        <v>209356.04725</v>
      </c>
      <c r="D27" s="213">
        <v>12</v>
      </c>
      <c r="E27" s="213">
        <v>2512272.567</v>
      </c>
      <c r="I27" s="213">
        <v>2512272.567</v>
      </c>
      <c r="J27" s="213">
        <v>200000</v>
      </c>
      <c r="K27" s="213">
        <v>0.2</v>
      </c>
      <c r="L27" s="213">
        <v>502454.5134</v>
      </c>
      <c r="M27" s="213">
        <v>702454.5134</v>
      </c>
      <c r="N27" s="213">
        <v>702454.5134</v>
      </c>
      <c r="O27" s="213">
        <v>1809818.0536</v>
      </c>
      <c r="P27" s="213">
        <v>21000</v>
      </c>
      <c r="Q27" s="213">
        <v>33000</v>
      </c>
      <c r="R27" s="213">
        <v>75000</v>
      </c>
      <c r="S27" s="213">
        <v>95000</v>
      </c>
      <c r="T27" s="213">
        <v>44061.7912559999</v>
      </c>
      <c r="V27" s="213">
        <v>268061.791256</v>
      </c>
      <c r="W27" s="213">
        <v>12</v>
      </c>
      <c r="X27" s="213">
        <v>22338.4826046667</v>
      </c>
      <c r="Z27" s="213">
        <v>22338.4826046667</v>
      </c>
      <c r="AA27" s="213">
        <v>21640.95</v>
      </c>
      <c r="AB27" s="213">
        <v>697.53260466666</v>
      </c>
    </row>
    <row r="28" spans="1:28">
      <c r="A28">
        <v>25</v>
      </c>
      <c r="B28" s="213" t="s">
        <v>1089</v>
      </c>
      <c r="C28" s="213">
        <v>209356.04725</v>
      </c>
      <c r="D28" s="213">
        <v>12</v>
      </c>
      <c r="E28" s="213">
        <v>2512272.567</v>
      </c>
      <c r="I28" s="213">
        <v>2512272.567</v>
      </c>
      <c r="J28" s="213">
        <v>200000</v>
      </c>
      <c r="K28" s="213">
        <v>0.2</v>
      </c>
      <c r="L28" s="213">
        <v>502454.5134</v>
      </c>
      <c r="M28" s="213">
        <v>702454.5134</v>
      </c>
      <c r="N28" s="213">
        <v>702454.5134</v>
      </c>
      <c r="O28" s="213">
        <v>1809818.0536</v>
      </c>
      <c r="P28" s="213">
        <v>21000</v>
      </c>
      <c r="Q28" s="213">
        <v>33000</v>
      </c>
      <c r="R28" s="213">
        <v>75000</v>
      </c>
      <c r="S28" s="213">
        <v>95000</v>
      </c>
      <c r="T28" s="213">
        <v>44061.7912559999</v>
      </c>
      <c r="V28" s="213">
        <v>268061.791256</v>
      </c>
      <c r="W28" s="213">
        <v>12</v>
      </c>
      <c r="X28" s="213">
        <v>22338.4826046667</v>
      </c>
      <c r="Z28" s="213">
        <v>22338.4826046667</v>
      </c>
      <c r="AA28" s="213">
        <v>21640.95</v>
      </c>
      <c r="AB28" s="213">
        <v>697.53260466666</v>
      </c>
    </row>
    <row r="29" spans="1:28">
      <c r="A29">
        <v>26</v>
      </c>
      <c r="B29" s="213" t="s">
        <v>78</v>
      </c>
      <c r="C29" s="213">
        <v>183791.02675</v>
      </c>
      <c r="D29" s="213">
        <v>12</v>
      </c>
      <c r="E29" s="213">
        <v>2205492.321</v>
      </c>
      <c r="I29" s="213">
        <v>2205492.321</v>
      </c>
      <c r="J29" s="213">
        <v>200000</v>
      </c>
      <c r="K29" s="213">
        <v>0.2</v>
      </c>
      <c r="L29" s="213">
        <v>441098.4642</v>
      </c>
      <c r="M29" s="213">
        <v>641098.4642</v>
      </c>
      <c r="N29" s="213">
        <v>641098.4642</v>
      </c>
      <c r="O29" s="213">
        <v>1564393.8568</v>
      </c>
      <c r="P29" s="213">
        <v>21000</v>
      </c>
      <c r="Q29" s="213">
        <v>33000</v>
      </c>
      <c r="R29" s="213">
        <v>75000</v>
      </c>
      <c r="S29" s="213">
        <v>88234.832792</v>
      </c>
      <c r="T29" s="213">
        <v>0</v>
      </c>
      <c r="V29" s="213">
        <v>217234.832792</v>
      </c>
      <c r="W29" s="213">
        <v>12</v>
      </c>
      <c r="X29" s="213">
        <v>18102.9027326667</v>
      </c>
      <c r="Z29" s="213">
        <v>18102.9027326667</v>
      </c>
      <c r="AA29" s="213">
        <v>17572.89</v>
      </c>
      <c r="AB29" s="213">
        <v>530.012732666666</v>
      </c>
    </row>
    <row r="30" spans="1:28">
      <c r="A30">
        <v>27</v>
      </c>
      <c r="B30" s="213" t="s">
        <v>182</v>
      </c>
      <c r="C30" s="213">
        <v>183791.02675</v>
      </c>
      <c r="D30" s="213">
        <v>12</v>
      </c>
      <c r="E30" s="213">
        <v>2205492.321</v>
      </c>
      <c r="I30" s="213">
        <v>2205492.321</v>
      </c>
      <c r="J30" s="213">
        <v>200000</v>
      </c>
      <c r="K30" s="213">
        <v>0.2</v>
      </c>
      <c r="L30" s="213">
        <v>441098.4642</v>
      </c>
      <c r="M30" s="213">
        <v>641098.4642</v>
      </c>
      <c r="N30" s="213">
        <v>641098.4642</v>
      </c>
      <c r="O30" s="213">
        <v>1564393.8568</v>
      </c>
      <c r="P30" s="213">
        <v>21000</v>
      </c>
      <c r="Q30" s="213">
        <v>33000</v>
      </c>
      <c r="R30" s="213">
        <v>75000</v>
      </c>
      <c r="S30" s="213">
        <v>88234.832792</v>
      </c>
      <c r="T30" s="213">
        <v>0</v>
      </c>
      <c r="V30" s="213">
        <v>217234.832792</v>
      </c>
      <c r="W30" s="213">
        <v>12</v>
      </c>
      <c r="X30" s="213">
        <v>18102.9027326667</v>
      </c>
      <c r="Z30" s="213">
        <v>18102.9027326667</v>
      </c>
      <c r="AA30" s="213">
        <v>17572.89</v>
      </c>
      <c r="AB30" s="213">
        <v>530.012732666666</v>
      </c>
    </row>
    <row r="31" spans="1:28">
      <c r="A31">
        <v>28</v>
      </c>
      <c r="B31" s="213" t="s">
        <v>81</v>
      </c>
      <c r="C31" s="213">
        <v>183791.02675</v>
      </c>
      <c r="D31" s="213">
        <v>12</v>
      </c>
      <c r="E31" s="213">
        <v>2205492.321</v>
      </c>
      <c r="I31" s="213">
        <v>2205492.321</v>
      </c>
      <c r="J31" s="213">
        <v>200000</v>
      </c>
      <c r="K31" s="213">
        <v>0.2</v>
      </c>
      <c r="L31" s="213">
        <v>441098.4642</v>
      </c>
      <c r="M31" s="213">
        <v>641098.4642</v>
      </c>
      <c r="N31" s="213">
        <v>641098.4642</v>
      </c>
      <c r="O31" s="213">
        <v>1564393.8568</v>
      </c>
      <c r="P31" s="213">
        <v>21000</v>
      </c>
      <c r="Q31" s="213">
        <v>33000</v>
      </c>
      <c r="R31" s="213">
        <v>75000</v>
      </c>
      <c r="S31" s="213">
        <v>88234.832792</v>
      </c>
      <c r="T31" s="213">
        <v>0</v>
      </c>
      <c r="V31" s="213">
        <v>217234.832792</v>
      </c>
      <c r="W31" s="213">
        <v>12</v>
      </c>
      <c r="X31" s="213">
        <v>18102.9027326667</v>
      </c>
      <c r="Z31" s="213">
        <v>18102.9027326667</v>
      </c>
      <c r="AA31" s="213">
        <v>17572.89</v>
      </c>
      <c r="AB31" s="213">
        <v>530.012732666666</v>
      </c>
    </row>
    <row r="32" spans="1:28">
      <c r="A32">
        <v>29</v>
      </c>
      <c r="B32" s="213" t="s">
        <v>85</v>
      </c>
      <c r="C32" s="213">
        <v>209356.04725</v>
      </c>
      <c r="D32" s="213">
        <v>12</v>
      </c>
      <c r="E32" s="213">
        <v>2512272.567</v>
      </c>
      <c r="I32" s="213">
        <v>2512272.567</v>
      </c>
      <c r="J32" s="213">
        <v>200000</v>
      </c>
      <c r="K32" s="213">
        <v>0.2</v>
      </c>
      <c r="L32" s="213">
        <v>502454.5134</v>
      </c>
      <c r="M32" s="213">
        <v>702454.5134</v>
      </c>
      <c r="N32" s="213">
        <v>702454.5134</v>
      </c>
      <c r="O32" s="213">
        <v>1809818.0536</v>
      </c>
      <c r="P32" s="213">
        <v>21000</v>
      </c>
      <c r="Q32" s="213">
        <v>33000</v>
      </c>
      <c r="R32" s="213">
        <v>75000</v>
      </c>
      <c r="S32" s="213">
        <v>95000</v>
      </c>
      <c r="T32" s="213">
        <v>44061.7912559999</v>
      </c>
      <c r="V32" s="213">
        <v>268061.791256</v>
      </c>
      <c r="W32" s="213">
        <v>12</v>
      </c>
      <c r="X32" s="213">
        <v>22338.4826046667</v>
      </c>
      <c r="Z32" s="213">
        <v>22338.4826046667</v>
      </c>
      <c r="AA32" s="213">
        <v>21640.95</v>
      </c>
      <c r="AB32" s="213">
        <v>697.53260466666</v>
      </c>
    </row>
    <row r="33" spans="1:28">
      <c r="A33">
        <v>30</v>
      </c>
      <c r="B33" s="213" t="s">
        <v>88</v>
      </c>
      <c r="C33" s="213">
        <v>176816.1</v>
      </c>
      <c r="D33" s="213">
        <v>12</v>
      </c>
      <c r="E33" s="213">
        <v>2121793.2</v>
      </c>
      <c r="I33" s="213">
        <v>2121793.2</v>
      </c>
      <c r="J33" s="213">
        <v>200000</v>
      </c>
      <c r="K33" s="213">
        <v>0.2</v>
      </c>
      <c r="L33" s="213">
        <v>424358.64</v>
      </c>
      <c r="M33" s="213">
        <v>624358.64</v>
      </c>
      <c r="N33" s="213">
        <v>624358.64</v>
      </c>
      <c r="O33" s="213">
        <v>1497434.56</v>
      </c>
      <c r="P33" s="213">
        <v>21000</v>
      </c>
      <c r="Q33" s="213">
        <v>33000</v>
      </c>
      <c r="R33" s="213">
        <v>75000</v>
      </c>
      <c r="S33" s="213">
        <v>75512.5664</v>
      </c>
      <c r="T33" s="213">
        <v>0</v>
      </c>
      <c r="V33" s="213">
        <v>204512.5664</v>
      </c>
      <c r="W33" s="213">
        <v>12</v>
      </c>
      <c r="X33" s="213">
        <v>17042.7138666667</v>
      </c>
      <c r="Z33" s="213">
        <v>17042.7138666667</v>
      </c>
      <c r="AA33" s="213">
        <v>16512.68</v>
      </c>
      <c r="AB33" s="213">
        <v>530.033866666668</v>
      </c>
    </row>
    <row r="34" spans="1:28">
      <c r="A34">
        <v>31</v>
      </c>
      <c r="B34" s="213" t="s">
        <v>1009</v>
      </c>
      <c r="C34" s="213">
        <v>176817.1</v>
      </c>
      <c r="D34" s="213">
        <v>12</v>
      </c>
      <c r="E34" s="213">
        <v>2121805.2</v>
      </c>
      <c r="I34" s="213">
        <v>2121805.2</v>
      </c>
      <c r="J34" s="213">
        <v>200000</v>
      </c>
      <c r="K34" s="213">
        <v>0.2</v>
      </c>
      <c r="L34" s="213">
        <v>424361.04</v>
      </c>
      <c r="M34" s="213">
        <v>624361.04</v>
      </c>
      <c r="N34" s="213">
        <v>624361.04</v>
      </c>
      <c r="O34" s="213">
        <v>1497444.16</v>
      </c>
      <c r="P34" s="213">
        <v>21000</v>
      </c>
      <c r="Q34" s="213">
        <v>33000</v>
      </c>
      <c r="R34" s="213">
        <v>75000</v>
      </c>
      <c r="S34" s="213">
        <v>75514.3904</v>
      </c>
      <c r="T34" s="213">
        <v>0</v>
      </c>
      <c r="V34" s="213">
        <v>204514.3904</v>
      </c>
      <c r="W34" s="213">
        <v>12</v>
      </c>
      <c r="X34" s="213">
        <v>17042.8658666667</v>
      </c>
      <c r="Z34" s="213">
        <v>17042.8658666667</v>
      </c>
      <c r="AA34" s="213">
        <v>16512.68</v>
      </c>
      <c r="AB34" s="213">
        <v>530.18586666667</v>
      </c>
    </row>
    <row r="35" spans="1:28">
      <c r="A35">
        <v>32</v>
      </c>
      <c r="B35" s="213" t="s">
        <v>1183</v>
      </c>
      <c r="C35" s="213">
        <v>176818.1</v>
      </c>
      <c r="D35" s="213">
        <v>12</v>
      </c>
      <c r="E35" s="213">
        <v>2121817.2</v>
      </c>
      <c r="I35" s="213">
        <v>2121817.2</v>
      </c>
      <c r="J35" s="213">
        <v>200000</v>
      </c>
      <c r="K35" s="213">
        <v>0.2</v>
      </c>
      <c r="L35" s="213">
        <v>424363.44</v>
      </c>
      <c r="M35" s="213">
        <v>624363.44</v>
      </c>
      <c r="N35" s="213">
        <v>624363.44</v>
      </c>
      <c r="O35" s="213">
        <v>1497453.76</v>
      </c>
      <c r="P35" s="213">
        <v>21000</v>
      </c>
      <c r="Q35" s="213">
        <v>33000</v>
      </c>
      <c r="R35" s="213">
        <v>75000</v>
      </c>
      <c r="S35" s="213">
        <v>75516.2144</v>
      </c>
      <c r="T35" s="213">
        <v>0</v>
      </c>
      <c r="V35" s="213">
        <v>204516.2144</v>
      </c>
      <c r="W35" s="213">
        <v>12</v>
      </c>
      <c r="X35" s="213">
        <v>17043.0178666667</v>
      </c>
      <c r="Z35" s="213">
        <v>17043.0178666667</v>
      </c>
      <c r="AA35" s="213">
        <v>16512.68</v>
      </c>
      <c r="AB35" s="213">
        <v>530.337866666672</v>
      </c>
    </row>
    <row r="36" spans="1:28">
      <c r="A36"/>
      <c r="C36" s="213">
        <v>12126899.36475</v>
      </c>
      <c r="G36" s="213">
        <v>0</v>
      </c>
      <c r="Z36" s="213">
        <v>1716067.66344667</v>
      </c>
      <c r="AA36" s="213">
        <v>1681121.50779067</v>
      </c>
      <c r="AB36" s="213">
        <v>34946.1556559999</v>
      </c>
    </row>
    <row r="37" spans="1:1">
      <c r="A37"/>
    </row>
    <row r="38" spans="1:28">
      <c r="A38">
        <v>33</v>
      </c>
      <c r="B38" s="213" t="s">
        <v>98</v>
      </c>
      <c r="C38" s="213">
        <v>950209.0635</v>
      </c>
      <c r="D38" s="213">
        <v>12</v>
      </c>
      <c r="E38" s="213">
        <v>11402508.762</v>
      </c>
      <c r="I38" s="213">
        <v>11402508.762</v>
      </c>
      <c r="J38" s="213">
        <v>200000</v>
      </c>
      <c r="K38" s="213">
        <v>0.2</v>
      </c>
      <c r="L38" s="213">
        <v>2280501.7524</v>
      </c>
      <c r="M38" s="213">
        <v>2480501.7524</v>
      </c>
      <c r="N38" s="213">
        <v>2480501.7524</v>
      </c>
      <c r="O38" s="213">
        <v>8922007.0096</v>
      </c>
      <c r="P38" s="213">
        <v>21000</v>
      </c>
      <c r="Q38" s="213">
        <v>33000</v>
      </c>
      <c r="R38" s="213">
        <v>75000</v>
      </c>
      <c r="S38" s="213">
        <v>95000</v>
      </c>
      <c r="T38" s="213">
        <v>336000</v>
      </c>
      <c r="U38" s="213">
        <v>1373281.682304</v>
      </c>
      <c r="V38" s="213">
        <v>1933281.682304</v>
      </c>
      <c r="W38" s="213">
        <v>12</v>
      </c>
      <c r="X38" s="213">
        <v>161106.806858667</v>
      </c>
      <c r="Z38" s="213">
        <v>161106.806858667</v>
      </c>
      <c r="AA38" s="213">
        <v>156349.82</v>
      </c>
      <c r="AB38" s="213">
        <v>4756.98685866667</v>
      </c>
    </row>
    <row r="39" spans="1:28">
      <c r="A39">
        <v>34</v>
      </c>
      <c r="B39" s="213" t="s">
        <v>101</v>
      </c>
      <c r="C39" s="213">
        <v>173329.0495</v>
      </c>
      <c r="D39" s="213">
        <v>12</v>
      </c>
      <c r="E39" s="213">
        <v>2079948.594</v>
      </c>
      <c r="I39" s="213">
        <v>2079948.594</v>
      </c>
      <c r="J39" s="213">
        <v>200000</v>
      </c>
      <c r="K39" s="213">
        <v>0.2</v>
      </c>
      <c r="L39" s="213">
        <v>415989.7188</v>
      </c>
      <c r="M39" s="213">
        <v>615989.7188</v>
      </c>
      <c r="N39" s="213">
        <v>615989.7188</v>
      </c>
      <c r="O39" s="213">
        <v>1463958.8752</v>
      </c>
      <c r="P39" s="213">
        <v>21000</v>
      </c>
      <c r="Q39" s="213">
        <v>33000</v>
      </c>
      <c r="R39" s="213">
        <v>75000</v>
      </c>
      <c r="S39" s="213">
        <v>69152.186288</v>
      </c>
      <c r="T39" s="213">
        <v>0</v>
      </c>
      <c r="V39" s="213">
        <v>198152.186288</v>
      </c>
      <c r="W39" s="213">
        <v>12</v>
      </c>
      <c r="X39" s="213">
        <v>16512.6821906667</v>
      </c>
      <c r="Z39" s="213">
        <v>16512.6821906667</v>
      </c>
      <c r="AA39" s="213">
        <v>16512.68</v>
      </c>
      <c r="AB39" s="213">
        <v>0.00219066666977596</v>
      </c>
    </row>
    <row r="40" spans="1:1">
      <c r="A40"/>
    </row>
    <row r="41" spans="1:1">
      <c r="A41"/>
    </row>
    <row r="42" spans="1:28">
      <c r="A42">
        <v>35</v>
      </c>
      <c r="B42" s="213" t="s">
        <v>501</v>
      </c>
      <c r="C42" s="213">
        <v>1050209.0635</v>
      </c>
      <c r="D42" s="213">
        <v>12</v>
      </c>
      <c r="E42" s="213">
        <v>12602508.762</v>
      </c>
      <c r="I42" s="213">
        <v>12602508.762</v>
      </c>
      <c r="J42" s="213">
        <v>200000</v>
      </c>
      <c r="K42" s="213">
        <v>0.2</v>
      </c>
      <c r="L42" s="213">
        <v>2520501.7524</v>
      </c>
      <c r="M42" s="213">
        <v>2720501.7524</v>
      </c>
      <c r="N42" s="213">
        <v>2720501.7524</v>
      </c>
      <c r="O42" s="213">
        <v>9882007.0096</v>
      </c>
      <c r="P42" s="213">
        <v>21000</v>
      </c>
      <c r="Q42" s="213">
        <v>33000</v>
      </c>
      <c r="R42" s="213">
        <v>75000</v>
      </c>
      <c r="S42" s="213">
        <v>95000</v>
      </c>
      <c r="T42" s="213">
        <v>336000</v>
      </c>
      <c r="U42" s="213">
        <v>1603681.682304</v>
      </c>
      <c r="V42" s="213">
        <v>2163681.682304</v>
      </c>
      <c r="W42" s="213">
        <v>12</v>
      </c>
      <c r="X42" s="213">
        <v>180306.806858667</v>
      </c>
      <c r="Z42" s="213">
        <v>180306.806858667</v>
      </c>
      <c r="AA42" s="213">
        <v>180306.81</v>
      </c>
      <c r="AB42" s="213">
        <v>-0.00314133329084143</v>
      </c>
    </row>
    <row r="43" spans="1:28">
      <c r="A43">
        <v>36</v>
      </c>
      <c r="B43" s="213" t="s">
        <v>491</v>
      </c>
      <c r="C43" s="213">
        <v>527553.5025</v>
      </c>
      <c r="D43" s="213">
        <v>12</v>
      </c>
      <c r="E43" s="213">
        <v>6330642.03</v>
      </c>
      <c r="I43" s="213">
        <v>6330642.03</v>
      </c>
      <c r="J43" s="213">
        <v>200000</v>
      </c>
      <c r="K43" s="213">
        <v>0.2</v>
      </c>
      <c r="L43" s="213">
        <v>1266128.406</v>
      </c>
      <c r="M43" s="213">
        <v>1466128.406</v>
      </c>
      <c r="N43" s="213">
        <v>1466128.406</v>
      </c>
      <c r="O43" s="213">
        <v>4864513.624</v>
      </c>
      <c r="P43" s="213">
        <v>21000</v>
      </c>
      <c r="Q43" s="213">
        <v>33000</v>
      </c>
      <c r="R43" s="213">
        <v>75000</v>
      </c>
      <c r="S43" s="213">
        <v>95000</v>
      </c>
      <c r="T43" s="213">
        <v>336000</v>
      </c>
      <c r="U43" s="213">
        <v>399483.26976</v>
      </c>
      <c r="V43" s="213">
        <v>959483.26976</v>
      </c>
      <c r="W43" s="213">
        <v>12</v>
      </c>
      <c r="X43" s="213">
        <v>79956.9391466667</v>
      </c>
      <c r="Z43" s="213">
        <v>79956.9391466667</v>
      </c>
      <c r="AA43" s="213">
        <v>79956.94</v>
      </c>
      <c r="AB43" s="213">
        <v>-0.000853333345730789</v>
      </c>
    </row>
    <row r="44" spans="1:28">
      <c r="A44">
        <v>37</v>
      </c>
      <c r="B44" s="213" t="s">
        <v>108</v>
      </c>
      <c r="C44" s="213">
        <v>527553.5025</v>
      </c>
      <c r="D44" s="213">
        <v>12</v>
      </c>
      <c r="E44" s="213">
        <v>6330642.03</v>
      </c>
      <c r="I44" s="213">
        <v>6330642.03</v>
      </c>
      <c r="J44" s="213">
        <v>200000</v>
      </c>
      <c r="K44" s="213">
        <v>0.2</v>
      </c>
      <c r="L44" s="213">
        <v>1266128.406</v>
      </c>
      <c r="M44" s="213">
        <v>1466128.406</v>
      </c>
      <c r="N44" s="213">
        <v>1466128.406</v>
      </c>
      <c r="O44" s="213">
        <v>4864513.624</v>
      </c>
      <c r="P44" s="213">
        <v>21000</v>
      </c>
      <c r="Q44" s="213">
        <v>33000</v>
      </c>
      <c r="R44" s="213">
        <v>75000</v>
      </c>
      <c r="S44" s="213">
        <v>95000</v>
      </c>
      <c r="T44" s="213">
        <v>336000</v>
      </c>
      <c r="U44" s="213">
        <v>399483.26976</v>
      </c>
      <c r="V44" s="213">
        <v>959483.26976</v>
      </c>
      <c r="W44" s="213">
        <v>12</v>
      </c>
      <c r="X44" s="213">
        <v>79956.9391466667</v>
      </c>
      <c r="Z44" s="213">
        <v>79956.9391466667</v>
      </c>
      <c r="AA44" s="213">
        <v>79956.94</v>
      </c>
      <c r="AB44" s="213">
        <v>-0.000853333345730789</v>
      </c>
    </row>
    <row r="45" spans="1:28">
      <c r="A45">
        <v>38</v>
      </c>
      <c r="B45" s="213" t="s">
        <v>111</v>
      </c>
      <c r="C45" s="213">
        <v>527553.5025</v>
      </c>
      <c r="D45" s="213">
        <v>12</v>
      </c>
      <c r="E45" s="213">
        <v>6330642.03</v>
      </c>
      <c r="I45" s="213">
        <v>6330642.03</v>
      </c>
      <c r="J45" s="213">
        <v>200000</v>
      </c>
      <c r="K45" s="213">
        <v>0.2</v>
      </c>
      <c r="L45" s="213">
        <v>1266128.406</v>
      </c>
      <c r="M45" s="213">
        <v>1466128.406</v>
      </c>
      <c r="N45" s="213">
        <v>1466128.406</v>
      </c>
      <c r="O45" s="213">
        <v>4864513.624</v>
      </c>
      <c r="P45" s="213">
        <v>21000</v>
      </c>
      <c r="Q45" s="213">
        <v>33000</v>
      </c>
      <c r="R45" s="213">
        <v>75000</v>
      </c>
      <c r="S45" s="213">
        <v>95000</v>
      </c>
      <c r="T45" s="213">
        <v>336000</v>
      </c>
      <c r="U45" s="213">
        <v>399483.26976</v>
      </c>
      <c r="V45" s="213">
        <v>959483.26976</v>
      </c>
      <c r="W45" s="213">
        <v>12</v>
      </c>
      <c r="X45" s="213">
        <v>79956.9391466667</v>
      </c>
      <c r="Z45" s="213">
        <v>79956.9391466667</v>
      </c>
      <c r="AA45" s="213">
        <v>77764.98</v>
      </c>
      <c r="AB45" s="213">
        <v>2191.95914666666</v>
      </c>
    </row>
    <row r="46" spans="1:28">
      <c r="A46">
        <v>39</v>
      </c>
      <c r="B46" s="213" t="s">
        <v>113</v>
      </c>
      <c r="C46" s="213">
        <v>476014.86</v>
      </c>
      <c r="D46" s="213">
        <v>12</v>
      </c>
      <c r="E46" s="213">
        <v>5712178.32</v>
      </c>
      <c r="I46" s="213">
        <v>5712178.32</v>
      </c>
      <c r="J46" s="213">
        <v>200000</v>
      </c>
      <c r="K46" s="213">
        <v>0.2</v>
      </c>
      <c r="L46" s="213">
        <v>1142435.664</v>
      </c>
      <c r="M46" s="213">
        <v>1342435.664</v>
      </c>
      <c r="N46" s="213">
        <v>1342435.664</v>
      </c>
      <c r="O46" s="213">
        <v>4369742.656</v>
      </c>
      <c r="P46" s="213">
        <v>21000</v>
      </c>
      <c r="Q46" s="213">
        <v>33000</v>
      </c>
      <c r="R46" s="213">
        <v>75000</v>
      </c>
      <c r="S46" s="213">
        <v>95000</v>
      </c>
      <c r="T46" s="213">
        <v>336000</v>
      </c>
      <c r="U46" s="213">
        <v>280738.23744</v>
      </c>
      <c r="V46" s="213">
        <v>840738.23744</v>
      </c>
      <c r="W46" s="213">
        <v>12</v>
      </c>
      <c r="X46" s="213">
        <v>70061.5197866667</v>
      </c>
      <c r="Z46" s="213">
        <v>70061.5197866667</v>
      </c>
      <c r="AA46" s="213">
        <v>75436.1153226667</v>
      </c>
      <c r="AB46" s="213">
        <v>-5374.59553599999</v>
      </c>
    </row>
    <row r="47" spans="1:28">
      <c r="A47">
        <v>40</v>
      </c>
      <c r="B47" s="213" t="s">
        <v>114</v>
      </c>
      <c r="C47" s="213">
        <v>413333.03525</v>
      </c>
      <c r="D47" s="213">
        <v>12</v>
      </c>
      <c r="E47" s="213">
        <v>4959996.423</v>
      </c>
      <c r="F47" s="213">
        <v>8546.54</v>
      </c>
      <c r="I47" s="213">
        <v>4951449.883</v>
      </c>
      <c r="J47" s="213">
        <v>200000</v>
      </c>
      <c r="K47" s="213">
        <v>0.2</v>
      </c>
      <c r="L47" s="213">
        <v>990289.9766</v>
      </c>
      <c r="M47" s="213">
        <v>1190289.9766</v>
      </c>
      <c r="N47" s="213">
        <v>1198836.5166</v>
      </c>
      <c r="O47" s="213">
        <v>3761159.9064</v>
      </c>
      <c r="P47" s="213">
        <v>21000</v>
      </c>
      <c r="Q47" s="213">
        <v>33000</v>
      </c>
      <c r="R47" s="213">
        <v>75000</v>
      </c>
      <c r="S47" s="213">
        <v>95000</v>
      </c>
      <c r="T47" s="213">
        <v>336000</v>
      </c>
      <c r="U47" s="213">
        <v>134678.377536</v>
      </c>
      <c r="V47" s="213">
        <v>694678.377536</v>
      </c>
      <c r="W47" s="213">
        <v>12</v>
      </c>
      <c r="X47" s="213">
        <v>57889.8647946667</v>
      </c>
      <c r="Z47" s="213">
        <v>57889.8647946667</v>
      </c>
      <c r="AA47" s="213">
        <v>56478.9</v>
      </c>
      <c r="AB47" s="213">
        <v>1410.96479466667</v>
      </c>
    </row>
    <row r="48" spans="1:28">
      <c r="A48">
        <v>41</v>
      </c>
      <c r="B48" s="213" t="s">
        <v>115</v>
      </c>
      <c r="C48" s="213">
        <v>413333.03525</v>
      </c>
      <c r="D48" s="213">
        <v>12</v>
      </c>
      <c r="E48" s="213">
        <v>4959996.423</v>
      </c>
      <c r="I48" s="213">
        <v>4959996.423</v>
      </c>
      <c r="J48" s="213">
        <v>200000</v>
      </c>
      <c r="K48" s="213">
        <v>0.2</v>
      </c>
      <c r="L48" s="213">
        <v>991999.2846</v>
      </c>
      <c r="M48" s="213">
        <v>1191999.2846</v>
      </c>
      <c r="N48" s="213">
        <v>1191999.2846</v>
      </c>
      <c r="O48" s="213">
        <v>3767997.1384</v>
      </c>
      <c r="P48" s="213">
        <v>21000</v>
      </c>
      <c r="Q48" s="213">
        <v>33000</v>
      </c>
      <c r="R48" s="213">
        <v>75000</v>
      </c>
      <c r="S48" s="213">
        <v>95000</v>
      </c>
      <c r="T48" s="213">
        <v>336000</v>
      </c>
      <c r="U48" s="213">
        <v>136319.313216</v>
      </c>
      <c r="V48" s="213">
        <v>696319.313216</v>
      </c>
      <c r="W48" s="213">
        <v>12</v>
      </c>
      <c r="X48" s="213">
        <v>58026.6094346667</v>
      </c>
      <c r="Z48" s="213">
        <v>58026.6094346667</v>
      </c>
      <c r="AA48" s="213">
        <v>56478.9</v>
      </c>
      <c r="AB48" s="213">
        <v>1547.70943466667</v>
      </c>
    </row>
    <row r="49" spans="1:28">
      <c r="A49">
        <v>42</v>
      </c>
      <c r="B49" s="213" t="s">
        <v>1094</v>
      </c>
      <c r="C49" s="213">
        <v>400272.06375</v>
      </c>
      <c r="D49" s="213">
        <v>12</v>
      </c>
      <c r="E49" s="213">
        <v>4803264.765</v>
      </c>
      <c r="I49" s="213">
        <v>4803264.765</v>
      </c>
      <c r="J49" s="213">
        <v>200000</v>
      </c>
      <c r="K49" s="213">
        <v>0.2</v>
      </c>
      <c r="L49" s="213">
        <v>960652.953</v>
      </c>
      <c r="M49" s="213">
        <v>1160652.953</v>
      </c>
      <c r="N49" s="213">
        <v>1160652.953</v>
      </c>
      <c r="O49" s="213">
        <v>3642611.812</v>
      </c>
      <c r="P49" s="213">
        <v>21000</v>
      </c>
      <c r="Q49" s="213">
        <v>33000</v>
      </c>
      <c r="R49" s="213">
        <v>75000</v>
      </c>
      <c r="S49" s="213">
        <v>95000</v>
      </c>
      <c r="T49" s="213">
        <v>336000</v>
      </c>
      <c r="U49" s="213">
        <v>106226.83488</v>
      </c>
      <c r="V49" s="213">
        <v>666226.83488</v>
      </c>
      <c r="W49" s="213">
        <v>12</v>
      </c>
      <c r="X49" s="213">
        <v>55518.9029066667</v>
      </c>
      <c r="Z49" s="213">
        <v>55518.9029066667</v>
      </c>
      <c r="AA49" s="213">
        <v>54931.4001866667</v>
      </c>
      <c r="AB49" s="213">
        <v>587.502719999997</v>
      </c>
    </row>
    <row r="50" spans="1:28">
      <c r="A50">
        <v>43</v>
      </c>
      <c r="B50" s="213" t="s">
        <v>45</v>
      </c>
      <c r="C50" s="213">
        <v>369177.65375</v>
      </c>
      <c r="D50" s="213">
        <v>12</v>
      </c>
      <c r="E50" s="213">
        <v>4430131.845</v>
      </c>
      <c r="I50" s="213">
        <v>4430131.845</v>
      </c>
      <c r="J50" s="213">
        <v>200000</v>
      </c>
      <c r="K50" s="213">
        <v>0.2</v>
      </c>
      <c r="L50" s="213">
        <v>886026.369</v>
      </c>
      <c r="M50" s="213">
        <v>1086026.369</v>
      </c>
      <c r="N50" s="213">
        <v>1086026.369</v>
      </c>
      <c r="O50" s="213">
        <v>3344105.476</v>
      </c>
      <c r="P50" s="213">
        <v>21000</v>
      </c>
      <c r="Q50" s="213">
        <v>33000</v>
      </c>
      <c r="R50" s="213">
        <v>75000</v>
      </c>
      <c r="S50" s="213">
        <v>95000</v>
      </c>
      <c r="T50" s="213">
        <v>336000</v>
      </c>
      <c r="U50" s="213">
        <v>34585.3142399999</v>
      </c>
      <c r="V50" s="213">
        <v>594585.31424</v>
      </c>
      <c r="W50" s="213">
        <v>12</v>
      </c>
      <c r="X50" s="213">
        <v>49548.7761866667</v>
      </c>
      <c r="Z50" s="213">
        <v>49548.7761866667</v>
      </c>
      <c r="AA50" s="213">
        <v>48052.11</v>
      </c>
      <c r="AB50" s="213">
        <v>1496.66618666666</v>
      </c>
    </row>
    <row r="51" spans="1:28">
      <c r="A51">
        <v>44</v>
      </c>
      <c r="B51" s="213" t="s">
        <v>118</v>
      </c>
      <c r="C51" s="213">
        <v>245204.0845</v>
      </c>
      <c r="D51" s="213">
        <v>12</v>
      </c>
      <c r="E51" s="213">
        <v>2942449.014</v>
      </c>
      <c r="F51" s="213">
        <v>7422.38</v>
      </c>
      <c r="I51" s="213">
        <v>2935026.634</v>
      </c>
      <c r="J51" s="213">
        <v>200000</v>
      </c>
      <c r="K51" s="213">
        <v>0.2</v>
      </c>
      <c r="L51" s="213">
        <v>587005.3268</v>
      </c>
      <c r="M51" s="213">
        <v>787005.3268</v>
      </c>
      <c r="N51" s="213">
        <v>794427.7068</v>
      </c>
      <c r="O51" s="213">
        <v>2148021.3072</v>
      </c>
      <c r="P51" s="213">
        <v>21000</v>
      </c>
      <c r="Q51" s="213">
        <v>33000</v>
      </c>
      <c r="R51" s="213">
        <v>75000</v>
      </c>
      <c r="S51" s="213">
        <v>95000</v>
      </c>
      <c r="T51" s="213">
        <v>115084.474512</v>
      </c>
      <c r="U51" s="213">
        <v>0</v>
      </c>
      <c r="V51" s="213">
        <v>339084.474512</v>
      </c>
      <c r="W51" s="213">
        <v>12</v>
      </c>
      <c r="X51" s="213">
        <v>28360.9528626667</v>
      </c>
      <c r="Z51" s="213">
        <v>28360.9528626667</v>
      </c>
      <c r="AA51" s="213">
        <v>28360.95</v>
      </c>
      <c r="AB51" s="213">
        <v>0.00286266666080337</v>
      </c>
    </row>
    <row r="52" spans="1:28">
      <c r="A52">
        <v>45</v>
      </c>
      <c r="B52" s="213" t="s">
        <v>580</v>
      </c>
      <c r="C52" s="213">
        <v>245204.0845</v>
      </c>
      <c r="D52" s="213">
        <v>12</v>
      </c>
      <c r="E52" s="213">
        <v>2942449.014</v>
      </c>
      <c r="I52" s="213">
        <v>2942449.014</v>
      </c>
      <c r="J52" s="213">
        <v>200000</v>
      </c>
      <c r="K52" s="213">
        <v>0.2</v>
      </c>
      <c r="L52" s="213">
        <v>588489.8028</v>
      </c>
      <c r="M52" s="213">
        <v>788489.8028</v>
      </c>
      <c r="N52" s="213">
        <v>788489.8028</v>
      </c>
      <c r="O52" s="213">
        <v>2153959.2112</v>
      </c>
      <c r="P52" s="213">
        <v>21000</v>
      </c>
      <c r="Q52" s="213">
        <v>33000</v>
      </c>
      <c r="R52" s="213">
        <v>75000</v>
      </c>
      <c r="S52" s="213">
        <v>95000</v>
      </c>
      <c r="T52" s="213">
        <v>116331.434352</v>
      </c>
      <c r="V52" s="213">
        <v>340331.434352</v>
      </c>
      <c r="W52" s="213">
        <v>12</v>
      </c>
      <c r="X52" s="213">
        <v>28360.9528626667</v>
      </c>
      <c r="Z52" s="213">
        <v>28360.9528626667</v>
      </c>
      <c r="AA52" s="213">
        <v>28360.95</v>
      </c>
      <c r="AB52" s="213">
        <v>0.00286266666080337</v>
      </c>
    </row>
    <row r="53" spans="1:28">
      <c r="A53">
        <v>46</v>
      </c>
      <c r="B53" s="213" t="s">
        <v>119</v>
      </c>
      <c r="C53" s="213">
        <v>245205.0845</v>
      </c>
      <c r="D53" s="213">
        <v>12</v>
      </c>
      <c r="E53" s="213">
        <v>2942461.014</v>
      </c>
      <c r="I53" s="213">
        <v>2942461.014</v>
      </c>
      <c r="J53" s="213">
        <v>200000</v>
      </c>
      <c r="K53" s="213">
        <v>0.2</v>
      </c>
      <c r="L53" s="213">
        <v>588492.2028</v>
      </c>
      <c r="M53" s="213">
        <v>788492.2028</v>
      </c>
      <c r="N53" s="213">
        <v>788492.2028</v>
      </c>
      <c r="O53" s="213">
        <v>2153968.8112</v>
      </c>
      <c r="P53" s="213">
        <v>21000</v>
      </c>
      <c r="Q53" s="213">
        <v>33000</v>
      </c>
      <c r="R53" s="213">
        <v>75000</v>
      </c>
      <c r="S53" s="213">
        <v>95000</v>
      </c>
      <c r="T53" s="213">
        <v>116333.450352</v>
      </c>
      <c r="V53" s="213">
        <v>340333.450352</v>
      </c>
      <c r="W53" s="213">
        <v>12</v>
      </c>
      <c r="X53" s="213">
        <v>28360.9528626667</v>
      </c>
      <c r="Z53" s="213">
        <v>28360.9528626667</v>
      </c>
      <c r="AA53" s="213">
        <v>28360.95</v>
      </c>
      <c r="AB53" s="213">
        <v>0.00286266666080337</v>
      </c>
    </row>
    <row r="54" spans="1:1">
      <c r="A54"/>
    </row>
    <row r="55" spans="1:1">
      <c r="A55"/>
    </row>
    <row r="56" spans="1:28">
      <c r="A56">
        <v>47</v>
      </c>
      <c r="B56" s="213" t="s">
        <v>503</v>
      </c>
      <c r="C56" s="213">
        <v>1050209.0635</v>
      </c>
      <c r="D56" s="213">
        <v>12</v>
      </c>
      <c r="E56" s="213">
        <v>12602508.762</v>
      </c>
      <c r="I56" s="213">
        <v>12602508.762</v>
      </c>
      <c r="J56" s="213">
        <v>200000</v>
      </c>
      <c r="K56" s="213">
        <v>0.2</v>
      </c>
      <c r="L56" s="213">
        <v>2520501.7524</v>
      </c>
      <c r="M56" s="213">
        <v>2720501.7524</v>
      </c>
      <c r="N56" s="213">
        <v>2720501.7524</v>
      </c>
      <c r="O56" s="213">
        <v>9882007.0096</v>
      </c>
      <c r="P56" s="213">
        <v>21000</v>
      </c>
      <c r="Q56" s="213">
        <v>33000</v>
      </c>
      <c r="R56" s="213">
        <v>75000</v>
      </c>
      <c r="S56" s="213">
        <v>95000</v>
      </c>
      <c r="T56" s="213">
        <v>336000</v>
      </c>
      <c r="U56" s="213">
        <v>1603681.682304</v>
      </c>
      <c r="V56" s="213">
        <v>2163681.682304</v>
      </c>
      <c r="W56" s="213">
        <v>12</v>
      </c>
      <c r="X56" s="213">
        <v>180306.806858667</v>
      </c>
      <c r="Z56" s="213">
        <v>180306.806858667</v>
      </c>
      <c r="AA56" s="213">
        <v>180306.806858667</v>
      </c>
      <c r="AB56" s="213">
        <v>0</v>
      </c>
    </row>
    <row r="57" spans="1:26">
      <c r="A57">
        <v>48</v>
      </c>
      <c r="B57" s="213" t="s">
        <v>123</v>
      </c>
      <c r="C57" s="213">
        <v>436137.05</v>
      </c>
      <c r="D57" s="213">
        <v>12</v>
      </c>
      <c r="E57" s="213">
        <v>5233644.6</v>
      </c>
      <c r="I57" s="213">
        <v>5233644.6</v>
      </c>
      <c r="J57" s="213">
        <v>200000</v>
      </c>
      <c r="K57" s="213">
        <v>0.2</v>
      </c>
      <c r="L57" s="213">
        <v>1046728.92</v>
      </c>
      <c r="M57" s="213">
        <v>1246728.92</v>
      </c>
      <c r="N57" s="213">
        <v>1246728.92</v>
      </c>
      <c r="O57" s="213">
        <v>3986915.68</v>
      </c>
      <c r="P57" s="213">
        <v>21000</v>
      </c>
      <c r="Q57" s="213">
        <v>33000</v>
      </c>
      <c r="R57" s="213">
        <v>75000</v>
      </c>
      <c r="S57" s="213">
        <v>95000</v>
      </c>
      <c r="T57" s="213">
        <v>336000</v>
      </c>
      <c r="U57" s="213">
        <v>188859.7632</v>
      </c>
      <c r="V57" s="213">
        <v>748859.7632</v>
      </c>
      <c r="W57" s="213">
        <v>12</v>
      </c>
      <c r="X57" s="213">
        <v>62404.9802666667</v>
      </c>
      <c r="Z57" s="213">
        <v>62404.9802666667</v>
      </c>
    </row>
    <row r="58" spans="1:1">
      <c r="A58"/>
    </row>
    <row r="59" spans="1:1">
      <c r="A59"/>
    </row>
    <row r="60" spans="1:28">
      <c r="A60">
        <v>49</v>
      </c>
      <c r="B60" s="213" t="s">
        <v>127</v>
      </c>
      <c r="C60" s="213">
        <v>1050209.0635</v>
      </c>
      <c r="D60" s="213">
        <v>12</v>
      </c>
      <c r="E60" s="213">
        <v>12602508.762</v>
      </c>
      <c r="I60" s="213">
        <v>12602508.762</v>
      </c>
      <c r="J60" s="213">
        <v>200000</v>
      </c>
      <c r="K60" s="213">
        <v>0.2</v>
      </c>
      <c r="L60" s="213">
        <v>2520501.7524</v>
      </c>
      <c r="M60" s="213">
        <v>2720501.7524</v>
      </c>
      <c r="N60" s="213">
        <v>2720501.7524</v>
      </c>
      <c r="O60" s="213">
        <v>9882007.0096</v>
      </c>
      <c r="P60" s="213">
        <v>21000</v>
      </c>
      <c r="Q60" s="213">
        <v>33000</v>
      </c>
      <c r="R60" s="213">
        <v>75000</v>
      </c>
      <c r="S60" s="213">
        <v>95000</v>
      </c>
      <c r="T60" s="213">
        <v>336000</v>
      </c>
      <c r="U60" s="213">
        <v>1603681.682304</v>
      </c>
      <c r="V60" s="213">
        <v>2163681.682304</v>
      </c>
      <c r="W60" s="213">
        <v>12</v>
      </c>
      <c r="X60" s="213">
        <v>180306.806858667</v>
      </c>
      <c r="Z60" s="213">
        <v>180306.806858667</v>
      </c>
      <c r="AA60" s="213">
        <v>180306.81</v>
      </c>
      <c r="AB60" s="213">
        <v>-0.00314133329084143</v>
      </c>
    </row>
    <row r="61" spans="1:28">
      <c r="A61">
        <v>50</v>
      </c>
      <c r="B61" s="213" t="s">
        <v>129</v>
      </c>
      <c r="C61" s="213">
        <v>504720.047</v>
      </c>
      <c r="D61" s="213">
        <v>12</v>
      </c>
      <c r="E61" s="213">
        <v>6056640.564</v>
      </c>
      <c r="I61" s="213">
        <v>6056640.564</v>
      </c>
      <c r="J61" s="213">
        <v>200000</v>
      </c>
      <c r="K61" s="213">
        <v>0.2</v>
      </c>
      <c r="L61" s="213">
        <v>1211328.1128</v>
      </c>
      <c r="M61" s="213">
        <v>1411328.1128</v>
      </c>
      <c r="N61" s="213">
        <v>1411328.1128</v>
      </c>
      <c r="O61" s="213">
        <v>4645312.4512</v>
      </c>
      <c r="P61" s="213">
        <v>21000</v>
      </c>
      <c r="Q61" s="213">
        <v>33000</v>
      </c>
      <c r="R61" s="213">
        <v>75000</v>
      </c>
      <c r="S61" s="213">
        <v>95000</v>
      </c>
      <c r="T61" s="213">
        <v>336000</v>
      </c>
      <c r="U61" s="213">
        <v>346874.988288</v>
      </c>
      <c r="V61" s="213">
        <v>906874.988288</v>
      </c>
      <c r="W61" s="213">
        <v>12</v>
      </c>
      <c r="X61" s="213">
        <v>75572.9156906667</v>
      </c>
      <c r="Z61" s="213">
        <v>75572.9156906667</v>
      </c>
      <c r="AA61" s="213">
        <v>75572.92</v>
      </c>
      <c r="AB61" s="213">
        <v>-0.00430933333700523</v>
      </c>
    </row>
    <row r="62" spans="1:28">
      <c r="A62">
        <v>51</v>
      </c>
      <c r="B62" s="213" t="s">
        <v>132</v>
      </c>
      <c r="C62" s="213">
        <v>369177.65375</v>
      </c>
      <c r="D62" s="213">
        <v>12</v>
      </c>
      <c r="E62" s="213">
        <v>4430131.845</v>
      </c>
      <c r="I62" s="213">
        <v>4430131.845</v>
      </c>
      <c r="J62" s="213">
        <v>200000</v>
      </c>
      <c r="K62" s="213">
        <v>0.2</v>
      </c>
      <c r="L62" s="213">
        <v>886026.369</v>
      </c>
      <c r="M62" s="213">
        <v>1086026.369</v>
      </c>
      <c r="N62" s="213">
        <v>1086026.369</v>
      </c>
      <c r="O62" s="213">
        <v>3344105.476</v>
      </c>
      <c r="P62" s="213">
        <v>21000</v>
      </c>
      <c r="Q62" s="213">
        <v>33000</v>
      </c>
      <c r="R62" s="213">
        <v>75000</v>
      </c>
      <c r="S62" s="213">
        <v>95000</v>
      </c>
      <c r="T62" s="213">
        <v>336000</v>
      </c>
      <c r="U62" s="213">
        <v>34585.3142399999</v>
      </c>
      <c r="V62" s="213">
        <v>594585.31424</v>
      </c>
      <c r="W62" s="213">
        <v>12</v>
      </c>
      <c r="X62" s="213">
        <v>49548.7761866667</v>
      </c>
      <c r="Z62" s="213">
        <v>49548.7761866667</v>
      </c>
      <c r="AA62" s="213">
        <v>48170.87</v>
      </c>
      <c r="AB62" s="213">
        <v>1377.90618666666</v>
      </c>
    </row>
    <row r="63" spans="1:28">
      <c r="A63">
        <v>52</v>
      </c>
      <c r="B63" s="213" t="s">
        <v>486</v>
      </c>
      <c r="C63" s="213">
        <v>362001.0605</v>
      </c>
      <c r="D63" s="213">
        <v>12</v>
      </c>
      <c r="E63" s="213">
        <v>4344012.726</v>
      </c>
      <c r="I63" s="213">
        <v>4344012.726</v>
      </c>
      <c r="J63" s="213">
        <v>200000</v>
      </c>
      <c r="K63" s="213">
        <v>0.2</v>
      </c>
      <c r="L63" s="213">
        <v>868802.5452</v>
      </c>
      <c r="M63" s="213">
        <v>1068802.5452</v>
      </c>
      <c r="N63" s="213">
        <v>1068802.5452</v>
      </c>
      <c r="O63" s="213">
        <v>3275210.1808</v>
      </c>
      <c r="P63" s="213">
        <v>21000</v>
      </c>
      <c r="Q63" s="213">
        <v>33000</v>
      </c>
      <c r="R63" s="213">
        <v>75000</v>
      </c>
      <c r="S63" s="213">
        <v>95000</v>
      </c>
      <c r="T63" s="213">
        <v>336000</v>
      </c>
      <c r="U63" s="213">
        <v>18050.4433919999</v>
      </c>
      <c r="V63" s="213">
        <v>578050.443392</v>
      </c>
      <c r="W63" s="213">
        <v>12</v>
      </c>
      <c r="X63" s="213">
        <v>48170.8702826667</v>
      </c>
      <c r="Z63" s="213">
        <v>48170.8702826667</v>
      </c>
      <c r="AA63" s="213">
        <v>46673.26</v>
      </c>
      <c r="AB63" s="213">
        <v>1497.61028266666</v>
      </c>
    </row>
    <row r="64" spans="1:28">
      <c r="A64">
        <v>53</v>
      </c>
      <c r="B64" s="213" t="s">
        <v>519</v>
      </c>
      <c r="C64" s="213">
        <v>413333.03525</v>
      </c>
      <c r="D64" s="213">
        <v>12</v>
      </c>
      <c r="E64" s="213">
        <v>4959996.423</v>
      </c>
      <c r="I64" s="213">
        <v>4959996.423</v>
      </c>
      <c r="J64" s="213">
        <v>200000</v>
      </c>
      <c r="K64" s="213">
        <v>0.2</v>
      </c>
      <c r="L64" s="213">
        <v>991999.2846</v>
      </c>
      <c r="M64" s="213">
        <v>1191999.2846</v>
      </c>
      <c r="N64" s="213">
        <v>1191999.2846</v>
      </c>
      <c r="O64" s="213">
        <v>3767997.1384</v>
      </c>
      <c r="P64" s="213">
        <v>21000</v>
      </c>
      <c r="Q64" s="213">
        <v>33000</v>
      </c>
      <c r="R64" s="213">
        <v>75000</v>
      </c>
      <c r="S64" s="213">
        <v>95000</v>
      </c>
      <c r="T64" s="213">
        <v>336000</v>
      </c>
      <c r="U64" s="213">
        <v>136319.313216</v>
      </c>
      <c r="V64" s="213">
        <v>696319.313216</v>
      </c>
      <c r="W64" s="213">
        <v>12</v>
      </c>
      <c r="X64" s="213">
        <v>58026.6094346667</v>
      </c>
      <c r="Z64" s="213">
        <v>58026.6094346667</v>
      </c>
      <c r="AA64" s="213">
        <v>56478.9</v>
      </c>
      <c r="AB64" s="213">
        <v>1547.70943466667</v>
      </c>
    </row>
    <row r="65" spans="1:28">
      <c r="A65">
        <v>54</v>
      </c>
      <c r="B65" s="213" t="s">
        <v>134</v>
      </c>
      <c r="C65" s="213">
        <v>300564.016</v>
      </c>
      <c r="D65" s="213">
        <v>12</v>
      </c>
      <c r="E65" s="213">
        <v>3606768.192</v>
      </c>
      <c r="I65" s="213">
        <v>3606768.192</v>
      </c>
      <c r="J65" s="213">
        <v>200000</v>
      </c>
      <c r="K65" s="213">
        <v>0.2</v>
      </c>
      <c r="L65" s="213">
        <v>721353.6384</v>
      </c>
      <c r="M65" s="213">
        <v>921353.6384</v>
      </c>
      <c r="N65" s="213">
        <v>921353.6384</v>
      </c>
      <c r="O65" s="213">
        <v>2685414.5536</v>
      </c>
      <c r="P65" s="213">
        <v>21000</v>
      </c>
      <c r="Q65" s="213">
        <v>33000</v>
      </c>
      <c r="R65" s="213">
        <v>75000</v>
      </c>
      <c r="S65" s="213">
        <v>95000</v>
      </c>
      <c r="T65" s="213">
        <v>227937.056256</v>
      </c>
      <c r="V65" s="213">
        <v>451937.056256</v>
      </c>
      <c r="W65" s="213">
        <v>12</v>
      </c>
      <c r="X65" s="213">
        <v>37661.4213546667</v>
      </c>
      <c r="Z65" s="213">
        <v>37661.4213546667</v>
      </c>
      <c r="AA65" s="213">
        <v>36127.27</v>
      </c>
      <c r="AB65" s="213">
        <v>1534.15135466667</v>
      </c>
    </row>
    <row r="66" spans="1:28">
      <c r="A66">
        <v>55</v>
      </c>
      <c r="B66" s="213" t="s">
        <v>1102</v>
      </c>
      <c r="C66" s="213">
        <v>334536.9985</v>
      </c>
      <c r="D66" s="213">
        <v>12</v>
      </c>
      <c r="E66" s="213">
        <v>4014443.982</v>
      </c>
      <c r="F66" s="213">
        <v>6456.26</v>
      </c>
      <c r="I66" s="213">
        <v>4007987.722</v>
      </c>
      <c r="J66" s="213">
        <v>200000</v>
      </c>
      <c r="K66" s="213">
        <v>0.2</v>
      </c>
      <c r="L66" s="213">
        <v>801597.5444</v>
      </c>
      <c r="M66" s="213">
        <v>1001597.5444</v>
      </c>
      <c r="N66" s="213">
        <v>1008053.8044</v>
      </c>
      <c r="O66" s="213">
        <v>3006390.1776</v>
      </c>
      <c r="P66" s="213">
        <v>21000</v>
      </c>
      <c r="Q66" s="213">
        <v>33000</v>
      </c>
      <c r="R66" s="213">
        <v>75000</v>
      </c>
      <c r="S66" s="213">
        <v>95000</v>
      </c>
      <c r="T66" s="213">
        <v>295341.937296</v>
      </c>
      <c r="V66" s="213">
        <v>519341.937296</v>
      </c>
      <c r="W66" s="213">
        <v>12</v>
      </c>
      <c r="X66" s="213">
        <v>43278.4947746667</v>
      </c>
      <c r="Z66" s="213">
        <v>43278.4947746667</v>
      </c>
      <c r="AA66" s="213">
        <v>41248.56</v>
      </c>
      <c r="AB66" s="213">
        <v>2029.93477466667</v>
      </c>
    </row>
    <row r="67" spans="1:28">
      <c r="A67">
        <v>56</v>
      </c>
      <c r="B67" s="213" t="s">
        <v>136</v>
      </c>
      <c r="C67" s="213">
        <v>315372.075</v>
      </c>
      <c r="D67" s="213">
        <v>12</v>
      </c>
      <c r="E67" s="213">
        <v>3784464.9</v>
      </c>
      <c r="I67" s="213">
        <v>3784464.9</v>
      </c>
      <c r="J67" s="213">
        <v>200000</v>
      </c>
      <c r="K67" s="213">
        <v>0.2</v>
      </c>
      <c r="L67" s="213">
        <v>756892.98</v>
      </c>
      <c r="M67" s="213">
        <v>956892.98</v>
      </c>
      <c r="N67" s="213">
        <v>956892.98</v>
      </c>
      <c r="O67" s="213">
        <v>2827571.92</v>
      </c>
      <c r="P67" s="213">
        <v>21000</v>
      </c>
      <c r="Q67" s="213">
        <v>33000</v>
      </c>
      <c r="R67" s="213">
        <v>75000</v>
      </c>
      <c r="S67" s="213">
        <v>95000</v>
      </c>
      <c r="T67" s="213">
        <v>257790.1032</v>
      </c>
      <c r="V67" s="213">
        <v>481790.1032</v>
      </c>
      <c r="W67" s="213">
        <v>12</v>
      </c>
      <c r="X67" s="213">
        <v>40149.1752666667</v>
      </c>
      <c r="Z67" s="213">
        <v>40149.1752666667</v>
      </c>
      <c r="AA67" s="213">
        <v>40149.18</v>
      </c>
      <c r="AB67" s="213">
        <v>-0.00473333332774928</v>
      </c>
    </row>
    <row r="68" spans="1:28">
      <c r="A68">
        <v>57</v>
      </c>
      <c r="B68" s="213" t="s">
        <v>137</v>
      </c>
      <c r="C68" s="213">
        <v>315372.075</v>
      </c>
      <c r="D68" s="213">
        <v>12</v>
      </c>
      <c r="E68" s="213">
        <v>3784464.9</v>
      </c>
      <c r="I68" s="213">
        <v>3784464.9</v>
      </c>
      <c r="J68" s="213">
        <v>200000</v>
      </c>
      <c r="K68" s="213">
        <v>0.2</v>
      </c>
      <c r="L68" s="213">
        <v>756892.98</v>
      </c>
      <c r="M68" s="213">
        <v>956892.98</v>
      </c>
      <c r="N68" s="213">
        <v>956892.98</v>
      </c>
      <c r="O68" s="213">
        <v>2827571.92</v>
      </c>
      <c r="P68" s="213">
        <v>21000</v>
      </c>
      <c r="Q68" s="213">
        <v>33000</v>
      </c>
      <c r="R68" s="213">
        <v>75000</v>
      </c>
      <c r="S68" s="213">
        <v>95000</v>
      </c>
      <c r="T68" s="213">
        <v>257790.1032</v>
      </c>
      <c r="V68" s="213">
        <v>481790.1032</v>
      </c>
      <c r="W68" s="213">
        <v>12</v>
      </c>
      <c r="X68" s="213">
        <v>40149.1752666667</v>
      </c>
      <c r="Z68" s="213">
        <v>40149.1752666667</v>
      </c>
      <c r="AA68" s="213">
        <v>40149.18</v>
      </c>
      <c r="AB68" s="213">
        <v>-0.00473333332774928</v>
      </c>
    </row>
    <row r="69" spans="1:28">
      <c r="A69">
        <v>58</v>
      </c>
      <c r="B69" s="213" t="s">
        <v>138</v>
      </c>
      <c r="C69" s="213">
        <v>322454.074</v>
      </c>
      <c r="D69" s="213">
        <v>12</v>
      </c>
      <c r="E69" s="213">
        <v>3869448.888</v>
      </c>
      <c r="I69" s="213">
        <v>3869448.888</v>
      </c>
      <c r="J69" s="213">
        <v>200000</v>
      </c>
      <c r="K69" s="213">
        <v>0.2</v>
      </c>
      <c r="L69" s="213">
        <v>773889.7776</v>
      </c>
      <c r="M69" s="213">
        <v>973889.7776</v>
      </c>
      <c r="N69" s="213">
        <v>973889.7776</v>
      </c>
      <c r="O69" s="213">
        <v>2895559.1104</v>
      </c>
      <c r="P69" s="213">
        <v>21000</v>
      </c>
      <c r="Q69" s="213">
        <v>33000</v>
      </c>
      <c r="R69" s="213">
        <v>75000</v>
      </c>
      <c r="S69" s="213">
        <v>95000</v>
      </c>
      <c r="T69" s="213">
        <v>272067.413184</v>
      </c>
      <c r="V69" s="213">
        <v>496067.413184</v>
      </c>
      <c r="W69" s="213">
        <v>12</v>
      </c>
      <c r="X69" s="213">
        <v>41338.9510986667</v>
      </c>
      <c r="Z69" s="213">
        <v>41338.9510986667</v>
      </c>
      <c r="AA69" s="213">
        <v>41829.1471266667</v>
      </c>
      <c r="AB69" s="213">
        <v>-490.196027999998</v>
      </c>
    </row>
    <row r="70" spans="1:28">
      <c r="A70">
        <v>59</v>
      </c>
      <c r="B70" s="213" t="s">
        <v>1184</v>
      </c>
      <c r="C70" s="213">
        <v>273169.1175</v>
      </c>
      <c r="D70" s="213">
        <v>12</v>
      </c>
      <c r="E70" s="213">
        <v>3278029.41</v>
      </c>
      <c r="I70" s="213">
        <v>3278029.41</v>
      </c>
      <c r="J70" s="213">
        <v>200000</v>
      </c>
      <c r="K70" s="213">
        <v>0.2</v>
      </c>
      <c r="L70" s="213">
        <v>655605.882</v>
      </c>
      <c r="M70" s="213">
        <v>855605.882</v>
      </c>
      <c r="N70" s="213">
        <v>855605.882</v>
      </c>
      <c r="O70" s="213">
        <v>2422423.528</v>
      </c>
      <c r="P70" s="213">
        <v>21000</v>
      </c>
      <c r="Q70" s="213">
        <v>33000</v>
      </c>
      <c r="R70" s="213">
        <v>75000</v>
      </c>
      <c r="S70" s="213">
        <v>95000</v>
      </c>
      <c r="T70" s="213">
        <v>172708.94088</v>
      </c>
      <c r="V70" s="213">
        <v>396708.94088</v>
      </c>
      <c r="W70" s="213">
        <v>12</v>
      </c>
      <c r="X70" s="213">
        <v>33059.0784066667</v>
      </c>
      <c r="Z70" s="213">
        <v>33059.0784066667</v>
      </c>
      <c r="AA70" s="213">
        <v>32291.82</v>
      </c>
      <c r="AB70" s="213">
        <v>767.258406666668</v>
      </c>
    </row>
    <row r="71" spans="1:28">
      <c r="A71">
        <v>60</v>
      </c>
      <c r="B71" s="213" t="s">
        <v>77</v>
      </c>
      <c r="C71" s="213">
        <v>249356.04725</v>
      </c>
      <c r="D71" s="213">
        <v>12</v>
      </c>
      <c r="E71" s="213">
        <v>2992272.567</v>
      </c>
      <c r="I71" s="213">
        <v>2992272.567</v>
      </c>
      <c r="J71" s="213">
        <v>200000</v>
      </c>
      <c r="K71" s="213">
        <v>0.2</v>
      </c>
      <c r="L71" s="213">
        <v>598454.5134</v>
      </c>
      <c r="M71" s="213">
        <v>798454.5134</v>
      </c>
      <c r="N71" s="213">
        <v>798454.5134</v>
      </c>
      <c r="O71" s="213">
        <v>2193818.0536</v>
      </c>
      <c r="P71" s="213">
        <v>21000</v>
      </c>
      <c r="Q71" s="213">
        <v>33000</v>
      </c>
      <c r="R71" s="213">
        <v>75000</v>
      </c>
      <c r="S71" s="213">
        <v>95000</v>
      </c>
      <c r="T71" s="213">
        <v>124701.791256</v>
      </c>
      <c r="V71" s="213">
        <v>348701.791256</v>
      </c>
      <c r="W71" s="213">
        <v>12</v>
      </c>
      <c r="X71" s="213">
        <v>29058.4826046667</v>
      </c>
      <c r="Z71" s="213">
        <v>29058.4826046667</v>
      </c>
      <c r="AA71" s="213">
        <v>24685.95</v>
      </c>
      <c r="AB71" s="213">
        <v>4372.53260466666</v>
      </c>
    </row>
    <row r="72" spans="1:28">
      <c r="A72">
        <v>61</v>
      </c>
      <c r="B72" s="213" t="s">
        <v>63</v>
      </c>
      <c r="C72" s="213">
        <v>226816.1</v>
      </c>
      <c r="D72" s="213">
        <v>12</v>
      </c>
      <c r="E72" s="213">
        <v>2721793.2</v>
      </c>
      <c r="I72" s="213">
        <v>2721793.2</v>
      </c>
      <c r="J72" s="213">
        <v>200000</v>
      </c>
      <c r="K72" s="213">
        <v>0.2</v>
      </c>
      <c r="L72" s="213">
        <v>544358.64</v>
      </c>
      <c r="M72" s="213">
        <v>744358.64</v>
      </c>
      <c r="N72" s="213">
        <v>744358.64</v>
      </c>
      <c r="O72" s="213">
        <v>1977434.56</v>
      </c>
      <c r="P72" s="213">
        <v>21000</v>
      </c>
      <c r="Q72" s="213">
        <v>33000</v>
      </c>
      <c r="R72" s="213">
        <v>75000</v>
      </c>
      <c r="S72" s="213">
        <v>95000</v>
      </c>
      <c r="T72" s="213">
        <v>79261.2576</v>
      </c>
      <c r="V72" s="213">
        <v>303261.2576</v>
      </c>
      <c r="W72" s="213">
        <v>12</v>
      </c>
      <c r="X72" s="213">
        <v>25271.7714666667</v>
      </c>
      <c r="Z72" s="213">
        <v>25271.7714666667</v>
      </c>
      <c r="AA72" s="213">
        <v>24685.95</v>
      </c>
      <c r="AB72" s="213">
        <v>585.821466666668</v>
      </c>
    </row>
    <row r="73" spans="1:1">
      <c r="A73"/>
    </row>
    <row r="74" spans="1:1">
      <c r="A74"/>
    </row>
    <row r="75" spans="1:28">
      <c r="A75">
        <v>62</v>
      </c>
      <c r="B75" s="213" t="s">
        <v>142</v>
      </c>
      <c r="C75" s="213">
        <v>1050209.0635</v>
      </c>
      <c r="D75" s="213">
        <v>12</v>
      </c>
      <c r="E75" s="213">
        <v>12602508.762</v>
      </c>
      <c r="I75" s="213">
        <v>12602508.762</v>
      </c>
      <c r="J75" s="213">
        <v>200000</v>
      </c>
      <c r="K75" s="213">
        <v>0.2</v>
      </c>
      <c r="L75" s="213">
        <v>2520501.7524</v>
      </c>
      <c r="M75" s="213">
        <v>2720501.7524</v>
      </c>
      <c r="N75" s="213">
        <v>2720501.7524</v>
      </c>
      <c r="O75" s="213">
        <v>9882007.0096</v>
      </c>
      <c r="P75" s="213">
        <v>21000</v>
      </c>
      <c r="Q75" s="213">
        <v>33000</v>
      </c>
      <c r="R75" s="213">
        <v>75000</v>
      </c>
      <c r="S75" s="213">
        <v>95000</v>
      </c>
      <c r="T75" s="213">
        <v>336000</v>
      </c>
      <c r="U75" s="213">
        <v>1603681.682304</v>
      </c>
      <c r="V75" s="213">
        <v>2163681.682304</v>
      </c>
      <c r="W75" s="213">
        <v>12</v>
      </c>
      <c r="X75" s="213">
        <v>180306.806858667</v>
      </c>
      <c r="Z75" s="213">
        <v>180306.806858667</v>
      </c>
      <c r="AA75" s="213">
        <v>180306.81</v>
      </c>
      <c r="AB75" s="213">
        <v>-0.00314133329084143</v>
      </c>
    </row>
    <row r="76" spans="1:28">
      <c r="A76">
        <v>63</v>
      </c>
      <c r="B76" s="213" t="s">
        <v>520</v>
      </c>
      <c r="C76" s="213">
        <v>504720.047</v>
      </c>
      <c r="D76" s="213">
        <v>12</v>
      </c>
      <c r="E76" s="213">
        <v>6056640.564</v>
      </c>
      <c r="I76" s="213">
        <v>6056640.564</v>
      </c>
      <c r="J76" s="213">
        <v>200000</v>
      </c>
      <c r="K76" s="213">
        <v>0.2</v>
      </c>
      <c r="L76" s="213">
        <v>1211328.1128</v>
      </c>
      <c r="M76" s="213">
        <v>1411328.1128</v>
      </c>
      <c r="N76" s="213">
        <v>1411328.1128</v>
      </c>
      <c r="O76" s="213">
        <v>4645312.4512</v>
      </c>
      <c r="P76" s="213">
        <v>21000</v>
      </c>
      <c r="Q76" s="213">
        <v>33000</v>
      </c>
      <c r="R76" s="213">
        <v>75000</v>
      </c>
      <c r="S76" s="213">
        <v>95000</v>
      </c>
      <c r="T76" s="213">
        <v>336000</v>
      </c>
      <c r="U76" s="213">
        <v>346874.988288</v>
      </c>
      <c r="V76" s="213">
        <v>906874.988288</v>
      </c>
      <c r="W76" s="213">
        <v>12</v>
      </c>
      <c r="X76" s="213">
        <v>75572.9156906667</v>
      </c>
      <c r="Z76" s="213">
        <v>75572.9156906667</v>
      </c>
      <c r="AA76" s="213">
        <v>75572.92</v>
      </c>
      <c r="AB76" s="213">
        <v>-0.00430933333700523</v>
      </c>
    </row>
    <row r="77" spans="1:28">
      <c r="A77">
        <v>64</v>
      </c>
      <c r="B77" s="213" t="s">
        <v>1185</v>
      </c>
      <c r="C77" s="213">
        <v>504720.047</v>
      </c>
      <c r="D77" s="213">
        <v>12</v>
      </c>
      <c r="E77" s="213">
        <v>6056640.564</v>
      </c>
      <c r="I77" s="213">
        <v>6056640.564</v>
      </c>
      <c r="J77" s="213">
        <v>200000</v>
      </c>
      <c r="K77" s="213">
        <v>0.2</v>
      </c>
      <c r="L77" s="213">
        <v>1211328.1128</v>
      </c>
      <c r="M77" s="213">
        <v>1411328.1128</v>
      </c>
      <c r="N77" s="213">
        <v>1411328.1128</v>
      </c>
      <c r="O77" s="213">
        <v>4645312.4512</v>
      </c>
      <c r="P77" s="213">
        <v>21000</v>
      </c>
      <c r="Q77" s="213">
        <v>33000</v>
      </c>
      <c r="R77" s="213">
        <v>75000</v>
      </c>
      <c r="S77" s="213">
        <v>95000</v>
      </c>
      <c r="T77" s="213">
        <v>336000</v>
      </c>
      <c r="U77" s="213">
        <v>346874.988288</v>
      </c>
      <c r="V77" s="213">
        <v>906874.988288</v>
      </c>
      <c r="W77" s="213">
        <v>12</v>
      </c>
      <c r="X77" s="213">
        <v>75572.9156906667</v>
      </c>
      <c r="Z77" s="213">
        <v>75572.9156906667</v>
      </c>
      <c r="AA77" s="213">
        <v>75572.92</v>
      </c>
      <c r="AB77" s="213">
        <v>-0.00430933333700523</v>
      </c>
    </row>
    <row r="78" spans="1:28">
      <c r="A78">
        <v>65</v>
      </c>
      <c r="B78" s="213" t="s">
        <v>146</v>
      </c>
      <c r="C78" s="213">
        <v>369177.65375</v>
      </c>
      <c r="D78" s="213">
        <v>12</v>
      </c>
      <c r="E78" s="213">
        <v>4430131.845</v>
      </c>
      <c r="I78" s="213">
        <v>4430131.845</v>
      </c>
      <c r="J78" s="213">
        <v>200000</v>
      </c>
      <c r="K78" s="213">
        <v>0.2</v>
      </c>
      <c r="L78" s="213">
        <v>886026.369</v>
      </c>
      <c r="M78" s="213">
        <v>1086026.369</v>
      </c>
      <c r="N78" s="213">
        <v>1086026.369</v>
      </c>
      <c r="O78" s="213">
        <v>3344105.476</v>
      </c>
      <c r="P78" s="213">
        <v>21000</v>
      </c>
      <c r="Q78" s="213">
        <v>33000</v>
      </c>
      <c r="R78" s="213">
        <v>75000</v>
      </c>
      <c r="S78" s="213">
        <v>95000</v>
      </c>
      <c r="T78" s="213">
        <v>336000</v>
      </c>
      <c r="U78" s="213">
        <v>34585.3142399999</v>
      </c>
      <c r="V78" s="213">
        <v>594585.31424</v>
      </c>
      <c r="W78" s="213">
        <v>12</v>
      </c>
      <c r="X78" s="213">
        <v>49548.7761866667</v>
      </c>
      <c r="Z78" s="213">
        <v>49548.7761866667</v>
      </c>
      <c r="AA78" s="213">
        <v>48170.87</v>
      </c>
      <c r="AB78" s="213">
        <v>1377.90618666666</v>
      </c>
    </row>
    <row r="79" spans="1:28">
      <c r="A79"/>
      <c r="B79" s="213" t="s">
        <v>149</v>
      </c>
      <c r="C79" s="213">
        <v>273169.1175</v>
      </c>
      <c r="D79" s="213">
        <v>12</v>
      </c>
      <c r="E79" s="213">
        <v>3278029.41</v>
      </c>
      <c r="I79" s="213">
        <v>3278029.41</v>
      </c>
      <c r="J79" s="213">
        <v>200000</v>
      </c>
      <c r="K79" s="213">
        <v>0.2</v>
      </c>
      <c r="L79" s="213">
        <v>655605.882</v>
      </c>
      <c r="M79" s="213">
        <v>855605.882</v>
      </c>
      <c r="N79" s="213">
        <v>855605.882</v>
      </c>
      <c r="O79" s="213">
        <v>2422423.528</v>
      </c>
      <c r="P79" s="213">
        <v>21000</v>
      </c>
      <c r="Q79" s="213">
        <v>33000</v>
      </c>
      <c r="R79" s="213">
        <v>75000</v>
      </c>
      <c r="S79" s="213">
        <v>95000</v>
      </c>
      <c r="T79" s="213">
        <v>172708.94088</v>
      </c>
      <c r="U79" s="213">
        <v>0</v>
      </c>
      <c r="V79" s="213">
        <v>396708.94088</v>
      </c>
      <c r="W79" s="213">
        <v>12</v>
      </c>
      <c r="X79" s="213">
        <v>33059.0784066667</v>
      </c>
      <c r="Z79" s="213">
        <v>33059.0784066667</v>
      </c>
      <c r="AA79" s="213">
        <v>32291.82</v>
      </c>
      <c r="AB79" s="213">
        <v>767.258406666668</v>
      </c>
    </row>
    <row r="80" spans="1:1">
      <c r="A80"/>
    </row>
    <row r="81" spans="1:1">
      <c r="A81"/>
    </row>
    <row r="82" spans="1:28">
      <c r="A82">
        <v>66</v>
      </c>
      <c r="B82" s="213" t="s">
        <v>1202</v>
      </c>
      <c r="C82" s="213">
        <v>631465.02475</v>
      </c>
      <c r="D82" s="213">
        <v>12</v>
      </c>
      <c r="E82" s="213">
        <v>7577580.297</v>
      </c>
      <c r="I82" s="213">
        <v>7577580.297</v>
      </c>
      <c r="J82" s="213">
        <v>200000</v>
      </c>
      <c r="K82" s="213">
        <v>0.2</v>
      </c>
      <c r="L82" s="213">
        <v>1515516.0594</v>
      </c>
      <c r="M82" s="213">
        <v>1715516.0594</v>
      </c>
      <c r="N82" s="213">
        <v>1715516.0594</v>
      </c>
      <c r="O82" s="213">
        <v>5862064.2376</v>
      </c>
      <c r="P82" s="213">
        <v>21000</v>
      </c>
      <c r="Q82" s="213">
        <v>33000</v>
      </c>
      <c r="R82" s="213">
        <v>75000</v>
      </c>
      <c r="S82" s="213">
        <v>95000</v>
      </c>
      <c r="T82" s="213">
        <v>336000</v>
      </c>
      <c r="U82" s="213">
        <v>638895.417024</v>
      </c>
      <c r="V82" s="213">
        <v>1198895.417024</v>
      </c>
      <c r="W82" s="213">
        <v>12</v>
      </c>
      <c r="X82" s="213">
        <v>99907.9514186667</v>
      </c>
      <c r="Z82" s="213">
        <v>99907.9514186667</v>
      </c>
      <c r="AA82" s="213">
        <v>97273.51</v>
      </c>
      <c r="AB82" s="213">
        <v>2634.44141866668</v>
      </c>
    </row>
    <row r="83" spans="1:28">
      <c r="A83">
        <v>67</v>
      </c>
      <c r="B83" s="213" t="s">
        <v>156</v>
      </c>
      <c r="C83" s="213">
        <v>527553.5025</v>
      </c>
      <c r="D83" s="213">
        <v>12</v>
      </c>
      <c r="E83" s="213">
        <v>6330642.03</v>
      </c>
      <c r="I83" s="213">
        <v>6330642.03</v>
      </c>
      <c r="J83" s="213">
        <v>200000</v>
      </c>
      <c r="K83" s="213">
        <v>0.2</v>
      </c>
      <c r="L83" s="213">
        <v>1266128.406</v>
      </c>
      <c r="M83" s="213">
        <v>1466128.406</v>
      </c>
      <c r="N83" s="213">
        <v>1466128.406</v>
      </c>
      <c r="O83" s="213">
        <v>4864513.624</v>
      </c>
      <c r="P83" s="213">
        <v>21000</v>
      </c>
      <c r="Q83" s="213">
        <v>33000</v>
      </c>
      <c r="R83" s="213">
        <v>75000</v>
      </c>
      <c r="S83" s="213">
        <v>95000</v>
      </c>
      <c r="T83" s="213">
        <v>336000</v>
      </c>
      <c r="U83" s="213">
        <v>399483.26976</v>
      </c>
      <c r="V83" s="213">
        <v>959483.26976</v>
      </c>
      <c r="W83" s="213">
        <v>12</v>
      </c>
      <c r="X83" s="213">
        <v>79956.9391466667</v>
      </c>
      <c r="Z83" s="213">
        <v>79956.9391466667</v>
      </c>
      <c r="AA83" s="213">
        <v>79956.94</v>
      </c>
      <c r="AB83" s="213">
        <v>-0.000853333345730789</v>
      </c>
    </row>
    <row r="84" spans="1:28">
      <c r="A84">
        <v>68</v>
      </c>
      <c r="B84" s="213" t="s">
        <v>157</v>
      </c>
      <c r="C84" s="213">
        <v>527553.5025</v>
      </c>
      <c r="D84" s="213">
        <v>12</v>
      </c>
      <c r="E84" s="213">
        <v>6330642.03</v>
      </c>
      <c r="F84" s="213">
        <v>10052.25</v>
      </c>
      <c r="I84" s="213">
        <v>6320589.78</v>
      </c>
      <c r="J84" s="213">
        <v>200000</v>
      </c>
      <c r="K84" s="213">
        <v>0.2</v>
      </c>
      <c r="L84" s="213">
        <v>1264117.956</v>
      </c>
      <c r="M84" s="213">
        <v>1464117.956</v>
      </c>
      <c r="N84" s="213">
        <v>1474170.206</v>
      </c>
      <c r="O84" s="213">
        <v>4856471.824</v>
      </c>
      <c r="P84" s="213">
        <v>21000</v>
      </c>
      <c r="Q84" s="213">
        <v>33000</v>
      </c>
      <c r="R84" s="213">
        <v>75000</v>
      </c>
      <c r="S84" s="213">
        <v>95000</v>
      </c>
      <c r="T84" s="213">
        <v>336000</v>
      </c>
      <c r="U84" s="213">
        <v>397553.23776</v>
      </c>
      <c r="V84" s="213">
        <v>957553.23776</v>
      </c>
      <c r="W84" s="213">
        <v>12</v>
      </c>
      <c r="X84" s="213">
        <v>79796.1031466666</v>
      </c>
      <c r="Z84" s="213">
        <v>79796.1031466666</v>
      </c>
      <c r="AA84" s="213">
        <v>79796.1</v>
      </c>
      <c r="AB84" s="213">
        <v>0.0031466666405322</v>
      </c>
    </row>
    <row r="85" spans="1:28">
      <c r="A85">
        <v>69</v>
      </c>
      <c r="B85" s="213" t="s">
        <v>201</v>
      </c>
      <c r="C85" s="213">
        <v>421394.00675</v>
      </c>
      <c r="D85" s="213">
        <v>12</v>
      </c>
      <c r="E85" s="213">
        <v>5056728.081</v>
      </c>
      <c r="F85" s="213">
        <v>8283.37</v>
      </c>
      <c r="I85" s="213">
        <v>5048444.711</v>
      </c>
      <c r="J85" s="213">
        <v>200000</v>
      </c>
      <c r="K85" s="213">
        <v>0.2</v>
      </c>
      <c r="L85" s="213">
        <v>1009688.9422</v>
      </c>
      <c r="M85" s="213">
        <v>1209688.9422</v>
      </c>
      <c r="N85" s="213">
        <v>1217972.3122</v>
      </c>
      <c r="O85" s="213">
        <v>3838755.7688</v>
      </c>
      <c r="P85" s="213">
        <v>21000</v>
      </c>
      <c r="Q85" s="213">
        <v>33000</v>
      </c>
      <c r="R85" s="213">
        <v>75000</v>
      </c>
      <c r="S85" s="213">
        <v>95000</v>
      </c>
      <c r="T85" s="213">
        <v>336000</v>
      </c>
      <c r="U85" s="213">
        <v>153301.384512</v>
      </c>
      <c r="V85" s="213">
        <v>713301.384512</v>
      </c>
      <c r="W85" s="213">
        <v>12</v>
      </c>
      <c r="X85" s="213">
        <v>59441.7820426667</v>
      </c>
      <c r="Z85" s="213">
        <v>59441.7820426667</v>
      </c>
      <c r="AA85" s="213">
        <v>57894.08</v>
      </c>
      <c r="AB85" s="213">
        <v>1547.70204266666</v>
      </c>
    </row>
    <row r="86" spans="1:28">
      <c r="A86">
        <v>70</v>
      </c>
      <c r="B86" s="213" t="s">
        <v>158</v>
      </c>
      <c r="C86" s="213">
        <v>413333.03525</v>
      </c>
      <c r="D86" s="213">
        <v>12</v>
      </c>
      <c r="E86" s="213">
        <v>4959996.423</v>
      </c>
      <c r="I86" s="213">
        <v>4959996.423</v>
      </c>
      <c r="J86" s="213">
        <v>200000</v>
      </c>
      <c r="K86" s="213">
        <v>0.2</v>
      </c>
      <c r="L86" s="213">
        <v>991999.2846</v>
      </c>
      <c r="M86" s="213">
        <v>1191999.2846</v>
      </c>
      <c r="N86" s="213">
        <v>1191999.2846</v>
      </c>
      <c r="O86" s="213">
        <v>3767997.1384</v>
      </c>
      <c r="P86" s="213">
        <v>21000</v>
      </c>
      <c r="Q86" s="213">
        <v>33000</v>
      </c>
      <c r="R86" s="213">
        <v>75000</v>
      </c>
      <c r="S86" s="213">
        <v>95000</v>
      </c>
      <c r="T86" s="213">
        <v>336000</v>
      </c>
      <c r="U86" s="213">
        <v>136319.313216</v>
      </c>
      <c r="V86" s="213">
        <v>696319.313216</v>
      </c>
      <c r="W86" s="213">
        <v>12</v>
      </c>
      <c r="X86" s="213">
        <v>58026.6094346667</v>
      </c>
      <c r="Z86" s="213">
        <v>58026.6094346667</v>
      </c>
      <c r="AA86" s="213">
        <v>56478.9</v>
      </c>
      <c r="AB86" s="213">
        <v>1547.70943466667</v>
      </c>
    </row>
    <row r="87" spans="1:28">
      <c r="A87">
        <v>71</v>
      </c>
      <c r="B87" s="213" t="s">
        <v>159</v>
      </c>
      <c r="C87" s="213">
        <v>369177.65375</v>
      </c>
      <c r="D87" s="213">
        <v>12</v>
      </c>
      <c r="E87" s="213">
        <v>4430131.845</v>
      </c>
      <c r="I87" s="213">
        <v>4430131.845</v>
      </c>
      <c r="J87" s="213">
        <v>200000</v>
      </c>
      <c r="K87" s="213">
        <v>0.2</v>
      </c>
      <c r="L87" s="213">
        <v>886026.369</v>
      </c>
      <c r="M87" s="213">
        <v>1086026.369</v>
      </c>
      <c r="N87" s="213">
        <v>1086026.369</v>
      </c>
      <c r="O87" s="213">
        <v>3344105.476</v>
      </c>
      <c r="P87" s="213">
        <v>21000</v>
      </c>
      <c r="Q87" s="213">
        <v>33000</v>
      </c>
      <c r="R87" s="213">
        <v>75000</v>
      </c>
      <c r="S87" s="213">
        <v>95000</v>
      </c>
      <c r="T87" s="213">
        <v>336000</v>
      </c>
      <c r="U87" s="213">
        <v>34585.3142399999</v>
      </c>
      <c r="V87" s="213">
        <v>594585.31424</v>
      </c>
      <c r="W87" s="213">
        <v>12</v>
      </c>
      <c r="X87" s="213">
        <v>49548.7761866667</v>
      </c>
      <c r="Z87" s="213">
        <v>49548.7761866667</v>
      </c>
      <c r="AA87" s="213">
        <v>48170.87</v>
      </c>
      <c r="AB87" s="213">
        <v>1377.90618666666</v>
      </c>
    </row>
    <row r="88" spans="1:28">
      <c r="A88">
        <v>72</v>
      </c>
      <c r="B88" s="213" t="s">
        <v>160</v>
      </c>
      <c r="C88" s="213">
        <v>362001.0605</v>
      </c>
      <c r="D88" s="213">
        <v>12</v>
      </c>
      <c r="E88" s="213">
        <v>4344012.726</v>
      </c>
      <c r="I88" s="213">
        <v>4344012.726</v>
      </c>
      <c r="J88" s="213">
        <v>200000</v>
      </c>
      <c r="K88" s="213">
        <v>0.2</v>
      </c>
      <c r="L88" s="213">
        <v>868802.5452</v>
      </c>
      <c r="M88" s="213">
        <v>1068802.5452</v>
      </c>
      <c r="N88" s="213">
        <v>1068802.5452</v>
      </c>
      <c r="O88" s="213">
        <v>3275210.1808</v>
      </c>
      <c r="P88" s="213">
        <v>21000</v>
      </c>
      <c r="Q88" s="213">
        <v>33000</v>
      </c>
      <c r="R88" s="213">
        <v>75000</v>
      </c>
      <c r="S88" s="213">
        <v>95000</v>
      </c>
      <c r="T88" s="213">
        <v>336000</v>
      </c>
      <c r="U88" s="213">
        <v>18050.4433919999</v>
      </c>
      <c r="V88" s="213">
        <v>578050.443392</v>
      </c>
      <c r="W88" s="213">
        <v>12</v>
      </c>
      <c r="X88" s="213">
        <v>48170.8702826667</v>
      </c>
      <c r="Z88" s="213">
        <v>48170.8702826667</v>
      </c>
      <c r="AA88" s="213">
        <v>46673.26</v>
      </c>
      <c r="AB88" s="213">
        <v>1497.61028266666</v>
      </c>
    </row>
    <row r="89" spans="1:28">
      <c r="A89">
        <v>73</v>
      </c>
      <c r="B89" s="213" t="s">
        <v>161</v>
      </c>
      <c r="C89" s="213">
        <v>362001.0605</v>
      </c>
      <c r="D89" s="213">
        <v>12</v>
      </c>
      <c r="E89" s="213">
        <v>4344012.726</v>
      </c>
      <c r="I89" s="213">
        <v>4344012.726</v>
      </c>
      <c r="J89" s="213">
        <v>200000</v>
      </c>
      <c r="K89" s="213">
        <v>0.2</v>
      </c>
      <c r="L89" s="213">
        <v>868802.5452</v>
      </c>
      <c r="M89" s="213">
        <v>1068802.5452</v>
      </c>
      <c r="N89" s="213">
        <v>1068802.5452</v>
      </c>
      <c r="O89" s="213">
        <v>3275210.1808</v>
      </c>
      <c r="P89" s="213">
        <v>21000</v>
      </c>
      <c r="Q89" s="213">
        <v>33000</v>
      </c>
      <c r="R89" s="213">
        <v>75000</v>
      </c>
      <c r="S89" s="213">
        <v>95000</v>
      </c>
      <c r="T89" s="213">
        <v>336000</v>
      </c>
      <c r="U89" s="213">
        <v>18050.4433919999</v>
      </c>
      <c r="V89" s="213">
        <v>578050.443392</v>
      </c>
      <c r="W89" s="213">
        <v>12</v>
      </c>
      <c r="X89" s="213">
        <v>48170.8702826667</v>
      </c>
      <c r="Z89" s="213">
        <v>48170.8702826667</v>
      </c>
      <c r="AA89" s="213">
        <v>46673.26</v>
      </c>
      <c r="AB89" s="213">
        <v>1497.61028266666</v>
      </c>
    </row>
    <row r="90" spans="1:28">
      <c r="A90">
        <v>74</v>
      </c>
      <c r="B90" s="213" t="s">
        <v>163</v>
      </c>
      <c r="C90" s="213">
        <v>315372.075</v>
      </c>
      <c r="D90" s="213">
        <v>12</v>
      </c>
      <c r="E90" s="213">
        <v>3784464.9</v>
      </c>
      <c r="I90" s="213">
        <v>3784464.9</v>
      </c>
      <c r="J90" s="213">
        <v>200000</v>
      </c>
      <c r="K90" s="213">
        <v>0.2</v>
      </c>
      <c r="L90" s="213">
        <v>756892.98</v>
      </c>
      <c r="M90" s="213">
        <v>956892.98</v>
      </c>
      <c r="N90" s="213">
        <v>956892.98</v>
      </c>
      <c r="O90" s="213">
        <v>2827571.92</v>
      </c>
      <c r="P90" s="213">
        <v>21000</v>
      </c>
      <c r="Q90" s="213">
        <v>33000</v>
      </c>
      <c r="R90" s="213">
        <v>75000</v>
      </c>
      <c r="S90" s="213">
        <v>95000</v>
      </c>
      <c r="T90" s="213">
        <v>257790.1032</v>
      </c>
      <c r="U90" s="213">
        <v>0</v>
      </c>
      <c r="V90" s="213">
        <v>481790.1032</v>
      </c>
      <c r="W90" s="213">
        <v>12</v>
      </c>
      <c r="X90" s="213">
        <v>40149.1752666667</v>
      </c>
      <c r="Z90" s="213">
        <v>40149.1752666667</v>
      </c>
      <c r="AA90" s="213">
        <v>40149.18</v>
      </c>
      <c r="AB90" s="213">
        <v>-0.00473333332774928</v>
      </c>
    </row>
    <row r="91" spans="1:28">
      <c r="A91">
        <v>75</v>
      </c>
      <c r="B91" s="213" t="s">
        <v>167</v>
      </c>
      <c r="C91" s="213">
        <v>0</v>
      </c>
      <c r="D91" s="213">
        <v>12</v>
      </c>
      <c r="E91" s="213">
        <v>0</v>
      </c>
      <c r="I91" s="213">
        <v>0</v>
      </c>
      <c r="J91" s="213">
        <v>200000</v>
      </c>
      <c r="K91" s="213">
        <v>0.2</v>
      </c>
      <c r="L91" s="213">
        <v>0</v>
      </c>
      <c r="M91" s="213">
        <v>200000</v>
      </c>
      <c r="N91" s="213">
        <v>200000</v>
      </c>
      <c r="O91" s="213">
        <v>0</v>
      </c>
      <c r="P91" s="213">
        <v>0</v>
      </c>
      <c r="Q91" s="213">
        <v>0</v>
      </c>
      <c r="R91" s="213">
        <v>0</v>
      </c>
      <c r="S91" s="213">
        <v>0</v>
      </c>
      <c r="T91" s="213">
        <v>0</v>
      </c>
      <c r="V91" s="213">
        <v>0</v>
      </c>
      <c r="W91" s="213">
        <v>12</v>
      </c>
      <c r="X91" s="213">
        <v>0</v>
      </c>
      <c r="Z91" s="213">
        <v>0</v>
      </c>
      <c r="AA91" s="213">
        <v>0</v>
      </c>
      <c r="AB91" s="213">
        <v>0</v>
      </c>
    </row>
    <row r="92" spans="1:28">
      <c r="A92">
        <v>76</v>
      </c>
      <c r="B92" s="213" t="s">
        <v>169</v>
      </c>
      <c r="C92" s="213">
        <v>223709.1095</v>
      </c>
      <c r="D92" s="213">
        <v>12</v>
      </c>
      <c r="E92" s="213">
        <v>2684509.314</v>
      </c>
      <c r="I92" s="213">
        <v>2684509.314</v>
      </c>
      <c r="J92" s="213">
        <v>200000</v>
      </c>
      <c r="K92" s="213">
        <v>0.2</v>
      </c>
      <c r="L92" s="213">
        <v>536901.8628</v>
      </c>
      <c r="M92" s="213">
        <v>736901.8628</v>
      </c>
      <c r="N92" s="213">
        <v>736901.8628</v>
      </c>
      <c r="O92" s="213">
        <v>1947607.4512</v>
      </c>
      <c r="P92" s="213">
        <v>21000</v>
      </c>
      <c r="Q92" s="213">
        <v>33000</v>
      </c>
      <c r="R92" s="213">
        <v>75000</v>
      </c>
      <c r="S92" s="213">
        <v>95000</v>
      </c>
      <c r="T92" s="213">
        <v>72997.5647519999</v>
      </c>
      <c r="V92" s="213">
        <v>296997.564752</v>
      </c>
      <c r="W92" s="213">
        <v>12</v>
      </c>
      <c r="X92" s="213">
        <v>24749.7970626667</v>
      </c>
      <c r="Z92" s="213">
        <v>24749.7970626667</v>
      </c>
      <c r="AA92" s="213">
        <v>24685.95</v>
      </c>
      <c r="AB92" s="213">
        <v>63.8470626666603</v>
      </c>
    </row>
    <row r="93" spans="1:1">
      <c r="A93"/>
    </row>
    <row r="94" spans="1:1">
      <c r="A94"/>
    </row>
    <row r="95" spans="1:1">
      <c r="A95"/>
    </row>
    <row r="96" spans="1:28">
      <c r="A96">
        <v>78</v>
      </c>
      <c r="B96" s="213" t="s">
        <v>576</v>
      </c>
      <c r="C96" s="213">
        <v>527743.99575</v>
      </c>
      <c r="D96" s="213">
        <v>12</v>
      </c>
      <c r="E96" s="213">
        <v>6332927.949</v>
      </c>
      <c r="I96" s="213">
        <v>6332927.949</v>
      </c>
      <c r="J96" s="213">
        <v>200000</v>
      </c>
      <c r="K96" s="213">
        <v>0.2</v>
      </c>
      <c r="L96" s="213">
        <v>1266585.5898</v>
      </c>
      <c r="M96" s="213">
        <v>1466585.5898</v>
      </c>
      <c r="N96" s="213">
        <v>1466585.5898</v>
      </c>
      <c r="O96" s="213">
        <v>4866342.3592</v>
      </c>
      <c r="P96" s="213">
        <v>21000</v>
      </c>
      <c r="Q96" s="213">
        <v>33000</v>
      </c>
      <c r="R96" s="213">
        <v>75000</v>
      </c>
      <c r="S96" s="213">
        <v>95000</v>
      </c>
      <c r="T96" s="213">
        <v>336000</v>
      </c>
      <c r="U96" s="213">
        <v>399922.166208</v>
      </c>
      <c r="V96" s="213">
        <v>959922.166208</v>
      </c>
      <c r="W96" s="213">
        <v>12</v>
      </c>
      <c r="X96" s="213">
        <v>79993.5138506667</v>
      </c>
      <c r="Z96" s="213">
        <v>79993.5138506667</v>
      </c>
      <c r="AA96" s="213">
        <v>79993.51</v>
      </c>
      <c r="AB96" s="213">
        <v>0.00385066666058265</v>
      </c>
    </row>
    <row r="97" spans="1:28">
      <c r="A97">
        <v>79</v>
      </c>
      <c r="B97" s="213" t="s">
        <v>37</v>
      </c>
      <c r="C97" s="213">
        <v>343333.03525</v>
      </c>
      <c r="D97" s="213">
        <v>12</v>
      </c>
      <c r="E97" s="213">
        <v>4119996.423</v>
      </c>
      <c r="F97" s="213">
        <v>8019.8</v>
      </c>
      <c r="I97" s="213">
        <v>4111976.623</v>
      </c>
      <c r="J97" s="213">
        <v>200000</v>
      </c>
      <c r="K97" s="213">
        <v>0.2</v>
      </c>
      <c r="L97" s="213">
        <v>822395.3246</v>
      </c>
      <c r="M97" s="213">
        <v>1022395.3246</v>
      </c>
      <c r="N97" s="213">
        <v>1030415.1246</v>
      </c>
      <c r="O97" s="213">
        <v>3089581.2984</v>
      </c>
      <c r="P97" s="213">
        <v>21000</v>
      </c>
      <c r="Q97" s="213">
        <v>33000</v>
      </c>
      <c r="R97" s="213">
        <v>75000</v>
      </c>
      <c r="S97" s="213">
        <v>95000</v>
      </c>
      <c r="T97" s="213">
        <v>312812.072664</v>
      </c>
      <c r="V97" s="213">
        <v>536812.072664</v>
      </c>
      <c r="W97" s="213">
        <v>12</v>
      </c>
      <c r="X97" s="213">
        <v>44734.3393886667</v>
      </c>
      <c r="Z97" s="213">
        <v>44734.3393886667</v>
      </c>
      <c r="AA97" s="213">
        <v>43380.1</v>
      </c>
      <c r="AB97" s="213">
        <v>1354.23938866668</v>
      </c>
    </row>
    <row r="98" spans="1:28">
      <c r="A98">
        <v>80</v>
      </c>
      <c r="B98" s="213" t="s">
        <v>1204</v>
      </c>
      <c r="C98" s="213">
        <v>312001.0605</v>
      </c>
      <c r="D98" s="213">
        <v>12</v>
      </c>
      <c r="E98" s="213">
        <v>3744012.726</v>
      </c>
      <c r="I98" s="213">
        <v>3744012.726</v>
      </c>
      <c r="J98" s="213">
        <v>200000</v>
      </c>
      <c r="K98" s="213">
        <v>0.2</v>
      </c>
      <c r="L98" s="213">
        <v>748802.5452</v>
      </c>
      <c r="M98" s="213">
        <v>948802.5452</v>
      </c>
      <c r="N98" s="213">
        <v>948802.5452</v>
      </c>
      <c r="O98" s="213">
        <v>2795210.1808</v>
      </c>
      <c r="P98" s="213">
        <v>21000</v>
      </c>
      <c r="Q98" s="213">
        <v>33000</v>
      </c>
      <c r="R98" s="213">
        <v>75000</v>
      </c>
      <c r="S98" s="213">
        <v>95000</v>
      </c>
      <c r="T98" s="213">
        <v>250994.137968</v>
      </c>
      <c r="V98" s="213">
        <v>474994.137968</v>
      </c>
      <c r="W98" s="213">
        <v>12</v>
      </c>
      <c r="X98" s="213">
        <v>39582.8448306667</v>
      </c>
      <c r="Z98" s="213">
        <v>39582.8448306667</v>
      </c>
      <c r="AA98" s="213">
        <v>38272.44</v>
      </c>
      <c r="AB98" s="213">
        <v>1310.40483066666</v>
      </c>
    </row>
    <row r="99" spans="1:28">
      <c r="A99">
        <v>81</v>
      </c>
      <c r="B99" s="213" t="s">
        <v>180</v>
      </c>
      <c r="C99" s="213">
        <v>267454.074</v>
      </c>
      <c r="D99" s="213">
        <v>12</v>
      </c>
      <c r="E99" s="213">
        <v>3209448.888</v>
      </c>
      <c r="I99" s="213">
        <v>3209448.888</v>
      </c>
      <c r="J99" s="213">
        <v>200000</v>
      </c>
      <c r="K99" s="213">
        <v>0.2</v>
      </c>
      <c r="L99" s="213">
        <v>641889.7776</v>
      </c>
      <c r="M99" s="213">
        <v>841889.7776</v>
      </c>
      <c r="N99" s="213">
        <v>841889.7776</v>
      </c>
      <c r="O99" s="213">
        <v>2367559.1104</v>
      </c>
      <c r="P99" s="213">
        <v>21000</v>
      </c>
      <c r="Q99" s="213">
        <v>33000</v>
      </c>
      <c r="R99" s="213">
        <v>75000</v>
      </c>
      <c r="S99" s="213">
        <v>95000</v>
      </c>
      <c r="T99" s="213">
        <v>161187.413184</v>
      </c>
      <c r="V99" s="213">
        <v>385187.413184</v>
      </c>
      <c r="W99" s="213">
        <v>12</v>
      </c>
      <c r="X99" s="213">
        <v>32098.9510986667</v>
      </c>
      <c r="Z99" s="213">
        <v>32098.9510986667</v>
      </c>
      <c r="AA99" s="213">
        <v>31749.1368366667</v>
      </c>
      <c r="AB99" s="213">
        <v>349.814262000014</v>
      </c>
    </row>
    <row r="100" spans="1:1">
      <c r="A100"/>
    </row>
    <row r="101" spans="1:1">
      <c r="A101"/>
    </row>
    <row r="102" spans="1:28">
      <c r="A102">
        <v>83</v>
      </c>
      <c r="B102" s="213" t="s">
        <v>185</v>
      </c>
      <c r="C102" s="213">
        <v>1050209.0635</v>
      </c>
      <c r="D102" s="213">
        <v>12</v>
      </c>
      <c r="E102" s="213">
        <v>12602508.762</v>
      </c>
      <c r="F102" s="213">
        <v>10052.25</v>
      </c>
      <c r="I102" s="213">
        <v>12592456.512</v>
      </c>
      <c r="J102" s="213">
        <v>200000</v>
      </c>
      <c r="K102" s="213">
        <v>0.2</v>
      </c>
      <c r="L102" s="213">
        <v>2518491.3024</v>
      </c>
      <c r="M102" s="213">
        <v>2718491.3024</v>
      </c>
      <c r="N102" s="213">
        <v>2728543.5524</v>
      </c>
      <c r="O102" s="213">
        <v>9873965.2096</v>
      </c>
      <c r="P102" s="213">
        <v>21000</v>
      </c>
      <c r="Q102" s="213">
        <v>33000</v>
      </c>
      <c r="R102" s="213">
        <v>75000</v>
      </c>
      <c r="S102" s="213">
        <v>95000</v>
      </c>
      <c r="T102" s="213">
        <v>336000</v>
      </c>
      <c r="U102" s="213">
        <v>1601751.650304</v>
      </c>
      <c r="V102" s="213">
        <v>2161751.650304</v>
      </c>
      <c r="W102" s="213">
        <v>12</v>
      </c>
      <c r="X102" s="213">
        <v>180145.970858667</v>
      </c>
      <c r="Z102" s="213">
        <v>180145.970858667</v>
      </c>
      <c r="AA102" s="213">
        <v>180306.81</v>
      </c>
      <c r="AB102" s="213">
        <v>-160.839141333301</v>
      </c>
    </row>
    <row r="103" spans="1:28">
      <c r="A103">
        <v>84</v>
      </c>
      <c r="B103" s="213" t="s">
        <v>187</v>
      </c>
      <c r="C103" s="213">
        <v>617743.99575</v>
      </c>
      <c r="D103" s="213">
        <v>12</v>
      </c>
      <c r="E103" s="213">
        <v>7412927.949</v>
      </c>
      <c r="F103" s="213">
        <v>7901.79</v>
      </c>
      <c r="I103" s="213">
        <v>7405026.159</v>
      </c>
      <c r="J103" s="213">
        <v>200000</v>
      </c>
      <c r="K103" s="213">
        <v>0.2</v>
      </c>
      <c r="L103" s="213">
        <v>1481005.2318</v>
      </c>
      <c r="M103" s="213">
        <v>1681005.2318</v>
      </c>
      <c r="N103" s="213">
        <v>1688907.0218</v>
      </c>
      <c r="O103" s="213">
        <v>5724020.9272</v>
      </c>
      <c r="P103" s="213">
        <v>21000</v>
      </c>
      <c r="Q103" s="213">
        <v>33000</v>
      </c>
      <c r="R103" s="213">
        <v>75000</v>
      </c>
      <c r="S103" s="213">
        <v>95000</v>
      </c>
      <c r="T103" s="213">
        <v>336000</v>
      </c>
      <c r="U103" s="213">
        <v>605765.022528</v>
      </c>
      <c r="V103" s="213">
        <v>1165765.022528</v>
      </c>
      <c r="W103" s="213">
        <v>12</v>
      </c>
      <c r="X103" s="213">
        <v>97147.0852106667</v>
      </c>
      <c r="Z103" s="213">
        <v>97147.0852106667</v>
      </c>
      <c r="AA103" s="213">
        <v>94478.3738666666</v>
      </c>
      <c r="AB103" s="213">
        <v>2668.71134400001</v>
      </c>
    </row>
    <row r="104" spans="1:28">
      <c r="A104">
        <v>85</v>
      </c>
      <c r="B104" s="213" t="s">
        <v>190</v>
      </c>
      <c r="C104" s="213">
        <v>418096.016025</v>
      </c>
      <c r="D104" s="213">
        <v>12</v>
      </c>
      <c r="E104" s="213">
        <v>5017152.1923</v>
      </c>
      <c r="I104" s="213">
        <v>5017152.1923</v>
      </c>
      <c r="J104" s="213">
        <v>200000</v>
      </c>
      <c r="K104" s="213">
        <v>0.2</v>
      </c>
      <c r="L104" s="213">
        <v>1003430.43846</v>
      </c>
      <c r="M104" s="213">
        <v>1203430.43846</v>
      </c>
      <c r="N104" s="213">
        <v>1203430.43846</v>
      </c>
      <c r="O104" s="213">
        <v>3813721.75384</v>
      </c>
      <c r="P104" s="213">
        <v>21000</v>
      </c>
      <c r="Q104" s="213">
        <v>33000</v>
      </c>
      <c r="R104" s="213">
        <v>75000</v>
      </c>
      <c r="S104" s="213">
        <v>95000</v>
      </c>
      <c r="T104" s="213">
        <v>336000</v>
      </c>
      <c r="U104" s="213">
        <v>147293.2209216</v>
      </c>
      <c r="V104" s="213">
        <v>707293.2209216</v>
      </c>
      <c r="W104" s="213">
        <v>12</v>
      </c>
      <c r="X104" s="213">
        <v>58941.1017434667</v>
      </c>
      <c r="Z104" s="213">
        <v>58941.1017434667</v>
      </c>
      <c r="AA104" s="213">
        <v>58814.67</v>
      </c>
      <c r="AB104" s="213">
        <v>126.431743466659</v>
      </c>
    </row>
    <row r="105" spans="1:28">
      <c r="A105">
        <v>86</v>
      </c>
      <c r="B105" s="213" t="s">
        <v>193</v>
      </c>
      <c r="C105" s="213">
        <v>416483.194155</v>
      </c>
      <c r="D105" s="213">
        <v>12</v>
      </c>
      <c r="E105" s="213">
        <v>4997798.32986</v>
      </c>
      <c r="I105" s="213">
        <v>4997798.32986</v>
      </c>
      <c r="J105" s="213">
        <v>200000</v>
      </c>
      <c r="K105" s="213">
        <v>0.2</v>
      </c>
      <c r="L105" s="213">
        <v>999559.665972</v>
      </c>
      <c r="M105" s="213">
        <v>1199559.665972</v>
      </c>
      <c r="N105" s="213">
        <v>1199559.665972</v>
      </c>
      <c r="O105" s="213">
        <v>3798238.663888</v>
      </c>
      <c r="P105" s="213">
        <v>21000</v>
      </c>
      <c r="Q105" s="213">
        <v>33000</v>
      </c>
      <c r="R105" s="213">
        <v>75000</v>
      </c>
      <c r="S105" s="213">
        <v>95000</v>
      </c>
      <c r="T105" s="213">
        <v>336000</v>
      </c>
      <c r="U105" s="213">
        <v>143577.27933312</v>
      </c>
      <c r="V105" s="213">
        <v>703577.27933312</v>
      </c>
      <c r="W105" s="213">
        <v>12</v>
      </c>
      <c r="X105" s="213">
        <v>58631.4399444267</v>
      </c>
      <c r="Z105" s="213">
        <v>58631.4399444267</v>
      </c>
      <c r="AA105" s="213">
        <v>57194.24</v>
      </c>
      <c r="AB105" s="213">
        <v>1437.19994442667</v>
      </c>
    </row>
    <row r="106" spans="1:28">
      <c r="A106">
        <v>87</v>
      </c>
      <c r="B106" s="213" t="s">
        <v>194</v>
      </c>
      <c r="C106" s="213">
        <v>262612.71748</v>
      </c>
      <c r="D106" s="213">
        <v>12</v>
      </c>
      <c r="E106" s="213">
        <v>3151352.60976</v>
      </c>
      <c r="I106" s="213">
        <v>3151352.60976</v>
      </c>
      <c r="J106" s="213">
        <v>200000</v>
      </c>
      <c r="K106" s="213">
        <v>0.2</v>
      </c>
      <c r="L106" s="213">
        <v>630270.521952</v>
      </c>
      <c r="M106" s="213">
        <v>830270.521952</v>
      </c>
      <c r="N106" s="213">
        <v>830270.521952</v>
      </c>
      <c r="O106" s="213">
        <v>2321082.087808</v>
      </c>
      <c r="P106" s="213">
        <v>21000</v>
      </c>
      <c r="Q106" s="213">
        <v>33000</v>
      </c>
      <c r="R106" s="213">
        <v>75000</v>
      </c>
      <c r="S106" s="213">
        <v>95000</v>
      </c>
      <c r="T106" s="213">
        <v>151427.23843968</v>
      </c>
      <c r="V106" s="213">
        <v>375427.23843968</v>
      </c>
      <c r="W106" s="213">
        <v>12</v>
      </c>
      <c r="X106" s="213">
        <v>31285.6032033067</v>
      </c>
      <c r="Z106" s="213">
        <v>31285.6032033067</v>
      </c>
      <c r="AA106" s="213">
        <v>30699.58</v>
      </c>
      <c r="AB106" s="213">
        <v>586.02320330666</v>
      </c>
    </row>
    <row r="107" spans="1:28">
      <c r="A107">
        <v>88</v>
      </c>
      <c r="B107" s="213" t="s">
        <v>197</v>
      </c>
      <c r="C107" s="213">
        <v>258740.79775</v>
      </c>
      <c r="D107" s="213">
        <v>12</v>
      </c>
      <c r="E107" s="213">
        <v>3104889.573</v>
      </c>
      <c r="I107" s="213">
        <v>3104889.573</v>
      </c>
      <c r="J107" s="213">
        <v>200000</v>
      </c>
      <c r="K107" s="213">
        <v>0.2</v>
      </c>
      <c r="L107" s="213">
        <v>620977.9146</v>
      </c>
      <c r="M107" s="213">
        <v>820977.9146</v>
      </c>
      <c r="N107" s="213">
        <v>820977.9146</v>
      </c>
      <c r="O107" s="213">
        <v>2283911.6584</v>
      </c>
      <c r="P107" s="213">
        <v>21000</v>
      </c>
      <c r="Q107" s="213">
        <v>33000</v>
      </c>
      <c r="R107" s="213">
        <v>75000</v>
      </c>
      <c r="S107" s="213">
        <v>95000</v>
      </c>
      <c r="T107" s="213">
        <v>143621.448264</v>
      </c>
      <c r="V107" s="213">
        <v>367621.448264</v>
      </c>
      <c r="W107" s="213">
        <v>12</v>
      </c>
      <c r="X107" s="213">
        <v>30635.1206886667</v>
      </c>
      <c r="Z107" s="213">
        <v>30635.1206886667</v>
      </c>
      <c r="AA107" s="213">
        <v>30049.31</v>
      </c>
      <c r="AB107" s="213">
        <v>585.810688666665</v>
      </c>
    </row>
    <row r="108" spans="1:28">
      <c r="A108">
        <v>89</v>
      </c>
      <c r="B108" s="213" t="s">
        <v>199</v>
      </c>
      <c r="C108" s="213">
        <v>251382.295445</v>
      </c>
      <c r="D108" s="213">
        <v>12</v>
      </c>
      <c r="E108" s="213">
        <v>3016587.54534</v>
      </c>
      <c r="I108" s="213">
        <v>2992065.53534</v>
      </c>
      <c r="J108" s="213">
        <v>200000</v>
      </c>
      <c r="K108" s="213">
        <v>0.2</v>
      </c>
      <c r="L108" s="213">
        <v>598413.107068</v>
      </c>
      <c r="M108" s="213">
        <v>798413.107068</v>
      </c>
      <c r="N108" s="213">
        <v>822935.117068</v>
      </c>
      <c r="O108" s="213">
        <v>2193652.428272</v>
      </c>
      <c r="P108" s="213">
        <v>21000</v>
      </c>
      <c r="Q108" s="213">
        <v>33000</v>
      </c>
      <c r="R108" s="213">
        <v>75000</v>
      </c>
      <c r="S108" s="213">
        <v>95000</v>
      </c>
      <c r="T108" s="213">
        <v>124667.00993712</v>
      </c>
      <c r="U108" s="213">
        <v>0</v>
      </c>
      <c r="V108" s="213">
        <v>348667.00993712</v>
      </c>
      <c r="W108" s="213">
        <v>12</v>
      </c>
      <c r="X108" s="213">
        <v>29055.5841614267</v>
      </c>
      <c r="Z108" s="213">
        <v>29055.5841614267</v>
      </c>
      <c r="AA108" s="213">
        <v>28813.07</v>
      </c>
      <c r="AB108" s="213">
        <v>242.514161426658</v>
      </c>
    </row>
    <row r="109" spans="1:20">
      <c r="A109"/>
      <c r="O109" s="213">
        <v>0</v>
      </c>
      <c r="P109" s="213">
        <v>0</v>
      </c>
      <c r="T109" s="213">
        <v>0</v>
      </c>
    </row>
    <row r="110" spans="1:20">
      <c r="A110"/>
      <c r="O110" s="213">
        <v>0</v>
      </c>
      <c r="P110" s="213">
        <v>0</v>
      </c>
      <c r="T110" s="213">
        <v>0</v>
      </c>
    </row>
    <row r="111" spans="1:28">
      <c r="A111"/>
      <c r="B111" s="213" t="s">
        <v>214</v>
      </c>
      <c r="C111" s="213">
        <v>1050209.0635</v>
      </c>
      <c r="D111" s="213">
        <v>12</v>
      </c>
      <c r="E111" s="213">
        <v>12602508.762</v>
      </c>
      <c r="F111" s="213">
        <v>24522.01</v>
      </c>
      <c r="I111" s="213">
        <v>12577986.752</v>
      </c>
      <c r="J111" s="213">
        <v>200000</v>
      </c>
      <c r="K111" s="213">
        <v>0.2</v>
      </c>
      <c r="L111" s="213">
        <v>2515597.3504</v>
      </c>
      <c r="M111" s="213">
        <v>2715597.3504</v>
      </c>
      <c r="N111" s="213">
        <v>2740119.3604</v>
      </c>
      <c r="O111" s="213">
        <v>9862389.4016</v>
      </c>
      <c r="P111" s="213">
        <v>21000</v>
      </c>
      <c r="Q111" s="213">
        <v>33000</v>
      </c>
      <c r="R111" s="213">
        <v>75000</v>
      </c>
      <c r="S111" s="213">
        <v>95000</v>
      </c>
      <c r="T111" s="213">
        <v>336000</v>
      </c>
      <c r="U111" s="213">
        <v>1598973.456384</v>
      </c>
      <c r="V111" s="213">
        <v>2158973.456384</v>
      </c>
      <c r="W111" s="213">
        <v>12</v>
      </c>
      <c r="X111" s="213">
        <v>179914.454698667</v>
      </c>
      <c r="Z111" s="213">
        <v>179914.454698667</v>
      </c>
      <c r="AA111" s="213">
        <v>179914.45</v>
      </c>
      <c r="AB111" s="213">
        <v>0.00469866668572649</v>
      </c>
    </row>
    <row r="112" spans="1:28">
      <c r="A112">
        <v>90</v>
      </c>
      <c r="B112" s="213" t="s">
        <v>1207</v>
      </c>
      <c r="C112" s="213">
        <v>641465.02475</v>
      </c>
      <c r="D112" s="213">
        <v>12</v>
      </c>
      <c r="E112" s="213">
        <v>7697580.297</v>
      </c>
      <c r="I112" s="213">
        <v>7697580.297</v>
      </c>
      <c r="J112" s="213">
        <v>200000</v>
      </c>
      <c r="K112" s="213">
        <v>0.2</v>
      </c>
      <c r="L112" s="213">
        <v>1539516.0594</v>
      </c>
      <c r="M112" s="213">
        <v>1739516.0594</v>
      </c>
      <c r="N112" s="213">
        <v>1739516.0594</v>
      </c>
      <c r="O112" s="213">
        <v>5958064.2376</v>
      </c>
      <c r="P112" s="213">
        <v>21000</v>
      </c>
      <c r="Q112" s="213">
        <v>33000</v>
      </c>
      <c r="R112" s="213">
        <v>75000</v>
      </c>
      <c r="S112" s="213">
        <v>95000</v>
      </c>
      <c r="T112" s="213">
        <v>336000</v>
      </c>
      <c r="U112" s="213">
        <v>661935.417024</v>
      </c>
      <c r="V112" s="213">
        <v>1221935.417024</v>
      </c>
      <c r="W112" s="213">
        <v>12</v>
      </c>
      <c r="X112" s="213">
        <v>101827.951418667</v>
      </c>
      <c r="Z112" s="213">
        <v>101827.951418667</v>
      </c>
      <c r="AA112" s="213">
        <v>101827.95</v>
      </c>
      <c r="AB112" s="213">
        <v>0.00141866668127477</v>
      </c>
    </row>
    <row r="113" spans="1:28">
      <c r="A113">
        <v>91</v>
      </c>
      <c r="B113" s="213" t="s">
        <v>216</v>
      </c>
      <c r="C113" s="213">
        <v>547553.5025</v>
      </c>
      <c r="D113" s="213">
        <v>12</v>
      </c>
      <c r="E113" s="213">
        <v>6570642.03</v>
      </c>
      <c r="F113" s="213">
        <v>10052.25</v>
      </c>
      <c r="I113" s="213">
        <v>6560589.78</v>
      </c>
      <c r="J113" s="213">
        <v>200000</v>
      </c>
      <c r="K113" s="213">
        <v>0.2</v>
      </c>
      <c r="L113" s="213">
        <v>1312117.956</v>
      </c>
      <c r="M113" s="213">
        <v>1512117.956</v>
      </c>
      <c r="N113" s="213">
        <v>1522170.206</v>
      </c>
      <c r="O113" s="213">
        <v>5048471.824</v>
      </c>
      <c r="P113" s="213">
        <v>21000</v>
      </c>
      <c r="Q113" s="213">
        <v>33000</v>
      </c>
      <c r="R113" s="213">
        <v>75000</v>
      </c>
      <c r="S113" s="213">
        <v>95000</v>
      </c>
      <c r="T113" s="213">
        <v>336000</v>
      </c>
      <c r="U113" s="213">
        <v>443633.23776</v>
      </c>
      <c r="V113" s="213">
        <v>1003633.23776</v>
      </c>
      <c r="W113" s="213">
        <v>12</v>
      </c>
      <c r="X113" s="213">
        <v>83636.1031466666</v>
      </c>
      <c r="Z113" s="213">
        <v>83636.1031466666</v>
      </c>
      <c r="AA113" s="213">
        <v>83636.1</v>
      </c>
      <c r="AB113" s="213">
        <v>0.0031466666405322</v>
      </c>
    </row>
    <row r="114" spans="1:28">
      <c r="A114">
        <v>92</v>
      </c>
      <c r="B114" s="213" t="s">
        <v>218</v>
      </c>
      <c r="C114" s="213">
        <v>447553.5025</v>
      </c>
      <c r="D114" s="213">
        <v>12</v>
      </c>
      <c r="E114" s="213">
        <v>5370642.03</v>
      </c>
      <c r="F114" s="213">
        <v>10052.25</v>
      </c>
      <c r="I114" s="213">
        <v>5360589.78</v>
      </c>
      <c r="J114" s="213">
        <v>200000</v>
      </c>
      <c r="K114" s="213">
        <v>0.2</v>
      </c>
      <c r="L114" s="213">
        <v>1072117.956</v>
      </c>
      <c r="M114" s="213">
        <v>1272117.956</v>
      </c>
      <c r="N114" s="213">
        <v>1282170.206</v>
      </c>
      <c r="O114" s="213">
        <v>4088471.824</v>
      </c>
      <c r="P114" s="213">
        <v>21000</v>
      </c>
      <c r="Q114" s="213">
        <v>33000</v>
      </c>
      <c r="R114" s="213">
        <v>75000</v>
      </c>
      <c r="S114" s="213">
        <v>95000</v>
      </c>
      <c r="T114" s="213">
        <v>336000</v>
      </c>
      <c r="U114" s="213">
        <v>213233.23776</v>
      </c>
      <c r="V114" s="213">
        <v>773233.23776</v>
      </c>
      <c r="W114" s="213">
        <v>12</v>
      </c>
      <c r="X114" s="213">
        <v>64436.1031466667</v>
      </c>
      <c r="Z114" s="213">
        <v>64436.1031466667</v>
      </c>
      <c r="AA114" s="213">
        <v>64436.1</v>
      </c>
      <c r="AB114" s="213">
        <v>0.00314666666236008</v>
      </c>
    </row>
    <row r="115" spans="1:28">
      <c r="A115">
        <v>93</v>
      </c>
      <c r="B115" s="213" t="s">
        <v>523</v>
      </c>
      <c r="C115" s="213">
        <v>424720.047</v>
      </c>
      <c r="D115" s="213">
        <v>12</v>
      </c>
      <c r="E115" s="213">
        <v>5096640.564</v>
      </c>
      <c r="I115" s="213">
        <v>5096640.564</v>
      </c>
      <c r="J115" s="213">
        <v>200000</v>
      </c>
      <c r="K115" s="213">
        <v>0.2</v>
      </c>
      <c r="L115" s="213">
        <v>1019328.1128</v>
      </c>
      <c r="M115" s="213">
        <v>1219328.1128</v>
      </c>
      <c r="N115" s="213">
        <v>1219328.1128</v>
      </c>
      <c r="O115" s="213">
        <v>3877312.4512</v>
      </c>
      <c r="P115" s="213">
        <v>21000</v>
      </c>
      <c r="Q115" s="213">
        <v>33000</v>
      </c>
      <c r="R115" s="213">
        <v>75000</v>
      </c>
      <c r="S115" s="213">
        <v>95000</v>
      </c>
      <c r="T115" s="213">
        <v>336000</v>
      </c>
      <c r="U115" s="213">
        <v>162554.988288</v>
      </c>
      <c r="V115" s="213">
        <v>722554.988288</v>
      </c>
      <c r="W115" s="213">
        <v>12</v>
      </c>
      <c r="X115" s="213">
        <v>60212.9156906667</v>
      </c>
      <c r="Z115" s="213">
        <v>60212.9156906667</v>
      </c>
      <c r="AA115" s="213">
        <v>60212.92</v>
      </c>
      <c r="AB115" s="213">
        <v>-0.00430933332972927</v>
      </c>
    </row>
    <row r="116" spans="1:28">
      <c r="A116">
        <v>94</v>
      </c>
      <c r="B116" s="213" t="s">
        <v>220</v>
      </c>
      <c r="C116" s="213">
        <v>330272.06375</v>
      </c>
      <c r="D116" s="213">
        <v>12</v>
      </c>
      <c r="E116" s="213">
        <v>3963264.765</v>
      </c>
      <c r="I116" s="213">
        <v>3963264.765</v>
      </c>
      <c r="J116" s="213">
        <v>200000</v>
      </c>
      <c r="K116" s="213">
        <v>0.2</v>
      </c>
      <c r="L116" s="213">
        <v>792652.953</v>
      </c>
      <c r="M116" s="213">
        <v>992652.953</v>
      </c>
      <c r="N116" s="213">
        <v>992652.953</v>
      </c>
      <c r="O116" s="213">
        <v>2970611.812</v>
      </c>
      <c r="P116" s="213">
        <v>21000</v>
      </c>
      <c r="Q116" s="213">
        <v>33000</v>
      </c>
      <c r="R116" s="213">
        <v>75000</v>
      </c>
      <c r="S116" s="213">
        <v>95000</v>
      </c>
      <c r="T116" s="213">
        <v>287828.48052</v>
      </c>
      <c r="V116" s="213">
        <v>511828.48052</v>
      </c>
      <c r="W116" s="213">
        <v>12</v>
      </c>
      <c r="X116" s="213">
        <v>42652.3733766667</v>
      </c>
      <c r="Z116" s="213">
        <v>42652.3733766667</v>
      </c>
      <c r="AA116" s="213">
        <v>42138.2244966667</v>
      </c>
      <c r="AB116" s="213">
        <v>514.148880000001</v>
      </c>
    </row>
    <row r="117" spans="1:28">
      <c r="A117">
        <v>95</v>
      </c>
      <c r="B117" s="213" t="s">
        <v>223</v>
      </c>
      <c r="C117" s="213">
        <v>349177.65375</v>
      </c>
      <c r="D117" s="213">
        <v>12</v>
      </c>
      <c r="E117" s="213">
        <v>4190131.845</v>
      </c>
      <c r="F117" s="213">
        <v>7422.38</v>
      </c>
      <c r="I117" s="213">
        <v>4182709.465</v>
      </c>
      <c r="J117" s="213">
        <v>200000</v>
      </c>
      <c r="K117" s="213">
        <v>0.2</v>
      </c>
      <c r="L117" s="213">
        <v>836541.893</v>
      </c>
      <c r="M117" s="213">
        <v>1036541.893</v>
      </c>
      <c r="N117" s="213">
        <v>1043964.273</v>
      </c>
      <c r="O117" s="213">
        <v>3146167.572</v>
      </c>
      <c r="P117" s="213">
        <v>21000</v>
      </c>
      <c r="Q117" s="213">
        <v>33000</v>
      </c>
      <c r="R117" s="213">
        <v>75000</v>
      </c>
      <c r="S117" s="213">
        <v>95000</v>
      </c>
      <c r="T117" s="213">
        <v>324695.19012</v>
      </c>
      <c r="V117" s="213">
        <v>548695.19012</v>
      </c>
      <c r="W117" s="213">
        <v>12</v>
      </c>
      <c r="X117" s="213">
        <v>45724.5991766667</v>
      </c>
      <c r="Z117" s="213">
        <v>45724.5991766667</v>
      </c>
      <c r="AA117" s="213">
        <v>44518.93</v>
      </c>
      <c r="AB117" s="213">
        <v>1205.66917666666</v>
      </c>
    </row>
    <row r="118" spans="1:28">
      <c r="A118">
        <v>96</v>
      </c>
      <c r="B118" s="213" t="s">
        <v>225</v>
      </c>
      <c r="C118" s="213">
        <v>319177.65375</v>
      </c>
      <c r="D118" s="213">
        <v>12</v>
      </c>
      <c r="E118" s="213">
        <v>3830131.845</v>
      </c>
      <c r="F118" s="213">
        <v>7422.38</v>
      </c>
      <c r="I118" s="213">
        <v>3822709.465</v>
      </c>
      <c r="J118" s="213">
        <v>200000</v>
      </c>
      <c r="K118" s="213">
        <v>0.2</v>
      </c>
      <c r="L118" s="213">
        <v>764541.893</v>
      </c>
      <c r="M118" s="213">
        <v>964541.893</v>
      </c>
      <c r="N118" s="213">
        <v>971964.273</v>
      </c>
      <c r="O118" s="213">
        <v>2858167.572</v>
      </c>
      <c r="P118" s="213">
        <v>21000</v>
      </c>
      <c r="Q118" s="213">
        <v>33000</v>
      </c>
      <c r="R118" s="213">
        <v>75000</v>
      </c>
      <c r="S118" s="213">
        <v>95000</v>
      </c>
      <c r="T118" s="213">
        <v>264215.19012</v>
      </c>
      <c r="V118" s="213">
        <v>488215.19012</v>
      </c>
      <c r="W118" s="213">
        <v>12</v>
      </c>
      <c r="X118" s="213">
        <v>40684.5991766667</v>
      </c>
      <c r="Z118" s="213">
        <v>40684.5991766667</v>
      </c>
      <c r="AA118" s="213">
        <v>39478.93</v>
      </c>
      <c r="AB118" s="213">
        <v>1205.66917666666</v>
      </c>
    </row>
    <row r="119" spans="1:28">
      <c r="A119">
        <v>97</v>
      </c>
      <c r="B119" s="213" t="s">
        <v>1209</v>
      </c>
      <c r="C119" s="213">
        <v>312001.0605</v>
      </c>
      <c r="D119" s="213">
        <v>12</v>
      </c>
      <c r="E119" s="213">
        <v>3744012.726</v>
      </c>
      <c r="I119" s="213">
        <v>3744012.726</v>
      </c>
      <c r="J119" s="213">
        <v>200000</v>
      </c>
      <c r="K119" s="213">
        <v>0.2</v>
      </c>
      <c r="L119" s="213">
        <v>748802.5452</v>
      </c>
      <c r="M119" s="213">
        <v>948802.5452</v>
      </c>
      <c r="N119" s="213">
        <v>948802.5452</v>
      </c>
      <c r="O119" s="213">
        <v>2795210.1808</v>
      </c>
      <c r="P119" s="213">
        <v>21000</v>
      </c>
      <c r="Q119" s="213">
        <v>33000</v>
      </c>
      <c r="R119" s="213">
        <v>75000</v>
      </c>
      <c r="S119" s="213">
        <v>95000</v>
      </c>
      <c r="T119" s="213">
        <v>250994.137968</v>
      </c>
      <c r="V119" s="213">
        <v>474994.137968</v>
      </c>
      <c r="W119" s="213">
        <v>12</v>
      </c>
      <c r="X119" s="213">
        <v>39582.8448306667</v>
      </c>
      <c r="Z119" s="213">
        <v>39582.8448306667</v>
      </c>
      <c r="AA119" s="213">
        <v>38272.44</v>
      </c>
      <c r="AB119" s="213">
        <v>1310.40483066666</v>
      </c>
    </row>
    <row r="120" spans="1:28">
      <c r="A120">
        <v>98</v>
      </c>
      <c r="B120" s="213" t="s">
        <v>226</v>
      </c>
      <c r="C120" s="213">
        <v>209356.04725</v>
      </c>
      <c r="D120" s="213">
        <v>12</v>
      </c>
      <c r="E120" s="213">
        <v>2512272.567</v>
      </c>
      <c r="I120" s="213">
        <v>2512272.567</v>
      </c>
      <c r="J120" s="213">
        <v>200000</v>
      </c>
      <c r="K120" s="213">
        <v>0.2</v>
      </c>
      <c r="L120" s="213">
        <v>502454.5134</v>
      </c>
      <c r="M120" s="213">
        <v>702454.5134</v>
      </c>
      <c r="N120" s="213">
        <v>702454.5134</v>
      </c>
      <c r="O120" s="213">
        <v>1809818.0536</v>
      </c>
      <c r="P120" s="213">
        <v>21000</v>
      </c>
      <c r="Q120" s="213">
        <v>33000</v>
      </c>
      <c r="R120" s="213">
        <v>75000</v>
      </c>
      <c r="S120" s="213">
        <v>95000</v>
      </c>
      <c r="T120" s="213">
        <v>44061.7912559999</v>
      </c>
      <c r="V120" s="213">
        <v>268061.791256</v>
      </c>
      <c r="W120" s="213">
        <v>12</v>
      </c>
      <c r="X120" s="213">
        <v>22338.4826046667</v>
      </c>
      <c r="Z120" s="213">
        <v>22338.4826046667</v>
      </c>
      <c r="AA120" s="213">
        <v>21640.95</v>
      </c>
      <c r="AB120" s="213">
        <v>697.53260466666</v>
      </c>
    </row>
    <row r="121" spans="1:28">
      <c r="A121">
        <v>99</v>
      </c>
      <c r="B121" s="213" t="s">
        <v>228</v>
      </c>
      <c r="C121" s="213">
        <v>176816.1</v>
      </c>
      <c r="D121" s="213">
        <v>12</v>
      </c>
      <c r="E121" s="213">
        <v>2121793.2</v>
      </c>
      <c r="I121" s="213">
        <v>2121793.2</v>
      </c>
      <c r="J121" s="213">
        <v>200000</v>
      </c>
      <c r="K121" s="213">
        <v>0.2</v>
      </c>
      <c r="L121" s="213">
        <v>424358.64</v>
      </c>
      <c r="M121" s="213">
        <v>624358.64</v>
      </c>
      <c r="N121" s="213">
        <v>624358.64</v>
      </c>
      <c r="O121" s="213">
        <v>1497434.56</v>
      </c>
      <c r="P121" s="213">
        <v>21000</v>
      </c>
      <c r="Q121" s="213">
        <v>33000</v>
      </c>
      <c r="R121" s="213">
        <v>75000</v>
      </c>
      <c r="S121" s="213">
        <v>75512.5664</v>
      </c>
      <c r="T121" s="213">
        <v>0</v>
      </c>
      <c r="V121" s="213">
        <v>204512.5664</v>
      </c>
      <c r="W121" s="213">
        <v>12</v>
      </c>
      <c r="X121" s="213">
        <v>17042.7138666667</v>
      </c>
      <c r="Z121" s="213">
        <v>17042.7138666667</v>
      </c>
      <c r="AA121" s="213">
        <v>25245.23</v>
      </c>
      <c r="AB121" s="213">
        <v>-8202.51613333334</v>
      </c>
    </row>
    <row r="122" spans="1:1">
      <c r="A122"/>
    </row>
    <row r="123" spans="1:1">
      <c r="A123"/>
    </row>
    <row r="124" spans="1:28">
      <c r="A124">
        <v>101</v>
      </c>
      <c r="B124" s="213" t="s">
        <v>235</v>
      </c>
      <c r="C124" s="213">
        <v>950209.0635</v>
      </c>
      <c r="D124" s="213">
        <v>12</v>
      </c>
      <c r="E124" s="213">
        <v>11402508.762</v>
      </c>
      <c r="I124" s="213">
        <v>11402508.762</v>
      </c>
      <c r="J124" s="213">
        <v>200000</v>
      </c>
      <c r="K124" s="213">
        <v>0.2</v>
      </c>
      <c r="L124" s="213">
        <v>2280501.7524</v>
      </c>
      <c r="M124" s="213">
        <v>2480501.7524</v>
      </c>
      <c r="N124" s="213">
        <v>2480501.7524</v>
      </c>
      <c r="O124" s="213">
        <v>8922007.0096</v>
      </c>
      <c r="P124" s="213">
        <v>21000</v>
      </c>
      <c r="Q124" s="213">
        <v>33000</v>
      </c>
      <c r="R124" s="213">
        <v>75000</v>
      </c>
      <c r="S124" s="213">
        <v>95000</v>
      </c>
      <c r="T124" s="213">
        <v>336000</v>
      </c>
      <c r="U124" s="213">
        <v>1373281.682304</v>
      </c>
      <c r="V124" s="213">
        <v>1933281.682304</v>
      </c>
      <c r="W124" s="213">
        <v>12</v>
      </c>
      <c r="X124" s="213">
        <v>161106.806858667</v>
      </c>
      <c r="Z124" s="213">
        <v>161106.806858667</v>
      </c>
      <c r="AA124" s="213">
        <v>161106.81</v>
      </c>
      <c r="AB124" s="213">
        <v>-0.00314133331994526</v>
      </c>
    </row>
    <row r="125" spans="1:28">
      <c r="A125">
        <v>103</v>
      </c>
      <c r="B125" s="213" t="s">
        <v>524</v>
      </c>
      <c r="C125" s="213">
        <v>541465.02475</v>
      </c>
      <c r="D125" s="213">
        <v>12</v>
      </c>
      <c r="E125" s="213">
        <v>6497580.297</v>
      </c>
      <c r="F125" s="213">
        <v>10052.25</v>
      </c>
      <c r="I125" s="213">
        <v>6487528.047</v>
      </c>
      <c r="J125" s="213">
        <v>200000</v>
      </c>
      <c r="K125" s="213">
        <v>0.2</v>
      </c>
      <c r="L125" s="213">
        <v>1297505.6094</v>
      </c>
      <c r="M125" s="213">
        <v>1497505.6094</v>
      </c>
      <c r="N125" s="213">
        <v>1507557.8594</v>
      </c>
      <c r="O125" s="213">
        <v>4990022.4376</v>
      </c>
      <c r="P125" s="213">
        <v>21000</v>
      </c>
      <c r="Q125" s="213">
        <v>33000</v>
      </c>
      <c r="R125" s="213">
        <v>75000</v>
      </c>
      <c r="S125" s="213">
        <v>95000</v>
      </c>
      <c r="T125" s="213">
        <v>336000</v>
      </c>
      <c r="U125" s="213">
        <v>429605.385024</v>
      </c>
      <c r="V125" s="213">
        <v>989605.385024</v>
      </c>
      <c r="W125" s="213">
        <v>12</v>
      </c>
      <c r="X125" s="213">
        <v>82467.1154186667</v>
      </c>
      <c r="Z125" s="213">
        <v>82467.1154186667</v>
      </c>
      <c r="AA125" s="213">
        <v>82627.95</v>
      </c>
      <c r="AB125" s="213">
        <v>-160.834581333329</v>
      </c>
    </row>
    <row r="126" spans="1:28">
      <c r="A126">
        <v>105</v>
      </c>
      <c r="B126" s="213" t="s">
        <v>237</v>
      </c>
      <c r="C126" s="213">
        <v>577743.99575</v>
      </c>
      <c r="D126" s="213">
        <v>12</v>
      </c>
      <c r="E126" s="213">
        <v>6932927.949</v>
      </c>
      <c r="F126" s="213">
        <v>8019.8</v>
      </c>
      <c r="I126" s="213">
        <v>6924908.149</v>
      </c>
      <c r="J126" s="213">
        <v>200000</v>
      </c>
      <c r="K126" s="213">
        <v>0.2</v>
      </c>
      <c r="L126" s="213">
        <v>1384981.6298</v>
      </c>
      <c r="M126" s="213">
        <v>1584981.6298</v>
      </c>
      <c r="N126" s="213">
        <v>1593001.4298</v>
      </c>
      <c r="O126" s="213">
        <v>5339926.5192</v>
      </c>
      <c r="P126" s="213">
        <v>21000</v>
      </c>
      <c r="Q126" s="213">
        <v>33000</v>
      </c>
      <c r="R126" s="213">
        <v>75000</v>
      </c>
      <c r="S126" s="213">
        <v>95000</v>
      </c>
      <c r="T126" s="213">
        <v>336000</v>
      </c>
      <c r="U126" s="213">
        <v>513582.364608</v>
      </c>
      <c r="V126" s="213">
        <v>1073582.364608</v>
      </c>
      <c r="W126" s="213">
        <v>12</v>
      </c>
      <c r="X126" s="213">
        <v>89465.1970506667</v>
      </c>
      <c r="Z126" s="213">
        <v>89465.1970506667</v>
      </c>
      <c r="AA126" s="213">
        <v>86798.3738666667</v>
      </c>
      <c r="AB126" s="213">
        <v>2666.82318399998</v>
      </c>
    </row>
    <row r="127" spans="1:28">
      <c r="A127">
        <v>106</v>
      </c>
      <c r="B127" s="213" t="s">
        <v>239</v>
      </c>
      <c r="C127" s="213">
        <v>343333.03525</v>
      </c>
      <c r="D127" s="213">
        <v>12</v>
      </c>
      <c r="E127" s="213">
        <v>4119996.423</v>
      </c>
      <c r="F127" s="213">
        <v>8019.8</v>
      </c>
      <c r="I127" s="213">
        <v>4111976.623</v>
      </c>
      <c r="J127" s="213">
        <v>200000</v>
      </c>
      <c r="K127" s="213">
        <v>0.2</v>
      </c>
      <c r="L127" s="213">
        <v>822395.3246</v>
      </c>
      <c r="M127" s="213">
        <v>1022395.3246</v>
      </c>
      <c r="N127" s="213">
        <v>1030415.1246</v>
      </c>
      <c r="O127" s="213">
        <v>3089581.2984</v>
      </c>
      <c r="P127" s="213">
        <v>21000</v>
      </c>
      <c r="Q127" s="213">
        <v>33000</v>
      </c>
      <c r="R127" s="213">
        <v>75000</v>
      </c>
      <c r="S127" s="213">
        <v>95000</v>
      </c>
      <c r="T127" s="213">
        <v>312812.072664</v>
      </c>
      <c r="V127" s="213">
        <v>536812.072664</v>
      </c>
      <c r="W127" s="213">
        <v>12</v>
      </c>
      <c r="X127" s="213">
        <v>44734.3393886667</v>
      </c>
      <c r="Z127" s="213">
        <v>44734.3393886667</v>
      </c>
      <c r="AA127" s="213">
        <v>43380.1</v>
      </c>
      <c r="AB127" s="213">
        <v>1354.23938866668</v>
      </c>
    </row>
    <row r="128" spans="1:28">
      <c r="A128">
        <v>107</v>
      </c>
      <c r="B128" s="213" t="s">
        <v>241</v>
      </c>
      <c r="C128" s="213">
        <v>343333.03525</v>
      </c>
      <c r="D128" s="213">
        <v>12</v>
      </c>
      <c r="E128" s="213">
        <v>4119996.423</v>
      </c>
      <c r="I128" s="213">
        <v>4119996.423</v>
      </c>
      <c r="J128" s="213">
        <v>200000</v>
      </c>
      <c r="K128" s="213">
        <v>0.2</v>
      </c>
      <c r="L128" s="213">
        <v>823999.2846</v>
      </c>
      <c r="M128" s="213">
        <v>1023999.2846</v>
      </c>
      <c r="N128" s="213">
        <v>1023999.2846</v>
      </c>
      <c r="O128" s="213">
        <v>3095997.1384</v>
      </c>
      <c r="P128" s="213">
        <v>21000</v>
      </c>
      <c r="Q128" s="213">
        <v>33000</v>
      </c>
      <c r="R128" s="213">
        <v>75000</v>
      </c>
      <c r="S128" s="213">
        <v>95000</v>
      </c>
      <c r="T128" s="213">
        <v>314159.399064</v>
      </c>
      <c r="V128" s="213">
        <v>538159.399064</v>
      </c>
      <c r="W128" s="213">
        <v>12</v>
      </c>
      <c r="X128" s="213">
        <v>44846.6165886667</v>
      </c>
      <c r="Z128" s="213">
        <v>44846.6165886667</v>
      </c>
      <c r="AA128" s="213">
        <v>43380.1</v>
      </c>
      <c r="AB128" s="213">
        <v>1466.51658866668</v>
      </c>
    </row>
    <row r="129" spans="1:28">
      <c r="A129">
        <v>108</v>
      </c>
      <c r="B129" s="213" t="s">
        <v>176</v>
      </c>
      <c r="C129" s="213">
        <v>319177.65375</v>
      </c>
      <c r="D129" s="213">
        <v>12</v>
      </c>
      <c r="E129" s="213">
        <v>3830131.845</v>
      </c>
      <c r="F129" s="213">
        <v>6456.26</v>
      </c>
      <c r="I129" s="213">
        <v>3823675.585</v>
      </c>
      <c r="J129" s="213">
        <v>200000</v>
      </c>
      <c r="K129" s="213">
        <v>0.2</v>
      </c>
      <c r="L129" s="213">
        <v>764735.117</v>
      </c>
      <c r="M129" s="213">
        <v>964735.117</v>
      </c>
      <c r="N129" s="213">
        <v>971191.377</v>
      </c>
      <c r="O129" s="213">
        <v>2858940.468</v>
      </c>
      <c r="P129" s="213">
        <v>21000</v>
      </c>
      <c r="Q129" s="213">
        <v>33000</v>
      </c>
      <c r="R129" s="213">
        <v>75000</v>
      </c>
      <c r="S129" s="213">
        <v>95000</v>
      </c>
      <c r="T129" s="213">
        <v>264377.49828</v>
      </c>
      <c r="V129" s="213">
        <v>488377.49828</v>
      </c>
      <c r="W129" s="213">
        <v>12</v>
      </c>
      <c r="X129" s="213">
        <v>40698.1248566667</v>
      </c>
      <c r="Z129" s="213">
        <v>40698.1248566667</v>
      </c>
      <c r="AA129" s="213">
        <v>39582.84</v>
      </c>
      <c r="AB129" s="213">
        <v>1115.28485666666</v>
      </c>
    </row>
    <row r="130" spans="1:28">
      <c r="A130">
        <v>109</v>
      </c>
      <c r="B130" s="213" t="s">
        <v>178</v>
      </c>
      <c r="C130" s="213">
        <v>284536.9985</v>
      </c>
      <c r="D130" s="213">
        <v>12</v>
      </c>
      <c r="E130" s="213">
        <v>3414443.982</v>
      </c>
      <c r="I130" s="213">
        <v>3414443.982</v>
      </c>
      <c r="J130" s="213">
        <v>200000</v>
      </c>
      <c r="K130" s="213">
        <v>0.2</v>
      </c>
      <c r="L130" s="213">
        <v>682888.7964</v>
      </c>
      <c r="M130" s="213">
        <v>882888.7964</v>
      </c>
      <c r="N130" s="213">
        <v>882888.7964</v>
      </c>
      <c r="O130" s="213">
        <v>2531555.1856</v>
      </c>
      <c r="P130" s="213">
        <v>21000</v>
      </c>
      <c r="Q130" s="213">
        <v>33000</v>
      </c>
      <c r="R130" s="213">
        <v>75000</v>
      </c>
      <c r="S130" s="213">
        <v>95000</v>
      </c>
      <c r="T130" s="213">
        <v>195626.588976</v>
      </c>
      <c r="V130" s="213">
        <v>419626.588976</v>
      </c>
      <c r="W130" s="213">
        <v>12</v>
      </c>
      <c r="X130" s="213">
        <v>34968.8824146667</v>
      </c>
      <c r="Z130" s="213">
        <v>34968.8824146667</v>
      </c>
      <c r="AA130" s="213">
        <v>32848.56</v>
      </c>
      <c r="AB130" s="213">
        <v>2120.32241466667</v>
      </c>
    </row>
    <row r="131" spans="1:28">
      <c r="A131">
        <v>110</v>
      </c>
      <c r="B131" s="213" t="s">
        <v>244</v>
      </c>
      <c r="C131" s="213">
        <v>284536.9985</v>
      </c>
      <c r="D131" s="213">
        <v>12</v>
      </c>
      <c r="E131" s="213">
        <v>3414443.982</v>
      </c>
      <c r="I131" s="213">
        <v>3414443.982</v>
      </c>
      <c r="J131" s="213">
        <v>200000</v>
      </c>
      <c r="K131" s="213">
        <v>0.2</v>
      </c>
      <c r="L131" s="213">
        <v>682888.7964</v>
      </c>
      <c r="M131" s="213">
        <v>882888.7964</v>
      </c>
      <c r="N131" s="213">
        <v>882888.7964</v>
      </c>
      <c r="O131" s="213">
        <v>2531555.1856</v>
      </c>
      <c r="P131" s="213">
        <v>21000</v>
      </c>
      <c r="Q131" s="213">
        <v>33000</v>
      </c>
      <c r="R131" s="213">
        <v>75000</v>
      </c>
      <c r="S131" s="213">
        <v>95000</v>
      </c>
      <c r="T131" s="213">
        <v>195626.588976</v>
      </c>
      <c r="V131" s="213">
        <v>419626.588976</v>
      </c>
      <c r="W131" s="213">
        <v>12</v>
      </c>
      <c r="X131" s="213">
        <v>34968.8824146667</v>
      </c>
      <c r="Z131" s="213">
        <v>34968.8824146667</v>
      </c>
      <c r="AA131" s="213">
        <v>32938.95</v>
      </c>
      <c r="AB131" s="213">
        <v>2029.93241466667</v>
      </c>
    </row>
    <row r="132" spans="1:28">
      <c r="A132">
        <v>111</v>
      </c>
      <c r="B132" s="213" t="s">
        <v>245</v>
      </c>
      <c r="C132" s="213">
        <v>284536.9985</v>
      </c>
      <c r="D132" s="213">
        <v>12</v>
      </c>
      <c r="E132" s="213">
        <v>3414443.982</v>
      </c>
      <c r="I132" s="213">
        <v>3414443.982</v>
      </c>
      <c r="J132" s="213">
        <v>200000</v>
      </c>
      <c r="K132" s="213">
        <v>0.2</v>
      </c>
      <c r="L132" s="213">
        <v>682888.7964</v>
      </c>
      <c r="M132" s="213">
        <v>882888.7964</v>
      </c>
      <c r="N132" s="213">
        <v>882888.7964</v>
      </c>
      <c r="O132" s="213">
        <v>2531555.1856</v>
      </c>
      <c r="P132" s="213">
        <v>21000</v>
      </c>
      <c r="Q132" s="213">
        <v>33000</v>
      </c>
      <c r="R132" s="213">
        <v>75000</v>
      </c>
      <c r="S132" s="213">
        <v>95000</v>
      </c>
      <c r="T132" s="213">
        <v>195626.588976</v>
      </c>
      <c r="V132" s="213">
        <v>419626.588976</v>
      </c>
      <c r="W132" s="213">
        <v>12</v>
      </c>
      <c r="X132" s="213">
        <v>34968.8824146667</v>
      </c>
      <c r="Z132" s="213">
        <v>34968.8824146667</v>
      </c>
      <c r="AA132" s="213">
        <v>32938.95</v>
      </c>
      <c r="AB132" s="213">
        <v>2029.93241466667</v>
      </c>
    </row>
    <row r="133" spans="1:28">
      <c r="A133">
        <v>112</v>
      </c>
      <c r="B133" s="213" t="s">
        <v>247</v>
      </c>
      <c r="C133" s="213">
        <v>267454.074</v>
      </c>
      <c r="D133" s="213">
        <v>12</v>
      </c>
      <c r="E133" s="213">
        <v>3209448.888</v>
      </c>
      <c r="F133" s="213">
        <v>5484.49</v>
      </c>
      <c r="I133" s="213">
        <v>3203964.398</v>
      </c>
      <c r="J133" s="213">
        <v>200000</v>
      </c>
      <c r="K133" s="213">
        <v>0.2</v>
      </c>
      <c r="L133" s="213">
        <v>640792.8796</v>
      </c>
      <c r="M133" s="213">
        <v>840792.8796</v>
      </c>
      <c r="N133" s="213">
        <v>846277.3696</v>
      </c>
      <c r="O133" s="213">
        <v>2363171.5184</v>
      </c>
      <c r="P133" s="213">
        <v>21000</v>
      </c>
      <c r="Q133" s="213">
        <v>33000</v>
      </c>
      <c r="R133" s="213">
        <v>75000</v>
      </c>
      <c r="S133" s="213">
        <v>95000</v>
      </c>
      <c r="T133" s="213">
        <v>160266.018864</v>
      </c>
      <c r="V133" s="213">
        <v>384266.018864</v>
      </c>
      <c r="W133" s="213">
        <v>12</v>
      </c>
      <c r="X133" s="213">
        <v>32022.1682386667</v>
      </c>
      <c r="Z133" s="213">
        <v>32022.1682386667</v>
      </c>
      <c r="AA133" s="213">
        <v>31749.1891266667</v>
      </c>
      <c r="AB133" s="213">
        <v>272.979112000012</v>
      </c>
    </row>
    <row r="134" spans="1:28">
      <c r="A134">
        <v>113</v>
      </c>
      <c r="B134" s="213" t="s">
        <v>249</v>
      </c>
      <c r="C134" s="213">
        <v>242300.0775</v>
      </c>
      <c r="D134" s="213">
        <v>12</v>
      </c>
      <c r="E134" s="213">
        <v>2907600.93</v>
      </c>
      <c r="F134" s="213">
        <v>5633.79</v>
      </c>
      <c r="I134" s="213">
        <v>2901967.14</v>
      </c>
      <c r="J134" s="213">
        <v>200000</v>
      </c>
      <c r="K134" s="213">
        <v>0.2</v>
      </c>
      <c r="L134" s="213">
        <v>580393.428</v>
      </c>
      <c r="M134" s="213">
        <v>780393.428</v>
      </c>
      <c r="N134" s="213">
        <v>786027.218</v>
      </c>
      <c r="O134" s="213">
        <v>2121573.712</v>
      </c>
      <c r="P134" s="213">
        <v>21000</v>
      </c>
      <c r="Q134" s="213">
        <v>33000</v>
      </c>
      <c r="R134" s="213">
        <v>75000</v>
      </c>
      <c r="S134" s="213">
        <v>95000</v>
      </c>
      <c r="T134" s="213">
        <v>109530.47952</v>
      </c>
      <c r="V134" s="213">
        <v>333530.47952</v>
      </c>
      <c r="W134" s="213">
        <v>12</v>
      </c>
      <c r="X134" s="213">
        <v>27794.2066266667</v>
      </c>
      <c r="Z134" s="213">
        <v>27794.2066266667</v>
      </c>
      <c r="AA134" s="213">
        <v>27029.2</v>
      </c>
      <c r="AB134" s="213">
        <v>765.006626666662</v>
      </c>
    </row>
    <row r="135" spans="1:28">
      <c r="A135">
        <v>114</v>
      </c>
      <c r="B135" s="213" t="s">
        <v>251</v>
      </c>
      <c r="C135" s="213">
        <v>279536.9985</v>
      </c>
      <c r="D135" s="213">
        <v>12</v>
      </c>
      <c r="E135" s="213">
        <v>3354443.982</v>
      </c>
      <c r="I135" s="213">
        <v>3354443.982</v>
      </c>
      <c r="J135" s="213">
        <v>200000</v>
      </c>
      <c r="K135" s="213">
        <v>0.2</v>
      </c>
      <c r="L135" s="213">
        <v>670888.7964</v>
      </c>
      <c r="M135" s="213">
        <v>870888.7964</v>
      </c>
      <c r="N135" s="213">
        <v>870888.7964</v>
      </c>
      <c r="O135" s="213">
        <v>2483555.1856</v>
      </c>
      <c r="P135" s="213">
        <v>21000</v>
      </c>
      <c r="Q135" s="213">
        <v>33000</v>
      </c>
      <c r="R135" s="213">
        <v>75000</v>
      </c>
      <c r="S135" s="213">
        <v>95000</v>
      </c>
      <c r="T135" s="213">
        <v>185546.588976</v>
      </c>
      <c r="V135" s="213">
        <v>409546.588976</v>
      </c>
      <c r="W135" s="213">
        <v>12</v>
      </c>
      <c r="X135" s="213">
        <v>34128.8824146667</v>
      </c>
      <c r="Z135" s="213">
        <v>34128.8824146667</v>
      </c>
      <c r="AA135" s="213">
        <v>31670.3160666667</v>
      </c>
      <c r="AB135" s="213">
        <v>2458.566348</v>
      </c>
    </row>
    <row r="136" spans="1:28">
      <c r="A136">
        <v>115</v>
      </c>
      <c r="B136" s="213" t="s">
        <v>256</v>
      </c>
      <c r="C136" s="213">
        <v>237734.047</v>
      </c>
      <c r="D136" s="213">
        <v>12</v>
      </c>
      <c r="E136" s="213">
        <v>2852808.564</v>
      </c>
      <c r="F136" s="213">
        <v>5335.23</v>
      </c>
      <c r="I136" s="213">
        <v>2847473.334</v>
      </c>
      <c r="J136" s="213">
        <v>200000</v>
      </c>
      <c r="K136" s="213">
        <v>0.2</v>
      </c>
      <c r="L136" s="213">
        <v>569494.6668</v>
      </c>
      <c r="M136" s="213">
        <v>769494.6668</v>
      </c>
      <c r="N136" s="213">
        <v>774829.8968</v>
      </c>
      <c r="O136" s="213">
        <v>2077978.6672</v>
      </c>
      <c r="P136" s="213">
        <v>21000</v>
      </c>
      <c r="Q136" s="213">
        <v>33000</v>
      </c>
      <c r="R136" s="213">
        <v>75000</v>
      </c>
      <c r="S136" s="213">
        <v>95000</v>
      </c>
      <c r="T136" s="213">
        <v>100375.520112</v>
      </c>
      <c r="V136" s="213">
        <v>324375.520112</v>
      </c>
      <c r="W136" s="213">
        <v>12</v>
      </c>
      <c r="X136" s="213">
        <v>27031.2933426667</v>
      </c>
      <c r="Z136" s="213">
        <v>27031.2933426667</v>
      </c>
      <c r="AA136" s="213">
        <v>26339.08</v>
      </c>
      <c r="AB136" s="213">
        <v>692.213342666659</v>
      </c>
    </row>
    <row r="137" spans="1:28">
      <c r="A137">
        <v>116</v>
      </c>
      <c r="B137" s="213" t="s">
        <v>257</v>
      </c>
      <c r="C137" s="213">
        <v>237734.047</v>
      </c>
      <c r="D137" s="213">
        <v>12</v>
      </c>
      <c r="E137" s="213">
        <v>2852808.564</v>
      </c>
      <c r="I137" s="213">
        <v>2852808.564</v>
      </c>
      <c r="J137" s="213">
        <v>200000</v>
      </c>
      <c r="K137" s="213">
        <v>0.2</v>
      </c>
      <c r="L137" s="213">
        <v>570561.7128</v>
      </c>
      <c r="M137" s="213">
        <v>770561.7128</v>
      </c>
      <c r="N137" s="213">
        <v>770561.7128</v>
      </c>
      <c r="O137" s="213">
        <v>2082246.8512</v>
      </c>
      <c r="P137" s="213">
        <v>21000</v>
      </c>
      <c r="Q137" s="213">
        <v>33000</v>
      </c>
      <c r="R137" s="213">
        <v>75000</v>
      </c>
      <c r="S137" s="213">
        <v>95000</v>
      </c>
      <c r="T137" s="213">
        <v>101271.838752</v>
      </c>
      <c r="V137" s="213">
        <v>325271.838752</v>
      </c>
      <c r="W137" s="213">
        <v>12</v>
      </c>
      <c r="X137" s="213">
        <v>27105.9865626667</v>
      </c>
      <c r="Z137" s="213">
        <v>27105.9865626667</v>
      </c>
      <c r="AA137" s="213">
        <v>26264.39</v>
      </c>
      <c r="AB137" s="213">
        <v>841.596562666658</v>
      </c>
    </row>
    <row r="138" spans="1:28">
      <c r="A138">
        <v>117</v>
      </c>
      <c r="B138" s="213" t="s">
        <v>258</v>
      </c>
      <c r="C138" s="213">
        <v>237734.047</v>
      </c>
      <c r="D138" s="213">
        <v>12</v>
      </c>
      <c r="E138" s="213">
        <v>2852808.564</v>
      </c>
      <c r="I138" s="213">
        <v>2852808.564</v>
      </c>
      <c r="J138" s="213">
        <v>200000</v>
      </c>
      <c r="K138" s="213">
        <v>0.2</v>
      </c>
      <c r="L138" s="213">
        <v>570561.7128</v>
      </c>
      <c r="M138" s="213">
        <v>770561.7128</v>
      </c>
      <c r="N138" s="213">
        <v>770561.7128</v>
      </c>
      <c r="O138" s="213">
        <v>2082246.8512</v>
      </c>
      <c r="P138" s="213">
        <v>21000</v>
      </c>
      <c r="Q138" s="213">
        <v>33000</v>
      </c>
      <c r="R138" s="213">
        <v>75000</v>
      </c>
      <c r="S138" s="213">
        <v>95000</v>
      </c>
      <c r="T138" s="213">
        <v>101271.838752</v>
      </c>
      <c r="V138" s="213">
        <v>325271.838752</v>
      </c>
      <c r="W138" s="213">
        <v>12</v>
      </c>
      <c r="X138" s="213">
        <v>27105.9865626667</v>
      </c>
      <c r="Z138" s="213">
        <v>27105.9865626667</v>
      </c>
      <c r="AA138" s="213">
        <v>26339.08</v>
      </c>
      <c r="AB138" s="213">
        <v>766.906562666656</v>
      </c>
    </row>
    <row r="139" spans="1:28">
      <c r="A139">
        <v>118</v>
      </c>
      <c r="B139" s="213" t="s">
        <v>259</v>
      </c>
      <c r="C139" s="213">
        <v>228602.07775</v>
      </c>
      <c r="D139" s="213">
        <v>12</v>
      </c>
      <c r="E139" s="213">
        <v>2743224.933</v>
      </c>
      <c r="I139" s="213">
        <v>2743224.933</v>
      </c>
      <c r="J139" s="213">
        <v>200000</v>
      </c>
      <c r="K139" s="213">
        <v>0.2</v>
      </c>
      <c r="L139" s="213">
        <v>548644.9866</v>
      </c>
      <c r="M139" s="213">
        <v>748644.9866</v>
      </c>
      <c r="N139" s="213">
        <v>748644.9866</v>
      </c>
      <c r="O139" s="213">
        <v>1994579.9464</v>
      </c>
      <c r="P139" s="213">
        <v>21000</v>
      </c>
      <c r="Q139" s="213">
        <v>33000</v>
      </c>
      <c r="R139" s="213">
        <v>75000</v>
      </c>
      <c r="S139" s="213">
        <v>95000</v>
      </c>
      <c r="T139" s="213">
        <v>82861.788744</v>
      </c>
      <c r="V139" s="213">
        <v>306861.788744</v>
      </c>
      <c r="W139" s="213">
        <v>12</v>
      </c>
      <c r="X139" s="213">
        <v>25571.8157286667</v>
      </c>
      <c r="Z139" s="213">
        <v>25571.8157286667</v>
      </c>
      <c r="AA139" s="213">
        <v>25571.82</v>
      </c>
      <c r="AB139" s="213">
        <v>-0.00427133333141683</v>
      </c>
    </row>
    <row r="140" spans="1:28">
      <c r="A140">
        <v>119</v>
      </c>
      <c r="B140" s="213" t="s">
        <v>1022</v>
      </c>
      <c r="C140" s="213">
        <v>205204.0845</v>
      </c>
      <c r="D140" s="213">
        <v>12</v>
      </c>
      <c r="E140" s="213">
        <v>2462449.014</v>
      </c>
      <c r="I140" s="213">
        <v>2462449.014</v>
      </c>
      <c r="J140" s="213">
        <v>200000</v>
      </c>
      <c r="K140" s="213">
        <v>0.2</v>
      </c>
      <c r="L140" s="213">
        <v>492489.8028</v>
      </c>
      <c r="M140" s="213">
        <v>692489.8028</v>
      </c>
      <c r="N140" s="213">
        <v>692489.8028</v>
      </c>
      <c r="O140" s="213">
        <v>1769959.2112</v>
      </c>
      <c r="P140" s="213">
        <v>21000</v>
      </c>
      <c r="Q140" s="213">
        <v>33000</v>
      </c>
      <c r="R140" s="213">
        <v>75000</v>
      </c>
      <c r="S140" s="213">
        <v>95000</v>
      </c>
      <c r="T140" s="213">
        <v>35691.434352</v>
      </c>
      <c r="V140" s="213">
        <v>259691.434352</v>
      </c>
      <c r="W140" s="213">
        <v>12</v>
      </c>
      <c r="X140" s="213">
        <v>21640.9528626667</v>
      </c>
      <c r="Z140" s="213">
        <v>21640.9528626667</v>
      </c>
      <c r="AA140" s="213">
        <v>21640.95</v>
      </c>
      <c r="AB140" s="213">
        <v>0.00286266666807933</v>
      </c>
    </row>
    <row r="141" spans="1:28">
      <c r="A141">
        <v>120</v>
      </c>
      <c r="B141" s="213" t="s">
        <v>263</v>
      </c>
      <c r="C141" s="213">
        <v>237734.047</v>
      </c>
      <c r="D141" s="213">
        <v>12</v>
      </c>
      <c r="E141" s="213">
        <v>2852808.564</v>
      </c>
      <c r="I141" s="213">
        <v>2852808.564</v>
      </c>
      <c r="J141" s="213">
        <v>200000</v>
      </c>
      <c r="K141" s="213">
        <v>0.2</v>
      </c>
      <c r="L141" s="213">
        <v>570561.7128</v>
      </c>
      <c r="M141" s="213">
        <v>770561.7128</v>
      </c>
      <c r="N141" s="213">
        <v>770561.7128</v>
      </c>
      <c r="O141" s="213">
        <v>2082246.8512</v>
      </c>
      <c r="P141" s="213">
        <v>21000</v>
      </c>
      <c r="Q141" s="213">
        <v>33000</v>
      </c>
      <c r="R141" s="213">
        <v>75000</v>
      </c>
      <c r="S141" s="213">
        <v>95000</v>
      </c>
      <c r="T141" s="213">
        <v>101271.838752</v>
      </c>
      <c r="V141" s="213">
        <v>325271.838752</v>
      </c>
      <c r="W141" s="213">
        <v>12</v>
      </c>
      <c r="X141" s="213">
        <v>27105.9865626667</v>
      </c>
      <c r="Z141" s="213">
        <v>27105.9865626667</v>
      </c>
      <c r="AA141" s="213">
        <v>25571.7080406667</v>
      </c>
      <c r="AB141" s="213">
        <v>1534.278522</v>
      </c>
    </row>
    <row r="142" spans="1:28">
      <c r="A142">
        <v>121</v>
      </c>
      <c r="B142" s="213" t="s">
        <v>266</v>
      </c>
      <c r="C142" s="213">
        <v>209356.04725</v>
      </c>
      <c r="D142" s="213">
        <v>12</v>
      </c>
      <c r="E142" s="213">
        <v>2512272.567</v>
      </c>
      <c r="F142" s="213">
        <v>4047.66</v>
      </c>
      <c r="I142" s="213">
        <v>2508224.907</v>
      </c>
      <c r="J142" s="213">
        <v>200000</v>
      </c>
      <c r="K142" s="213">
        <v>0.2</v>
      </c>
      <c r="L142" s="213">
        <v>501644.9814</v>
      </c>
      <c r="M142" s="213">
        <v>701644.9814</v>
      </c>
      <c r="N142" s="213">
        <v>705692.6414</v>
      </c>
      <c r="O142" s="213">
        <v>1806579.9256</v>
      </c>
      <c r="P142" s="213">
        <v>21000</v>
      </c>
      <c r="Q142" s="213">
        <v>33000</v>
      </c>
      <c r="R142" s="213">
        <v>75000</v>
      </c>
      <c r="S142" s="213">
        <v>95000</v>
      </c>
      <c r="T142" s="213">
        <v>43381.7843759999</v>
      </c>
      <c r="V142" s="213">
        <v>267381.784376</v>
      </c>
      <c r="W142" s="213">
        <v>12</v>
      </c>
      <c r="X142" s="213">
        <v>22281.8153646667</v>
      </c>
      <c r="Z142" s="213">
        <v>22281.8153646667</v>
      </c>
      <c r="AA142" s="213">
        <v>21640.95</v>
      </c>
      <c r="AB142" s="213">
        <v>640.865364666661</v>
      </c>
    </row>
    <row r="143" spans="1:28">
      <c r="A143">
        <v>122</v>
      </c>
      <c r="B143" s="213" t="s">
        <v>268</v>
      </c>
      <c r="C143" s="213">
        <v>237734.047</v>
      </c>
      <c r="D143" s="213">
        <v>12</v>
      </c>
      <c r="E143" s="213">
        <v>2852808.564</v>
      </c>
      <c r="I143" s="213">
        <v>2852808.564</v>
      </c>
      <c r="J143" s="213">
        <v>200000</v>
      </c>
      <c r="K143" s="213">
        <v>0.2</v>
      </c>
      <c r="L143" s="213">
        <v>570561.7128</v>
      </c>
      <c r="M143" s="213">
        <v>770561.7128</v>
      </c>
      <c r="N143" s="213">
        <v>770561.7128</v>
      </c>
      <c r="O143" s="213">
        <v>2082246.8512</v>
      </c>
      <c r="P143" s="213">
        <v>21000</v>
      </c>
      <c r="Q143" s="213">
        <v>33000</v>
      </c>
      <c r="R143" s="213">
        <v>75000</v>
      </c>
      <c r="S143" s="213">
        <v>95000</v>
      </c>
      <c r="T143" s="213">
        <v>101271.838752</v>
      </c>
      <c r="V143" s="213">
        <v>325271.838752</v>
      </c>
      <c r="W143" s="213">
        <v>12</v>
      </c>
      <c r="X143" s="213">
        <v>27105.9865626667</v>
      </c>
      <c r="Z143" s="213">
        <v>27105.9865626667</v>
      </c>
      <c r="AA143" s="213">
        <v>25571.7080406667</v>
      </c>
      <c r="AB143" s="213">
        <v>1534.278522</v>
      </c>
    </row>
    <row r="144" spans="1:28">
      <c r="A144">
        <v>123</v>
      </c>
      <c r="B144" s="213" t="s">
        <v>270</v>
      </c>
      <c r="C144" s="213">
        <v>209356.04725</v>
      </c>
      <c r="D144" s="213">
        <v>12</v>
      </c>
      <c r="E144" s="213">
        <v>2512272.567</v>
      </c>
      <c r="I144" s="213">
        <v>2512272.567</v>
      </c>
      <c r="J144" s="213">
        <v>200000</v>
      </c>
      <c r="K144" s="213">
        <v>0.2</v>
      </c>
      <c r="L144" s="213">
        <v>502454.5134</v>
      </c>
      <c r="M144" s="213">
        <v>702454.5134</v>
      </c>
      <c r="N144" s="213">
        <v>702454.5134</v>
      </c>
      <c r="O144" s="213">
        <v>1809818.0536</v>
      </c>
      <c r="P144" s="213">
        <v>21000</v>
      </c>
      <c r="Q144" s="213">
        <v>33000</v>
      </c>
      <c r="R144" s="213">
        <v>75000</v>
      </c>
      <c r="S144" s="213">
        <v>95000</v>
      </c>
      <c r="T144" s="213">
        <v>44061.7912559999</v>
      </c>
      <c r="V144" s="213">
        <v>268061.791256</v>
      </c>
      <c r="W144" s="213">
        <v>12</v>
      </c>
      <c r="X144" s="213">
        <v>22338.4826046667</v>
      </c>
      <c r="Z144" s="213">
        <v>22338.4826046667</v>
      </c>
      <c r="AA144" s="213">
        <v>21640.95</v>
      </c>
      <c r="AB144" s="213">
        <v>697.53260466666</v>
      </c>
    </row>
    <row r="145" spans="1:28">
      <c r="A145">
        <v>124</v>
      </c>
      <c r="B145" s="213" t="s">
        <v>272</v>
      </c>
      <c r="C145" s="213">
        <v>183791.02675</v>
      </c>
      <c r="D145" s="213">
        <v>12</v>
      </c>
      <c r="E145" s="213">
        <v>2205492.321</v>
      </c>
      <c r="I145" s="213">
        <v>2205492.321</v>
      </c>
      <c r="J145" s="213">
        <v>200000</v>
      </c>
      <c r="K145" s="213">
        <v>0.2</v>
      </c>
      <c r="L145" s="213">
        <v>441098.4642</v>
      </c>
      <c r="M145" s="213">
        <v>641098.4642</v>
      </c>
      <c r="N145" s="213">
        <v>641098.4642</v>
      </c>
      <c r="O145" s="213">
        <v>1564393.8568</v>
      </c>
      <c r="P145" s="213">
        <v>21000</v>
      </c>
      <c r="Q145" s="213">
        <v>33000</v>
      </c>
      <c r="R145" s="213">
        <v>75000</v>
      </c>
      <c r="S145" s="213">
        <v>88234.832792</v>
      </c>
      <c r="T145" s="213">
        <v>0</v>
      </c>
      <c r="V145" s="213">
        <v>217234.832792</v>
      </c>
      <c r="W145" s="213">
        <v>12</v>
      </c>
      <c r="X145" s="213">
        <v>18102.9027326667</v>
      </c>
      <c r="Z145" s="213">
        <v>18102.9027326667</v>
      </c>
      <c r="AA145" s="213">
        <v>17572.89</v>
      </c>
      <c r="AB145" s="213">
        <v>530.012732666666</v>
      </c>
    </row>
    <row r="146" spans="1:28">
      <c r="A146">
        <v>125</v>
      </c>
      <c r="B146" s="213" t="s">
        <v>1212</v>
      </c>
      <c r="C146" s="213">
        <v>176816.1</v>
      </c>
      <c r="D146" s="213">
        <v>12</v>
      </c>
      <c r="E146" s="213">
        <v>2121793.2</v>
      </c>
      <c r="I146" s="213">
        <v>2121793.2</v>
      </c>
      <c r="J146" s="213">
        <v>200000</v>
      </c>
      <c r="K146" s="213">
        <v>0.2</v>
      </c>
      <c r="L146" s="213">
        <v>424358.64</v>
      </c>
      <c r="M146" s="213">
        <v>624358.64</v>
      </c>
      <c r="N146" s="213">
        <v>624358.64</v>
      </c>
      <c r="O146" s="213">
        <v>1497434.56</v>
      </c>
      <c r="P146" s="213">
        <v>21000</v>
      </c>
      <c r="Q146" s="213">
        <v>33000</v>
      </c>
      <c r="R146" s="213">
        <v>75000</v>
      </c>
      <c r="S146" s="213">
        <v>75512.5664</v>
      </c>
      <c r="T146" s="213">
        <v>0</v>
      </c>
      <c r="V146" s="213">
        <v>204512.5664</v>
      </c>
      <c r="W146" s="213">
        <v>12</v>
      </c>
      <c r="X146" s="213">
        <v>17042.7138666667</v>
      </c>
      <c r="Z146" s="213">
        <v>17042.7138666667</v>
      </c>
      <c r="AA146" s="213">
        <v>16512.68</v>
      </c>
      <c r="AB146" s="213">
        <v>530.033866666661</v>
      </c>
    </row>
    <row r="147" spans="1:28">
      <c r="A147">
        <v>126</v>
      </c>
      <c r="B147" s="213" t="s">
        <v>275</v>
      </c>
      <c r="C147" s="213">
        <v>173329.0495</v>
      </c>
      <c r="D147" s="213">
        <v>12</v>
      </c>
      <c r="E147" s="213">
        <v>2079948.594</v>
      </c>
      <c r="I147" s="213">
        <v>2079948.594</v>
      </c>
      <c r="J147" s="213">
        <v>200000</v>
      </c>
      <c r="K147" s="213">
        <v>0.2</v>
      </c>
      <c r="L147" s="213">
        <v>415989.7188</v>
      </c>
      <c r="M147" s="213">
        <v>615989.7188</v>
      </c>
      <c r="N147" s="213">
        <v>615989.7188</v>
      </c>
      <c r="O147" s="213">
        <v>1463958.8752</v>
      </c>
      <c r="P147" s="213">
        <v>21000</v>
      </c>
      <c r="Q147" s="213">
        <v>33000</v>
      </c>
      <c r="R147" s="213">
        <v>75000</v>
      </c>
      <c r="S147" s="213">
        <v>69152.186288</v>
      </c>
      <c r="T147" s="213">
        <v>0</v>
      </c>
      <c r="V147" s="213">
        <v>198152.186288</v>
      </c>
      <c r="W147" s="213">
        <v>12</v>
      </c>
      <c r="X147" s="213">
        <v>16512.6821906667</v>
      </c>
      <c r="Z147" s="213">
        <v>16512.6821906667</v>
      </c>
      <c r="AA147" s="213">
        <v>16512.68</v>
      </c>
      <c r="AB147" s="213">
        <v>0.00219066666977596</v>
      </c>
    </row>
    <row r="148" spans="1:28">
      <c r="A148">
        <v>127</v>
      </c>
      <c r="B148" s="213" t="s">
        <v>277</v>
      </c>
      <c r="C148" s="213">
        <v>173339.2245</v>
      </c>
      <c r="D148" s="213">
        <v>12</v>
      </c>
      <c r="E148" s="213">
        <v>2080070.694</v>
      </c>
      <c r="I148" s="213">
        <v>2080070.694</v>
      </c>
      <c r="J148" s="213">
        <v>200000</v>
      </c>
      <c r="K148" s="213">
        <v>0.2</v>
      </c>
      <c r="L148" s="213">
        <v>416014.1388</v>
      </c>
      <c r="M148" s="213">
        <v>616014.1388</v>
      </c>
      <c r="N148" s="213">
        <v>616014.1388</v>
      </c>
      <c r="O148" s="213">
        <v>1464056.5552</v>
      </c>
      <c r="P148" s="213">
        <v>21000</v>
      </c>
      <c r="Q148" s="213">
        <v>33000</v>
      </c>
      <c r="R148" s="213">
        <v>75000</v>
      </c>
      <c r="S148" s="213">
        <v>69170.745488</v>
      </c>
      <c r="T148" s="213">
        <v>0</v>
      </c>
      <c r="V148" s="213">
        <v>198170.745488</v>
      </c>
      <c r="W148" s="213">
        <v>12</v>
      </c>
      <c r="X148" s="213">
        <v>16514.2287906667</v>
      </c>
      <c r="Z148" s="213">
        <v>16514.2287906667</v>
      </c>
      <c r="AA148" s="213">
        <v>16512.68</v>
      </c>
      <c r="AB148" s="213">
        <v>1.54879066666763</v>
      </c>
    </row>
    <row r="149" spans="1:28">
      <c r="A149">
        <v>128</v>
      </c>
      <c r="B149" s="213" t="s">
        <v>279</v>
      </c>
      <c r="C149" s="213">
        <v>176818.1</v>
      </c>
      <c r="D149" s="213">
        <v>12</v>
      </c>
      <c r="E149" s="213">
        <v>2121817.2</v>
      </c>
      <c r="I149" s="213">
        <v>2121817.2</v>
      </c>
      <c r="J149" s="213">
        <v>200000</v>
      </c>
      <c r="K149" s="213">
        <v>0.2</v>
      </c>
      <c r="L149" s="213">
        <v>424363.44</v>
      </c>
      <c r="M149" s="213">
        <v>624363.44</v>
      </c>
      <c r="N149" s="213">
        <v>624363.44</v>
      </c>
      <c r="O149" s="213">
        <v>1497453.76</v>
      </c>
      <c r="P149" s="213">
        <v>21000</v>
      </c>
      <c r="Q149" s="213">
        <v>33000</v>
      </c>
      <c r="R149" s="213">
        <v>75000</v>
      </c>
      <c r="S149" s="213">
        <v>75516.2144</v>
      </c>
      <c r="T149" s="213">
        <v>0</v>
      </c>
      <c r="V149" s="213">
        <v>204516.2144</v>
      </c>
      <c r="W149" s="213">
        <v>12</v>
      </c>
      <c r="X149" s="213">
        <v>17043.0178666667</v>
      </c>
      <c r="Z149" s="213">
        <v>17043.0178666667</v>
      </c>
      <c r="AA149" s="213">
        <v>16512.68</v>
      </c>
      <c r="AB149" s="213">
        <v>530.337866666661</v>
      </c>
    </row>
    <row r="150" spans="1:28">
      <c r="A150">
        <v>129</v>
      </c>
      <c r="B150" s="213" t="s">
        <v>281</v>
      </c>
      <c r="C150" s="213">
        <v>176816.1</v>
      </c>
      <c r="D150" s="213">
        <v>12</v>
      </c>
      <c r="E150" s="213">
        <v>2121793.2</v>
      </c>
      <c r="F150" s="213">
        <v>2715.04</v>
      </c>
      <c r="I150" s="213">
        <v>2119078.16</v>
      </c>
      <c r="J150" s="213">
        <v>200000</v>
      </c>
      <c r="K150" s="213">
        <v>0.2</v>
      </c>
      <c r="L150" s="213">
        <v>423815.632</v>
      </c>
      <c r="M150" s="213">
        <v>623815.632</v>
      </c>
      <c r="N150" s="213">
        <v>626530.672</v>
      </c>
      <c r="O150" s="213">
        <v>1495262.528</v>
      </c>
      <c r="P150" s="213">
        <v>21000</v>
      </c>
      <c r="Q150" s="213">
        <v>33000</v>
      </c>
      <c r="R150" s="213">
        <v>75000</v>
      </c>
      <c r="S150" s="213">
        <v>75099.8803199999</v>
      </c>
      <c r="T150" s="213">
        <v>0</v>
      </c>
      <c r="V150" s="213">
        <v>204099.88032</v>
      </c>
      <c r="W150" s="213">
        <v>12</v>
      </c>
      <c r="X150" s="213">
        <v>17008.32336</v>
      </c>
      <c r="Z150" s="213">
        <v>17008.32336</v>
      </c>
      <c r="AA150" s="213">
        <v>16512.68</v>
      </c>
      <c r="AB150" s="213">
        <v>495.643359999995</v>
      </c>
    </row>
    <row r="151" spans="1:28">
      <c r="A151">
        <v>130</v>
      </c>
      <c r="B151" s="213" t="s">
        <v>287</v>
      </c>
      <c r="C151" s="213">
        <v>135590.73</v>
      </c>
      <c r="D151" s="213">
        <v>12</v>
      </c>
      <c r="E151" s="213">
        <v>1627088.76</v>
      </c>
      <c r="I151" s="213">
        <v>1627088.76</v>
      </c>
      <c r="J151" s="213">
        <v>200000</v>
      </c>
      <c r="K151" s="213">
        <v>0.2</v>
      </c>
      <c r="L151" s="213">
        <v>325417.752</v>
      </c>
      <c r="M151" s="213">
        <v>525417.752</v>
      </c>
      <c r="N151" s="213">
        <v>525417.752</v>
      </c>
      <c r="O151" s="213">
        <v>1101671.008</v>
      </c>
      <c r="P151" s="213">
        <v>21000</v>
      </c>
      <c r="Q151" s="213">
        <v>33000</v>
      </c>
      <c r="R151" s="213">
        <v>75000</v>
      </c>
      <c r="S151" s="213">
        <v>317.491519999984</v>
      </c>
      <c r="T151" s="213">
        <v>0</v>
      </c>
      <c r="V151" s="213">
        <v>129317.49152</v>
      </c>
      <c r="W151" s="213">
        <v>12</v>
      </c>
      <c r="X151" s="213">
        <v>10776.4576266667</v>
      </c>
      <c r="Z151" s="213">
        <v>10776.4576266667</v>
      </c>
      <c r="AA151" s="213">
        <v>9117.05</v>
      </c>
      <c r="AB151" s="213">
        <v>1659.40762666667</v>
      </c>
    </row>
    <row r="152" spans="1:28">
      <c r="A152">
        <v>131</v>
      </c>
      <c r="B152" s="213" t="s">
        <v>290</v>
      </c>
      <c r="C152" s="213">
        <v>138590.73</v>
      </c>
      <c r="D152" s="213">
        <v>12</v>
      </c>
      <c r="E152" s="213">
        <v>1663088.76</v>
      </c>
      <c r="I152" s="213">
        <v>1663088.76</v>
      </c>
      <c r="J152" s="213">
        <v>200000</v>
      </c>
      <c r="K152" s="213">
        <v>0.2</v>
      </c>
      <c r="L152" s="213">
        <v>332617.752</v>
      </c>
      <c r="M152" s="213">
        <v>532617.752</v>
      </c>
      <c r="N152" s="213">
        <v>532617.752</v>
      </c>
      <c r="O152" s="213">
        <v>1130471.008</v>
      </c>
      <c r="P152" s="213">
        <v>21000</v>
      </c>
      <c r="Q152" s="213">
        <v>33000</v>
      </c>
      <c r="R152" s="213">
        <v>75000</v>
      </c>
      <c r="S152" s="213">
        <v>5789.49151999998</v>
      </c>
      <c r="T152" s="213">
        <v>0</v>
      </c>
      <c r="V152" s="213">
        <v>134789.49152</v>
      </c>
      <c r="W152" s="213">
        <v>12</v>
      </c>
      <c r="X152" s="213">
        <v>11232.4576266667</v>
      </c>
      <c r="Z152" s="213">
        <v>11232.4576266667</v>
      </c>
      <c r="AA152" s="213">
        <v>9504.2</v>
      </c>
      <c r="AB152" s="213">
        <v>1728.25762666666</v>
      </c>
    </row>
    <row r="153" spans="1:28">
      <c r="A153">
        <v>132</v>
      </c>
      <c r="B153" s="213" t="s">
        <v>291</v>
      </c>
      <c r="C153" s="213">
        <v>135590.73</v>
      </c>
      <c r="D153" s="213">
        <v>12</v>
      </c>
      <c r="E153" s="213">
        <v>1627088.76</v>
      </c>
      <c r="I153" s="213">
        <v>1627088.76</v>
      </c>
      <c r="J153" s="213">
        <v>200000</v>
      </c>
      <c r="K153" s="213">
        <v>0.2</v>
      </c>
      <c r="L153" s="213">
        <v>325417.752</v>
      </c>
      <c r="M153" s="213">
        <v>525417.752</v>
      </c>
      <c r="N153" s="213">
        <v>525417.752</v>
      </c>
      <c r="O153" s="213">
        <v>1101671.008</v>
      </c>
      <c r="P153" s="213">
        <v>21000</v>
      </c>
      <c r="Q153" s="213">
        <v>33000</v>
      </c>
      <c r="R153" s="213">
        <v>75000</v>
      </c>
      <c r="S153" s="213">
        <v>317.491519999984</v>
      </c>
      <c r="T153" s="213">
        <v>0</v>
      </c>
      <c r="V153" s="213">
        <v>129317.49152</v>
      </c>
      <c r="W153" s="213">
        <v>12</v>
      </c>
      <c r="X153" s="213">
        <v>10776.4576266667</v>
      </c>
      <c r="Z153" s="213">
        <v>10776.4576266667</v>
      </c>
      <c r="AA153" s="213">
        <v>9144.2</v>
      </c>
      <c r="AB153" s="213">
        <v>1632.25762666666</v>
      </c>
    </row>
    <row r="154" spans="1:28">
      <c r="A154">
        <v>133</v>
      </c>
      <c r="B154" s="213" t="s">
        <v>739</v>
      </c>
      <c r="C154" s="213">
        <v>135590.73</v>
      </c>
      <c r="D154" s="213">
        <v>12</v>
      </c>
      <c r="E154" s="213">
        <v>1627088.76</v>
      </c>
      <c r="I154" s="213">
        <v>1627088.76</v>
      </c>
      <c r="J154" s="213">
        <v>200000</v>
      </c>
      <c r="K154" s="213">
        <v>0.2</v>
      </c>
      <c r="L154" s="213">
        <v>325417.752</v>
      </c>
      <c r="M154" s="213">
        <v>525417.752</v>
      </c>
      <c r="N154" s="213">
        <v>525417.752</v>
      </c>
      <c r="O154" s="213">
        <v>1101671.008</v>
      </c>
      <c r="P154" s="213">
        <v>21000</v>
      </c>
      <c r="Q154" s="213">
        <v>33000</v>
      </c>
      <c r="R154" s="213">
        <v>75000</v>
      </c>
      <c r="S154" s="213">
        <v>317.491519999984</v>
      </c>
      <c r="T154" s="213">
        <v>0</v>
      </c>
      <c r="V154" s="213">
        <v>129317.49152</v>
      </c>
      <c r="W154" s="213">
        <v>12</v>
      </c>
      <c r="X154" s="213">
        <v>10776.4576266667</v>
      </c>
      <c r="Z154" s="213">
        <v>10776.4576266667</v>
      </c>
      <c r="AA154" s="213">
        <v>9144.2</v>
      </c>
      <c r="AB154" s="213">
        <v>1632.25762666666</v>
      </c>
    </row>
    <row r="155" spans="1:28">
      <c r="A155">
        <v>134</v>
      </c>
      <c r="B155" s="213" t="s">
        <v>292</v>
      </c>
      <c r="C155" s="213">
        <v>135590.73</v>
      </c>
      <c r="D155" s="213">
        <v>12</v>
      </c>
      <c r="E155" s="213">
        <v>1627088.76</v>
      </c>
      <c r="F155" s="213">
        <v>2715.04</v>
      </c>
      <c r="I155" s="213">
        <v>1624373.72</v>
      </c>
      <c r="J155" s="213">
        <v>200000</v>
      </c>
      <c r="K155" s="213">
        <v>0.2</v>
      </c>
      <c r="L155" s="213">
        <v>324874.744</v>
      </c>
      <c r="M155" s="213">
        <v>524874.744</v>
      </c>
      <c r="N155" s="213">
        <v>527589.784</v>
      </c>
      <c r="O155" s="213">
        <v>1099498.976</v>
      </c>
      <c r="P155" s="213">
        <v>21000</v>
      </c>
      <c r="Q155" s="213">
        <v>33000</v>
      </c>
      <c r="R155" s="213">
        <v>74924.8464</v>
      </c>
      <c r="S155" s="213">
        <v>0</v>
      </c>
      <c r="T155" s="213">
        <v>0</v>
      </c>
      <c r="V155" s="213">
        <v>128924.8464</v>
      </c>
      <c r="W155" s="213">
        <v>12</v>
      </c>
      <c r="X155" s="213">
        <v>10743.7372</v>
      </c>
      <c r="Z155" s="213">
        <v>10743.7372</v>
      </c>
      <c r="AA155" s="213">
        <v>9117.05</v>
      </c>
      <c r="AB155" s="213">
        <v>1626.6872</v>
      </c>
    </row>
    <row r="156" spans="1:28">
      <c r="A156">
        <v>135</v>
      </c>
      <c r="B156" s="213" t="s">
        <v>293</v>
      </c>
      <c r="C156" s="213">
        <v>135590.73</v>
      </c>
      <c r="D156" s="213">
        <v>12</v>
      </c>
      <c r="E156" s="213">
        <v>1627088.76</v>
      </c>
      <c r="I156" s="213">
        <v>1627088.76</v>
      </c>
      <c r="J156" s="213">
        <v>200000</v>
      </c>
      <c r="K156" s="213">
        <v>0.2</v>
      </c>
      <c r="L156" s="213">
        <v>325417.752</v>
      </c>
      <c r="M156" s="213">
        <v>525417.752</v>
      </c>
      <c r="N156" s="213">
        <v>525417.752</v>
      </c>
      <c r="O156" s="213">
        <v>1101671.008</v>
      </c>
      <c r="P156" s="213">
        <v>21000</v>
      </c>
      <c r="Q156" s="213">
        <v>33000</v>
      </c>
      <c r="R156" s="213">
        <v>75000</v>
      </c>
      <c r="S156" s="213">
        <v>317.491519999984</v>
      </c>
      <c r="T156" s="213">
        <v>0</v>
      </c>
      <c r="V156" s="213">
        <v>129317.49152</v>
      </c>
      <c r="W156" s="213">
        <v>12</v>
      </c>
      <c r="X156" s="213">
        <v>10776.4576266667</v>
      </c>
      <c r="Z156" s="213">
        <v>10776.4576266667</v>
      </c>
      <c r="AA156" s="213">
        <v>9144.2</v>
      </c>
      <c r="AB156" s="213">
        <v>1632.25762666666</v>
      </c>
    </row>
    <row r="157" spans="1:28">
      <c r="A157">
        <v>136</v>
      </c>
      <c r="B157" s="213" t="s">
        <v>294</v>
      </c>
      <c r="C157" s="213">
        <v>125035.0345</v>
      </c>
      <c r="D157" s="213">
        <v>12</v>
      </c>
      <c r="E157" s="213">
        <v>1500420.414</v>
      </c>
      <c r="I157" s="213">
        <v>1500420.414</v>
      </c>
      <c r="J157" s="213">
        <v>200000</v>
      </c>
      <c r="K157" s="213">
        <v>0.2</v>
      </c>
      <c r="L157" s="213">
        <v>300084.0828</v>
      </c>
      <c r="M157" s="213">
        <v>500084.0828</v>
      </c>
      <c r="N157" s="213">
        <v>500084.0828</v>
      </c>
      <c r="O157" s="213">
        <v>1000336.3312</v>
      </c>
      <c r="P157" s="213">
        <v>21000</v>
      </c>
      <c r="Q157" s="213">
        <v>33000</v>
      </c>
      <c r="R157" s="213">
        <v>60050.44968</v>
      </c>
      <c r="S157" s="213">
        <v>0</v>
      </c>
      <c r="T157" s="213">
        <v>0</v>
      </c>
      <c r="V157" s="213">
        <v>114050.44968</v>
      </c>
      <c r="W157" s="213">
        <v>12</v>
      </c>
      <c r="X157" s="213">
        <v>9504.20414</v>
      </c>
      <c r="Z157" s="213">
        <v>9504.20414</v>
      </c>
      <c r="AA157" s="213">
        <v>9152.6</v>
      </c>
      <c r="AB157" s="213">
        <v>351.604139999999</v>
      </c>
    </row>
    <row r="158" spans="1:28">
      <c r="A158">
        <v>137</v>
      </c>
      <c r="B158" s="213" t="s">
        <v>296</v>
      </c>
      <c r="C158" s="213">
        <v>122035.0345</v>
      </c>
      <c r="D158" s="213">
        <v>12</v>
      </c>
      <c r="E158" s="213">
        <v>1464420.414</v>
      </c>
      <c r="I158" s="213">
        <v>1464420.414</v>
      </c>
      <c r="J158" s="213">
        <v>200000</v>
      </c>
      <c r="K158" s="213">
        <v>0.2</v>
      </c>
      <c r="L158" s="213">
        <v>292884.0828</v>
      </c>
      <c r="M158" s="213">
        <v>492884.0828</v>
      </c>
      <c r="N158" s="213">
        <v>492884.0828</v>
      </c>
      <c r="O158" s="213">
        <v>971536.3312</v>
      </c>
      <c r="P158" s="213">
        <v>21000</v>
      </c>
      <c r="Q158" s="213">
        <v>33000</v>
      </c>
      <c r="R158" s="213">
        <v>55730.44968</v>
      </c>
      <c r="S158" s="213">
        <v>0</v>
      </c>
      <c r="T158" s="213">
        <v>0</v>
      </c>
      <c r="V158" s="213">
        <v>109730.44968</v>
      </c>
      <c r="W158" s="213">
        <v>12</v>
      </c>
      <c r="X158" s="213">
        <v>9144.20414</v>
      </c>
      <c r="Z158" s="213">
        <v>9144.20414</v>
      </c>
      <c r="AA158" s="213">
        <v>8792.6</v>
      </c>
      <c r="AB158" s="213">
        <v>351.604139999999</v>
      </c>
    </row>
    <row r="159" spans="1:28">
      <c r="A159">
        <v>138</v>
      </c>
      <c r="B159" s="213" t="s">
        <v>1190</v>
      </c>
      <c r="C159" s="213">
        <v>122035.0345</v>
      </c>
      <c r="D159" s="213">
        <v>12</v>
      </c>
      <c r="E159" s="213">
        <v>1464420.414</v>
      </c>
      <c r="I159" s="213">
        <v>1464420.414</v>
      </c>
      <c r="J159" s="213">
        <v>200000</v>
      </c>
      <c r="K159" s="213">
        <v>0.2</v>
      </c>
      <c r="L159" s="213">
        <v>292884.0828</v>
      </c>
      <c r="M159" s="213">
        <v>492884.0828</v>
      </c>
      <c r="N159" s="213">
        <v>492884.0828</v>
      </c>
      <c r="O159" s="213">
        <v>971536.3312</v>
      </c>
      <c r="P159" s="213">
        <v>21000</v>
      </c>
      <c r="Q159" s="213">
        <v>33000</v>
      </c>
      <c r="R159" s="213">
        <v>55730.44968</v>
      </c>
      <c r="S159" s="213">
        <v>0</v>
      </c>
      <c r="T159" s="213">
        <v>0</v>
      </c>
      <c r="V159" s="213">
        <v>109730.44968</v>
      </c>
      <c r="W159" s="213">
        <v>12</v>
      </c>
      <c r="X159" s="213">
        <v>9144.20414</v>
      </c>
      <c r="Z159" s="213">
        <v>9144.20414</v>
      </c>
      <c r="AA159" s="213">
        <v>8792.6</v>
      </c>
      <c r="AB159" s="213">
        <v>351.604139999999</v>
      </c>
    </row>
    <row r="160" spans="1:28">
      <c r="A160">
        <v>139</v>
      </c>
      <c r="B160" s="213" t="s">
        <v>297</v>
      </c>
      <c r="C160" s="213">
        <v>125035.0345</v>
      </c>
      <c r="D160" s="213">
        <v>12</v>
      </c>
      <c r="E160" s="213">
        <v>1500420.414</v>
      </c>
      <c r="I160" s="213">
        <v>1500420.414</v>
      </c>
      <c r="J160" s="213">
        <v>200000</v>
      </c>
      <c r="K160" s="213">
        <v>0.2</v>
      </c>
      <c r="L160" s="213">
        <v>300084.0828</v>
      </c>
      <c r="M160" s="213">
        <v>500084.0828</v>
      </c>
      <c r="N160" s="213">
        <v>500084.0828</v>
      </c>
      <c r="O160" s="213">
        <v>1000336.3312</v>
      </c>
      <c r="P160" s="213">
        <v>21000</v>
      </c>
      <c r="Q160" s="213">
        <v>33000</v>
      </c>
      <c r="R160" s="213">
        <v>60050.44968</v>
      </c>
      <c r="S160" s="213">
        <v>0</v>
      </c>
      <c r="T160" s="213">
        <v>0</v>
      </c>
      <c r="V160" s="213">
        <v>114050.44968</v>
      </c>
      <c r="W160" s="213">
        <v>12</v>
      </c>
      <c r="X160" s="213">
        <v>9504.20414</v>
      </c>
      <c r="Z160" s="213">
        <v>9504.20414</v>
      </c>
      <c r="AA160" s="213">
        <v>9152.6</v>
      </c>
      <c r="AB160" s="213">
        <v>351.604139999999</v>
      </c>
    </row>
    <row r="161" spans="1:28">
      <c r="A161">
        <v>140</v>
      </c>
      <c r="B161" s="213" t="s">
        <v>298</v>
      </c>
      <c r="C161" s="213">
        <v>122035.0345</v>
      </c>
      <c r="D161" s="213">
        <v>12</v>
      </c>
      <c r="E161" s="213">
        <v>1464420.414</v>
      </c>
      <c r="I161" s="213">
        <v>1464420.414</v>
      </c>
      <c r="J161" s="213">
        <v>200000</v>
      </c>
      <c r="K161" s="213">
        <v>0.2</v>
      </c>
      <c r="L161" s="213">
        <v>292884.0828</v>
      </c>
      <c r="M161" s="213">
        <v>492884.0828</v>
      </c>
      <c r="N161" s="213">
        <v>492884.0828</v>
      </c>
      <c r="O161" s="213">
        <v>971536.3312</v>
      </c>
      <c r="P161" s="213">
        <v>21000</v>
      </c>
      <c r="Q161" s="213">
        <v>33000</v>
      </c>
      <c r="R161" s="213">
        <v>55730.44968</v>
      </c>
      <c r="S161" s="213">
        <v>0</v>
      </c>
      <c r="T161" s="213">
        <v>0</v>
      </c>
      <c r="V161" s="213">
        <v>109730.44968</v>
      </c>
      <c r="W161" s="213">
        <v>12</v>
      </c>
      <c r="X161" s="213">
        <v>9144.20414</v>
      </c>
      <c r="Z161" s="213">
        <v>9144.20414</v>
      </c>
      <c r="AA161" s="213">
        <v>8792.6</v>
      </c>
      <c r="AB161" s="213">
        <v>351.604139999999</v>
      </c>
    </row>
    <row r="162" spans="1:28">
      <c r="A162">
        <v>141</v>
      </c>
      <c r="B162" s="213" t="s">
        <v>299</v>
      </c>
      <c r="C162" s="213">
        <v>122035.0345</v>
      </c>
      <c r="D162" s="213">
        <v>12</v>
      </c>
      <c r="E162" s="213">
        <v>1464420.414</v>
      </c>
      <c r="I162" s="213">
        <v>1464420.414</v>
      </c>
      <c r="J162" s="213">
        <v>200000</v>
      </c>
      <c r="K162" s="213">
        <v>0.2</v>
      </c>
      <c r="L162" s="213">
        <v>292884.0828</v>
      </c>
      <c r="M162" s="213">
        <v>492884.0828</v>
      </c>
      <c r="N162" s="213">
        <v>492884.0828</v>
      </c>
      <c r="O162" s="213">
        <v>971536.3312</v>
      </c>
      <c r="P162" s="213">
        <v>21000</v>
      </c>
      <c r="Q162" s="213">
        <v>33000</v>
      </c>
      <c r="R162" s="213">
        <v>55730.44968</v>
      </c>
      <c r="S162" s="213">
        <v>0</v>
      </c>
      <c r="T162" s="213">
        <v>0</v>
      </c>
      <c r="V162" s="213">
        <v>109730.44968</v>
      </c>
      <c r="W162" s="213">
        <v>12</v>
      </c>
      <c r="X162" s="213">
        <v>9144.20414</v>
      </c>
      <c r="Z162" s="213">
        <v>9144.20414</v>
      </c>
      <c r="AA162" s="213">
        <v>8792.6</v>
      </c>
      <c r="AB162" s="213">
        <v>351.604139999999</v>
      </c>
    </row>
    <row r="163" spans="1:28">
      <c r="A163">
        <v>142</v>
      </c>
      <c r="B163" s="213" t="s">
        <v>300</v>
      </c>
      <c r="C163" s="213">
        <v>125035.0345</v>
      </c>
      <c r="D163" s="213">
        <v>12</v>
      </c>
      <c r="E163" s="213">
        <v>1500420.414</v>
      </c>
      <c r="I163" s="213">
        <v>1500420.414</v>
      </c>
      <c r="J163" s="213">
        <v>200000</v>
      </c>
      <c r="K163" s="213">
        <v>0.2</v>
      </c>
      <c r="L163" s="213">
        <v>300084.0828</v>
      </c>
      <c r="M163" s="213">
        <v>500084.0828</v>
      </c>
      <c r="N163" s="213">
        <v>500084.0828</v>
      </c>
      <c r="O163" s="213">
        <v>1000336.3312</v>
      </c>
      <c r="P163" s="213">
        <v>21000</v>
      </c>
      <c r="Q163" s="213">
        <v>33000</v>
      </c>
      <c r="R163" s="213">
        <v>60050.44968</v>
      </c>
      <c r="S163" s="213">
        <v>0</v>
      </c>
      <c r="T163" s="213">
        <v>0</v>
      </c>
      <c r="V163" s="213">
        <v>114050.44968</v>
      </c>
      <c r="W163" s="213">
        <v>12</v>
      </c>
      <c r="X163" s="213">
        <v>9504.20414</v>
      </c>
      <c r="Z163" s="213">
        <v>9504.20414</v>
      </c>
      <c r="AA163" s="213">
        <v>9152.6</v>
      </c>
      <c r="AB163" s="213">
        <v>351.604139999999</v>
      </c>
    </row>
    <row r="164" spans="1:28">
      <c r="A164">
        <v>143</v>
      </c>
      <c r="B164" s="213" t="s">
        <v>301</v>
      </c>
      <c r="C164" s="213">
        <v>81803.001</v>
      </c>
      <c r="D164" s="213">
        <v>12</v>
      </c>
      <c r="E164" s="213">
        <v>981636.012</v>
      </c>
      <c r="I164" s="213">
        <v>981636.012</v>
      </c>
      <c r="J164" s="213">
        <v>200000</v>
      </c>
      <c r="K164" s="213">
        <v>0.2</v>
      </c>
      <c r="L164" s="213">
        <v>196327.2024</v>
      </c>
      <c r="M164" s="213">
        <v>396327.2024</v>
      </c>
      <c r="N164" s="213">
        <v>396327.2024</v>
      </c>
      <c r="O164" s="213">
        <v>585308.8096</v>
      </c>
      <c r="P164" s="213">
        <v>21000</v>
      </c>
      <c r="Q164" s="213">
        <v>31383.969056</v>
      </c>
      <c r="R164" s="213">
        <v>0</v>
      </c>
      <c r="S164" s="213">
        <v>0</v>
      </c>
      <c r="T164" s="213">
        <v>0</v>
      </c>
      <c r="V164" s="213">
        <v>52383.969056</v>
      </c>
      <c r="W164" s="213">
        <v>12</v>
      </c>
      <c r="X164" s="213">
        <v>4365.33075466667</v>
      </c>
      <c r="Z164" s="213">
        <v>4365.33075466667</v>
      </c>
      <c r="AA164" s="213">
        <v>4227.52</v>
      </c>
      <c r="AB164" s="213">
        <v>137.810754666668</v>
      </c>
    </row>
    <row r="165" spans="1:28">
      <c r="A165">
        <v>144</v>
      </c>
      <c r="B165" s="213" t="s">
        <v>304</v>
      </c>
      <c r="C165" s="213">
        <v>81803.001</v>
      </c>
      <c r="D165" s="213">
        <v>12</v>
      </c>
      <c r="E165" s="213">
        <v>981636.012</v>
      </c>
      <c r="I165" s="213">
        <v>981636.012</v>
      </c>
      <c r="J165" s="213">
        <v>200000</v>
      </c>
      <c r="K165" s="213">
        <v>0.2</v>
      </c>
      <c r="L165" s="213">
        <v>196327.2024</v>
      </c>
      <c r="M165" s="213">
        <v>396327.2024</v>
      </c>
      <c r="N165" s="213">
        <v>396327.2024</v>
      </c>
      <c r="O165" s="213">
        <v>585308.8096</v>
      </c>
      <c r="P165" s="213">
        <v>21000</v>
      </c>
      <c r="Q165" s="213">
        <v>31383.969056</v>
      </c>
      <c r="R165" s="213">
        <v>0</v>
      </c>
      <c r="S165" s="213">
        <v>0</v>
      </c>
      <c r="T165" s="213">
        <v>0</v>
      </c>
      <c r="V165" s="213">
        <v>52383.969056</v>
      </c>
      <c r="W165" s="213">
        <v>12</v>
      </c>
      <c r="X165" s="213">
        <v>4365.33075466667</v>
      </c>
      <c r="Z165" s="213">
        <v>4365.33075466667</v>
      </c>
      <c r="AA165" s="213">
        <v>4227.52</v>
      </c>
      <c r="AB165" s="213">
        <v>137.810754666668</v>
      </c>
    </row>
    <row r="166" spans="1:28">
      <c r="A166">
        <v>145</v>
      </c>
      <c r="B166" s="213" t="s">
        <v>305</v>
      </c>
      <c r="C166" s="213">
        <v>83370.091</v>
      </c>
      <c r="D166" s="213">
        <v>12</v>
      </c>
      <c r="E166" s="213">
        <v>1000441.092</v>
      </c>
      <c r="I166" s="213">
        <v>1000441.092</v>
      </c>
      <c r="J166" s="213">
        <v>200000</v>
      </c>
      <c r="K166" s="213">
        <v>0.2</v>
      </c>
      <c r="L166" s="213">
        <v>200088.2184</v>
      </c>
      <c r="M166" s="213">
        <v>400088.2184</v>
      </c>
      <c r="N166" s="213">
        <v>400088.2184</v>
      </c>
      <c r="O166" s="213">
        <v>600352.8736</v>
      </c>
      <c r="P166" s="213">
        <v>21000</v>
      </c>
      <c r="Q166" s="213">
        <v>33000</v>
      </c>
      <c r="R166" s="213">
        <v>52.93103999999</v>
      </c>
      <c r="S166" s="213">
        <v>0</v>
      </c>
      <c r="T166" s="213">
        <v>0</v>
      </c>
      <c r="V166" s="213">
        <v>54052.93104</v>
      </c>
      <c r="W166" s="213">
        <v>12</v>
      </c>
      <c r="X166" s="213">
        <v>4504.41092</v>
      </c>
      <c r="Z166" s="213">
        <v>4504.41092</v>
      </c>
      <c r="AA166" s="213">
        <v>4365.33</v>
      </c>
      <c r="AB166" s="213">
        <v>139.080919999999</v>
      </c>
    </row>
    <row r="167" spans="1:28">
      <c r="A167">
        <v>146</v>
      </c>
      <c r="B167" s="213" t="s">
        <v>307</v>
      </c>
      <c r="C167" s="213">
        <v>80237.012</v>
      </c>
      <c r="D167" s="213">
        <v>12</v>
      </c>
      <c r="E167" s="213">
        <v>962844.144</v>
      </c>
      <c r="I167" s="213">
        <v>962844.144</v>
      </c>
      <c r="J167" s="213">
        <v>200000</v>
      </c>
      <c r="K167" s="213">
        <v>0.2</v>
      </c>
      <c r="L167" s="213">
        <v>192568.8288</v>
      </c>
      <c r="M167" s="213">
        <v>392568.8288</v>
      </c>
      <c r="N167" s="213">
        <v>392568.8288</v>
      </c>
      <c r="O167" s="213">
        <v>570275.3152</v>
      </c>
      <c r="P167" s="213">
        <v>21000</v>
      </c>
      <c r="Q167" s="213">
        <v>29730.284672</v>
      </c>
      <c r="R167" s="213">
        <v>0</v>
      </c>
      <c r="S167" s="213">
        <v>0</v>
      </c>
      <c r="T167" s="213">
        <v>0</v>
      </c>
      <c r="V167" s="213">
        <v>50730.284672</v>
      </c>
      <c r="W167" s="213">
        <v>12</v>
      </c>
      <c r="X167" s="213">
        <v>4227.52372266667</v>
      </c>
      <c r="Z167" s="213">
        <v>4227.52372266667</v>
      </c>
      <c r="AA167" s="213">
        <v>4089.72</v>
      </c>
      <c r="AB167" s="213">
        <v>137.803722666668</v>
      </c>
    </row>
    <row r="168" spans="1:28">
      <c r="A168">
        <v>147</v>
      </c>
      <c r="B168" s="213" t="s">
        <v>309</v>
      </c>
      <c r="C168" s="213">
        <v>78671.023</v>
      </c>
      <c r="D168" s="213">
        <v>12</v>
      </c>
      <c r="E168" s="213">
        <v>944052.276</v>
      </c>
      <c r="I168" s="213">
        <v>944052.276</v>
      </c>
      <c r="J168" s="213">
        <v>200000</v>
      </c>
      <c r="K168" s="213">
        <v>0.2</v>
      </c>
      <c r="L168" s="213">
        <v>188810.4552</v>
      </c>
      <c r="M168" s="213">
        <v>388810.4552</v>
      </c>
      <c r="N168" s="213">
        <v>388810.4552</v>
      </c>
      <c r="O168" s="213">
        <v>555241.8208</v>
      </c>
      <c r="P168" s="213">
        <v>21000</v>
      </c>
      <c r="Q168" s="213">
        <v>28076.600288</v>
      </c>
      <c r="R168" s="213">
        <v>0</v>
      </c>
      <c r="S168" s="213">
        <v>0</v>
      </c>
      <c r="T168" s="213">
        <v>0</v>
      </c>
      <c r="V168" s="213">
        <v>49076.600288</v>
      </c>
      <c r="W168" s="213">
        <v>12</v>
      </c>
      <c r="X168" s="213">
        <v>4089.71669066667</v>
      </c>
      <c r="Z168" s="213">
        <v>4089.71669066667</v>
      </c>
      <c r="AA168" s="213">
        <v>3951.8</v>
      </c>
      <c r="AB168" s="213">
        <v>137.916690666668</v>
      </c>
    </row>
    <row r="169" spans="1:28">
      <c r="A169">
        <v>148</v>
      </c>
      <c r="B169" s="213" t="s">
        <v>312</v>
      </c>
      <c r="C169" s="213">
        <v>75671.023</v>
      </c>
      <c r="D169" s="213">
        <v>12</v>
      </c>
      <c r="E169" s="213">
        <v>908052.276</v>
      </c>
      <c r="I169" s="213">
        <v>908052.276</v>
      </c>
      <c r="J169" s="213">
        <v>200000</v>
      </c>
      <c r="K169" s="213">
        <v>0.2</v>
      </c>
      <c r="L169" s="213">
        <v>181610.4552</v>
      </c>
      <c r="M169" s="213">
        <v>381610.4552</v>
      </c>
      <c r="N169" s="213">
        <v>381610.4552</v>
      </c>
      <c r="O169" s="213">
        <v>526441.8208</v>
      </c>
      <c r="P169" s="213">
        <v>21000</v>
      </c>
      <c r="Q169" s="213">
        <v>24908.600288</v>
      </c>
      <c r="R169" s="213">
        <v>0</v>
      </c>
      <c r="S169" s="213">
        <v>0</v>
      </c>
      <c r="T169" s="213">
        <v>0</v>
      </c>
      <c r="V169" s="213">
        <v>45908.600288</v>
      </c>
      <c r="W169" s="213">
        <v>12</v>
      </c>
      <c r="X169" s="213">
        <v>3825.71669066667</v>
      </c>
      <c r="Z169" s="213">
        <v>3825.71669066667</v>
      </c>
      <c r="AA169" s="213">
        <v>3687.8</v>
      </c>
      <c r="AB169" s="213">
        <v>137.916690666668</v>
      </c>
    </row>
    <row r="170" spans="1:28">
      <c r="A170">
        <v>149</v>
      </c>
      <c r="B170" s="213" t="s">
        <v>313</v>
      </c>
      <c r="C170" s="213">
        <v>78671.023</v>
      </c>
      <c r="D170" s="213">
        <v>12</v>
      </c>
      <c r="E170" s="213">
        <v>944052.276</v>
      </c>
      <c r="I170" s="213">
        <v>944052.276</v>
      </c>
      <c r="J170" s="213">
        <v>200000</v>
      </c>
      <c r="K170" s="213">
        <v>0.2</v>
      </c>
      <c r="L170" s="213">
        <v>188810.4552</v>
      </c>
      <c r="M170" s="213">
        <v>388810.4552</v>
      </c>
      <c r="N170" s="213">
        <v>388810.4552</v>
      </c>
      <c r="O170" s="213">
        <v>555241.8208</v>
      </c>
      <c r="P170" s="213">
        <v>21000</v>
      </c>
      <c r="Q170" s="213">
        <v>28076.600288</v>
      </c>
      <c r="R170" s="213">
        <v>0</v>
      </c>
      <c r="S170" s="213">
        <v>0</v>
      </c>
      <c r="T170" s="213">
        <v>0</v>
      </c>
      <c r="V170" s="213">
        <v>49076.600288</v>
      </c>
      <c r="W170" s="213">
        <v>12</v>
      </c>
      <c r="X170" s="213">
        <v>4089.71669066667</v>
      </c>
      <c r="Z170" s="213">
        <v>4089.71669066667</v>
      </c>
      <c r="AA170" s="213">
        <v>3951.8</v>
      </c>
      <c r="AB170" s="213">
        <v>137.916690666668</v>
      </c>
    </row>
    <row r="171" spans="1:28">
      <c r="A171">
        <v>150</v>
      </c>
      <c r="B171" s="213" t="s">
        <v>314</v>
      </c>
      <c r="C171" s="213">
        <v>75671.023</v>
      </c>
      <c r="D171" s="213">
        <v>12</v>
      </c>
      <c r="E171" s="213">
        <v>908052.276</v>
      </c>
      <c r="I171" s="213">
        <v>908052.276</v>
      </c>
      <c r="J171" s="213">
        <v>200000</v>
      </c>
      <c r="K171" s="213">
        <v>0.2</v>
      </c>
      <c r="L171" s="213">
        <v>181610.4552</v>
      </c>
      <c r="M171" s="213">
        <v>381610.4552</v>
      </c>
      <c r="N171" s="213">
        <v>381610.4552</v>
      </c>
      <c r="O171" s="213">
        <v>526441.8208</v>
      </c>
      <c r="P171" s="213">
        <v>21000</v>
      </c>
      <c r="Q171" s="213">
        <v>24908.600288</v>
      </c>
      <c r="R171" s="213">
        <v>0</v>
      </c>
      <c r="S171" s="213">
        <v>0</v>
      </c>
      <c r="T171" s="213">
        <v>0</v>
      </c>
      <c r="V171" s="213">
        <v>45908.600288</v>
      </c>
      <c r="W171" s="213">
        <v>12</v>
      </c>
      <c r="X171" s="213">
        <v>3825.71669066667</v>
      </c>
      <c r="Z171" s="213">
        <v>3825.71669066667</v>
      </c>
      <c r="AA171" s="213">
        <v>3687.8</v>
      </c>
      <c r="AB171" s="213">
        <v>137.916690666668</v>
      </c>
    </row>
    <row r="172" spans="1:28">
      <c r="A172">
        <v>151</v>
      </c>
      <c r="B172" s="213" t="s">
        <v>315</v>
      </c>
      <c r="C172" s="213">
        <v>78671.023</v>
      </c>
      <c r="D172" s="213">
        <v>12</v>
      </c>
      <c r="E172" s="213">
        <v>944052.276</v>
      </c>
      <c r="I172" s="213">
        <v>944052.276</v>
      </c>
      <c r="J172" s="213">
        <v>200000</v>
      </c>
      <c r="K172" s="213">
        <v>0.2</v>
      </c>
      <c r="L172" s="213">
        <v>188810.4552</v>
      </c>
      <c r="M172" s="213">
        <v>388810.4552</v>
      </c>
      <c r="N172" s="213">
        <v>388810.4552</v>
      </c>
      <c r="O172" s="213">
        <v>555241.8208</v>
      </c>
      <c r="P172" s="213">
        <v>21000</v>
      </c>
      <c r="Q172" s="213">
        <v>28076.600288</v>
      </c>
      <c r="R172" s="213">
        <v>0</v>
      </c>
      <c r="S172" s="213">
        <v>0</v>
      </c>
      <c r="T172" s="213">
        <v>0</v>
      </c>
      <c r="V172" s="213">
        <v>49076.600288</v>
      </c>
      <c r="W172" s="213">
        <v>12</v>
      </c>
      <c r="X172" s="213">
        <v>4089.71669066667</v>
      </c>
      <c r="Z172" s="213">
        <v>4089.71669066667</v>
      </c>
      <c r="AA172" s="213">
        <v>3951.8</v>
      </c>
      <c r="AB172" s="213">
        <v>137.916690666668</v>
      </c>
    </row>
    <row r="173" spans="1:28">
      <c r="A173">
        <v>152</v>
      </c>
      <c r="B173" s="213" t="s">
        <v>316</v>
      </c>
      <c r="C173" s="213">
        <v>75671.023</v>
      </c>
      <c r="D173" s="213">
        <v>12</v>
      </c>
      <c r="E173" s="213">
        <v>908052.276</v>
      </c>
      <c r="I173" s="213">
        <v>908052.276</v>
      </c>
      <c r="J173" s="213">
        <v>200000</v>
      </c>
      <c r="K173" s="213">
        <v>0.2</v>
      </c>
      <c r="L173" s="213">
        <v>181610.4552</v>
      </c>
      <c r="M173" s="213">
        <v>381610.4552</v>
      </c>
      <c r="N173" s="213">
        <v>381610.4552</v>
      </c>
      <c r="O173" s="213">
        <v>526441.8208</v>
      </c>
      <c r="P173" s="213">
        <v>21000</v>
      </c>
      <c r="Q173" s="213">
        <v>24908.600288</v>
      </c>
      <c r="R173" s="213">
        <v>0</v>
      </c>
      <c r="S173" s="213">
        <v>0</v>
      </c>
      <c r="T173" s="213">
        <v>0</v>
      </c>
      <c r="V173" s="213">
        <v>45908.600288</v>
      </c>
      <c r="W173" s="213">
        <v>12</v>
      </c>
      <c r="X173" s="213">
        <v>3825.71669066667</v>
      </c>
      <c r="Z173" s="213">
        <v>3825.71669066667</v>
      </c>
      <c r="AA173" s="213">
        <v>3687.8</v>
      </c>
      <c r="AB173" s="213">
        <v>137.916690666668</v>
      </c>
    </row>
    <row r="174" spans="1:28">
      <c r="A174">
        <v>153</v>
      </c>
      <c r="B174" s="213" t="s">
        <v>317</v>
      </c>
      <c r="C174" s="213">
        <v>78671.023</v>
      </c>
      <c r="D174" s="213">
        <v>12</v>
      </c>
      <c r="E174" s="213">
        <v>944052.276</v>
      </c>
      <c r="I174" s="213">
        <v>944052.276</v>
      </c>
      <c r="J174" s="213">
        <v>200000</v>
      </c>
      <c r="K174" s="213">
        <v>0.2</v>
      </c>
      <c r="L174" s="213">
        <v>188810.4552</v>
      </c>
      <c r="M174" s="213">
        <v>388810.4552</v>
      </c>
      <c r="N174" s="213">
        <v>388810.4552</v>
      </c>
      <c r="O174" s="213">
        <v>555241.8208</v>
      </c>
      <c r="P174" s="213">
        <v>21000</v>
      </c>
      <c r="Q174" s="213">
        <v>28076.600288</v>
      </c>
      <c r="R174" s="213">
        <v>0</v>
      </c>
      <c r="S174" s="213">
        <v>0</v>
      </c>
      <c r="T174" s="213">
        <v>0</v>
      </c>
      <c r="V174" s="213">
        <v>49076.600288</v>
      </c>
      <c r="W174" s="213">
        <v>12</v>
      </c>
      <c r="X174" s="213">
        <v>4089.71669066667</v>
      </c>
      <c r="Z174" s="213">
        <v>4089.71669066667</v>
      </c>
      <c r="AA174" s="213">
        <v>3951.8</v>
      </c>
      <c r="AB174" s="213">
        <v>137.916690666668</v>
      </c>
    </row>
    <row r="175" spans="1:28">
      <c r="A175">
        <v>154</v>
      </c>
      <c r="B175" s="213" t="s">
        <v>318</v>
      </c>
      <c r="C175" s="213">
        <v>78671.023</v>
      </c>
      <c r="D175" s="213">
        <v>12</v>
      </c>
      <c r="E175" s="213">
        <v>944052.276</v>
      </c>
      <c r="I175" s="213">
        <v>944052.276</v>
      </c>
      <c r="J175" s="213">
        <v>200000</v>
      </c>
      <c r="K175" s="213">
        <v>0.2</v>
      </c>
      <c r="L175" s="213">
        <v>188810.4552</v>
      </c>
      <c r="M175" s="213">
        <v>388810.4552</v>
      </c>
      <c r="N175" s="213">
        <v>388810.4552</v>
      </c>
      <c r="O175" s="213">
        <v>555241.8208</v>
      </c>
      <c r="P175" s="213">
        <v>21000</v>
      </c>
      <c r="Q175" s="213">
        <v>28076.600288</v>
      </c>
      <c r="R175" s="213">
        <v>0</v>
      </c>
      <c r="S175" s="213">
        <v>0</v>
      </c>
      <c r="T175" s="213">
        <v>0</v>
      </c>
      <c r="V175" s="213">
        <v>49076.600288</v>
      </c>
      <c r="W175" s="213">
        <v>12</v>
      </c>
      <c r="X175" s="213">
        <v>4089.71669066667</v>
      </c>
      <c r="Z175" s="213">
        <v>4089.71669066667</v>
      </c>
      <c r="AA175" s="213">
        <v>3951.8</v>
      </c>
      <c r="AB175" s="213">
        <v>137.916690666668</v>
      </c>
    </row>
    <row r="176" spans="1:28">
      <c r="A176">
        <v>155</v>
      </c>
      <c r="B176" s="213" t="s">
        <v>319</v>
      </c>
      <c r="C176" s="213">
        <v>78671.023</v>
      </c>
      <c r="D176" s="213">
        <v>12</v>
      </c>
      <c r="E176" s="213">
        <v>944052.276</v>
      </c>
      <c r="I176" s="213">
        <v>944052.276</v>
      </c>
      <c r="J176" s="213">
        <v>200000</v>
      </c>
      <c r="K176" s="213">
        <v>0.2</v>
      </c>
      <c r="L176" s="213">
        <v>188810.4552</v>
      </c>
      <c r="M176" s="213">
        <v>388810.4552</v>
      </c>
      <c r="N176" s="213">
        <v>388810.4552</v>
      </c>
      <c r="O176" s="213">
        <v>555241.8208</v>
      </c>
      <c r="P176" s="213">
        <v>21000</v>
      </c>
      <c r="Q176" s="213">
        <v>28076.600288</v>
      </c>
      <c r="R176" s="213">
        <v>0</v>
      </c>
      <c r="S176" s="213">
        <v>0</v>
      </c>
      <c r="T176" s="213">
        <v>0</v>
      </c>
      <c r="V176" s="213">
        <v>49076.600288</v>
      </c>
      <c r="W176" s="213">
        <v>12</v>
      </c>
      <c r="X176" s="213">
        <v>4089.71669066667</v>
      </c>
      <c r="Z176" s="213">
        <v>4089.71669066667</v>
      </c>
      <c r="AA176" s="213">
        <v>3951.8</v>
      </c>
      <c r="AB176" s="213">
        <v>137.916690666668</v>
      </c>
    </row>
    <row r="177" spans="1:28">
      <c r="A177">
        <v>156</v>
      </c>
      <c r="B177" s="213" t="s">
        <v>320</v>
      </c>
      <c r="C177" s="213">
        <v>67025.0615</v>
      </c>
      <c r="D177" s="213">
        <v>12</v>
      </c>
      <c r="E177" s="213">
        <v>804300.738</v>
      </c>
      <c r="I177" s="213">
        <v>804300.738</v>
      </c>
      <c r="J177" s="213">
        <v>200000</v>
      </c>
      <c r="K177" s="213">
        <v>0.2</v>
      </c>
      <c r="L177" s="213">
        <v>160860.1476</v>
      </c>
      <c r="M177" s="213">
        <v>360860.1476</v>
      </c>
      <c r="N177" s="213">
        <v>360860.1476</v>
      </c>
      <c r="O177" s="213">
        <v>443440.5904</v>
      </c>
      <c r="P177" s="213">
        <v>21000</v>
      </c>
      <c r="Q177" s="213">
        <v>15778.464944</v>
      </c>
      <c r="R177" s="213">
        <v>0</v>
      </c>
      <c r="S177" s="213">
        <v>0</v>
      </c>
      <c r="T177" s="213">
        <v>0</v>
      </c>
      <c r="V177" s="213">
        <v>36778.464944</v>
      </c>
      <c r="W177" s="213">
        <v>12</v>
      </c>
      <c r="X177" s="213">
        <v>3064.87207866667</v>
      </c>
      <c r="Z177" s="213">
        <v>3064.87207866667</v>
      </c>
      <c r="AA177" s="213">
        <v>3183.66</v>
      </c>
      <c r="AB177" s="213">
        <v>-118.787921333334</v>
      </c>
    </row>
    <row r="178" spans="1:28">
      <c r="A178">
        <v>157</v>
      </c>
      <c r="B178" s="213" t="s">
        <v>325</v>
      </c>
      <c r="C178" s="213">
        <v>67328.07025</v>
      </c>
      <c r="D178" s="213">
        <v>12</v>
      </c>
      <c r="E178" s="213">
        <v>807936.843</v>
      </c>
      <c r="I178" s="213">
        <v>807936.843</v>
      </c>
      <c r="J178" s="213">
        <v>200000</v>
      </c>
      <c r="K178" s="213">
        <v>0.2</v>
      </c>
      <c r="L178" s="213">
        <v>161587.3686</v>
      </c>
      <c r="M178" s="213">
        <v>361587.3686</v>
      </c>
      <c r="N178" s="213">
        <v>361587.3686</v>
      </c>
      <c r="O178" s="213">
        <v>446349.4744</v>
      </c>
      <c r="P178" s="213">
        <v>21000</v>
      </c>
      <c r="Q178" s="213">
        <v>16098.442184</v>
      </c>
      <c r="R178" s="213">
        <v>0</v>
      </c>
      <c r="S178" s="213">
        <v>0</v>
      </c>
      <c r="T178" s="213">
        <v>0</v>
      </c>
      <c r="V178" s="213">
        <v>37098.442184</v>
      </c>
      <c r="W178" s="213">
        <v>12</v>
      </c>
      <c r="X178" s="213">
        <v>3091.53684866667</v>
      </c>
      <c r="Z178" s="213">
        <v>3091.53684866667</v>
      </c>
      <c r="AA178" s="213">
        <v>2972.91</v>
      </c>
      <c r="AB178" s="213">
        <v>118.626848666667</v>
      </c>
    </row>
    <row r="179" spans="1:26">
      <c r="A179"/>
      <c r="Z179" s="213">
        <v>8914137.54022931</v>
      </c>
    </row>
    <row r="180" spans="26:26">
      <c r="Z180" s="213">
        <v>1553125.57022931</v>
      </c>
    </row>
  </sheetData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5"/>
  <sheetViews>
    <sheetView view="pageBreakPreview" zoomScaleNormal="100" workbookViewId="0">
      <pane xSplit="3" ySplit="9" topLeftCell="E36" activePane="bottomRight" state="frozen"/>
      <selection/>
      <selection pane="topRight"/>
      <selection pane="bottomLeft"/>
      <selection pane="bottomRight" activeCell="C43" sqref="C43"/>
    </sheetView>
  </sheetViews>
  <sheetFormatPr defaultColWidth="9.13636363636364" defaultRowHeight="20.1" customHeight="1"/>
  <cols>
    <col min="1" max="1" width="5.42727272727273" style="46" customWidth="1"/>
    <col min="2" max="2" width="41.8545454545455" style="46" customWidth="1"/>
    <col min="3" max="3" width="41.2818181818182" style="46" customWidth="1"/>
    <col min="4" max="4" width="14.8545454545455" style="46" customWidth="1"/>
    <col min="5" max="5" width="18.5727272727273" style="46" customWidth="1"/>
    <col min="6" max="6" width="18.2818181818182" style="46" customWidth="1"/>
    <col min="7" max="7" width="19.7090909090909" style="46" customWidth="1"/>
    <col min="8" max="8" width="18.2818181818182" style="46" customWidth="1"/>
    <col min="9" max="16384" width="9.13636363636364" style="46"/>
  </cols>
  <sheetData>
    <row r="1" ht="29.25" customHeight="1" spans="2:12">
      <c r="B1" s="106"/>
      <c r="C1" s="106"/>
      <c r="D1" s="106"/>
      <c r="E1" s="106"/>
      <c r="L1" s="46" t="s">
        <v>1217</v>
      </c>
    </row>
    <row r="2" ht="5.25" customHeight="1" spans="6:7">
      <c r="F2" s="150"/>
      <c r="G2" s="150"/>
    </row>
    <row r="3" customHeight="1" spans="2:7">
      <c r="B3" s="107" t="s">
        <v>1218</v>
      </c>
      <c r="C3" s="107"/>
      <c r="D3" s="107"/>
      <c r="E3" s="107"/>
      <c r="F3" s="151"/>
      <c r="G3" s="151"/>
    </row>
    <row r="4" ht="2.25" customHeight="1"/>
    <row r="5" customHeight="1" spans="2:7">
      <c r="B5" s="107" t="s">
        <v>2</v>
      </c>
      <c r="C5" s="109"/>
      <c r="D5" s="109"/>
      <c r="E5" s="109"/>
      <c r="F5" s="109"/>
      <c r="G5" s="109"/>
    </row>
    <row r="6" ht="26.45" customHeight="1" spans="1:7">
      <c r="A6" s="43"/>
      <c r="B6" s="55"/>
      <c r="C6" s="55" t="s">
        <v>3</v>
      </c>
      <c r="D6" s="55" t="s">
        <v>1219</v>
      </c>
      <c r="E6" s="55"/>
      <c r="F6" s="68"/>
      <c r="G6" s="68"/>
    </row>
    <row r="7" ht="37.15" customHeight="1" spans="1:7">
      <c r="A7" s="43"/>
      <c r="B7" s="42"/>
      <c r="C7" s="55"/>
      <c r="D7" s="55" t="s">
        <v>1220</v>
      </c>
      <c r="E7" s="111" t="s">
        <v>1221</v>
      </c>
      <c r="F7" s="111" t="s">
        <v>1222</v>
      </c>
      <c r="G7" s="57" t="s">
        <v>594</v>
      </c>
    </row>
    <row r="8" customHeight="1" spans="1:7">
      <c r="A8" s="42" t="s">
        <v>20</v>
      </c>
      <c r="B8" s="182" t="s">
        <v>21</v>
      </c>
      <c r="C8" s="113"/>
      <c r="D8" s="113"/>
      <c r="E8" s="114" t="s">
        <v>19</v>
      </c>
      <c r="F8" s="114" t="s">
        <v>19</v>
      </c>
      <c r="G8" s="114" t="s">
        <v>19</v>
      </c>
    </row>
    <row r="9" customHeight="1" spans="1:8">
      <c r="A9" s="49">
        <v>1</v>
      </c>
      <c r="B9" s="183" t="s">
        <v>22</v>
      </c>
      <c r="C9" s="117" t="s">
        <v>23</v>
      </c>
      <c r="D9" s="117" t="s">
        <v>24</v>
      </c>
      <c r="E9" s="184">
        <v>113176.97</v>
      </c>
      <c r="F9" s="118">
        <f>201165.84</f>
        <v>201165.84</v>
      </c>
      <c r="G9" s="118">
        <f>F9-E9</f>
        <v>87988.87</v>
      </c>
      <c r="H9" s="156"/>
    </row>
    <row r="10" customHeight="1" spans="1:8">
      <c r="A10" s="49">
        <v>2</v>
      </c>
      <c r="B10" s="183" t="s">
        <v>1223</v>
      </c>
      <c r="C10" s="117" t="s">
        <v>1224</v>
      </c>
      <c r="D10" s="119" t="s">
        <v>100</v>
      </c>
      <c r="E10" s="185">
        <v>52776.63</v>
      </c>
      <c r="F10" s="118">
        <f>0</f>
        <v>0</v>
      </c>
      <c r="G10" s="118">
        <f t="shared" ref="G10:G75" si="0">F10-E10</f>
        <v>-52776.63</v>
      </c>
      <c r="H10" s="156"/>
    </row>
    <row r="11" customHeight="1" spans="1:8">
      <c r="A11" s="49">
        <v>3</v>
      </c>
      <c r="B11" s="183" t="s">
        <v>1085</v>
      </c>
      <c r="C11" s="43" t="s">
        <v>1225</v>
      </c>
      <c r="D11" s="49" t="s">
        <v>110</v>
      </c>
      <c r="E11" s="185">
        <v>21618.09</v>
      </c>
      <c r="F11" s="118">
        <f>125875.96</f>
        <v>125875.96</v>
      </c>
      <c r="G11" s="118">
        <f t="shared" si="0"/>
        <v>104257.87</v>
      </c>
      <c r="H11" s="156"/>
    </row>
    <row r="12" customHeight="1" spans="1:8">
      <c r="A12" s="49">
        <v>4</v>
      </c>
      <c r="B12" s="186" t="s">
        <v>1176</v>
      </c>
      <c r="C12" s="120" t="s">
        <v>1177</v>
      </c>
      <c r="D12" s="121" t="s">
        <v>110</v>
      </c>
      <c r="E12" s="187">
        <v>21618.09</v>
      </c>
      <c r="F12" s="118">
        <f>116473.51</f>
        <v>116473.51</v>
      </c>
      <c r="G12" s="118">
        <f t="shared" si="0"/>
        <v>94855.42</v>
      </c>
      <c r="H12" s="156"/>
    </row>
    <row r="13" customHeight="1" spans="1:8">
      <c r="A13" s="49">
        <v>5</v>
      </c>
      <c r="B13" s="183" t="s">
        <v>25</v>
      </c>
      <c r="C13" s="117" t="s">
        <v>26</v>
      </c>
      <c r="D13" s="49" t="s">
        <v>1226</v>
      </c>
      <c r="E13" s="185">
        <v>21618.09</v>
      </c>
      <c r="F13" s="118">
        <f>79993.51</f>
        <v>79993.51</v>
      </c>
      <c r="G13" s="118">
        <f t="shared" si="0"/>
        <v>58375.42</v>
      </c>
      <c r="H13" s="156"/>
    </row>
    <row r="14" customHeight="1" spans="1:8">
      <c r="A14" s="49">
        <v>6</v>
      </c>
      <c r="B14" s="186" t="s">
        <v>28</v>
      </c>
      <c r="C14" s="43" t="s">
        <v>29</v>
      </c>
      <c r="D14" s="119" t="s">
        <v>1021</v>
      </c>
      <c r="E14" s="185">
        <v>21618.09</v>
      </c>
      <c r="F14" s="118">
        <f>107095.69</f>
        <v>107095.69</v>
      </c>
      <c r="G14" s="118">
        <f t="shared" si="0"/>
        <v>85477.6</v>
      </c>
      <c r="H14" s="156"/>
    </row>
    <row r="15" customHeight="1" spans="1:8">
      <c r="A15" s="49">
        <v>7</v>
      </c>
      <c r="B15" s="186" t="s">
        <v>173</v>
      </c>
      <c r="C15" s="43" t="s">
        <v>1227</v>
      </c>
      <c r="D15" s="124" t="s">
        <v>36</v>
      </c>
      <c r="E15" s="185">
        <v>15548.33</v>
      </c>
      <c r="F15" s="118">
        <f>83636.1</f>
        <v>83636.1</v>
      </c>
      <c r="G15" s="118">
        <f t="shared" si="0"/>
        <v>68087.77</v>
      </c>
      <c r="H15" s="156"/>
    </row>
    <row r="16" customHeight="1" spans="1:8">
      <c r="A16" s="49">
        <v>8</v>
      </c>
      <c r="B16" s="188" t="s">
        <v>30</v>
      </c>
      <c r="C16" s="17" t="s">
        <v>130</v>
      </c>
      <c r="D16" s="10" t="s">
        <v>36</v>
      </c>
      <c r="E16" s="189">
        <v>15548.33</v>
      </c>
      <c r="F16" s="85">
        <f>64436.1</f>
        <v>64436.1</v>
      </c>
      <c r="G16" s="118">
        <f t="shared" si="0"/>
        <v>48887.77</v>
      </c>
      <c r="H16" s="156"/>
    </row>
    <row r="17" customHeight="1" spans="1:8">
      <c r="A17" s="49">
        <v>9</v>
      </c>
      <c r="B17" s="186" t="s">
        <v>32</v>
      </c>
      <c r="C17" s="43" t="s">
        <v>1228</v>
      </c>
      <c r="D17" s="49" t="s">
        <v>36</v>
      </c>
      <c r="E17" s="185">
        <v>15548.33</v>
      </c>
      <c r="F17" s="118">
        <f>64436.1</f>
        <v>64436.1</v>
      </c>
      <c r="G17" s="118">
        <f t="shared" si="0"/>
        <v>48887.77</v>
      </c>
      <c r="H17" s="156"/>
    </row>
    <row r="18" customHeight="1" spans="1:8">
      <c r="A18" s="49">
        <v>10</v>
      </c>
      <c r="B18" s="190" t="s">
        <v>34</v>
      </c>
      <c r="C18" s="117" t="s">
        <v>1229</v>
      </c>
      <c r="D18" s="119" t="s">
        <v>36</v>
      </c>
      <c r="E18" s="185">
        <v>15548.33</v>
      </c>
      <c r="F18" s="118">
        <f>64436.1</f>
        <v>64436.1</v>
      </c>
      <c r="G18" s="118">
        <f t="shared" si="0"/>
        <v>48887.77</v>
      </c>
      <c r="H18" s="156"/>
    </row>
    <row r="19" customHeight="1" spans="1:8">
      <c r="A19" s="49">
        <v>11</v>
      </c>
      <c r="B19" s="191" t="s">
        <v>521</v>
      </c>
      <c r="C19" s="117" t="s">
        <v>574</v>
      </c>
      <c r="D19" s="50" t="s">
        <v>1021</v>
      </c>
      <c r="E19" s="192">
        <v>15548.33</v>
      </c>
      <c r="F19" s="118">
        <f>60212.92</f>
        <v>60212.92</v>
      </c>
      <c r="G19" s="118">
        <f t="shared" si="0"/>
        <v>44664.59</v>
      </c>
      <c r="H19" s="156"/>
    </row>
    <row r="20" customHeight="1" spans="1:8">
      <c r="A20" s="49">
        <v>12</v>
      </c>
      <c r="B20" s="193" t="s">
        <v>1178</v>
      </c>
      <c r="C20" s="120" t="s">
        <v>1179</v>
      </c>
      <c r="D20" s="127" t="s">
        <v>148</v>
      </c>
      <c r="E20" s="187">
        <v>7709.76</v>
      </c>
      <c r="F20" s="122">
        <f>52638.9</f>
        <v>52638.9</v>
      </c>
      <c r="G20" s="118">
        <f t="shared" si="0"/>
        <v>44929.14</v>
      </c>
      <c r="H20" s="156"/>
    </row>
    <row r="21" ht="19.5" customHeight="1" spans="1:8">
      <c r="A21" s="49">
        <v>13</v>
      </c>
      <c r="B21" s="186" t="s">
        <v>1088</v>
      </c>
      <c r="C21" s="120" t="s">
        <v>41</v>
      </c>
      <c r="D21" s="49" t="s">
        <v>148</v>
      </c>
      <c r="E21" s="185">
        <v>7709.76</v>
      </c>
      <c r="F21" s="118">
        <f>43380</f>
        <v>43380</v>
      </c>
      <c r="G21" s="118">
        <f t="shared" si="0"/>
        <v>35670.24</v>
      </c>
      <c r="H21" s="156"/>
    </row>
    <row r="22" ht="19.5" customHeight="1" spans="1:8">
      <c r="A22" s="49">
        <v>14</v>
      </c>
      <c r="B22" s="186" t="s">
        <v>1180</v>
      </c>
      <c r="C22" s="43" t="s">
        <v>1181</v>
      </c>
      <c r="D22" s="49" t="s">
        <v>148</v>
      </c>
      <c r="E22" s="185">
        <v>7709.76</v>
      </c>
      <c r="F22" s="118">
        <f>85278.9</f>
        <v>85278.9</v>
      </c>
      <c r="G22" s="118">
        <f t="shared" si="0"/>
        <v>77569.14</v>
      </c>
      <c r="H22" s="156"/>
    </row>
    <row r="23" customHeight="1" spans="1:8">
      <c r="A23" s="49">
        <v>15</v>
      </c>
      <c r="B23" s="183" t="s">
        <v>40</v>
      </c>
      <c r="C23" s="120" t="s">
        <v>1230</v>
      </c>
      <c r="D23" s="119" t="s">
        <v>192</v>
      </c>
      <c r="E23" s="185">
        <v>7709.76</v>
      </c>
      <c r="F23" s="118">
        <f>42046.06</f>
        <v>42046.06</v>
      </c>
      <c r="G23" s="118">
        <f t="shared" si="0"/>
        <v>34336.3</v>
      </c>
      <c r="H23" s="156"/>
    </row>
    <row r="24" customHeight="1" spans="1:8">
      <c r="A24" s="49">
        <v>16</v>
      </c>
      <c r="B24" s="190" t="s">
        <v>146</v>
      </c>
      <c r="C24" s="43" t="s">
        <v>1037</v>
      </c>
      <c r="D24" s="119" t="s">
        <v>1019</v>
      </c>
      <c r="E24" s="185">
        <v>7709.76</v>
      </c>
      <c r="F24" s="118">
        <f>39478.93</f>
        <v>39478.93</v>
      </c>
      <c r="G24" s="118">
        <f t="shared" si="0"/>
        <v>31769.17</v>
      </c>
      <c r="H24" s="156"/>
    </row>
    <row r="25" customHeight="1" spans="1:8">
      <c r="A25" s="49">
        <v>17</v>
      </c>
      <c r="B25" s="183" t="s">
        <v>50</v>
      </c>
      <c r="C25" s="117" t="s">
        <v>51</v>
      </c>
      <c r="D25" s="119" t="s">
        <v>1231</v>
      </c>
      <c r="E25" s="185">
        <v>7709.76</v>
      </c>
      <c r="F25" s="118">
        <f>46673.26</f>
        <v>46673.26</v>
      </c>
      <c r="G25" s="118">
        <f t="shared" si="0"/>
        <v>38963.5</v>
      </c>
      <c r="H25" s="156"/>
    </row>
    <row r="26" customHeight="1" spans="1:8">
      <c r="A26" s="49">
        <v>18</v>
      </c>
      <c r="B26" s="191" t="s">
        <v>53</v>
      </c>
      <c r="C26" s="43" t="s">
        <v>54</v>
      </c>
      <c r="D26" s="119" t="s">
        <v>58</v>
      </c>
      <c r="E26" s="185">
        <v>7709.76</v>
      </c>
      <c r="F26" s="118">
        <f>63364.81</f>
        <v>63364.81</v>
      </c>
      <c r="G26" s="118">
        <f t="shared" si="0"/>
        <v>55655.05</v>
      </c>
      <c r="H26" s="156"/>
    </row>
    <row r="27" customHeight="1" spans="1:8">
      <c r="A27" s="49">
        <v>19</v>
      </c>
      <c r="B27" s="183" t="s">
        <v>204</v>
      </c>
      <c r="C27" s="117" t="s">
        <v>581</v>
      </c>
      <c r="D27" s="119" t="s">
        <v>135</v>
      </c>
      <c r="E27" s="185">
        <v>3369.51</v>
      </c>
      <c r="F27" s="118">
        <f>31848.56</f>
        <v>31848.56</v>
      </c>
      <c r="G27" s="118">
        <f t="shared" si="0"/>
        <v>28479.05</v>
      </c>
      <c r="H27" s="156"/>
    </row>
    <row r="28" ht="18.75" customHeight="1" spans="1:8">
      <c r="A28" s="49">
        <v>20</v>
      </c>
      <c r="B28" s="183" t="s">
        <v>60</v>
      </c>
      <c r="C28" s="117" t="s">
        <v>94</v>
      </c>
      <c r="D28" s="119" t="s">
        <v>587</v>
      </c>
      <c r="E28" s="185">
        <v>3369.51</v>
      </c>
      <c r="F28" s="118">
        <f>27873.08</f>
        <v>27873.08</v>
      </c>
      <c r="G28" s="118">
        <f t="shared" si="0"/>
        <v>24503.57</v>
      </c>
      <c r="H28" s="156"/>
    </row>
    <row r="29" ht="18.75" customHeight="1" spans="1:8">
      <c r="A29" s="49">
        <v>21</v>
      </c>
      <c r="B29" s="183" t="s">
        <v>202</v>
      </c>
      <c r="C29" s="43" t="s">
        <v>1232</v>
      </c>
      <c r="D29" s="119" t="s">
        <v>587</v>
      </c>
      <c r="E29" s="185">
        <v>3369.51</v>
      </c>
      <c r="F29" s="118">
        <f>27873.08</f>
        <v>27873.08</v>
      </c>
      <c r="G29" s="118">
        <f t="shared" si="0"/>
        <v>24503.57</v>
      </c>
      <c r="H29" s="156"/>
    </row>
    <row r="30" ht="18.75" customHeight="1" spans="1:8">
      <c r="A30" s="49">
        <v>22</v>
      </c>
      <c r="B30" s="191" t="s">
        <v>254</v>
      </c>
      <c r="C30" s="43" t="s">
        <v>1197</v>
      </c>
      <c r="D30" s="119" t="s">
        <v>265</v>
      </c>
      <c r="E30" s="185">
        <v>3369.51</v>
      </c>
      <c r="F30" s="118">
        <f>27105.99</f>
        <v>27105.99</v>
      </c>
      <c r="G30" s="118">
        <f t="shared" si="0"/>
        <v>23736.48</v>
      </c>
      <c r="H30" s="156"/>
    </row>
    <row r="31" ht="18.75" customHeight="1" spans="1:8">
      <c r="A31" s="49">
        <v>23</v>
      </c>
      <c r="B31" s="191" t="s">
        <v>1182</v>
      </c>
      <c r="C31" s="117" t="s">
        <v>91</v>
      </c>
      <c r="D31" s="119" t="s">
        <v>104</v>
      </c>
      <c r="E31" s="185">
        <v>1484.37</v>
      </c>
      <c r="F31" s="44">
        <f>26339.08</f>
        <v>26339.08</v>
      </c>
      <c r="G31" s="118">
        <f t="shared" si="0"/>
        <v>24854.71</v>
      </c>
      <c r="H31" s="156"/>
    </row>
    <row r="32" ht="18.75" customHeight="1" spans="1:8">
      <c r="A32" s="49">
        <v>24</v>
      </c>
      <c r="B32" s="46" t="s">
        <v>73</v>
      </c>
      <c r="C32" s="46" t="s">
        <v>74</v>
      </c>
      <c r="D32" s="49" t="s">
        <v>83</v>
      </c>
      <c r="E32" s="185">
        <v>3369.51</v>
      </c>
      <c r="F32" s="118">
        <f>21640.95</f>
        <v>21640.95</v>
      </c>
      <c r="G32" s="118">
        <f t="shared" si="0"/>
        <v>18271.44</v>
      </c>
      <c r="H32" s="156"/>
    </row>
    <row r="33" ht="18.75" customHeight="1" spans="1:8">
      <c r="A33" s="49">
        <v>25</v>
      </c>
      <c r="B33" s="191" t="s">
        <v>76</v>
      </c>
      <c r="C33" s="117" t="s">
        <v>74</v>
      </c>
      <c r="D33" s="119" t="s">
        <v>1198</v>
      </c>
      <c r="E33" s="185">
        <v>1484.37</v>
      </c>
      <c r="F33" s="118">
        <f>18102.9</f>
        <v>18102.9</v>
      </c>
      <c r="G33" s="118">
        <f t="shared" si="0"/>
        <v>16618.53</v>
      </c>
      <c r="H33" s="156"/>
    </row>
    <row r="34" ht="18.75" customHeight="1" spans="1:8">
      <c r="A34" s="49">
        <v>26</v>
      </c>
      <c r="B34" s="183" t="s">
        <v>1089</v>
      </c>
      <c r="C34" s="117" t="s">
        <v>1036</v>
      </c>
      <c r="D34" s="119" t="s">
        <v>1014</v>
      </c>
      <c r="E34" s="185">
        <v>1484.37</v>
      </c>
      <c r="F34" s="118">
        <f>18102.9</f>
        <v>18102.9</v>
      </c>
      <c r="G34" s="118">
        <f t="shared" si="0"/>
        <v>16618.53</v>
      </c>
      <c r="H34" s="156"/>
    </row>
    <row r="35" ht="18.75" customHeight="1" spans="1:8">
      <c r="A35" s="49">
        <v>27</v>
      </c>
      <c r="B35" s="191" t="s">
        <v>78</v>
      </c>
      <c r="C35" s="117" t="s">
        <v>1036</v>
      </c>
      <c r="D35" s="119" t="s">
        <v>1233</v>
      </c>
      <c r="E35" s="185">
        <v>1484.37</v>
      </c>
      <c r="F35" s="118">
        <f>17572.89</f>
        <v>17572.89</v>
      </c>
      <c r="G35" s="118">
        <f t="shared" si="0"/>
        <v>16088.52</v>
      </c>
      <c r="H35" s="156"/>
    </row>
    <row r="36" ht="18.75" customHeight="1" spans="1:8">
      <c r="A36" s="49">
        <v>28</v>
      </c>
      <c r="B36" s="188" t="s">
        <v>182</v>
      </c>
      <c r="C36" s="17" t="s">
        <v>1199</v>
      </c>
      <c r="D36" s="119" t="s">
        <v>171</v>
      </c>
      <c r="E36" s="185">
        <v>1484.37</v>
      </c>
      <c r="F36" s="44">
        <f>17572.89</f>
        <v>17572.89</v>
      </c>
      <c r="G36" s="118">
        <f t="shared" si="0"/>
        <v>16088.52</v>
      </c>
      <c r="H36" s="156"/>
    </row>
    <row r="37" ht="18.75" customHeight="1" spans="1:8">
      <c r="A37" s="49">
        <v>29</v>
      </c>
      <c r="B37" s="191" t="s">
        <v>81</v>
      </c>
      <c r="C37" s="43" t="s">
        <v>1091</v>
      </c>
      <c r="D37" s="49" t="s">
        <v>171</v>
      </c>
      <c r="E37" s="185">
        <v>1484.37</v>
      </c>
      <c r="F37" s="118">
        <f>17572.89</f>
        <v>17572.89</v>
      </c>
      <c r="G37" s="118">
        <f t="shared" si="0"/>
        <v>16088.52</v>
      </c>
      <c r="H37" s="156"/>
    </row>
    <row r="38" ht="18.75" customHeight="1" spans="1:8">
      <c r="A38" s="49">
        <v>30</v>
      </c>
      <c r="B38" s="194" t="s">
        <v>85</v>
      </c>
      <c r="C38" s="17" t="s">
        <v>86</v>
      </c>
      <c r="D38" s="119" t="s">
        <v>95</v>
      </c>
      <c r="E38" s="185">
        <v>1484.37</v>
      </c>
      <c r="F38" s="44">
        <f>16512.68</f>
        <v>16512.68</v>
      </c>
      <c r="G38" s="118">
        <f t="shared" si="0"/>
        <v>15028.31</v>
      </c>
      <c r="H38" s="156"/>
    </row>
    <row r="39" ht="18.75" customHeight="1" spans="1:8">
      <c r="A39" s="49">
        <v>31</v>
      </c>
      <c r="B39" s="194" t="s">
        <v>1234</v>
      </c>
      <c r="C39" s="17" t="s">
        <v>86</v>
      </c>
      <c r="D39" s="119" t="s">
        <v>95</v>
      </c>
      <c r="E39" s="185">
        <v>1484.37</v>
      </c>
      <c r="F39" s="44">
        <f>16512.68</f>
        <v>16512.68</v>
      </c>
      <c r="G39" s="118">
        <f t="shared" si="0"/>
        <v>15028.31</v>
      </c>
      <c r="H39" s="156"/>
    </row>
    <row r="40" ht="18.75" customHeight="1" spans="1:8">
      <c r="A40" s="49">
        <v>32</v>
      </c>
      <c r="B40" s="191" t="s">
        <v>88</v>
      </c>
      <c r="C40" s="43" t="s">
        <v>1200</v>
      </c>
      <c r="D40" s="49" t="s">
        <v>95</v>
      </c>
      <c r="E40" s="185">
        <v>1484.37</v>
      </c>
      <c r="F40" s="118">
        <f>16512.68</f>
        <v>16512.68</v>
      </c>
      <c r="G40" s="118">
        <f t="shared" si="0"/>
        <v>15028.31</v>
      </c>
      <c r="H40" s="156"/>
    </row>
    <row r="41" ht="18.75" customHeight="1" spans="1:8">
      <c r="A41" s="49">
        <v>33</v>
      </c>
      <c r="B41" s="191" t="s">
        <v>1009</v>
      </c>
      <c r="C41" s="117" t="s">
        <v>91</v>
      </c>
      <c r="D41" s="119" t="s">
        <v>95</v>
      </c>
      <c r="E41" s="185">
        <v>1484.37</v>
      </c>
      <c r="F41" s="44">
        <f>16512.68</f>
        <v>16512.68</v>
      </c>
      <c r="G41" s="118">
        <f t="shared" si="0"/>
        <v>15028.31</v>
      </c>
      <c r="H41" s="156"/>
    </row>
    <row r="42" ht="18.75" customHeight="1" spans="1:8">
      <c r="A42" s="49">
        <v>34</v>
      </c>
      <c r="B42" s="191" t="s">
        <v>1183</v>
      </c>
      <c r="C42" s="117" t="s">
        <v>91</v>
      </c>
      <c r="D42" s="119" t="s">
        <v>95</v>
      </c>
      <c r="E42" s="185">
        <v>0</v>
      </c>
      <c r="F42" s="44">
        <f>16512.68</f>
        <v>16512.68</v>
      </c>
      <c r="G42" s="118">
        <f t="shared" ref="G42" si="1">F42-E42</f>
        <v>16512.68</v>
      </c>
      <c r="H42" s="156"/>
    </row>
    <row r="43" ht="26.25" customHeight="1" spans="1:8">
      <c r="A43" s="49"/>
      <c r="B43" s="195" t="s">
        <v>96</v>
      </c>
      <c r="C43" s="68">
        <v>33</v>
      </c>
      <c r="D43" s="119"/>
      <c r="E43" s="196">
        <f>SUM(E9:E42)</f>
        <v>415827.18</v>
      </c>
      <c r="F43" s="130">
        <f>SUM(F9:F41)</f>
        <v>1658278.62</v>
      </c>
      <c r="G43" s="153">
        <f t="shared" si="0"/>
        <v>1242451.44</v>
      </c>
      <c r="H43" s="156"/>
    </row>
    <row r="44" ht="18.75" customHeight="1" spans="1:7">
      <c r="A44" s="49"/>
      <c r="B44" s="197"/>
      <c r="C44" s="43"/>
      <c r="D44" s="119"/>
      <c r="E44" s="185"/>
      <c r="F44" s="130"/>
      <c r="G44" s="118">
        <f t="shared" si="0"/>
        <v>0</v>
      </c>
    </row>
    <row r="45" ht="18.75" customHeight="1" spans="1:7">
      <c r="A45" s="49"/>
      <c r="B45" s="195" t="s">
        <v>97</v>
      </c>
      <c r="C45" s="43"/>
      <c r="D45" s="119"/>
      <c r="E45" s="185"/>
      <c r="F45" s="118"/>
      <c r="G45" s="118">
        <f t="shared" si="0"/>
        <v>0</v>
      </c>
    </row>
    <row r="46" ht="18.75" customHeight="1" spans="1:7">
      <c r="A46" s="49">
        <v>1</v>
      </c>
      <c r="B46" s="191" t="s">
        <v>98</v>
      </c>
      <c r="C46" s="43" t="s">
        <v>99</v>
      </c>
      <c r="D46" s="49" t="s">
        <v>1235</v>
      </c>
      <c r="E46" s="185">
        <v>52776.63</v>
      </c>
      <c r="F46" s="118">
        <f>156349.82</f>
        <v>156349.82</v>
      </c>
      <c r="G46" s="118">
        <f t="shared" si="0"/>
        <v>103573.19</v>
      </c>
    </row>
    <row r="47" ht="18.75" customHeight="1" spans="1:7">
      <c r="A47" s="49">
        <v>2</v>
      </c>
      <c r="B47" s="191" t="s">
        <v>101</v>
      </c>
      <c r="C47" s="43" t="s">
        <v>615</v>
      </c>
      <c r="D47" s="49" t="s">
        <v>95</v>
      </c>
      <c r="E47" s="185">
        <v>1484.37</v>
      </c>
      <c r="F47" s="118">
        <f>16512.68</f>
        <v>16512.68</v>
      </c>
      <c r="G47" s="118">
        <f t="shared" si="0"/>
        <v>15028.31</v>
      </c>
    </row>
    <row r="48" ht="19.5" customHeight="1" spans="1:8">
      <c r="A48" s="49"/>
      <c r="B48" s="198"/>
      <c r="C48" s="68">
        <v>2</v>
      </c>
      <c r="D48" s="49"/>
      <c r="E48" s="196">
        <v>54261</v>
      </c>
      <c r="F48" s="130">
        <f>SUM(F46:F47)</f>
        <v>172862.5</v>
      </c>
      <c r="G48" s="153">
        <f t="shared" si="0"/>
        <v>118601.5</v>
      </c>
      <c r="H48" s="199"/>
    </row>
    <row r="49" customHeight="1" spans="1:7">
      <c r="A49" s="49"/>
      <c r="B49" s="186"/>
      <c r="C49" s="43"/>
      <c r="D49" s="49"/>
      <c r="E49" s="185"/>
      <c r="F49" s="130"/>
      <c r="G49" s="118">
        <f t="shared" si="0"/>
        <v>0</v>
      </c>
    </row>
    <row r="50" customHeight="1" spans="1:7">
      <c r="A50" s="49"/>
      <c r="B50" s="200" t="s">
        <v>107</v>
      </c>
      <c r="C50" s="135"/>
      <c r="D50" s="57"/>
      <c r="E50" s="201"/>
      <c r="F50" s="118"/>
      <c r="G50" s="118">
        <f t="shared" si="0"/>
        <v>0</v>
      </c>
    </row>
    <row r="51" customHeight="1" spans="1:7">
      <c r="A51" s="49">
        <v>1</v>
      </c>
      <c r="B51" s="183" t="s">
        <v>501</v>
      </c>
      <c r="C51" s="43" t="s">
        <v>502</v>
      </c>
      <c r="D51" s="49" t="s">
        <v>100</v>
      </c>
      <c r="E51" s="185">
        <v>52776.63</v>
      </c>
      <c r="F51" s="118">
        <f>180306.81</f>
        <v>180306.81</v>
      </c>
      <c r="G51" s="118">
        <f t="shared" si="0"/>
        <v>127530.18</v>
      </c>
    </row>
    <row r="52" customHeight="1" spans="1:7">
      <c r="A52" s="49">
        <v>2</v>
      </c>
      <c r="B52" s="183" t="s">
        <v>491</v>
      </c>
      <c r="C52" s="43" t="s">
        <v>44</v>
      </c>
      <c r="D52" s="49" t="s">
        <v>36</v>
      </c>
      <c r="E52" s="185">
        <v>15548.33</v>
      </c>
      <c r="F52" s="118">
        <f>79956.94</f>
        <v>79956.94</v>
      </c>
      <c r="G52" s="118">
        <f t="shared" si="0"/>
        <v>64408.61</v>
      </c>
    </row>
    <row r="53" customHeight="1" spans="1:7">
      <c r="A53" s="49">
        <v>3</v>
      </c>
      <c r="B53" s="183" t="s">
        <v>108</v>
      </c>
      <c r="C53" s="43" t="s">
        <v>112</v>
      </c>
      <c r="D53" s="49" t="s">
        <v>36</v>
      </c>
      <c r="E53" s="185">
        <v>15548.33</v>
      </c>
      <c r="F53" s="118">
        <f>79956.94</f>
        <v>79956.94</v>
      </c>
      <c r="G53" s="118">
        <f t="shared" si="0"/>
        <v>64408.61</v>
      </c>
    </row>
    <row r="54" customHeight="1" spans="1:7">
      <c r="A54" s="49">
        <v>4</v>
      </c>
      <c r="B54" s="183" t="s">
        <v>111</v>
      </c>
      <c r="C54" s="43" t="s">
        <v>112</v>
      </c>
      <c r="D54" s="49" t="s">
        <v>131</v>
      </c>
      <c r="E54" s="185">
        <v>15548.33</v>
      </c>
      <c r="F54" s="118">
        <f>77764.98</f>
        <v>77764.98</v>
      </c>
      <c r="G54" s="118">
        <f t="shared" si="0"/>
        <v>62216.65</v>
      </c>
    </row>
    <row r="55" customHeight="1" spans="1:7">
      <c r="A55" s="49">
        <v>5</v>
      </c>
      <c r="B55" s="183" t="s">
        <v>113</v>
      </c>
      <c r="C55" s="43" t="s">
        <v>46</v>
      </c>
      <c r="D55" s="49" t="s">
        <v>42</v>
      </c>
      <c r="E55" s="185">
        <v>7709.76</v>
      </c>
      <c r="F55" s="118">
        <f>59437.57</f>
        <v>59437.57</v>
      </c>
      <c r="G55" s="118">
        <f t="shared" si="0"/>
        <v>51727.81</v>
      </c>
    </row>
    <row r="56" customHeight="1" spans="1:7">
      <c r="A56" s="49">
        <v>6</v>
      </c>
      <c r="B56" s="183" t="s">
        <v>114</v>
      </c>
      <c r="C56" s="43" t="s">
        <v>46</v>
      </c>
      <c r="D56" s="49" t="s">
        <v>148</v>
      </c>
      <c r="E56" s="185">
        <v>7709.76</v>
      </c>
      <c r="F56" s="118">
        <f>56478.9</f>
        <v>56478.9</v>
      </c>
      <c r="G56" s="118">
        <f t="shared" si="0"/>
        <v>48769.14</v>
      </c>
    </row>
    <row r="57" customHeight="1" spans="1:7">
      <c r="A57" s="49">
        <v>7</v>
      </c>
      <c r="B57" s="202" t="s">
        <v>115</v>
      </c>
      <c r="C57" s="43" t="s">
        <v>133</v>
      </c>
      <c r="D57" s="16" t="s">
        <v>148</v>
      </c>
      <c r="E57" s="189">
        <v>7709.76</v>
      </c>
      <c r="F57" s="85">
        <f>56478.9</f>
        <v>56478.9</v>
      </c>
      <c r="G57" s="118">
        <f t="shared" si="0"/>
        <v>48769.14</v>
      </c>
    </row>
    <row r="58" customHeight="1" spans="1:7">
      <c r="A58" s="49">
        <v>8</v>
      </c>
      <c r="B58" s="183" t="s">
        <v>1094</v>
      </c>
      <c r="C58" s="43" t="s">
        <v>165</v>
      </c>
      <c r="D58" s="49" t="s">
        <v>52</v>
      </c>
      <c r="E58" s="185">
        <v>7709.76</v>
      </c>
      <c r="F58" s="118">
        <f>49548.78</f>
        <v>49548.78</v>
      </c>
      <c r="G58" s="118">
        <f t="shared" si="0"/>
        <v>41839.02</v>
      </c>
    </row>
    <row r="59" customHeight="1" spans="1:7">
      <c r="A59" s="49">
        <v>9</v>
      </c>
      <c r="B59" s="188" t="s">
        <v>45</v>
      </c>
      <c r="C59" s="43" t="s">
        <v>483</v>
      </c>
      <c r="D59" s="10" t="s">
        <v>1019</v>
      </c>
      <c r="E59" s="189">
        <v>7709.76</v>
      </c>
      <c r="F59" s="85">
        <f>48052.11</f>
        <v>48052.11</v>
      </c>
      <c r="G59" s="118">
        <f t="shared" si="0"/>
        <v>40342.35</v>
      </c>
    </row>
    <row r="60" customHeight="1" spans="1:7">
      <c r="A60" s="49">
        <v>10</v>
      </c>
      <c r="B60" s="188" t="s">
        <v>118</v>
      </c>
      <c r="C60" s="43" t="s">
        <v>117</v>
      </c>
      <c r="D60" s="49" t="s">
        <v>83</v>
      </c>
      <c r="E60" s="185">
        <v>3369.51</v>
      </c>
      <c r="F60" s="118">
        <f>28360.95</f>
        <v>28360.95</v>
      </c>
      <c r="G60" s="118">
        <f t="shared" si="0"/>
        <v>24991.44</v>
      </c>
    </row>
    <row r="61" customHeight="1" spans="1:7">
      <c r="A61" s="49">
        <v>11</v>
      </c>
      <c r="B61" s="188" t="s">
        <v>580</v>
      </c>
      <c r="C61" s="43" t="s">
        <v>117</v>
      </c>
      <c r="D61" s="49" t="s">
        <v>83</v>
      </c>
      <c r="E61" s="185">
        <v>3369.51</v>
      </c>
      <c r="F61" s="118">
        <f>28360.95</f>
        <v>28360.95</v>
      </c>
      <c r="G61" s="118">
        <f t="shared" si="0"/>
        <v>24991.44</v>
      </c>
    </row>
    <row r="62" customHeight="1" spans="1:7">
      <c r="A62" s="49">
        <v>12</v>
      </c>
      <c r="B62" s="188" t="s">
        <v>119</v>
      </c>
      <c r="C62" s="43" t="s">
        <v>117</v>
      </c>
      <c r="D62" s="49" t="s">
        <v>83</v>
      </c>
      <c r="E62" s="185">
        <v>0</v>
      </c>
      <c r="F62" s="118">
        <f>28360.95*23/31</f>
        <v>21041.9951612903</v>
      </c>
      <c r="G62" s="118">
        <f t="shared" ref="G62" si="2">F62-E62</f>
        <v>21041.9951612903</v>
      </c>
    </row>
    <row r="63" ht="25.5" customHeight="1" spans="1:8">
      <c r="A63" s="49"/>
      <c r="B63" s="203" t="s">
        <v>96</v>
      </c>
      <c r="C63" s="21">
        <v>11</v>
      </c>
      <c r="D63" s="21"/>
      <c r="E63" s="204">
        <f>SUM(E51:E62)</f>
        <v>144709.44</v>
      </c>
      <c r="F63" s="204">
        <f t="shared" ref="F63:G63" si="3">SUM(F51:F62)</f>
        <v>765745.82516129</v>
      </c>
      <c r="G63" s="204">
        <f t="shared" si="3"/>
        <v>621036.38516129</v>
      </c>
      <c r="H63" s="199"/>
    </row>
    <row r="64" customHeight="1" spans="1:7">
      <c r="A64" s="49"/>
      <c r="B64" s="22"/>
      <c r="C64" s="21"/>
      <c r="D64" s="21"/>
      <c r="E64" s="204"/>
      <c r="F64" s="146"/>
      <c r="G64" s="118">
        <f t="shared" si="0"/>
        <v>0</v>
      </c>
    </row>
    <row r="65" customHeight="1" spans="1:7">
      <c r="A65" s="49"/>
      <c r="B65" s="203" t="s">
        <v>120</v>
      </c>
      <c r="C65" s="21"/>
      <c r="D65" s="21"/>
      <c r="E65" s="204"/>
      <c r="F65" s="146"/>
      <c r="G65" s="118">
        <f t="shared" si="0"/>
        <v>0</v>
      </c>
    </row>
    <row r="66" customHeight="1" spans="1:7">
      <c r="A66" s="49">
        <v>1</v>
      </c>
      <c r="B66" s="183" t="s">
        <v>503</v>
      </c>
      <c r="C66" s="117" t="s">
        <v>122</v>
      </c>
      <c r="D66" s="119" t="s">
        <v>100</v>
      </c>
      <c r="E66" s="185">
        <v>52776.63</v>
      </c>
      <c r="F66" s="118">
        <f>180306.81</f>
        <v>180306.81</v>
      </c>
      <c r="G66" s="118">
        <f t="shared" si="0"/>
        <v>127530.18</v>
      </c>
    </row>
    <row r="67" customHeight="1" spans="1:7">
      <c r="A67" s="49">
        <v>2</v>
      </c>
      <c r="B67" s="191" t="s">
        <v>123</v>
      </c>
      <c r="C67" s="117" t="s">
        <v>124</v>
      </c>
      <c r="D67" s="119" t="s">
        <v>573</v>
      </c>
      <c r="E67" s="185">
        <v>15548.33</v>
      </c>
      <c r="F67" s="118">
        <f>62404.98</f>
        <v>62404.98</v>
      </c>
      <c r="G67" s="118">
        <f t="shared" si="0"/>
        <v>46856.65</v>
      </c>
    </row>
    <row r="68" customHeight="1" spans="1:8">
      <c r="A68" s="49"/>
      <c r="B68" s="203" t="s">
        <v>96</v>
      </c>
      <c r="C68" s="21">
        <v>2</v>
      </c>
      <c r="D68" s="21"/>
      <c r="E68" s="204">
        <v>68324.96</v>
      </c>
      <c r="F68" s="93">
        <f t="shared" ref="F68" si="4">SUM(F66:F67)</f>
        <v>242711.79</v>
      </c>
      <c r="G68" s="118">
        <f t="shared" si="0"/>
        <v>174386.83</v>
      </c>
      <c r="H68" s="199"/>
    </row>
    <row r="69" customHeight="1" spans="1:7">
      <c r="A69" s="49"/>
      <c r="B69" s="203"/>
      <c r="C69" s="21"/>
      <c r="D69" s="21"/>
      <c r="E69" s="204"/>
      <c r="F69" s="146"/>
      <c r="G69" s="118">
        <f t="shared" si="0"/>
        <v>0</v>
      </c>
    </row>
    <row r="70" customHeight="1" spans="1:7">
      <c r="A70" s="49"/>
      <c r="B70" s="203" t="s">
        <v>1236</v>
      </c>
      <c r="C70" s="21"/>
      <c r="D70" s="21"/>
      <c r="E70" s="204"/>
      <c r="F70" s="146"/>
      <c r="G70" s="118">
        <f t="shared" si="0"/>
        <v>0</v>
      </c>
    </row>
    <row r="71" customHeight="1" spans="1:7">
      <c r="A71" s="49">
        <v>1</v>
      </c>
      <c r="B71" s="188" t="s">
        <v>127</v>
      </c>
      <c r="C71" s="17" t="s">
        <v>128</v>
      </c>
      <c r="D71" s="10" t="s">
        <v>100</v>
      </c>
      <c r="E71" s="189">
        <v>52776.63</v>
      </c>
      <c r="F71" s="85">
        <f>180306.81</f>
        <v>180306.81</v>
      </c>
      <c r="G71" s="118">
        <f t="shared" si="0"/>
        <v>127530.18</v>
      </c>
    </row>
    <row r="72" customHeight="1" spans="1:7">
      <c r="A72" s="49">
        <v>2</v>
      </c>
      <c r="B72" s="194" t="s">
        <v>129</v>
      </c>
      <c r="C72" s="17" t="s">
        <v>130</v>
      </c>
      <c r="D72" s="119" t="s">
        <v>1021</v>
      </c>
      <c r="E72" s="185">
        <v>15548.33</v>
      </c>
      <c r="F72" s="118">
        <v>75572.92</v>
      </c>
      <c r="G72" s="118">
        <f t="shared" si="0"/>
        <v>60024.59</v>
      </c>
    </row>
    <row r="73" customHeight="1" spans="1:7">
      <c r="A73" s="49">
        <v>3</v>
      </c>
      <c r="B73" s="188" t="s">
        <v>132</v>
      </c>
      <c r="C73" s="43" t="s">
        <v>165</v>
      </c>
      <c r="D73" s="10" t="s">
        <v>1019</v>
      </c>
      <c r="E73" s="189">
        <v>7709.76</v>
      </c>
      <c r="F73" s="85">
        <f>48170.87</f>
        <v>48170.87</v>
      </c>
      <c r="G73" s="118">
        <f t="shared" si="0"/>
        <v>40461.11</v>
      </c>
    </row>
    <row r="74" customHeight="1" spans="1:7">
      <c r="A74" s="49">
        <v>4</v>
      </c>
      <c r="B74" s="194" t="s">
        <v>486</v>
      </c>
      <c r="C74" s="17" t="s">
        <v>165</v>
      </c>
      <c r="D74" s="119" t="s">
        <v>1231</v>
      </c>
      <c r="E74" s="185">
        <v>7709.76</v>
      </c>
      <c r="F74" s="118">
        <f>46673.26</f>
        <v>46673.26</v>
      </c>
      <c r="G74" s="118">
        <f t="shared" si="0"/>
        <v>38963.5</v>
      </c>
    </row>
    <row r="75" customHeight="1" spans="1:7">
      <c r="A75" s="49">
        <v>5</v>
      </c>
      <c r="B75" s="186" t="s">
        <v>519</v>
      </c>
      <c r="C75" s="17" t="s">
        <v>133</v>
      </c>
      <c r="D75" s="119" t="s">
        <v>148</v>
      </c>
      <c r="E75" s="185">
        <v>7709.76</v>
      </c>
      <c r="F75" s="118">
        <v>56478.9</v>
      </c>
      <c r="G75" s="118">
        <f t="shared" si="0"/>
        <v>48769.14</v>
      </c>
    </row>
    <row r="76" customHeight="1" spans="1:7">
      <c r="A76" s="49">
        <v>6</v>
      </c>
      <c r="B76" s="188" t="s">
        <v>134</v>
      </c>
      <c r="C76" s="4" t="s">
        <v>117</v>
      </c>
      <c r="D76" s="10" t="s">
        <v>1237</v>
      </c>
      <c r="E76" s="189">
        <v>3369.51</v>
      </c>
      <c r="F76" s="85">
        <v>36127.27</v>
      </c>
      <c r="G76" s="118">
        <f t="shared" ref="G76:G139" si="5">F76-E76</f>
        <v>32757.76</v>
      </c>
    </row>
    <row r="77" customHeight="1" spans="1:7">
      <c r="A77" s="49">
        <v>7</v>
      </c>
      <c r="B77" s="190" t="s">
        <v>1102</v>
      </c>
      <c r="C77" s="17" t="s">
        <v>67</v>
      </c>
      <c r="D77" s="119" t="s">
        <v>135</v>
      </c>
      <c r="E77" s="185">
        <v>3369.51</v>
      </c>
      <c r="F77" s="118">
        <v>41248.56</v>
      </c>
      <c r="G77" s="118">
        <f t="shared" si="5"/>
        <v>37879.05</v>
      </c>
    </row>
    <row r="78" customHeight="1" spans="1:7">
      <c r="A78" s="49">
        <v>8</v>
      </c>
      <c r="B78" s="183" t="s">
        <v>136</v>
      </c>
      <c r="C78" s="17" t="s">
        <v>67</v>
      </c>
      <c r="D78" s="119" t="s">
        <v>65</v>
      </c>
      <c r="E78" s="185">
        <v>3369.51</v>
      </c>
      <c r="F78" s="118">
        <f>40149.18</f>
        <v>40149.18</v>
      </c>
      <c r="G78" s="118">
        <f t="shared" si="5"/>
        <v>36779.67</v>
      </c>
    </row>
    <row r="79" customHeight="1" spans="1:7">
      <c r="A79" s="49">
        <v>9</v>
      </c>
      <c r="B79" s="183" t="s">
        <v>137</v>
      </c>
      <c r="C79" s="17" t="s">
        <v>67</v>
      </c>
      <c r="D79" s="119" t="s">
        <v>65</v>
      </c>
      <c r="E79" s="185">
        <v>3369.51</v>
      </c>
      <c r="F79" s="118">
        <f>40149.18</f>
        <v>40149.18</v>
      </c>
      <c r="G79" s="118">
        <f t="shared" si="5"/>
        <v>36779.67</v>
      </c>
    </row>
    <row r="80" customHeight="1" spans="1:7">
      <c r="A80" s="49">
        <v>10</v>
      </c>
      <c r="B80" s="183" t="s">
        <v>138</v>
      </c>
      <c r="C80" s="43" t="s">
        <v>152</v>
      </c>
      <c r="D80" s="49" t="s">
        <v>587</v>
      </c>
      <c r="E80" s="185">
        <v>3369.51</v>
      </c>
      <c r="F80" s="118">
        <f>34593.08</f>
        <v>34593.08</v>
      </c>
      <c r="G80" s="118">
        <f t="shared" si="5"/>
        <v>31223.57</v>
      </c>
    </row>
    <row r="81" customHeight="1" spans="1:7">
      <c r="A81" s="49">
        <v>11</v>
      </c>
      <c r="B81" s="188" t="s">
        <v>1184</v>
      </c>
      <c r="C81" s="17" t="s">
        <v>117</v>
      </c>
      <c r="D81" s="49" t="s">
        <v>70</v>
      </c>
      <c r="E81" s="185">
        <v>3369.51</v>
      </c>
      <c r="F81" s="118">
        <f>32291.82</f>
        <v>32291.82</v>
      </c>
      <c r="G81" s="118">
        <f t="shared" si="5"/>
        <v>28922.31</v>
      </c>
    </row>
    <row r="82" customHeight="1" spans="1:7">
      <c r="A82" s="49">
        <v>12</v>
      </c>
      <c r="B82" s="188" t="s">
        <v>77</v>
      </c>
      <c r="C82" s="17" t="s">
        <v>64</v>
      </c>
      <c r="D82" s="49" t="s">
        <v>83</v>
      </c>
      <c r="E82" s="185">
        <v>1484.37</v>
      </c>
      <c r="F82" s="118">
        <f>24685.95</f>
        <v>24685.95</v>
      </c>
      <c r="G82" s="118">
        <f t="shared" si="5"/>
        <v>23201.58</v>
      </c>
    </row>
    <row r="83" customHeight="1" spans="1:7">
      <c r="A83" s="49">
        <v>13</v>
      </c>
      <c r="B83" s="186" t="s">
        <v>63</v>
      </c>
      <c r="C83" s="17" t="s">
        <v>64</v>
      </c>
      <c r="D83" s="49" t="s">
        <v>95</v>
      </c>
      <c r="E83" s="185">
        <v>1484.37</v>
      </c>
      <c r="F83" s="118">
        <f>24685.95</f>
        <v>24685.95</v>
      </c>
      <c r="G83" s="118">
        <f t="shared" si="5"/>
        <v>23201.58</v>
      </c>
    </row>
    <row r="84" customHeight="1" spans="1:8">
      <c r="A84" s="49"/>
      <c r="B84" s="203" t="s">
        <v>96</v>
      </c>
      <c r="C84" s="21">
        <v>13</v>
      </c>
      <c r="D84" s="21"/>
      <c r="E84" s="204">
        <v>114640.04</v>
      </c>
      <c r="F84" s="93">
        <f t="shared" ref="F84" si="6">SUM(F71:F83)</f>
        <v>681133.75</v>
      </c>
      <c r="G84" s="153">
        <f t="shared" si="5"/>
        <v>566493.71</v>
      </c>
      <c r="H84" s="199"/>
    </row>
    <row r="85" customHeight="1" spans="1:7">
      <c r="A85" s="49"/>
      <c r="B85" s="205"/>
      <c r="C85" s="21"/>
      <c r="D85" s="21"/>
      <c r="E85" s="204"/>
      <c r="F85" s="146"/>
      <c r="G85" s="118">
        <f t="shared" si="5"/>
        <v>0</v>
      </c>
    </row>
    <row r="86" customHeight="1" spans="1:7">
      <c r="A86" s="49"/>
      <c r="B86" s="203" t="s">
        <v>1238</v>
      </c>
      <c r="C86" s="21"/>
      <c r="D86" s="21"/>
      <c r="E86" s="204"/>
      <c r="F86" s="146"/>
      <c r="G86" s="118">
        <f t="shared" si="5"/>
        <v>0</v>
      </c>
    </row>
    <row r="87" customHeight="1" spans="1:7">
      <c r="A87" s="49">
        <v>1</v>
      </c>
      <c r="B87" s="183" t="s">
        <v>142</v>
      </c>
      <c r="C87" s="43" t="s">
        <v>143</v>
      </c>
      <c r="D87" s="49" t="s">
        <v>100</v>
      </c>
      <c r="E87" s="185">
        <v>52776.63</v>
      </c>
      <c r="F87" s="118">
        <f>180306.81</f>
        <v>180306.81</v>
      </c>
      <c r="G87" s="118">
        <f t="shared" si="5"/>
        <v>127530.18</v>
      </c>
    </row>
    <row r="88" customHeight="1" spans="1:7">
      <c r="A88" s="49">
        <v>2</v>
      </c>
      <c r="B88" s="206" t="s">
        <v>520</v>
      </c>
      <c r="C88" s="46" t="s">
        <v>572</v>
      </c>
      <c r="D88" s="119" t="s">
        <v>1021</v>
      </c>
      <c r="E88" s="185">
        <v>15548.33</v>
      </c>
      <c r="F88" s="118">
        <f>75572.92</f>
        <v>75572.92</v>
      </c>
      <c r="G88" s="118">
        <f t="shared" si="5"/>
        <v>60024.59</v>
      </c>
    </row>
    <row r="89" customHeight="1" spans="1:7">
      <c r="A89" s="49">
        <v>3</v>
      </c>
      <c r="B89" s="206" t="s">
        <v>1185</v>
      </c>
      <c r="C89" s="46" t="s">
        <v>1186</v>
      </c>
      <c r="D89" s="119" t="s">
        <v>1021</v>
      </c>
      <c r="E89" s="185">
        <v>15548.33</v>
      </c>
      <c r="F89" s="118">
        <f>75572.92</f>
        <v>75572.92</v>
      </c>
      <c r="G89" s="118">
        <f t="shared" si="5"/>
        <v>60024.59</v>
      </c>
    </row>
    <row r="90" customHeight="1" spans="1:7">
      <c r="A90" s="49">
        <v>4</v>
      </c>
      <c r="B90" s="183" t="s">
        <v>149</v>
      </c>
      <c r="C90" s="43" t="s">
        <v>152</v>
      </c>
      <c r="D90" s="49" t="s">
        <v>70</v>
      </c>
      <c r="E90" s="185">
        <v>3369.51</v>
      </c>
      <c r="F90" s="118">
        <f>32291.82</f>
        <v>32291.82</v>
      </c>
      <c r="G90" s="118">
        <f t="shared" si="5"/>
        <v>28922.31</v>
      </c>
    </row>
    <row r="91" customHeight="1" spans="1:8">
      <c r="A91" s="49"/>
      <c r="B91" s="203" t="s">
        <v>96</v>
      </c>
      <c r="C91" s="21">
        <v>4</v>
      </c>
      <c r="D91" s="21"/>
      <c r="E91" s="204">
        <v>87242.8</v>
      </c>
      <c r="F91" s="93">
        <f t="shared" ref="F91" si="7">SUM(F87:F90)</f>
        <v>363744.47</v>
      </c>
      <c r="G91" s="153">
        <f t="shared" si="5"/>
        <v>276501.67</v>
      </c>
      <c r="H91" s="199"/>
    </row>
    <row r="92" customHeight="1" spans="1:7">
      <c r="A92" s="49"/>
      <c r="B92" s="207"/>
      <c r="C92" s="68"/>
      <c r="D92" s="68"/>
      <c r="E92" s="196"/>
      <c r="F92" s="153"/>
      <c r="G92" s="118">
        <f t="shared" si="5"/>
        <v>0</v>
      </c>
    </row>
    <row r="93" customHeight="1" spans="1:7">
      <c r="A93" s="49"/>
      <c r="B93" s="207" t="s">
        <v>1239</v>
      </c>
      <c r="C93" s="161"/>
      <c r="D93" s="68"/>
      <c r="E93" s="196"/>
      <c r="F93" s="153"/>
      <c r="G93" s="118">
        <f t="shared" si="5"/>
        <v>0</v>
      </c>
    </row>
    <row r="94" customHeight="1" spans="1:7">
      <c r="A94" s="49">
        <v>1</v>
      </c>
      <c r="B94" s="183" t="s">
        <v>1240</v>
      </c>
      <c r="C94" s="43" t="s">
        <v>1203</v>
      </c>
      <c r="D94" s="49" t="s">
        <v>110</v>
      </c>
      <c r="E94" s="185">
        <v>21618.09</v>
      </c>
      <c r="F94" s="118">
        <f>97273.51</f>
        <v>97273.51</v>
      </c>
      <c r="G94" s="118">
        <f t="shared" si="5"/>
        <v>75655.42</v>
      </c>
    </row>
    <row r="95" customHeight="1" spans="1:7">
      <c r="A95" s="49">
        <v>2</v>
      </c>
      <c r="B95" s="183" t="s">
        <v>156</v>
      </c>
      <c r="C95" s="43" t="s">
        <v>112</v>
      </c>
      <c r="D95" s="49" t="s">
        <v>36</v>
      </c>
      <c r="E95" s="185">
        <v>15548.33</v>
      </c>
      <c r="F95" s="118">
        <f>79956.94</f>
        <v>79956.94</v>
      </c>
      <c r="G95" s="118">
        <f t="shared" si="5"/>
        <v>64408.61</v>
      </c>
    </row>
    <row r="96" customHeight="1" spans="1:7">
      <c r="A96" s="49">
        <v>3</v>
      </c>
      <c r="B96" s="183" t="s">
        <v>157</v>
      </c>
      <c r="C96" s="43" t="s">
        <v>112</v>
      </c>
      <c r="D96" s="49" t="s">
        <v>36</v>
      </c>
      <c r="E96" s="185">
        <v>15548.33</v>
      </c>
      <c r="F96" s="118">
        <f>79796.1</f>
        <v>79796.1</v>
      </c>
      <c r="G96" s="118">
        <f t="shared" si="5"/>
        <v>64247.77</v>
      </c>
    </row>
    <row r="97" customHeight="1" spans="1:7">
      <c r="A97" s="49">
        <v>4</v>
      </c>
      <c r="B97" s="186" t="s">
        <v>201</v>
      </c>
      <c r="C97" s="43" t="s">
        <v>133</v>
      </c>
      <c r="D97" s="49" t="s">
        <v>222</v>
      </c>
      <c r="E97" s="185">
        <v>7709.76</v>
      </c>
      <c r="F97" s="118">
        <f>57894.08</f>
        <v>57894.08</v>
      </c>
      <c r="G97" s="118">
        <f t="shared" si="5"/>
        <v>50184.32</v>
      </c>
    </row>
    <row r="98" customHeight="1" spans="1:7">
      <c r="A98" s="49">
        <v>5</v>
      </c>
      <c r="B98" s="188" t="s">
        <v>158</v>
      </c>
      <c r="C98" s="43" t="s">
        <v>46</v>
      </c>
      <c r="D98" s="49" t="s">
        <v>148</v>
      </c>
      <c r="E98" s="185">
        <v>7709.76</v>
      </c>
      <c r="F98" s="118">
        <f>56478.9</f>
        <v>56478.9</v>
      </c>
      <c r="G98" s="118">
        <f t="shared" si="5"/>
        <v>48769.14</v>
      </c>
    </row>
    <row r="99" customHeight="1" spans="1:7">
      <c r="A99" s="49">
        <v>6</v>
      </c>
      <c r="B99" s="188" t="s">
        <v>1241</v>
      </c>
      <c r="C99" s="43" t="s">
        <v>46</v>
      </c>
      <c r="D99" s="49" t="s">
        <v>162</v>
      </c>
      <c r="E99" s="185">
        <v>7709.76</v>
      </c>
      <c r="F99" s="118">
        <f>53384.05</f>
        <v>53384.05</v>
      </c>
      <c r="G99" s="118">
        <f t="shared" si="5"/>
        <v>45674.29</v>
      </c>
    </row>
    <row r="100" ht="21.6" customHeight="1" spans="1:7">
      <c r="A100" s="49">
        <v>7</v>
      </c>
      <c r="B100" s="190" t="s">
        <v>159</v>
      </c>
      <c r="C100" s="43" t="s">
        <v>483</v>
      </c>
      <c r="D100" s="119" t="s">
        <v>1019</v>
      </c>
      <c r="E100" s="185">
        <v>7709.76</v>
      </c>
      <c r="F100" s="118">
        <f>48170.87</f>
        <v>48170.87</v>
      </c>
      <c r="G100" s="118">
        <f t="shared" si="5"/>
        <v>40461.11</v>
      </c>
    </row>
    <row r="101" ht="21.6" customHeight="1" spans="1:7">
      <c r="A101" s="49">
        <v>8</v>
      </c>
      <c r="B101" s="183" t="s">
        <v>160</v>
      </c>
      <c r="C101" s="117" t="s">
        <v>165</v>
      </c>
      <c r="D101" s="119" t="s">
        <v>1231</v>
      </c>
      <c r="E101" s="185">
        <v>7709.76</v>
      </c>
      <c r="F101" s="118">
        <f>46673.26</f>
        <v>46673.26</v>
      </c>
      <c r="G101" s="118">
        <f t="shared" si="5"/>
        <v>38963.5</v>
      </c>
    </row>
    <row r="102" ht="21.6" customHeight="1" spans="1:7">
      <c r="A102" s="49">
        <v>9</v>
      </c>
      <c r="B102" s="183" t="s">
        <v>161</v>
      </c>
      <c r="C102" s="117" t="s">
        <v>165</v>
      </c>
      <c r="D102" s="119" t="s">
        <v>1231</v>
      </c>
      <c r="E102" s="185">
        <v>7709.76</v>
      </c>
      <c r="F102" s="118">
        <f>46673.26</f>
        <v>46673.26</v>
      </c>
      <c r="G102" s="118">
        <f t="shared" si="5"/>
        <v>38963.5</v>
      </c>
    </row>
    <row r="103" ht="21.6" customHeight="1" spans="1:7">
      <c r="A103" s="49">
        <v>10</v>
      </c>
      <c r="B103" s="183" t="s">
        <v>163</v>
      </c>
      <c r="C103" s="17" t="s">
        <v>67</v>
      </c>
      <c r="D103" s="119" t="s">
        <v>65</v>
      </c>
      <c r="E103" s="185">
        <v>3369.51</v>
      </c>
      <c r="F103" s="118">
        <f>40149.18</f>
        <v>40149.18</v>
      </c>
      <c r="G103" s="118">
        <f t="shared" si="5"/>
        <v>36779.67</v>
      </c>
    </row>
    <row r="104" ht="21.6" customHeight="1" spans="1:7">
      <c r="A104" s="49">
        <v>11</v>
      </c>
      <c r="B104" s="183" t="s">
        <v>167</v>
      </c>
      <c r="C104" s="43" t="s">
        <v>117</v>
      </c>
      <c r="D104" s="49" t="s">
        <v>83</v>
      </c>
      <c r="E104" s="185">
        <v>3369.51</v>
      </c>
      <c r="F104" s="118">
        <f>28360.95</f>
        <v>28360.95</v>
      </c>
      <c r="G104" s="118">
        <f t="shared" si="5"/>
        <v>24991.44</v>
      </c>
    </row>
    <row r="105" ht="21.6" customHeight="1" spans="1:7">
      <c r="A105" s="49">
        <v>12</v>
      </c>
      <c r="B105" s="183" t="s">
        <v>169</v>
      </c>
      <c r="C105" s="17" t="s">
        <v>170</v>
      </c>
      <c r="D105" s="119" t="s">
        <v>95</v>
      </c>
      <c r="E105" s="185">
        <v>1484.37</v>
      </c>
      <c r="F105" s="118">
        <f>24685.95</f>
        <v>24685.95</v>
      </c>
      <c r="G105" s="118">
        <f t="shared" si="5"/>
        <v>23201.58</v>
      </c>
    </row>
    <row r="106" customHeight="1" spans="1:8">
      <c r="A106" s="49"/>
      <c r="B106" s="195" t="s">
        <v>96</v>
      </c>
      <c r="C106" s="68">
        <v>12</v>
      </c>
      <c r="D106" s="68"/>
      <c r="E106" s="196">
        <v>107196.7</v>
      </c>
      <c r="F106" s="154">
        <f t="shared" ref="F106" si="8">SUM(F94:F105)</f>
        <v>659497.05</v>
      </c>
      <c r="G106" s="154">
        <f t="shared" si="5"/>
        <v>552300.35</v>
      </c>
      <c r="H106" s="199"/>
    </row>
    <row r="107" customHeight="1" spans="1:7">
      <c r="A107" s="49"/>
      <c r="B107" s="197"/>
      <c r="C107" s="68"/>
      <c r="D107" s="68"/>
      <c r="E107" s="196"/>
      <c r="F107" s="153"/>
      <c r="G107" s="118">
        <f t="shared" si="5"/>
        <v>0</v>
      </c>
    </row>
    <row r="108" customHeight="1" spans="1:7">
      <c r="A108" s="49"/>
      <c r="B108" s="195" t="s">
        <v>1242</v>
      </c>
      <c r="C108" s="68"/>
      <c r="D108" s="68"/>
      <c r="E108" s="196"/>
      <c r="F108" s="153"/>
      <c r="G108" s="118">
        <f t="shared" si="5"/>
        <v>0</v>
      </c>
    </row>
    <row r="109" customHeight="1" spans="1:7">
      <c r="A109" s="49">
        <v>1</v>
      </c>
      <c r="B109" s="191" t="s">
        <v>576</v>
      </c>
      <c r="C109" s="49" t="s">
        <v>577</v>
      </c>
      <c r="D109" s="119" t="s">
        <v>110</v>
      </c>
      <c r="E109" s="185">
        <v>21618.09</v>
      </c>
      <c r="F109" s="118">
        <f>79993.51</f>
        <v>79993.51</v>
      </c>
      <c r="G109" s="118">
        <f t="shared" si="5"/>
        <v>58375.42</v>
      </c>
    </row>
    <row r="110" customHeight="1" spans="1:8">
      <c r="A110" s="49">
        <v>2</v>
      </c>
      <c r="B110" s="188" t="s">
        <v>37</v>
      </c>
      <c r="C110" s="4" t="s">
        <v>177</v>
      </c>
      <c r="D110" s="10" t="s">
        <v>148</v>
      </c>
      <c r="E110" s="189">
        <v>7709.76</v>
      </c>
      <c r="F110" s="118">
        <f>43380.1</f>
        <v>43380.1</v>
      </c>
      <c r="G110" s="118">
        <f t="shared" si="5"/>
        <v>35670.34</v>
      </c>
      <c r="H110" s="156"/>
    </row>
    <row r="111" customHeight="1" spans="1:8">
      <c r="A111" s="49">
        <v>3</v>
      </c>
      <c r="B111" s="194" t="s">
        <v>1204</v>
      </c>
      <c r="C111" s="4" t="s">
        <v>1205</v>
      </c>
      <c r="D111" s="119" t="s">
        <v>1231</v>
      </c>
      <c r="E111" s="185">
        <v>7709.76</v>
      </c>
      <c r="F111" s="118">
        <f>38272.44</f>
        <v>38272.44</v>
      </c>
      <c r="G111" s="118">
        <f t="shared" si="5"/>
        <v>30562.68</v>
      </c>
      <c r="H111" s="156"/>
    </row>
    <row r="112" customHeight="1" spans="1:8">
      <c r="A112" s="49">
        <v>4</v>
      </c>
      <c r="B112" s="183" t="s">
        <v>180</v>
      </c>
      <c r="C112" s="43" t="s">
        <v>1243</v>
      </c>
      <c r="D112" s="119" t="s">
        <v>1244</v>
      </c>
      <c r="E112" s="185">
        <v>3369.51</v>
      </c>
      <c r="F112" s="118">
        <f>28640.16</f>
        <v>28640.16</v>
      </c>
      <c r="G112" s="118">
        <f t="shared" si="5"/>
        <v>25270.65</v>
      </c>
      <c r="H112" s="156"/>
    </row>
    <row r="113" customHeight="1" spans="1:8">
      <c r="A113" s="43"/>
      <c r="B113" s="195" t="s">
        <v>96</v>
      </c>
      <c r="C113" s="68">
        <v>4</v>
      </c>
      <c r="D113" s="162"/>
      <c r="E113" s="196">
        <v>40407.12</v>
      </c>
      <c r="F113" s="93">
        <f t="shared" ref="F113" si="9">SUM(F109:F112)</f>
        <v>190286.21</v>
      </c>
      <c r="G113" s="154">
        <f t="shared" si="5"/>
        <v>149879.09</v>
      </c>
      <c r="H113" s="156"/>
    </row>
    <row r="114" customHeight="1" spans="1:7">
      <c r="A114" s="43"/>
      <c r="B114" s="197"/>
      <c r="C114" s="68"/>
      <c r="D114" s="162"/>
      <c r="E114" s="196"/>
      <c r="F114" s="146"/>
      <c r="G114" s="118">
        <f t="shared" si="5"/>
        <v>0</v>
      </c>
    </row>
    <row r="115" customHeight="1" spans="1:7">
      <c r="A115" s="43"/>
      <c r="B115" s="195" t="s">
        <v>1245</v>
      </c>
      <c r="C115" s="43"/>
      <c r="D115" s="43"/>
      <c r="E115" s="128"/>
      <c r="F115" s="43"/>
      <c r="G115" s="118">
        <f t="shared" si="5"/>
        <v>0</v>
      </c>
    </row>
    <row r="116" customHeight="1" spans="1:7">
      <c r="A116" s="43">
        <v>1</v>
      </c>
      <c r="B116" s="183" t="s">
        <v>185</v>
      </c>
      <c r="C116" s="117" t="s">
        <v>186</v>
      </c>
      <c r="D116" s="119" t="s">
        <v>100</v>
      </c>
      <c r="E116" s="185">
        <v>52776.63</v>
      </c>
      <c r="F116" s="118">
        <f>180306.81</f>
        <v>180306.81</v>
      </c>
      <c r="G116" s="118">
        <f t="shared" si="5"/>
        <v>127530.18</v>
      </c>
    </row>
    <row r="117" customHeight="1" spans="1:7">
      <c r="A117" s="43">
        <v>2</v>
      </c>
      <c r="B117" s="183" t="s">
        <v>187</v>
      </c>
      <c r="C117" s="43" t="s">
        <v>188</v>
      </c>
      <c r="D117" s="49" t="s">
        <v>36</v>
      </c>
      <c r="E117" s="185">
        <v>15548.33</v>
      </c>
      <c r="F117" s="118">
        <f>79796.1</f>
        <v>79796.1</v>
      </c>
      <c r="G117" s="118">
        <f t="shared" si="5"/>
        <v>64247.77</v>
      </c>
    </row>
    <row r="118" customHeight="1" spans="1:7">
      <c r="A118" s="43">
        <v>3</v>
      </c>
      <c r="B118" s="183" t="s">
        <v>190</v>
      </c>
      <c r="C118" s="43" t="s">
        <v>191</v>
      </c>
      <c r="D118" s="49" t="s">
        <v>192</v>
      </c>
      <c r="E118" s="185">
        <v>7709.76</v>
      </c>
      <c r="F118" s="118">
        <f>58814.67</f>
        <v>58814.67</v>
      </c>
      <c r="G118" s="118">
        <f t="shared" si="5"/>
        <v>51104.91</v>
      </c>
    </row>
    <row r="119" customHeight="1" spans="1:7">
      <c r="A119" s="43">
        <v>4</v>
      </c>
      <c r="B119" s="188" t="s">
        <v>193</v>
      </c>
      <c r="C119" s="43" t="s">
        <v>191</v>
      </c>
      <c r="D119" s="10" t="s">
        <v>52</v>
      </c>
      <c r="E119" s="189">
        <v>7709.76</v>
      </c>
      <c r="F119" s="85">
        <f>57194.24</f>
        <v>57194.24</v>
      </c>
      <c r="G119" s="118">
        <f t="shared" si="5"/>
        <v>49484.48</v>
      </c>
    </row>
    <row r="120" customHeight="1" spans="1:7">
      <c r="A120" s="43">
        <v>5</v>
      </c>
      <c r="B120" s="183" t="s">
        <v>194</v>
      </c>
      <c r="C120" s="46" t="s">
        <v>195</v>
      </c>
      <c r="D120" s="119" t="s">
        <v>1014</v>
      </c>
      <c r="E120" s="185">
        <v>1484.37</v>
      </c>
      <c r="F120" s="118">
        <f>30699.58</f>
        <v>30699.58</v>
      </c>
      <c r="G120" s="118">
        <f t="shared" si="5"/>
        <v>29215.21</v>
      </c>
    </row>
    <row r="121" customHeight="1" spans="1:7">
      <c r="A121" s="43">
        <v>6</v>
      </c>
      <c r="B121" s="194" t="s">
        <v>197</v>
      </c>
      <c r="C121" s="46" t="s">
        <v>195</v>
      </c>
      <c r="D121" s="49" t="s">
        <v>171</v>
      </c>
      <c r="E121" s="185">
        <v>1484.37</v>
      </c>
      <c r="F121" s="118">
        <f>30049.31</f>
        <v>30049.31</v>
      </c>
      <c r="G121" s="118">
        <f t="shared" si="5"/>
        <v>28564.94</v>
      </c>
    </row>
    <row r="122" customHeight="1" spans="1:7">
      <c r="A122" s="43">
        <v>7</v>
      </c>
      <c r="B122" s="191" t="s">
        <v>199</v>
      </c>
      <c r="C122" s="46" t="s">
        <v>195</v>
      </c>
      <c r="D122" s="119" t="s">
        <v>95</v>
      </c>
      <c r="E122" s="185">
        <v>1484.37</v>
      </c>
      <c r="F122" s="118">
        <f>28813.07</f>
        <v>28813.07</v>
      </c>
      <c r="G122" s="118">
        <f t="shared" si="5"/>
        <v>27328.7</v>
      </c>
    </row>
    <row r="123" customHeight="1" spans="1:8">
      <c r="A123" s="43"/>
      <c r="B123" s="195" t="s">
        <v>96</v>
      </c>
      <c r="C123" s="68">
        <v>7</v>
      </c>
      <c r="D123" s="43"/>
      <c r="E123" s="208">
        <v>88197.59</v>
      </c>
      <c r="F123" s="165">
        <f t="shared" ref="F123" si="10">SUM(F116:F122)</f>
        <v>465673.78</v>
      </c>
      <c r="G123" s="154">
        <f t="shared" si="5"/>
        <v>377476.19</v>
      </c>
      <c r="H123" s="199"/>
    </row>
    <row r="124" customHeight="1" spans="1:7">
      <c r="A124" s="43"/>
      <c r="B124" s="197"/>
      <c r="C124" s="49"/>
      <c r="D124" s="43"/>
      <c r="E124" s="128"/>
      <c r="F124" s="56"/>
      <c r="G124" s="118">
        <f t="shared" si="5"/>
        <v>0</v>
      </c>
    </row>
    <row r="125" customHeight="1" spans="1:7">
      <c r="A125" s="43"/>
      <c r="B125" s="195" t="s">
        <v>1246</v>
      </c>
      <c r="C125" s="68"/>
      <c r="D125" s="68"/>
      <c r="E125" s="196"/>
      <c r="F125" s="153"/>
      <c r="G125" s="118">
        <f t="shared" si="5"/>
        <v>0</v>
      </c>
    </row>
    <row r="126" customHeight="1" spans="1:7">
      <c r="A126" s="43">
        <v>1</v>
      </c>
      <c r="B126" s="190" t="s">
        <v>214</v>
      </c>
      <c r="C126" s="117" t="s">
        <v>215</v>
      </c>
      <c r="D126" s="119" t="s">
        <v>100</v>
      </c>
      <c r="E126" s="185">
        <v>52776.63</v>
      </c>
      <c r="F126" s="118">
        <f>179914.45</f>
        <v>179914.45</v>
      </c>
      <c r="G126" s="118">
        <f t="shared" si="5"/>
        <v>127137.82</v>
      </c>
    </row>
    <row r="127" customHeight="1" spans="1:7">
      <c r="A127" s="43">
        <v>2</v>
      </c>
      <c r="B127" s="190" t="s">
        <v>1207</v>
      </c>
      <c r="C127" s="117" t="s">
        <v>1208</v>
      </c>
      <c r="D127" s="119" t="s">
        <v>189</v>
      </c>
      <c r="E127" s="185">
        <v>21618.09</v>
      </c>
      <c r="F127" s="118">
        <f>101827.95</f>
        <v>101827.95</v>
      </c>
      <c r="G127" s="118">
        <f t="shared" si="5"/>
        <v>80209.86</v>
      </c>
    </row>
    <row r="128" customHeight="1" spans="1:7">
      <c r="A128" s="43">
        <v>3</v>
      </c>
      <c r="B128" s="190" t="s">
        <v>216</v>
      </c>
      <c r="C128" s="117" t="s">
        <v>219</v>
      </c>
      <c r="D128" s="119" t="s">
        <v>36</v>
      </c>
      <c r="E128" s="185">
        <v>15548.33</v>
      </c>
      <c r="F128" s="118">
        <f>64436.1</f>
        <v>64436.1</v>
      </c>
      <c r="G128" s="118">
        <f t="shared" si="5"/>
        <v>48887.77</v>
      </c>
    </row>
    <row r="129" customHeight="1" spans="1:7">
      <c r="A129" s="43">
        <v>4</v>
      </c>
      <c r="B129" s="198" t="s">
        <v>218</v>
      </c>
      <c r="C129" s="117" t="s">
        <v>219</v>
      </c>
      <c r="D129" s="119" t="s">
        <v>36</v>
      </c>
      <c r="E129" s="185">
        <v>15548.33</v>
      </c>
      <c r="F129" s="118">
        <f>83636.1</f>
        <v>83636.1</v>
      </c>
      <c r="G129" s="118">
        <f t="shared" si="5"/>
        <v>68087.77</v>
      </c>
    </row>
    <row r="130" customHeight="1" spans="1:7">
      <c r="A130" s="43">
        <v>5</v>
      </c>
      <c r="B130" s="206" t="s">
        <v>523</v>
      </c>
      <c r="C130" s="117" t="s">
        <v>219</v>
      </c>
      <c r="D130" s="119" t="s">
        <v>39</v>
      </c>
      <c r="E130" s="185">
        <v>15548.33</v>
      </c>
      <c r="F130" s="118">
        <f>60212.92</f>
        <v>60212.92</v>
      </c>
      <c r="G130" s="118">
        <f t="shared" si="5"/>
        <v>44664.59</v>
      </c>
    </row>
    <row r="131" customHeight="1" spans="1:7">
      <c r="A131" s="43">
        <v>6</v>
      </c>
      <c r="B131" s="190" t="s">
        <v>220</v>
      </c>
      <c r="C131" s="117" t="s">
        <v>1210</v>
      </c>
      <c r="D131" s="119" t="s">
        <v>52</v>
      </c>
      <c r="E131" s="185">
        <v>7709.76</v>
      </c>
      <c r="F131" s="118">
        <f>40788.51</f>
        <v>40788.51</v>
      </c>
      <c r="G131" s="118">
        <f t="shared" si="5"/>
        <v>33078.75</v>
      </c>
    </row>
    <row r="132" customHeight="1" spans="1:7">
      <c r="A132" s="43">
        <v>7</v>
      </c>
      <c r="B132" s="190" t="s">
        <v>223</v>
      </c>
      <c r="C132" s="117" t="s">
        <v>224</v>
      </c>
      <c r="D132" s="119" t="s">
        <v>1019</v>
      </c>
      <c r="E132" s="185">
        <v>7709.76</v>
      </c>
      <c r="F132" s="118">
        <f>44518.93</f>
        <v>44518.93</v>
      </c>
      <c r="G132" s="118">
        <f t="shared" si="5"/>
        <v>36809.17</v>
      </c>
    </row>
    <row r="133" customHeight="1" spans="1:7">
      <c r="A133" s="43">
        <v>8</v>
      </c>
      <c r="B133" s="190" t="s">
        <v>225</v>
      </c>
      <c r="C133" s="117" t="s">
        <v>1039</v>
      </c>
      <c r="D133" s="119" t="s">
        <v>1019</v>
      </c>
      <c r="E133" s="185">
        <v>7709.76</v>
      </c>
      <c r="F133" s="118">
        <f>39478.93</f>
        <v>39478.93</v>
      </c>
      <c r="G133" s="118">
        <f t="shared" si="5"/>
        <v>31769.17</v>
      </c>
    </row>
    <row r="134" customHeight="1" spans="1:7">
      <c r="A134" s="43">
        <v>9</v>
      </c>
      <c r="B134" s="191" t="s">
        <v>1209</v>
      </c>
      <c r="C134" s="117" t="s">
        <v>1210</v>
      </c>
      <c r="D134" s="119" t="s">
        <v>1020</v>
      </c>
      <c r="E134" s="185">
        <v>7709.76</v>
      </c>
      <c r="F134" s="118">
        <f>38272.44</f>
        <v>38272.44</v>
      </c>
      <c r="G134" s="118">
        <f t="shared" si="5"/>
        <v>30562.68</v>
      </c>
    </row>
    <row r="135" customHeight="1" spans="1:7">
      <c r="A135" s="43">
        <v>10</v>
      </c>
      <c r="B135" s="183" t="s">
        <v>226</v>
      </c>
      <c r="C135" s="117" t="s">
        <v>227</v>
      </c>
      <c r="D135" s="49" t="s">
        <v>83</v>
      </c>
      <c r="E135" s="185">
        <v>3369.51</v>
      </c>
      <c r="F135" s="118">
        <f>21640.95</f>
        <v>21640.95</v>
      </c>
      <c r="G135" s="118">
        <f t="shared" si="5"/>
        <v>18271.44</v>
      </c>
    </row>
    <row r="136" customHeight="1" spans="1:7">
      <c r="A136" s="43">
        <v>11</v>
      </c>
      <c r="B136" s="191" t="s">
        <v>228</v>
      </c>
      <c r="C136" s="117" t="s">
        <v>229</v>
      </c>
      <c r="D136" s="119" t="s">
        <v>95</v>
      </c>
      <c r="E136" s="185">
        <v>1484.37</v>
      </c>
      <c r="F136" s="118">
        <f>25245.23</f>
        <v>25245.23</v>
      </c>
      <c r="G136" s="118">
        <f t="shared" si="5"/>
        <v>23760.86</v>
      </c>
    </row>
    <row r="137" customHeight="1" spans="1:8">
      <c r="A137" s="43"/>
      <c r="B137" s="195" t="s">
        <v>96</v>
      </c>
      <c r="C137" s="162" t="s">
        <v>1211</v>
      </c>
      <c r="D137" s="119"/>
      <c r="E137" s="209">
        <v>156732.63</v>
      </c>
      <c r="F137" s="154">
        <f t="shared" ref="F137" si="11">SUM(F126:F136)</f>
        <v>699972.51</v>
      </c>
      <c r="G137" s="154">
        <f t="shared" si="5"/>
        <v>543239.88</v>
      </c>
      <c r="H137" s="199"/>
    </row>
    <row r="138" customHeight="1" spans="1:7">
      <c r="A138" s="43"/>
      <c r="B138" s="197"/>
      <c r="C138" s="162"/>
      <c r="D138" s="119"/>
      <c r="E138" s="185"/>
      <c r="F138" s="153"/>
      <c r="G138" s="118">
        <f t="shared" si="5"/>
        <v>0</v>
      </c>
    </row>
    <row r="139" customHeight="1" spans="1:7">
      <c r="A139" s="43"/>
      <c r="B139" s="195" t="s">
        <v>1247</v>
      </c>
      <c r="C139" s="117"/>
      <c r="D139" s="119"/>
      <c r="E139" s="185"/>
      <c r="F139" s="118"/>
      <c r="G139" s="118">
        <f t="shared" si="5"/>
        <v>0</v>
      </c>
    </row>
    <row r="140" customHeight="1" spans="1:7">
      <c r="A140" s="210">
        <v>1</v>
      </c>
      <c r="B140" s="190" t="s">
        <v>1248</v>
      </c>
      <c r="C140" s="117" t="s">
        <v>1249</v>
      </c>
      <c r="D140" s="119" t="s">
        <v>100</v>
      </c>
      <c r="E140" s="185">
        <v>52776.63</v>
      </c>
      <c r="F140" s="118"/>
      <c r="G140" s="118">
        <f t="shared" ref="G140:G199" si="12">F140-E140</f>
        <v>-52776.63</v>
      </c>
    </row>
    <row r="141" customHeight="1" spans="1:7">
      <c r="A141" s="210">
        <v>2</v>
      </c>
      <c r="B141" s="190" t="s">
        <v>235</v>
      </c>
      <c r="C141" s="117" t="s">
        <v>236</v>
      </c>
      <c r="D141" s="119" t="s">
        <v>100</v>
      </c>
      <c r="E141" s="185">
        <v>52776.63</v>
      </c>
      <c r="F141" s="118">
        <f>161106.81</f>
        <v>161106.81</v>
      </c>
      <c r="G141" s="118">
        <f t="shared" si="12"/>
        <v>108330.18</v>
      </c>
    </row>
    <row r="142" customHeight="1" spans="1:7">
      <c r="A142" s="210">
        <v>3</v>
      </c>
      <c r="B142" s="190" t="s">
        <v>524</v>
      </c>
      <c r="C142" s="117" t="s">
        <v>575</v>
      </c>
      <c r="D142" s="119" t="s">
        <v>189</v>
      </c>
      <c r="E142" s="185">
        <v>21618.09</v>
      </c>
      <c r="F142" s="118">
        <f>82627.95</f>
        <v>82627.95</v>
      </c>
      <c r="G142" s="118">
        <f t="shared" si="12"/>
        <v>61009.86</v>
      </c>
    </row>
    <row r="143" customHeight="1" spans="1:7">
      <c r="A143" s="210">
        <v>4</v>
      </c>
      <c r="B143" s="202" t="s">
        <v>237</v>
      </c>
      <c r="C143" s="4" t="s">
        <v>1250</v>
      </c>
      <c r="D143" s="16" t="s">
        <v>36</v>
      </c>
      <c r="E143" s="189">
        <v>15548.33</v>
      </c>
      <c r="F143" s="85">
        <f>74036.1</f>
        <v>74036.1</v>
      </c>
      <c r="G143" s="118">
        <f t="shared" si="12"/>
        <v>58487.77</v>
      </c>
    </row>
    <row r="144" customHeight="1" spans="1:7">
      <c r="A144" s="210">
        <v>5</v>
      </c>
      <c r="B144" s="202" t="s">
        <v>1251</v>
      </c>
      <c r="C144" s="4" t="s">
        <v>1252</v>
      </c>
      <c r="D144" s="16" t="s">
        <v>36</v>
      </c>
      <c r="E144" s="189">
        <v>15548.33</v>
      </c>
      <c r="F144" s="85"/>
      <c r="G144" s="118">
        <f t="shared" si="12"/>
        <v>-15548.33</v>
      </c>
    </row>
    <row r="145" customHeight="1" spans="1:7">
      <c r="A145" s="210">
        <v>6</v>
      </c>
      <c r="B145" s="190" t="s">
        <v>239</v>
      </c>
      <c r="C145" s="117" t="s">
        <v>582</v>
      </c>
      <c r="D145" s="119" t="s">
        <v>148</v>
      </c>
      <c r="E145" s="185">
        <v>7709.76</v>
      </c>
      <c r="F145" s="118">
        <f>43380.1</f>
        <v>43380.1</v>
      </c>
      <c r="G145" s="118">
        <f t="shared" si="12"/>
        <v>35670.34</v>
      </c>
    </row>
    <row r="146" customHeight="1" spans="1:7">
      <c r="A146" s="210">
        <v>7</v>
      </c>
      <c r="B146" s="190" t="s">
        <v>241</v>
      </c>
      <c r="C146" s="43" t="s">
        <v>583</v>
      </c>
      <c r="D146" s="119" t="s">
        <v>148</v>
      </c>
      <c r="E146" s="185">
        <v>7709.76</v>
      </c>
      <c r="F146" s="118">
        <f>43380.1</f>
        <v>43380.1</v>
      </c>
      <c r="G146" s="118">
        <f t="shared" si="12"/>
        <v>35670.34</v>
      </c>
    </row>
    <row r="147" customHeight="1" spans="1:7">
      <c r="A147" s="210">
        <v>8</v>
      </c>
      <c r="B147" s="190" t="s">
        <v>176</v>
      </c>
      <c r="C147" s="43" t="s">
        <v>585</v>
      </c>
      <c r="D147" s="119" t="s">
        <v>1019</v>
      </c>
      <c r="E147" s="185">
        <v>7709.76</v>
      </c>
      <c r="F147" s="118">
        <f>39582.84</f>
        <v>39582.84</v>
      </c>
      <c r="G147" s="118">
        <f t="shared" si="12"/>
        <v>31873.08</v>
      </c>
    </row>
    <row r="148" customHeight="1" spans="1:7">
      <c r="A148" s="210">
        <v>9</v>
      </c>
      <c r="B148" s="183" t="s">
        <v>178</v>
      </c>
      <c r="C148" s="117" t="s">
        <v>584</v>
      </c>
      <c r="D148" s="119" t="s">
        <v>135</v>
      </c>
      <c r="E148" s="185">
        <v>3369.51</v>
      </c>
      <c r="F148" s="118">
        <f>32848.56</f>
        <v>32848.56</v>
      </c>
      <c r="G148" s="118">
        <f t="shared" si="12"/>
        <v>29479.05</v>
      </c>
    </row>
    <row r="149" customHeight="1" spans="1:7">
      <c r="A149" s="210">
        <v>10</v>
      </c>
      <c r="B149" s="190" t="s">
        <v>244</v>
      </c>
      <c r="C149" s="117" t="s">
        <v>584</v>
      </c>
      <c r="D149" s="119" t="s">
        <v>135</v>
      </c>
      <c r="E149" s="185">
        <v>3369.51</v>
      </c>
      <c r="F149" s="118">
        <f>32938.95</f>
        <v>32938.95</v>
      </c>
      <c r="G149" s="118">
        <f t="shared" si="12"/>
        <v>29569.44</v>
      </c>
    </row>
    <row r="150" customHeight="1" spans="1:7">
      <c r="A150" s="210">
        <v>11</v>
      </c>
      <c r="B150" s="183" t="s">
        <v>245</v>
      </c>
      <c r="C150" s="43" t="s">
        <v>585</v>
      </c>
      <c r="D150" s="119" t="s">
        <v>135</v>
      </c>
      <c r="E150" s="185">
        <v>3369.51</v>
      </c>
      <c r="F150" s="118">
        <f>32938.95</f>
        <v>32938.95</v>
      </c>
      <c r="G150" s="118">
        <f t="shared" si="12"/>
        <v>29569.44</v>
      </c>
    </row>
    <row r="151" customHeight="1" spans="1:7">
      <c r="A151" s="210">
        <v>12</v>
      </c>
      <c r="B151" s="183" t="s">
        <v>247</v>
      </c>
      <c r="C151" s="43" t="s">
        <v>586</v>
      </c>
      <c r="D151" s="119" t="s">
        <v>587</v>
      </c>
      <c r="E151" s="185">
        <v>3369.51</v>
      </c>
      <c r="F151" s="118">
        <f>27873.08</f>
        <v>27873.08</v>
      </c>
      <c r="G151" s="118">
        <f t="shared" si="12"/>
        <v>24503.57</v>
      </c>
    </row>
    <row r="152" customHeight="1" spans="1:7">
      <c r="A152" s="210">
        <v>13</v>
      </c>
      <c r="B152" s="183" t="s">
        <v>249</v>
      </c>
      <c r="C152" s="117" t="s">
        <v>1041</v>
      </c>
      <c r="D152" s="119" t="s">
        <v>265</v>
      </c>
      <c r="E152" s="185">
        <v>3369.51</v>
      </c>
      <c r="F152" s="118">
        <f>27029.2</f>
        <v>27029.2</v>
      </c>
      <c r="G152" s="118">
        <f t="shared" si="12"/>
        <v>23659.69</v>
      </c>
    </row>
    <row r="153" customHeight="1" spans="1:7">
      <c r="A153" s="210">
        <v>14</v>
      </c>
      <c r="B153" s="183" t="s">
        <v>251</v>
      </c>
      <c r="C153" s="117" t="s">
        <v>276</v>
      </c>
      <c r="D153" s="119" t="s">
        <v>587</v>
      </c>
      <c r="E153" s="185">
        <v>3369.51</v>
      </c>
      <c r="F153" s="118">
        <f>27794.21</f>
        <v>27794.21</v>
      </c>
      <c r="G153" s="118">
        <f t="shared" si="12"/>
        <v>24424.7</v>
      </c>
    </row>
    <row r="154" customHeight="1" spans="1:7">
      <c r="A154" s="210">
        <v>15</v>
      </c>
      <c r="B154" s="183" t="s">
        <v>1253</v>
      </c>
      <c r="C154" s="43" t="s">
        <v>586</v>
      </c>
      <c r="D154" s="119" t="s">
        <v>104</v>
      </c>
      <c r="E154" s="185">
        <v>1484.37</v>
      </c>
      <c r="F154" s="118">
        <f>26339.08</f>
        <v>26339.08</v>
      </c>
      <c r="G154" s="118">
        <f t="shared" si="12"/>
        <v>24854.71</v>
      </c>
    </row>
    <row r="155" customHeight="1" spans="1:7">
      <c r="A155" s="210">
        <v>16</v>
      </c>
      <c r="B155" s="183" t="s">
        <v>423</v>
      </c>
      <c r="C155" s="43" t="s">
        <v>586</v>
      </c>
      <c r="D155" s="119" t="s">
        <v>104</v>
      </c>
      <c r="E155" s="185">
        <v>1484.37</v>
      </c>
      <c r="F155" s="118">
        <f>26264.39</f>
        <v>26264.39</v>
      </c>
      <c r="G155" s="118">
        <f t="shared" si="12"/>
        <v>24780.02</v>
      </c>
    </row>
    <row r="156" customHeight="1" spans="1:7">
      <c r="A156" s="210">
        <v>17</v>
      </c>
      <c r="B156" s="183" t="s">
        <v>258</v>
      </c>
      <c r="C156" s="43" t="s">
        <v>586</v>
      </c>
      <c r="D156" s="119" t="s">
        <v>104</v>
      </c>
      <c r="E156" s="185">
        <v>1484.37</v>
      </c>
      <c r="F156" s="118">
        <f>26339.08</f>
        <v>26339.08</v>
      </c>
      <c r="G156" s="118">
        <f t="shared" si="12"/>
        <v>24854.71</v>
      </c>
    </row>
    <row r="157" customHeight="1" spans="1:7">
      <c r="A157" s="210">
        <v>18</v>
      </c>
      <c r="B157" s="183" t="s">
        <v>259</v>
      </c>
      <c r="C157" s="117" t="s">
        <v>260</v>
      </c>
      <c r="D157" s="119" t="s">
        <v>70</v>
      </c>
      <c r="E157" s="185">
        <v>3369.51</v>
      </c>
      <c r="F157" s="118">
        <f>25571.82</f>
        <v>25571.82</v>
      </c>
      <c r="G157" s="118">
        <f t="shared" si="12"/>
        <v>22202.31</v>
      </c>
    </row>
    <row r="158" customHeight="1" spans="1:7">
      <c r="A158" s="210">
        <v>19</v>
      </c>
      <c r="B158" s="183" t="s">
        <v>1022</v>
      </c>
      <c r="C158" s="117" t="s">
        <v>262</v>
      </c>
      <c r="D158" s="49" t="s">
        <v>83</v>
      </c>
      <c r="E158" s="185">
        <v>3369.51</v>
      </c>
      <c r="F158" s="118">
        <f>21640.95</f>
        <v>21640.95</v>
      </c>
      <c r="G158" s="118">
        <f t="shared" si="12"/>
        <v>18271.44</v>
      </c>
    </row>
    <row r="159" customHeight="1" spans="1:7">
      <c r="A159" s="210">
        <v>20</v>
      </c>
      <c r="B159" s="183" t="s">
        <v>263</v>
      </c>
      <c r="C159" s="117" t="s">
        <v>276</v>
      </c>
      <c r="D159" s="119" t="s">
        <v>1014</v>
      </c>
      <c r="E159" s="185">
        <v>1484.37</v>
      </c>
      <c r="F159" s="118">
        <f>18102.9</f>
        <v>18102.9</v>
      </c>
      <c r="G159" s="118">
        <f t="shared" si="12"/>
        <v>16618.53</v>
      </c>
    </row>
    <row r="160" customHeight="1" spans="1:7">
      <c r="A160" s="210">
        <v>21</v>
      </c>
      <c r="B160" s="183" t="s">
        <v>266</v>
      </c>
      <c r="C160" s="117" t="s">
        <v>1254</v>
      </c>
      <c r="D160" s="119" t="s">
        <v>1014</v>
      </c>
      <c r="E160" s="185">
        <v>1484.37</v>
      </c>
      <c r="F160" s="118">
        <f>18102.9</f>
        <v>18102.9</v>
      </c>
      <c r="G160" s="118">
        <f t="shared" si="12"/>
        <v>16618.53</v>
      </c>
    </row>
    <row r="161" customHeight="1" spans="1:7">
      <c r="A161" s="210">
        <v>22</v>
      </c>
      <c r="B161" s="183" t="s">
        <v>268</v>
      </c>
      <c r="C161" s="117" t="s">
        <v>276</v>
      </c>
      <c r="D161" s="119" t="s">
        <v>1014</v>
      </c>
      <c r="E161" s="185">
        <v>1484.37</v>
      </c>
      <c r="F161" s="118">
        <f>18051.63</f>
        <v>18051.63</v>
      </c>
      <c r="G161" s="118">
        <f t="shared" si="12"/>
        <v>16567.26</v>
      </c>
    </row>
    <row r="162" customHeight="1" spans="1:7">
      <c r="A162" s="210">
        <v>23</v>
      </c>
      <c r="B162" s="183" t="s">
        <v>270</v>
      </c>
      <c r="C162" s="117" t="s">
        <v>271</v>
      </c>
      <c r="D162" s="119" t="s">
        <v>1014</v>
      </c>
      <c r="E162" s="185">
        <v>1484.37</v>
      </c>
      <c r="F162" s="118">
        <f>18102.9</f>
        <v>18102.9</v>
      </c>
      <c r="G162" s="118">
        <f t="shared" si="12"/>
        <v>16618.53</v>
      </c>
    </row>
    <row r="163" customHeight="1" spans="1:7">
      <c r="A163" s="210">
        <v>24</v>
      </c>
      <c r="B163" s="191" t="s">
        <v>272</v>
      </c>
      <c r="C163" s="117" t="s">
        <v>278</v>
      </c>
      <c r="D163" s="119" t="s">
        <v>1233</v>
      </c>
      <c r="E163" s="185">
        <v>3369.51</v>
      </c>
      <c r="F163" s="118">
        <f>17572.89</f>
        <v>17572.89</v>
      </c>
      <c r="G163" s="118">
        <f t="shared" si="12"/>
        <v>14203.38</v>
      </c>
    </row>
    <row r="164" customHeight="1" spans="1:7">
      <c r="A164" s="210">
        <v>25</v>
      </c>
      <c r="B164" s="191" t="s">
        <v>1212</v>
      </c>
      <c r="C164" s="117" t="s">
        <v>276</v>
      </c>
      <c r="D164" s="119" t="s">
        <v>95</v>
      </c>
      <c r="E164" s="185">
        <v>1484.37</v>
      </c>
      <c r="F164" s="118">
        <f>16512.68</f>
        <v>16512.68</v>
      </c>
      <c r="G164" s="118">
        <f t="shared" si="12"/>
        <v>15028.31</v>
      </c>
    </row>
    <row r="165" customHeight="1" spans="1:7">
      <c r="A165" s="210">
        <v>26</v>
      </c>
      <c r="B165" s="191" t="s">
        <v>275</v>
      </c>
      <c r="C165" s="117" t="s">
        <v>276</v>
      </c>
      <c r="D165" s="119" t="s">
        <v>95</v>
      </c>
      <c r="E165" s="185">
        <v>1484.37</v>
      </c>
      <c r="F165" s="118">
        <f>16512.68</f>
        <v>16512.68</v>
      </c>
      <c r="G165" s="118">
        <f t="shared" si="12"/>
        <v>15028.31</v>
      </c>
    </row>
    <row r="166" customHeight="1" spans="1:7">
      <c r="A166" s="210">
        <v>27</v>
      </c>
      <c r="B166" s="191" t="s">
        <v>277</v>
      </c>
      <c r="C166" s="117" t="s">
        <v>278</v>
      </c>
      <c r="D166" s="119" t="s">
        <v>95</v>
      </c>
      <c r="E166" s="185">
        <v>1484.37</v>
      </c>
      <c r="F166" s="118">
        <f>16512.68</f>
        <v>16512.68</v>
      </c>
      <c r="G166" s="118">
        <f t="shared" si="12"/>
        <v>15028.31</v>
      </c>
    </row>
    <row r="167" customHeight="1" spans="1:7">
      <c r="A167" s="210">
        <v>28</v>
      </c>
      <c r="B167" s="191" t="s">
        <v>279</v>
      </c>
      <c r="C167" s="117" t="s">
        <v>280</v>
      </c>
      <c r="D167" s="119" t="s">
        <v>95</v>
      </c>
      <c r="E167" s="185">
        <v>1484.37</v>
      </c>
      <c r="F167" s="118">
        <f>16512.68</f>
        <v>16512.68</v>
      </c>
      <c r="G167" s="118">
        <f t="shared" si="12"/>
        <v>15028.31</v>
      </c>
    </row>
    <row r="168" customHeight="1" spans="1:7">
      <c r="A168" s="210">
        <v>29</v>
      </c>
      <c r="B168" s="191" t="s">
        <v>281</v>
      </c>
      <c r="C168" s="117" t="s">
        <v>282</v>
      </c>
      <c r="D168" s="119" t="s">
        <v>95</v>
      </c>
      <c r="E168" s="185">
        <v>1484.37</v>
      </c>
      <c r="F168" s="118">
        <f>16512.68</f>
        <v>16512.68</v>
      </c>
      <c r="G168" s="118">
        <f t="shared" si="12"/>
        <v>15028.31</v>
      </c>
    </row>
    <row r="169" customHeight="1" spans="1:7">
      <c r="A169" s="210">
        <v>30</v>
      </c>
      <c r="B169" s="190" t="s">
        <v>287</v>
      </c>
      <c r="C169" s="117" t="s">
        <v>288</v>
      </c>
      <c r="D169" s="119" t="s">
        <v>306</v>
      </c>
      <c r="E169" s="185">
        <v>236.04</v>
      </c>
      <c r="F169" s="118">
        <f>9117.05</f>
        <v>9117.05</v>
      </c>
      <c r="G169" s="118">
        <f t="shared" si="12"/>
        <v>8881.01</v>
      </c>
    </row>
    <row r="170" customHeight="1" spans="1:7">
      <c r="A170" s="210">
        <v>31</v>
      </c>
      <c r="B170" s="190" t="s">
        <v>290</v>
      </c>
      <c r="C170" s="117" t="s">
        <v>288</v>
      </c>
      <c r="D170" s="119" t="s">
        <v>306</v>
      </c>
      <c r="E170" s="185">
        <v>236.04</v>
      </c>
      <c r="F170" s="118">
        <f>9504.2</f>
        <v>9504.2</v>
      </c>
      <c r="G170" s="118">
        <f t="shared" si="12"/>
        <v>9268.16</v>
      </c>
    </row>
    <row r="171" customHeight="1" spans="1:7">
      <c r="A171" s="210">
        <v>32</v>
      </c>
      <c r="B171" s="190" t="s">
        <v>291</v>
      </c>
      <c r="C171" s="117" t="s">
        <v>288</v>
      </c>
      <c r="D171" s="119" t="s">
        <v>306</v>
      </c>
      <c r="E171" s="185">
        <v>236.04</v>
      </c>
      <c r="F171" s="118">
        <f>9144.2</f>
        <v>9144.2</v>
      </c>
      <c r="G171" s="118">
        <f t="shared" si="12"/>
        <v>8908.16</v>
      </c>
    </row>
    <row r="172" customHeight="1" spans="1:7">
      <c r="A172" s="210">
        <v>33</v>
      </c>
      <c r="B172" s="190" t="s">
        <v>741</v>
      </c>
      <c r="C172" s="117" t="s">
        <v>288</v>
      </c>
      <c r="D172" s="119" t="s">
        <v>306</v>
      </c>
      <c r="E172" s="185">
        <v>236.04</v>
      </c>
      <c r="F172" s="118">
        <f>9144.2</f>
        <v>9144.2</v>
      </c>
      <c r="G172" s="118">
        <f t="shared" si="12"/>
        <v>8908.16</v>
      </c>
    </row>
    <row r="173" customHeight="1" spans="1:7">
      <c r="A173" s="210">
        <v>34</v>
      </c>
      <c r="B173" s="190" t="s">
        <v>739</v>
      </c>
      <c r="C173" s="117" t="s">
        <v>288</v>
      </c>
      <c r="D173" s="119" t="s">
        <v>306</v>
      </c>
      <c r="E173" s="185">
        <v>236.04</v>
      </c>
      <c r="F173" s="118">
        <f>9144.2</f>
        <v>9144.2</v>
      </c>
      <c r="G173" s="118">
        <f t="shared" si="12"/>
        <v>8908.16</v>
      </c>
    </row>
    <row r="174" customHeight="1" spans="1:7">
      <c r="A174" s="210">
        <v>35</v>
      </c>
      <c r="B174" s="190" t="s">
        <v>292</v>
      </c>
      <c r="C174" s="117" t="s">
        <v>288</v>
      </c>
      <c r="D174" s="119" t="s">
        <v>306</v>
      </c>
      <c r="E174" s="185">
        <v>236.04</v>
      </c>
      <c r="F174" s="118">
        <f>9117.05</f>
        <v>9117.05</v>
      </c>
      <c r="G174" s="118">
        <f t="shared" si="12"/>
        <v>8881.01</v>
      </c>
    </row>
    <row r="175" customHeight="1" spans="1:7">
      <c r="A175" s="210">
        <v>36</v>
      </c>
      <c r="B175" s="190" t="s">
        <v>293</v>
      </c>
      <c r="C175" s="117" t="s">
        <v>288</v>
      </c>
      <c r="D175" s="119" t="s">
        <v>306</v>
      </c>
      <c r="E175" s="185">
        <v>236.04</v>
      </c>
      <c r="F175" s="118">
        <f>9144.2</f>
        <v>9144.2</v>
      </c>
      <c r="G175" s="118">
        <f t="shared" si="12"/>
        <v>8908.16</v>
      </c>
    </row>
    <row r="176" customHeight="1" spans="1:7">
      <c r="A176" s="210">
        <v>37</v>
      </c>
      <c r="B176" s="190" t="s">
        <v>294</v>
      </c>
      <c r="C176" s="117" t="s">
        <v>308</v>
      </c>
      <c r="D176" s="119" t="s">
        <v>1255</v>
      </c>
      <c r="E176" s="185">
        <v>236.04</v>
      </c>
      <c r="F176" s="118">
        <f>4692.33</f>
        <v>4692.33</v>
      </c>
      <c r="G176" s="118">
        <f t="shared" si="12"/>
        <v>4456.29</v>
      </c>
    </row>
    <row r="177" customHeight="1" spans="1:7">
      <c r="A177" s="210">
        <v>38</v>
      </c>
      <c r="B177" s="190" t="s">
        <v>296</v>
      </c>
      <c r="C177" s="117" t="s">
        <v>308</v>
      </c>
      <c r="D177" s="119" t="s">
        <v>1255</v>
      </c>
      <c r="E177" s="185">
        <v>236.04</v>
      </c>
      <c r="F177" s="118">
        <f>4377.04</f>
        <v>4377.04</v>
      </c>
      <c r="G177" s="118">
        <f t="shared" si="12"/>
        <v>4141</v>
      </c>
    </row>
    <row r="178" customHeight="1" spans="1:7">
      <c r="A178" s="210">
        <v>39</v>
      </c>
      <c r="B178" s="190" t="s">
        <v>1190</v>
      </c>
      <c r="C178" s="117" t="s">
        <v>308</v>
      </c>
      <c r="D178" s="119" t="s">
        <v>1255</v>
      </c>
      <c r="E178" s="185">
        <v>236.04</v>
      </c>
      <c r="F178" s="118">
        <f>4377.04</f>
        <v>4377.04</v>
      </c>
      <c r="G178" s="118">
        <f t="shared" si="12"/>
        <v>4141</v>
      </c>
    </row>
    <row r="179" customHeight="1" spans="1:7">
      <c r="A179" s="210">
        <v>40</v>
      </c>
      <c r="B179" s="198" t="s">
        <v>297</v>
      </c>
      <c r="C179" s="117" t="s">
        <v>308</v>
      </c>
      <c r="D179" s="119" t="s">
        <v>1255</v>
      </c>
      <c r="E179" s="185">
        <v>236.04</v>
      </c>
      <c r="F179" s="118">
        <f>4692.33</f>
        <v>4692.33</v>
      </c>
      <c r="G179" s="118">
        <f t="shared" si="12"/>
        <v>4456.29</v>
      </c>
    </row>
    <row r="180" customHeight="1" spans="1:7">
      <c r="A180" s="210">
        <v>41</v>
      </c>
      <c r="B180" s="183" t="s">
        <v>298</v>
      </c>
      <c r="C180" s="117" t="s">
        <v>308</v>
      </c>
      <c r="D180" s="119" t="s">
        <v>1255</v>
      </c>
      <c r="E180" s="185">
        <v>236.04</v>
      </c>
      <c r="F180" s="118">
        <f>4377.04</f>
        <v>4377.04</v>
      </c>
      <c r="G180" s="118">
        <f t="shared" si="12"/>
        <v>4141</v>
      </c>
    </row>
    <row r="181" customHeight="1" spans="1:7">
      <c r="A181" s="210">
        <v>42</v>
      </c>
      <c r="B181" s="211" t="s">
        <v>299</v>
      </c>
      <c r="C181" s="117" t="s">
        <v>308</v>
      </c>
      <c r="D181" s="119" t="s">
        <v>1255</v>
      </c>
      <c r="E181" s="185">
        <v>236.04</v>
      </c>
      <c r="F181" s="118">
        <f>4377.04</f>
        <v>4377.04</v>
      </c>
      <c r="G181" s="118">
        <f t="shared" si="12"/>
        <v>4141</v>
      </c>
    </row>
    <row r="182" customHeight="1" spans="1:7">
      <c r="A182" s="210">
        <v>43</v>
      </c>
      <c r="B182" s="211" t="s">
        <v>300</v>
      </c>
      <c r="C182" s="117" t="s">
        <v>308</v>
      </c>
      <c r="D182" s="119" t="s">
        <v>1255</v>
      </c>
      <c r="E182" s="185">
        <v>236.04</v>
      </c>
      <c r="F182" s="118">
        <f>4692.33</f>
        <v>4692.33</v>
      </c>
      <c r="G182" s="118">
        <f t="shared" si="12"/>
        <v>4456.29</v>
      </c>
    </row>
    <row r="183" customHeight="1" spans="1:7">
      <c r="A183" s="210">
        <v>44</v>
      </c>
      <c r="B183" s="183" t="s">
        <v>301</v>
      </c>
      <c r="C183" s="117" t="s">
        <v>308</v>
      </c>
      <c r="D183" s="119" t="s">
        <v>1023</v>
      </c>
      <c r="E183" s="185">
        <v>236.04</v>
      </c>
      <c r="F183" s="118">
        <f>4227.52</f>
        <v>4227.52</v>
      </c>
      <c r="G183" s="118">
        <f t="shared" si="12"/>
        <v>3991.48</v>
      </c>
    </row>
    <row r="184" customHeight="1" spans="1:7">
      <c r="A184" s="210">
        <v>45</v>
      </c>
      <c r="B184" s="183" t="s">
        <v>304</v>
      </c>
      <c r="C184" s="117" t="s">
        <v>308</v>
      </c>
      <c r="D184" s="119" t="s">
        <v>1023</v>
      </c>
      <c r="E184" s="185">
        <v>236.04</v>
      </c>
      <c r="F184" s="118">
        <f>4227.52</f>
        <v>4227.52</v>
      </c>
      <c r="G184" s="118">
        <f t="shared" si="12"/>
        <v>3991.48</v>
      </c>
    </row>
    <row r="185" customHeight="1" spans="1:7">
      <c r="A185" s="210">
        <v>46</v>
      </c>
      <c r="B185" s="211" t="s">
        <v>305</v>
      </c>
      <c r="C185" s="117" t="s">
        <v>308</v>
      </c>
      <c r="D185" s="119" t="s">
        <v>588</v>
      </c>
      <c r="E185" s="185">
        <v>236.04</v>
      </c>
      <c r="F185" s="118">
        <f>4365.33</f>
        <v>4365.33</v>
      </c>
      <c r="G185" s="118">
        <f t="shared" si="12"/>
        <v>4129.29</v>
      </c>
    </row>
    <row r="186" customHeight="1" spans="1:7">
      <c r="A186" s="210">
        <v>47</v>
      </c>
      <c r="B186" s="183" t="s">
        <v>307</v>
      </c>
      <c r="C186" s="117" t="s">
        <v>308</v>
      </c>
      <c r="D186" s="119" t="s">
        <v>322</v>
      </c>
      <c r="E186" s="185">
        <v>236.04</v>
      </c>
      <c r="F186" s="118">
        <f>4089.72</f>
        <v>4089.72</v>
      </c>
      <c r="G186" s="118">
        <f t="shared" si="12"/>
        <v>3853.68</v>
      </c>
    </row>
    <row r="187" customHeight="1" spans="1:7">
      <c r="A187" s="210">
        <v>48</v>
      </c>
      <c r="B187" s="183" t="s">
        <v>309</v>
      </c>
      <c r="C187" s="117" t="s">
        <v>310</v>
      </c>
      <c r="D187" s="119" t="s">
        <v>1256</v>
      </c>
      <c r="E187" s="185">
        <v>236.04</v>
      </c>
      <c r="F187" s="118">
        <f>3951.8</f>
        <v>3951.8</v>
      </c>
      <c r="G187" s="118">
        <f t="shared" si="12"/>
        <v>3715.76</v>
      </c>
    </row>
    <row r="188" customHeight="1" spans="1:7">
      <c r="A188" s="210">
        <v>49</v>
      </c>
      <c r="B188" s="183" t="s">
        <v>312</v>
      </c>
      <c r="C188" s="117" t="s">
        <v>310</v>
      </c>
      <c r="D188" s="119" t="s">
        <v>1256</v>
      </c>
      <c r="E188" s="185">
        <v>236.04</v>
      </c>
      <c r="F188" s="118">
        <f>3687.8</f>
        <v>3687.8</v>
      </c>
      <c r="G188" s="118">
        <f t="shared" si="12"/>
        <v>3451.76</v>
      </c>
    </row>
    <row r="189" customHeight="1" spans="1:7">
      <c r="A189" s="210">
        <v>50</v>
      </c>
      <c r="B189" s="183" t="s">
        <v>313</v>
      </c>
      <c r="C189" s="117" t="s">
        <v>310</v>
      </c>
      <c r="D189" s="119" t="s">
        <v>1256</v>
      </c>
      <c r="E189" s="185">
        <v>236.04</v>
      </c>
      <c r="F189" s="118">
        <f>3951.8</f>
        <v>3951.8</v>
      </c>
      <c r="G189" s="118">
        <f t="shared" si="12"/>
        <v>3715.76</v>
      </c>
    </row>
    <row r="190" customHeight="1" spans="1:7">
      <c r="A190" s="210">
        <v>51</v>
      </c>
      <c r="B190" s="183" t="s">
        <v>314</v>
      </c>
      <c r="C190" s="117" t="s">
        <v>310</v>
      </c>
      <c r="D190" s="119" t="s">
        <v>1256</v>
      </c>
      <c r="E190" s="185">
        <v>236.04</v>
      </c>
      <c r="F190" s="118">
        <f>3687.8</f>
        <v>3687.8</v>
      </c>
      <c r="G190" s="118">
        <f t="shared" si="12"/>
        <v>3451.76</v>
      </c>
    </row>
    <row r="191" customHeight="1" spans="1:7">
      <c r="A191" s="210">
        <v>52</v>
      </c>
      <c r="B191" s="183" t="s">
        <v>315</v>
      </c>
      <c r="C191" s="117" t="s">
        <v>310</v>
      </c>
      <c r="D191" s="119" t="s">
        <v>1256</v>
      </c>
      <c r="E191" s="185">
        <v>236.04</v>
      </c>
      <c r="F191" s="118">
        <f>3951.8</f>
        <v>3951.8</v>
      </c>
      <c r="G191" s="118">
        <f t="shared" si="12"/>
        <v>3715.76</v>
      </c>
    </row>
    <row r="192" customHeight="1" spans="1:7">
      <c r="A192" s="210">
        <v>53</v>
      </c>
      <c r="B192" s="211" t="s">
        <v>316</v>
      </c>
      <c r="C192" s="117" t="s">
        <v>310</v>
      </c>
      <c r="D192" s="119" t="s">
        <v>333</v>
      </c>
      <c r="E192" s="185">
        <v>236.04</v>
      </c>
      <c r="F192" s="118">
        <f>3687.8</f>
        <v>3687.8</v>
      </c>
      <c r="G192" s="118">
        <f t="shared" si="12"/>
        <v>3451.76</v>
      </c>
    </row>
    <row r="193" customHeight="1" spans="1:7">
      <c r="A193" s="210">
        <v>54</v>
      </c>
      <c r="B193" s="211" t="s">
        <v>317</v>
      </c>
      <c r="C193" s="117" t="s">
        <v>310</v>
      </c>
      <c r="D193" s="119" t="s">
        <v>333</v>
      </c>
      <c r="E193" s="185">
        <v>236.04</v>
      </c>
      <c r="F193" s="118">
        <f>3951.8</f>
        <v>3951.8</v>
      </c>
      <c r="G193" s="118">
        <f t="shared" si="12"/>
        <v>3715.76</v>
      </c>
    </row>
    <row r="194" customHeight="1" spans="1:7">
      <c r="A194" s="210">
        <v>55</v>
      </c>
      <c r="B194" s="190" t="s">
        <v>318</v>
      </c>
      <c r="C194" s="117" t="s">
        <v>310</v>
      </c>
      <c r="D194" s="119" t="s">
        <v>589</v>
      </c>
      <c r="E194" s="185">
        <v>236.04</v>
      </c>
      <c r="F194" s="118">
        <f>3447.66</f>
        <v>3447.66</v>
      </c>
      <c r="G194" s="118">
        <f t="shared" si="12"/>
        <v>3211.62</v>
      </c>
    </row>
    <row r="195" customHeight="1" spans="1:7">
      <c r="A195" s="210">
        <v>56</v>
      </c>
      <c r="B195" s="190" t="s">
        <v>319</v>
      </c>
      <c r="C195" s="117" t="s">
        <v>310</v>
      </c>
      <c r="D195" s="119" t="s">
        <v>589</v>
      </c>
      <c r="E195" s="185">
        <v>236.04</v>
      </c>
      <c r="F195" s="118">
        <f>3447.66</f>
        <v>3447.66</v>
      </c>
      <c r="G195" s="118">
        <f t="shared" si="12"/>
        <v>3211.62</v>
      </c>
    </row>
    <row r="196" customHeight="1" spans="1:7">
      <c r="A196" s="210">
        <v>57</v>
      </c>
      <c r="B196" s="211" t="s">
        <v>320</v>
      </c>
      <c r="C196" s="117" t="s">
        <v>310</v>
      </c>
      <c r="D196" s="119" t="s">
        <v>589</v>
      </c>
      <c r="E196" s="185">
        <v>236.04</v>
      </c>
      <c r="F196" s="118">
        <f>3183.66</f>
        <v>3183.66</v>
      </c>
      <c r="G196" s="118">
        <f t="shared" si="12"/>
        <v>2947.62</v>
      </c>
    </row>
    <row r="197" customHeight="1" spans="1:7">
      <c r="A197" s="210">
        <v>58</v>
      </c>
      <c r="B197" s="211" t="s">
        <v>325</v>
      </c>
      <c r="C197" s="117" t="s">
        <v>310</v>
      </c>
      <c r="D197" s="119" t="s">
        <v>328</v>
      </c>
      <c r="E197" s="185">
        <v>236.04</v>
      </c>
      <c r="F197" s="118">
        <f>2972.91</f>
        <v>2972.91</v>
      </c>
      <c r="G197" s="118">
        <f t="shared" si="12"/>
        <v>2736.87</v>
      </c>
    </row>
    <row r="198" customHeight="1" spans="1:7">
      <c r="A198" s="210"/>
      <c r="B198" s="113" t="s">
        <v>96</v>
      </c>
      <c r="C198" s="172" t="s">
        <v>1257</v>
      </c>
      <c r="D198" s="173"/>
      <c r="E198" s="212">
        <v>236380.48</v>
      </c>
      <c r="F198" s="154">
        <f t="shared" ref="F198" si="13">SUM(F140:F197)</f>
        <v>1076921.62</v>
      </c>
      <c r="G198" s="153">
        <f t="shared" si="12"/>
        <v>840541.14</v>
      </c>
    </row>
    <row r="199" customHeight="1" spans="1:8">
      <c r="A199" s="43"/>
      <c r="B199" s="174" t="s">
        <v>336</v>
      </c>
      <c r="C199" s="175">
        <f>C43+C48+C63+C68+C84+C91+C106+C113+C123+C137+C198</f>
        <v>157</v>
      </c>
      <c r="D199" s="176"/>
      <c r="E199" s="209">
        <v>1513919.94</v>
      </c>
      <c r="F199" s="154">
        <f>F43+F48+F63+F68+F84+F91+F106+F113+F123+F137+F198</f>
        <v>6976828.12516129</v>
      </c>
      <c r="G199" s="154">
        <f t="shared" si="12"/>
        <v>5462908.18516129</v>
      </c>
      <c r="H199" s="199"/>
    </row>
    <row r="200" customHeight="1" spans="1:7">
      <c r="A200" s="43"/>
      <c r="B200" s="178"/>
      <c r="C200" s="174"/>
      <c r="D200" s="178"/>
      <c r="E200" s="178"/>
      <c r="F200" s="179"/>
      <c r="G200" s="179"/>
    </row>
    <row r="201" customHeight="1" spans="1:7">
      <c r="A201" s="43"/>
      <c r="B201" s="178"/>
      <c r="C201" s="180" t="s">
        <v>1258</v>
      </c>
      <c r="D201" s="180"/>
      <c r="E201" s="180"/>
      <c r="F201" s="179"/>
      <c r="G201" s="179"/>
    </row>
    <row r="202" customHeight="1" spans="1:7">
      <c r="A202" s="43"/>
      <c r="B202" s="178"/>
      <c r="C202" s="180"/>
      <c r="D202" s="180"/>
      <c r="E202" s="180"/>
      <c r="F202" s="179"/>
      <c r="G202" s="179"/>
    </row>
    <row r="203" customHeight="1" spans="2:7">
      <c r="B203" s="181"/>
      <c r="C203" s="181"/>
      <c r="D203" s="181"/>
      <c r="E203" s="181"/>
      <c r="F203" s="181"/>
      <c r="G203" s="181"/>
    </row>
    <row r="204" customHeight="1" spans="2:7">
      <c r="B204" s="181"/>
      <c r="C204" s="181"/>
      <c r="D204" s="181"/>
      <c r="E204" s="181"/>
      <c r="F204" s="181"/>
      <c r="G204" s="181"/>
    </row>
    <row r="205" customHeight="1" spans="3:7">
      <c r="C205" s="181"/>
      <c r="D205" s="181"/>
      <c r="E205" s="181"/>
      <c r="F205" s="181"/>
      <c r="G205" s="181"/>
    </row>
  </sheetData>
  <mergeCells count="4">
    <mergeCell ref="B3:D3"/>
    <mergeCell ref="F5:G5"/>
    <mergeCell ref="C201:C202"/>
    <mergeCell ref="D201:D202"/>
  </mergeCells>
  <pageMargins left="0.234251969" right="0.234251969" top="0.984251968503937" bottom="0.984251968503937" header="0.511811023622047" footer="0.511811023622047"/>
  <pageSetup paperSize="9" scale="80" orientation="landscape" horizontalDpi="1200" verticalDpi="1200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94"/>
  <sheetViews>
    <sheetView view="pageBreakPreview" zoomScaleNormal="100" workbookViewId="0">
      <pane xSplit="4" ySplit="9" topLeftCell="E185" activePane="bottomRight" state="frozen"/>
      <selection/>
      <selection pane="topRight"/>
      <selection pane="bottomLeft"/>
      <selection pane="bottomRight" activeCell="H7" sqref="H7"/>
    </sheetView>
  </sheetViews>
  <sheetFormatPr defaultColWidth="9.13636363636364" defaultRowHeight="20.1" customHeight="1"/>
  <cols>
    <col min="1" max="1" width="4.57272727272727" style="46" customWidth="1"/>
    <col min="2" max="2" width="4.85454545454545" style="46" customWidth="1"/>
    <col min="3" max="3" width="28.2818181818182" style="46" customWidth="1"/>
    <col min="4" max="4" width="32.5727272727273" style="46" customWidth="1"/>
    <col min="5" max="5" width="12.8545454545455" style="46" customWidth="1"/>
    <col min="6" max="6" width="18" style="46" customWidth="1"/>
    <col min="7" max="7" width="18.7090909090909" style="46" customWidth="1"/>
    <col min="8" max="8" width="23" style="46" customWidth="1"/>
    <col min="9" max="9" width="16.4272727272727" style="46" customWidth="1"/>
    <col min="10" max="10" width="18.1363636363636" style="46" customWidth="1"/>
    <col min="11" max="11" width="18" style="46" customWidth="1"/>
    <col min="12" max="12" width="19.1363636363636" style="46" customWidth="1"/>
    <col min="13" max="13" width="20" style="46" customWidth="1"/>
    <col min="14" max="14" width="24.5727272727273" style="46" customWidth="1"/>
    <col min="15" max="15" width="19.4272727272727" style="46" customWidth="1"/>
    <col min="16" max="16" width="16" style="46" customWidth="1"/>
    <col min="17" max="17" width="18.2818181818182" style="46" customWidth="1"/>
    <col min="18" max="18" width="20" style="46" customWidth="1"/>
    <col min="19" max="19" width="19.7090909090909" style="46" customWidth="1"/>
    <col min="20" max="20" width="20.1363636363636" style="46" customWidth="1"/>
    <col min="21" max="21" width="20.5727272727273" style="46" customWidth="1"/>
    <col min="22" max="22" width="18.2818181818182" style="46" customWidth="1"/>
    <col min="23" max="23" width="18.7090909090909" style="46" customWidth="1"/>
    <col min="24" max="25" width="18.2818181818182" style="46" customWidth="1"/>
    <col min="26" max="27" width="19.7090909090909" style="46" customWidth="1"/>
    <col min="28" max="28" width="21" style="46" customWidth="1"/>
    <col min="29" max="16384" width="9.13636363636364" style="46"/>
  </cols>
  <sheetData>
    <row r="1" ht="29.25" customHeight="1" spans="2:33"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AG1" s="46" t="s">
        <v>1217</v>
      </c>
    </row>
    <row r="2" ht="5.25" customHeight="1" spans="19:28"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customHeight="1" spans="2:28">
      <c r="B3" s="107" t="s">
        <v>1259</v>
      </c>
      <c r="C3" s="107"/>
      <c r="D3" s="107"/>
      <c r="E3" s="107"/>
      <c r="F3" s="107"/>
      <c r="G3" s="107"/>
      <c r="H3" s="10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51"/>
      <c r="T3" s="151"/>
      <c r="U3" s="151"/>
      <c r="V3" s="151"/>
      <c r="W3" s="151"/>
      <c r="X3" s="151"/>
      <c r="Y3" s="151"/>
      <c r="Z3" s="151"/>
      <c r="AA3" s="151"/>
      <c r="AB3" s="151"/>
    </row>
    <row r="4" ht="2.25" customHeight="1" spans="6:18">
      <c r="F4" s="108">
        <f>'[1]FEB 08'!E8/'[1]FEB 08'!M8</f>
        <v>0.22</v>
      </c>
      <c r="G4" s="108"/>
      <c r="H4" s="108"/>
      <c r="I4" s="108">
        <f>'[1]FEB 08'!F8/'[1]FEB 08'!Q8</f>
        <v>0.3</v>
      </c>
      <c r="J4" s="108"/>
      <c r="K4" s="108"/>
      <c r="L4" s="108"/>
      <c r="M4" s="108"/>
      <c r="N4" s="108"/>
      <c r="O4" s="108"/>
      <c r="P4" s="108"/>
      <c r="Q4" s="108"/>
      <c r="R4" s="108"/>
    </row>
    <row r="5" customHeight="1" spans="2:28">
      <c r="B5" s="107" t="s">
        <v>2</v>
      </c>
      <c r="C5" s="107"/>
      <c r="D5" s="109"/>
      <c r="E5" s="109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09"/>
      <c r="V5" s="109"/>
      <c r="W5" s="109"/>
      <c r="X5" s="109"/>
      <c r="Y5" s="109"/>
      <c r="Z5" s="109"/>
      <c r="AA5" s="109"/>
      <c r="AB5" s="109"/>
    </row>
    <row r="6" ht="35.45" customHeight="1" spans="1:28">
      <c r="A6" s="43"/>
      <c r="B6" s="55"/>
      <c r="C6" s="55"/>
      <c r="D6" s="55" t="s">
        <v>3</v>
      </c>
      <c r="E6" s="55" t="s">
        <v>1219</v>
      </c>
      <c r="F6" s="57" t="s">
        <v>1260</v>
      </c>
      <c r="G6" s="43"/>
      <c r="H6" s="57"/>
      <c r="I6" s="57"/>
      <c r="J6" s="57"/>
      <c r="K6" s="57"/>
      <c r="L6" s="57"/>
      <c r="M6" s="57" t="s">
        <v>1261</v>
      </c>
      <c r="N6" s="57" t="s">
        <v>1262</v>
      </c>
      <c r="O6" s="57" t="s">
        <v>1263</v>
      </c>
      <c r="P6" s="57" t="s">
        <v>1264</v>
      </c>
      <c r="Q6" s="57" t="s">
        <v>1265</v>
      </c>
      <c r="R6" s="57" t="s">
        <v>1266</v>
      </c>
      <c r="S6" s="57" t="s">
        <v>1267</v>
      </c>
      <c r="T6" s="57" t="s">
        <v>1268</v>
      </c>
      <c r="U6" s="57" t="s">
        <v>594</v>
      </c>
      <c r="V6" s="57"/>
      <c r="W6" s="57"/>
      <c r="X6" s="57"/>
      <c r="Y6" s="68"/>
      <c r="Z6" s="68"/>
      <c r="AA6" s="155"/>
      <c r="AB6" s="155"/>
    </row>
    <row r="7" ht="48" customHeight="1" spans="1:28">
      <c r="A7" s="43"/>
      <c r="B7" s="68"/>
      <c r="C7" s="68"/>
      <c r="D7" s="55"/>
      <c r="E7" s="55" t="s">
        <v>1220</v>
      </c>
      <c r="F7" s="57" t="s">
        <v>546</v>
      </c>
      <c r="G7" s="111" t="s">
        <v>1269</v>
      </c>
      <c r="H7" s="57" t="s">
        <v>643</v>
      </c>
      <c r="I7" s="57" t="s">
        <v>644</v>
      </c>
      <c r="J7" s="57" t="s">
        <v>645</v>
      </c>
      <c r="K7" s="57" t="s">
        <v>646</v>
      </c>
      <c r="L7" s="57" t="s">
        <v>647</v>
      </c>
      <c r="M7" s="57" t="s">
        <v>648</v>
      </c>
      <c r="N7" s="57" t="s">
        <v>7</v>
      </c>
      <c r="O7" s="57" t="s">
        <v>7</v>
      </c>
      <c r="P7" s="57" t="s">
        <v>649</v>
      </c>
      <c r="Q7" s="57" t="s">
        <v>649</v>
      </c>
      <c r="R7" s="57" t="s">
        <v>8</v>
      </c>
      <c r="S7" s="57" t="s">
        <v>546</v>
      </c>
      <c r="T7" s="111" t="s">
        <v>546</v>
      </c>
      <c r="U7" s="111"/>
      <c r="V7" s="111"/>
      <c r="W7" s="57" t="s">
        <v>592</v>
      </c>
      <c r="X7" s="111" t="s">
        <v>479</v>
      </c>
      <c r="Y7" s="57" t="s">
        <v>594</v>
      </c>
      <c r="Z7" s="57"/>
      <c r="AA7" s="57"/>
      <c r="AB7" s="57"/>
    </row>
    <row r="8" customHeight="1" spans="1:28">
      <c r="A8" s="42" t="s">
        <v>20</v>
      </c>
      <c r="B8" s="112" t="s">
        <v>1270</v>
      </c>
      <c r="C8" s="112"/>
      <c r="D8" s="113"/>
      <c r="E8" s="113"/>
      <c r="F8" s="114" t="s">
        <v>19</v>
      </c>
      <c r="G8" s="68"/>
      <c r="H8" s="114"/>
      <c r="I8" s="114" t="s">
        <v>19</v>
      </c>
      <c r="J8" s="114"/>
      <c r="K8" s="114"/>
      <c r="L8" s="114"/>
      <c r="M8" s="114"/>
      <c r="N8" s="114"/>
      <c r="O8" s="114"/>
      <c r="P8" s="114"/>
      <c r="Q8" s="114"/>
      <c r="R8" s="114"/>
      <c r="S8" s="114" t="s">
        <v>19</v>
      </c>
      <c r="T8" s="114" t="s">
        <v>19</v>
      </c>
      <c r="U8" s="114" t="s">
        <v>19</v>
      </c>
      <c r="V8" s="114"/>
      <c r="W8" s="114" t="s">
        <v>19</v>
      </c>
      <c r="X8" s="114" t="s">
        <v>19</v>
      </c>
      <c r="Y8" s="114" t="s">
        <v>19</v>
      </c>
      <c r="Z8" s="114"/>
      <c r="AA8" s="114"/>
      <c r="AB8" s="114"/>
    </row>
    <row r="9" customHeight="1" spans="1:29">
      <c r="A9" s="49">
        <v>1</v>
      </c>
      <c r="B9" s="115" t="s">
        <v>22</v>
      </c>
      <c r="C9" s="116"/>
      <c r="D9" s="117" t="s">
        <v>23</v>
      </c>
      <c r="E9" s="117" t="s">
        <v>24</v>
      </c>
      <c r="F9" s="118">
        <v>160488.75</v>
      </c>
      <c r="G9" s="118"/>
      <c r="H9" s="118">
        <v>320977.5</v>
      </c>
      <c r="I9" s="118">
        <v>48146.63</v>
      </c>
      <c r="J9" s="118">
        <v>120366.57</v>
      </c>
      <c r="K9" s="118">
        <v>72219.94</v>
      </c>
      <c r="L9" s="118">
        <v>0</v>
      </c>
      <c r="M9" s="118">
        <v>120366.57</v>
      </c>
      <c r="N9" s="44">
        <f>250000</f>
        <v>250000</v>
      </c>
      <c r="O9" s="44"/>
      <c r="P9" s="118">
        <v>16048.88</v>
      </c>
      <c r="Q9" s="118">
        <v>25000</v>
      </c>
      <c r="R9" s="118">
        <v>25235</v>
      </c>
      <c r="S9" s="118">
        <f>R9+Q9+P9+O9+N9+M9+L9+K9+J9+I9+H9+G9+F9</f>
        <v>1158849.84</v>
      </c>
      <c r="T9" s="118">
        <v>1158849.84</v>
      </c>
      <c r="U9" s="118">
        <f>S9-T9</f>
        <v>0</v>
      </c>
      <c r="V9" s="118"/>
      <c r="W9" s="118">
        <v>113176.97</v>
      </c>
      <c r="X9" s="118">
        <v>113176.97</v>
      </c>
      <c r="Y9" s="118">
        <f>X9-W9</f>
        <v>0</v>
      </c>
      <c r="Z9" s="118"/>
      <c r="AA9" s="118"/>
      <c r="AB9" s="118"/>
      <c r="AC9" s="156"/>
    </row>
    <row r="10" customHeight="1" spans="1:29">
      <c r="A10" s="49">
        <v>2</v>
      </c>
      <c r="B10" s="115" t="s">
        <v>1223</v>
      </c>
      <c r="C10" s="116"/>
      <c r="D10" s="117" t="s">
        <v>1224</v>
      </c>
      <c r="E10" s="119" t="s">
        <v>100</v>
      </c>
      <c r="F10" s="118">
        <v>81740.02</v>
      </c>
      <c r="G10" s="118"/>
      <c r="H10" s="118">
        <f>F10*300%</f>
        <v>245220.06</v>
      </c>
      <c r="I10" s="118">
        <f>F10*7.5%</f>
        <v>6130.5015</v>
      </c>
      <c r="J10" s="118">
        <v>80244.38</v>
      </c>
      <c r="K10" s="118">
        <f>F10*50%</f>
        <v>40870.01</v>
      </c>
      <c r="L10" s="118">
        <f>F10*350%</f>
        <v>286090.07</v>
      </c>
      <c r="M10" s="118">
        <f>F10*100%</f>
        <v>81740.02</v>
      </c>
      <c r="N10" s="44">
        <f>200000</f>
        <v>200000</v>
      </c>
      <c r="O10" s="44"/>
      <c r="P10" s="118">
        <f>F10*10%</f>
        <v>8174.002</v>
      </c>
      <c r="Q10" s="118">
        <v>20000</v>
      </c>
      <c r="R10" s="118">
        <v>0</v>
      </c>
      <c r="S10" s="118">
        <f t="shared" ref="S10:S38" si="0">R10+Q10+P10+O10+N10+M10+L10+K10+J10+I10+H10+G10+F10</f>
        <v>1050209.0635</v>
      </c>
      <c r="T10" s="118">
        <v>1050209.0635</v>
      </c>
      <c r="U10" s="118">
        <f t="shared" ref="U10:U73" si="1">S10-T10</f>
        <v>0</v>
      </c>
      <c r="V10" s="118"/>
      <c r="W10" s="118">
        <v>52776.63</v>
      </c>
      <c r="X10" s="118">
        <v>52776.63</v>
      </c>
      <c r="Y10" s="118">
        <f t="shared" ref="Y10:Y73" si="2">X10-W10</f>
        <v>0</v>
      </c>
      <c r="Z10" s="118"/>
      <c r="AA10" s="118"/>
      <c r="AB10" s="118"/>
      <c r="AC10" s="156"/>
    </row>
    <row r="11" customHeight="1" spans="1:29">
      <c r="A11" s="49">
        <v>3</v>
      </c>
      <c r="B11" s="52" t="s">
        <v>1271</v>
      </c>
      <c r="C11" s="54"/>
      <c r="D11" s="120" t="s">
        <v>1272</v>
      </c>
      <c r="E11" s="121" t="s">
        <v>189</v>
      </c>
      <c r="F11" s="122">
        <f>42653.17</f>
        <v>42653.17</v>
      </c>
      <c r="G11" s="123"/>
      <c r="H11" s="118">
        <f>F11*300%</f>
        <v>127959.51</v>
      </c>
      <c r="I11" s="118">
        <f>F11*7.5%</f>
        <v>3198.98775</v>
      </c>
      <c r="J11" s="118">
        <v>40122.19</v>
      </c>
      <c r="K11" s="118">
        <f>F11*50%</f>
        <v>21326.585</v>
      </c>
      <c r="L11" s="118">
        <f>F11*350%</f>
        <v>149286.095</v>
      </c>
      <c r="M11" s="118">
        <f>F11*100%</f>
        <v>42653.17</v>
      </c>
      <c r="N11" s="44"/>
      <c r="O11" s="44">
        <f>90000</f>
        <v>90000</v>
      </c>
      <c r="P11" s="118">
        <f>F11*10%</f>
        <v>4265.317</v>
      </c>
      <c r="Q11" s="118">
        <v>20000</v>
      </c>
      <c r="R11" s="152"/>
      <c r="S11" s="118">
        <f t="shared" si="0"/>
        <v>541465.02475</v>
      </c>
      <c r="T11" s="122">
        <v>541465.02475</v>
      </c>
      <c r="U11" s="118">
        <f t="shared" si="1"/>
        <v>0</v>
      </c>
      <c r="V11" s="122"/>
      <c r="W11" s="118">
        <v>21618.09</v>
      </c>
      <c r="X11" s="122">
        <v>21618.09</v>
      </c>
      <c r="Y11" s="118">
        <f t="shared" si="2"/>
        <v>0</v>
      </c>
      <c r="Z11" s="118"/>
      <c r="AA11" s="118"/>
      <c r="AB11" s="118"/>
      <c r="AC11" s="156"/>
    </row>
    <row r="12" customHeight="1" spans="1:29">
      <c r="A12" s="49">
        <v>4</v>
      </c>
      <c r="B12" s="115" t="s">
        <v>1085</v>
      </c>
      <c r="C12" s="116"/>
      <c r="D12" s="43" t="s">
        <v>1225</v>
      </c>
      <c r="E12" s="49" t="s">
        <v>110</v>
      </c>
      <c r="F12" s="118">
        <f>41157.69</f>
        <v>41157.69</v>
      </c>
      <c r="G12" s="118"/>
      <c r="H12" s="118">
        <f>F12*300%</f>
        <v>123473.07</v>
      </c>
      <c r="I12" s="118">
        <f>F12*7.5%</f>
        <v>3086.82675</v>
      </c>
      <c r="J12" s="118">
        <v>40122.19</v>
      </c>
      <c r="K12" s="118">
        <f>F12*50%</f>
        <v>20578.845</v>
      </c>
      <c r="L12" s="118">
        <f>F12*350%</f>
        <v>144051.915</v>
      </c>
      <c r="M12" s="118">
        <f>F12*100%</f>
        <v>41157.69</v>
      </c>
      <c r="N12" s="44">
        <f>180000</f>
        <v>180000</v>
      </c>
      <c r="O12" s="44"/>
      <c r="P12" s="118">
        <f>F12*10%</f>
        <v>4115.769</v>
      </c>
      <c r="Q12" s="118">
        <v>20000</v>
      </c>
      <c r="R12" s="118">
        <v>150000</v>
      </c>
      <c r="S12" s="118">
        <f t="shared" si="0"/>
        <v>767743.99575</v>
      </c>
      <c r="T12" s="118">
        <v>754023.33375</v>
      </c>
      <c r="U12" s="118">
        <f t="shared" si="1"/>
        <v>13720.662</v>
      </c>
      <c r="V12" s="118"/>
      <c r="W12" s="118">
        <f>21618.09</f>
        <v>21618.09</v>
      </c>
      <c r="X12" s="118">
        <v>21618.09</v>
      </c>
      <c r="Y12" s="118">
        <f t="shared" si="2"/>
        <v>0</v>
      </c>
      <c r="Z12" s="118"/>
      <c r="AA12" s="118"/>
      <c r="AB12" s="118"/>
      <c r="AC12" s="156"/>
    </row>
    <row r="13" customHeight="1" spans="1:29">
      <c r="A13" s="49">
        <v>5</v>
      </c>
      <c r="B13" s="52" t="s">
        <v>1176</v>
      </c>
      <c r="C13" s="54"/>
      <c r="D13" s="120" t="s">
        <v>1177</v>
      </c>
      <c r="E13" s="121" t="s">
        <v>110</v>
      </c>
      <c r="F13" s="122">
        <f>41157.69</f>
        <v>41157.69</v>
      </c>
      <c r="G13" s="122"/>
      <c r="H13" s="118">
        <f>F13*300%</f>
        <v>123473.07</v>
      </c>
      <c r="I13" s="118">
        <f>F13*7.5%</f>
        <v>3086.82675</v>
      </c>
      <c r="J13" s="118">
        <v>40122.19</v>
      </c>
      <c r="K13" s="118">
        <f>F13*50%</f>
        <v>20578.845</v>
      </c>
      <c r="L13" s="118">
        <f>F13*350%</f>
        <v>144051.915</v>
      </c>
      <c r="M13" s="118">
        <f>F13*100%</f>
        <v>41157.69</v>
      </c>
      <c r="N13" s="44">
        <f>180000</f>
        <v>180000</v>
      </c>
      <c r="O13" s="44"/>
      <c r="P13" s="118">
        <f>F13*10%</f>
        <v>4115.769</v>
      </c>
      <c r="Q13" s="118">
        <v>20000</v>
      </c>
      <c r="R13" s="122">
        <f>100000</f>
        <v>100000</v>
      </c>
      <c r="S13" s="118">
        <f t="shared" si="0"/>
        <v>717743.99575</v>
      </c>
      <c r="T13" s="122">
        <v>704023.33375</v>
      </c>
      <c r="U13" s="118">
        <f t="shared" si="1"/>
        <v>13720.662</v>
      </c>
      <c r="V13" s="122"/>
      <c r="W13" s="118">
        <f>21618.09</f>
        <v>21618.09</v>
      </c>
      <c r="X13" s="122">
        <v>21618.09</v>
      </c>
      <c r="Y13" s="118">
        <f t="shared" si="2"/>
        <v>0</v>
      </c>
      <c r="Z13" s="118"/>
      <c r="AA13" s="118"/>
      <c r="AB13" s="118"/>
      <c r="AC13" s="156"/>
    </row>
    <row r="14" customHeight="1" spans="1:29">
      <c r="A14" s="49">
        <v>6</v>
      </c>
      <c r="B14" s="115" t="s">
        <v>25</v>
      </c>
      <c r="C14" s="116"/>
      <c r="D14" s="117" t="s">
        <v>26</v>
      </c>
      <c r="E14" s="49" t="s">
        <v>1226</v>
      </c>
      <c r="F14" s="122">
        <f>41157.69</f>
        <v>41157.69</v>
      </c>
      <c r="G14" s="122"/>
      <c r="H14" s="118">
        <f>F14*300%</f>
        <v>123473.07</v>
      </c>
      <c r="I14" s="118">
        <f>F14*7.5%</f>
        <v>3086.82675</v>
      </c>
      <c r="J14" s="118">
        <v>40122.19</v>
      </c>
      <c r="K14" s="118">
        <f>F14*50%</f>
        <v>20578.845</v>
      </c>
      <c r="L14" s="118">
        <f>F14*350%</f>
        <v>144051.915</v>
      </c>
      <c r="M14" s="118">
        <f>F14*100%</f>
        <v>41157.69</v>
      </c>
      <c r="N14" s="44"/>
      <c r="O14" s="44">
        <f>90000</f>
        <v>90000</v>
      </c>
      <c r="P14" s="118">
        <f>F14*10%</f>
        <v>4115.769</v>
      </c>
      <c r="Q14" s="118">
        <v>20000</v>
      </c>
      <c r="R14" s="122">
        <v>0</v>
      </c>
      <c r="S14" s="118">
        <f t="shared" si="0"/>
        <v>527743.99575</v>
      </c>
      <c r="T14" s="122">
        <v>514023.33375</v>
      </c>
      <c r="U14" s="118">
        <f t="shared" si="1"/>
        <v>13720.662</v>
      </c>
      <c r="V14" s="122"/>
      <c r="W14" s="118">
        <f>21618.09</f>
        <v>21618.09</v>
      </c>
      <c r="X14" s="122">
        <v>21618.09</v>
      </c>
      <c r="Y14" s="118">
        <f t="shared" si="2"/>
        <v>0</v>
      </c>
      <c r="Z14" s="118"/>
      <c r="AA14" s="118"/>
      <c r="AB14" s="118"/>
      <c r="AC14" s="156"/>
    </row>
    <row r="15" customHeight="1" spans="1:29">
      <c r="A15" s="49">
        <v>7</v>
      </c>
      <c r="B15" s="52" t="s">
        <v>173</v>
      </c>
      <c r="C15" s="54"/>
      <c r="D15" s="43" t="s">
        <v>1227</v>
      </c>
      <c r="E15" s="124" t="s">
        <v>36</v>
      </c>
      <c r="F15" s="118">
        <v>33507.5</v>
      </c>
      <c r="G15" s="118"/>
      <c r="H15" s="118">
        <f t="shared" ref="H15:H34" si="3">F15*300%</f>
        <v>100522.5</v>
      </c>
      <c r="I15" s="118">
        <f t="shared" ref="I15:I34" si="4">F15*7.5%</f>
        <v>2513.0625</v>
      </c>
      <c r="J15" s="118">
        <v>40122.19</v>
      </c>
      <c r="K15" s="118">
        <f t="shared" ref="K15:K34" si="5">F15*50%</f>
        <v>16753.75</v>
      </c>
      <c r="L15" s="118">
        <f t="shared" ref="L15:L34" si="6">F15*350%</f>
        <v>117276.25</v>
      </c>
      <c r="M15" s="118">
        <f t="shared" ref="M15:M34" si="7">F15*100%</f>
        <v>33507.5</v>
      </c>
      <c r="N15" s="44"/>
      <c r="O15" s="44">
        <f>80000</f>
        <v>80000</v>
      </c>
      <c r="P15" s="118">
        <f t="shared" ref="P15:P34" si="8">F15*10%</f>
        <v>3350.75</v>
      </c>
      <c r="Q15" s="118">
        <v>20000</v>
      </c>
      <c r="R15" s="118">
        <f>100000</f>
        <v>100000</v>
      </c>
      <c r="S15" s="118">
        <f t="shared" si="0"/>
        <v>547553.5025</v>
      </c>
      <c r="T15" s="118">
        <v>547553.5025</v>
      </c>
      <c r="U15" s="118">
        <f t="shared" si="1"/>
        <v>0</v>
      </c>
      <c r="V15" s="118"/>
      <c r="W15" s="118">
        <v>15548.33</v>
      </c>
      <c r="X15" s="118">
        <v>15548.33</v>
      </c>
      <c r="Y15" s="118">
        <f t="shared" si="2"/>
        <v>0</v>
      </c>
      <c r="Z15" s="118"/>
      <c r="AA15" s="118"/>
      <c r="AB15" s="118"/>
      <c r="AC15" s="156"/>
    </row>
    <row r="16" customHeight="1" spans="1:29">
      <c r="A16" s="49">
        <v>8</v>
      </c>
      <c r="B16" s="125" t="s">
        <v>30</v>
      </c>
      <c r="C16" s="126"/>
      <c r="D16" s="17" t="s">
        <v>130</v>
      </c>
      <c r="E16" s="10" t="s">
        <v>36</v>
      </c>
      <c r="F16" s="85">
        <f>33507.5</f>
        <v>33507.5</v>
      </c>
      <c r="G16" s="85"/>
      <c r="H16" s="85">
        <f t="shared" si="3"/>
        <v>100522.5</v>
      </c>
      <c r="I16" s="85">
        <f t="shared" si="4"/>
        <v>2513.0625</v>
      </c>
      <c r="J16" s="85">
        <v>40122.19</v>
      </c>
      <c r="K16" s="85">
        <f t="shared" si="5"/>
        <v>16753.75</v>
      </c>
      <c r="L16" s="85">
        <f t="shared" si="6"/>
        <v>117276.25</v>
      </c>
      <c r="M16" s="85">
        <f t="shared" si="7"/>
        <v>33507.5</v>
      </c>
      <c r="N16" s="44"/>
      <c r="O16" s="44">
        <f>80000</f>
        <v>80000</v>
      </c>
      <c r="P16" s="85">
        <f t="shared" si="8"/>
        <v>3350.75</v>
      </c>
      <c r="Q16" s="85">
        <v>20000</v>
      </c>
      <c r="R16" s="85">
        <v>0</v>
      </c>
      <c r="S16" s="118">
        <f t="shared" si="0"/>
        <v>447553.5025</v>
      </c>
      <c r="T16" s="118">
        <v>447553.5025</v>
      </c>
      <c r="U16" s="118">
        <f t="shared" si="1"/>
        <v>0</v>
      </c>
      <c r="V16" s="85"/>
      <c r="W16" s="85">
        <v>15548.33</v>
      </c>
      <c r="X16" s="85">
        <v>15548.33</v>
      </c>
      <c r="Y16" s="118">
        <f t="shared" si="2"/>
        <v>0</v>
      </c>
      <c r="Z16" s="118"/>
      <c r="AA16" s="85"/>
      <c r="AB16" s="85"/>
      <c r="AC16" s="156"/>
    </row>
    <row r="17" customHeight="1" spans="1:29">
      <c r="A17" s="49">
        <v>9</v>
      </c>
      <c r="B17" s="52" t="s">
        <v>32</v>
      </c>
      <c r="C17" s="54"/>
      <c r="D17" s="43" t="s">
        <v>1228</v>
      </c>
      <c r="E17" s="49" t="s">
        <v>36</v>
      </c>
      <c r="F17" s="118">
        <f>33507.5</f>
        <v>33507.5</v>
      </c>
      <c r="G17" s="118"/>
      <c r="H17" s="118">
        <f t="shared" si="3"/>
        <v>100522.5</v>
      </c>
      <c r="I17" s="118">
        <f t="shared" si="4"/>
        <v>2513.0625</v>
      </c>
      <c r="J17" s="118">
        <v>40122.19</v>
      </c>
      <c r="K17" s="118">
        <f t="shared" si="5"/>
        <v>16753.75</v>
      </c>
      <c r="L17" s="118">
        <f t="shared" si="6"/>
        <v>117276.25</v>
      </c>
      <c r="M17" s="118">
        <f t="shared" si="7"/>
        <v>33507.5</v>
      </c>
      <c r="N17" s="44"/>
      <c r="O17" s="44">
        <f>80000</f>
        <v>80000</v>
      </c>
      <c r="P17" s="118">
        <f t="shared" si="8"/>
        <v>3350.75</v>
      </c>
      <c r="Q17" s="118">
        <v>20000</v>
      </c>
      <c r="R17" s="153">
        <v>0</v>
      </c>
      <c r="S17" s="118">
        <f t="shared" si="0"/>
        <v>447553.5025</v>
      </c>
      <c r="T17" s="118">
        <v>447553.5025</v>
      </c>
      <c r="U17" s="118">
        <f t="shared" si="1"/>
        <v>0</v>
      </c>
      <c r="V17" s="118"/>
      <c r="W17" s="118">
        <v>15548.33</v>
      </c>
      <c r="X17" s="118">
        <v>15548.33</v>
      </c>
      <c r="Y17" s="118">
        <f t="shared" si="2"/>
        <v>0</v>
      </c>
      <c r="Z17" s="118"/>
      <c r="AA17" s="118"/>
      <c r="AB17" s="118"/>
      <c r="AC17" s="156"/>
    </row>
    <row r="18" customHeight="1" spans="1:29">
      <c r="A18" s="49">
        <v>10</v>
      </c>
      <c r="B18" s="117" t="s">
        <v>34</v>
      </c>
      <c r="C18" s="117"/>
      <c r="D18" s="117" t="s">
        <v>1229</v>
      </c>
      <c r="E18" s="119" t="s">
        <v>36</v>
      </c>
      <c r="F18" s="118">
        <f>33507.5</f>
        <v>33507.5</v>
      </c>
      <c r="G18" s="118"/>
      <c r="H18" s="118">
        <f t="shared" si="3"/>
        <v>100522.5</v>
      </c>
      <c r="I18" s="118">
        <f t="shared" si="4"/>
        <v>2513.0625</v>
      </c>
      <c r="J18" s="118">
        <f>40122.19</f>
        <v>40122.19</v>
      </c>
      <c r="K18" s="118">
        <f t="shared" si="5"/>
        <v>16753.75</v>
      </c>
      <c r="L18" s="118">
        <f t="shared" si="6"/>
        <v>117276.25</v>
      </c>
      <c r="M18" s="118">
        <f t="shared" si="7"/>
        <v>33507.5</v>
      </c>
      <c r="N18" s="44"/>
      <c r="O18" s="44">
        <f t="shared" ref="O18:O124" si="9">80000</f>
        <v>80000</v>
      </c>
      <c r="P18" s="118">
        <f t="shared" si="8"/>
        <v>3350.75</v>
      </c>
      <c r="Q18" s="118">
        <v>20000</v>
      </c>
      <c r="R18" s="118">
        <v>0</v>
      </c>
      <c r="S18" s="118">
        <f>SUM(F18:R18)</f>
        <v>447553.5025</v>
      </c>
      <c r="T18" s="118">
        <v>436137.05</v>
      </c>
      <c r="U18" s="118">
        <f t="shared" si="1"/>
        <v>11416.4525</v>
      </c>
      <c r="V18" s="118"/>
      <c r="W18" s="118">
        <f>15548.33</f>
        <v>15548.33</v>
      </c>
      <c r="X18" s="118">
        <v>15548.33</v>
      </c>
      <c r="Y18" s="118">
        <f t="shared" si="2"/>
        <v>0</v>
      </c>
      <c r="Z18" s="118"/>
      <c r="AA18" s="118"/>
      <c r="AB18" s="118"/>
      <c r="AC18" s="156"/>
    </row>
    <row r="19" customHeight="1" spans="1:29">
      <c r="A19" s="49">
        <v>11</v>
      </c>
      <c r="B19" s="115" t="s">
        <v>521</v>
      </c>
      <c r="C19" s="116"/>
      <c r="D19" s="117" t="s">
        <v>574</v>
      </c>
      <c r="E19" s="50" t="s">
        <v>1021</v>
      </c>
      <c r="F19" s="118">
        <v>31018.84</v>
      </c>
      <c r="G19" s="118"/>
      <c r="H19" s="118">
        <f t="shared" ref="H19" si="10">F19*300%</f>
        <v>93056.52</v>
      </c>
      <c r="I19" s="118">
        <f t="shared" ref="I19" si="11">F19*7.5%</f>
        <v>2326.413</v>
      </c>
      <c r="J19" s="118">
        <v>40122.19</v>
      </c>
      <c r="K19" s="118">
        <f t="shared" ref="K19" si="12">F19*50%</f>
        <v>15509.42</v>
      </c>
      <c r="L19" s="118">
        <f t="shared" ref="L19" si="13">F19*350%</f>
        <v>108565.94</v>
      </c>
      <c r="M19" s="118">
        <f t="shared" ref="M19" si="14">F19*100%</f>
        <v>31018.84</v>
      </c>
      <c r="N19" s="44"/>
      <c r="O19" s="44">
        <f t="shared" si="9"/>
        <v>80000</v>
      </c>
      <c r="P19" s="118">
        <f t="shared" ref="P19" si="15">F19*10%</f>
        <v>3101.884</v>
      </c>
      <c r="Q19" s="118">
        <v>20000</v>
      </c>
      <c r="R19" s="153">
        <v>0</v>
      </c>
      <c r="S19" s="118">
        <f t="shared" si="0"/>
        <v>424720.047</v>
      </c>
      <c r="T19" s="118">
        <v>424720.047</v>
      </c>
      <c r="U19" s="118">
        <f t="shared" si="1"/>
        <v>0</v>
      </c>
      <c r="V19" s="118"/>
      <c r="W19" s="118">
        <v>15548.33</v>
      </c>
      <c r="X19" s="118">
        <v>15548.33</v>
      </c>
      <c r="Y19" s="118">
        <f t="shared" si="2"/>
        <v>0</v>
      </c>
      <c r="Z19" s="118"/>
      <c r="AA19" s="118"/>
      <c r="AB19" s="118"/>
      <c r="AC19" s="156"/>
    </row>
    <row r="20" customHeight="1" spans="1:29">
      <c r="A20" s="49">
        <v>12</v>
      </c>
      <c r="B20" s="52" t="s">
        <v>1178</v>
      </c>
      <c r="C20" s="54"/>
      <c r="D20" s="120" t="s">
        <v>1179</v>
      </c>
      <c r="E20" s="127" t="s">
        <v>148</v>
      </c>
      <c r="F20" s="122">
        <f>26732.65</f>
        <v>26732.65</v>
      </c>
      <c r="G20" s="122"/>
      <c r="H20" s="122">
        <f t="shared" si="3"/>
        <v>80197.95</v>
      </c>
      <c r="I20" s="122">
        <f t="shared" si="4"/>
        <v>2004.94875</v>
      </c>
      <c r="J20" s="122"/>
      <c r="K20" s="122">
        <f t="shared" si="5"/>
        <v>13366.325</v>
      </c>
      <c r="L20" s="122">
        <f t="shared" si="6"/>
        <v>93564.275</v>
      </c>
      <c r="M20" s="122">
        <f t="shared" si="7"/>
        <v>26732.65</v>
      </c>
      <c r="N20" s="44"/>
      <c r="O20" s="44">
        <f t="shared" ref="O20:O24" si="16">70000</f>
        <v>70000</v>
      </c>
      <c r="P20" s="122">
        <f t="shared" si="8"/>
        <v>2673.265</v>
      </c>
      <c r="Q20" s="122">
        <v>20000</v>
      </c>
      <c r="R20" s="122">
        <v>50000</v>
      </c>
      <c r="S20" s="118">
        <f t="shared" si="0"/>
        <v>385272.06375</v>
      </c>
      <c r="T20" s="122">
        <v>377211.3675</v>
      </c>
      <c r="U20" s="118">
        <f t="shared" si="1"/>
        <v>8060.69625000004</v>
      </c>
      <c r="V20" s="122"/>
      <c r="W20" s="122">
        <v>7709.76</v>
      </c>
      <c r="X20" s="122">
        <v>7709.76</v>
      </c>
      <c r="Y20" s="118">
        <f t="shared" si="2"/>
        <v>0</v>
      </c>
      <c r="Z20" s="118"/>
      <c r="AA20" s="118"/>
      <c r="AB20" s="118"/>
      <c r="AC20" s="156"/>
    </row>
    <row r="21" ht="19.5" customHeight="1" spans="1:29">
      <c r="A21" s="49">
        <v>13</v>
      </c>
      <c r="B21" s="52" t="s">
        <v>1088</v>
      </c>
      <c r="C21" s="54"/>
      <c r="D21" s="120" t="s">
        <v>41</v>
      </c>
      <c r="E21" s="49" t="s">
        <v>148</v>
      </c>
      <c r="F21" s="122">
        <f>26732.65</f>
        <v>26732.65</v>
      </c>
      <c r="G21" s="118"/>
      <c r="H21" s="118">
        <f t="shared" si="3"/>
        <v>80197.95</v>
      </c>
      <c r="I21" s="118">
        <f t="shared" si="4"/>
        <v>2004.94875</v>
      </c>
      <c r="J21" s="118"/>
      <c r="K21" s="118">
        <f t="shared" si="5"/>
        <v>13366.325</v>
      </c>
      <c r="L21" s="118">
        <f t="shared" si="6"/>
        <v>93564.275</v>
      </c>
      <c r="M21" s="118">
        <f t="shared" si="7"/>
        <v>26732.65</v>
      </c>
      <c r="N21" s="44"/>
      <c r="O21" s="44">
        <f t="shared" si="16"/>
        <v>70000</v>
      </c>
      <c r="P21" s="118">
        <f t="shared" si="8"/>
        <v>2673.265</v>
      </c>
      <c r="Q21" s="118">
        <v>20000</v>
      </c>
      <c r="R21" s="118">
        <v>0</v>
      </c>
      <c r="S21" s="118">
        <f t="shared" si="0"/>
        <v>335272.06375</v>
      </c>
      <c r="T21" s="118">
        <v>327211.3675</v>
      </c>
      <c r="U21" s="118">
        <f t="shared" si="1"/>
        <v>8060.6962500001</v>
      </c>
      <c r="V21" s="118"/>
      <c r="W21" s="118">
        <v>7709.76</v>
      </c>
      <c r="X21" s="118">
        <v>7709.76</v>
      </c>
      <c r="Y21" s="118">
        <f t="shared" si="2"/>
        <v>0</v>
      </c>
      <c r="Z21" s="118"/>
      <c r="AA21" s="118"/>
      <c r="AB21" s="118"/>
      <c r="AC21" s="156"/>
    </row>
    <row r="22" ht="19.5" customHeight="1" spans="1:29">
      <c r="A22" s="49">
        <v>14</v>
      </c>
      <c r="B22" s="52" t="s">
        <v>1180</v>
      </c>
      <c r="C22" s="54"/>
      <c r="D22" s="43" t="s">
        <v>1181</v>
      </c>
      <c r="E22" s="49" t="s">
        <v>148</v>
      </c>
      <c r="F22" s="122">
        <f>26732.65</f>
        <v>26732.65</v>
      </c>
      <c r="G22" s="118"/>
      <c r="H22" s="118">
        <f t="shared" si="3"/>
        <v>80197.95</v>
      </c>
      <c r="I22" s="118">
        <f t="shared" si="4"/>
        <v>2004.94875</v>
      </c>
      <c r="J22" s="118"/>
      <c r="K22" s="118">
        <f t="shared" si="5"/>
        <v>13366.325</v>
      </c>
      <c r="L22" s="118">
        <f t="shared" si="6"/>
        <v>93564.275</v>
      </c>
      <c r="M22" s="118">
        <f t="shared" si="7"/>
        <v>26732.65</v>
      </c>
      <c r="N22" s="44">
        <f>140000</f>
        <v>140000</v>
      </c>
      <c r="O22" s="44"/>
      <c r="P22" s="118">
        <f t="shared" si="8"/>
        <v>2673.265</v>
      </c>
      <c r="Q22" s="118">
        <v>20000</v>
      </c>
      <c r="R22" s="118">
        <f>50000+100000</f>
        <v>150000</v>
      </c>
      <c r="S22" s="118">
        <f t="shared" si="0"/>
        <v>555272.06375</v>
      </c>
      <c r="T22" s="118">
        <v>547211.3675</v>
      </c>
      <c r="U22" s="118">
        <f t="shared" si="1"/>
        <v>8060.69625000004</v>
      </c>
      <c r="V22" s="118"/>
      <c r="W22" s="118">
        <f t="shared" ref="W22:W104" si="17">7709.76</f>
        <v>7709.76</v>
      </c>
      <c r="X22" s="118">
        <v>7709.76</v>
      </c>
      <c r="Y22" s="118">
        <f t="shared" si="2"/>
        <v>0</v>
      </c>
      <c r="Z22" s="118"/>
      <c r="AA22" s="118"/>
      <c r="AB22" s="118"/>
      <c r="AC22" s="156"/>
    </row>
    <row r="23" customHeight="1" spans="1:29">
      <c r="A23" s="49">
        <v>15</v>
      </c>
      <c r="B23" s="115" t="s">
        <v>40</v>
      </c>
      <c r="C23" s="116"/>
      <c r="D23" s="120" t="s">
        <v>1230</v>
      </c>
      <c r="E23" s="119" t="s">
        <v>192</v>
      </c>
      <c r="F23" s="118">
        <f>26339.3</f>
        <v>26339.3</v>
      </c>
      <c r="G23" s="118"/>
      <c r="H23" s="118">
        <f t="shared" si="3"/>
        <v>79017.9</v>
      </c>
      <c r="I23" s="118">
        <f t="shared" si="4"/>
        <v>1975.4475</v>
      </c>
      <c r="J23" s="118">
        <v>0</v>
      </c>
      <c r="K23" s="118">
        <f t="shared" si="5"/>
        <v>13169.65</v>
      </c>
      <c r="L23" s="118">
        <f t="shared" si="6"/>
        <v>92187.55</v>
      </c>
      <c r="M23" s="118">
        <f t="shared" si="7"/>
        <v>26339.3</v>
      </c>
      <c r="N23" s="44"/>
      <c r="O23" s="44">
        <f t="shared" si="16"/>
        <v>70000</v>
      </c>
      <c r="P23" s="118">
        <f t="shared" si="8"/>
        <v>2633.93</v>
      </c>
      <c r="Q23" s="118">
        <v>15000</v>
      </c>
      <c r="R23" s="118">
        <f>0</f>
        <v>0</v>
      </c>
      <c r="S23" s="118">
        <f t="shared" si="0"/>
        <v>326663.0775</v>
      </c>
      <c r="T23" s="118">
        <v>326663.0775</v>
      </c>
      <c r="U23" s="118">
        <f t="shared" si="1"/>
        <v>0</v>
      </c>
      <c r="V23" s="118"/>
      <c r="W23" s="118">
        <f t="shared" si="17"/>
        <v>7709.76</v>
      </c>
      <c r="X23" s="118">
        <v>7709.76</v>
      </c>
      <c r="Y23" s="118">
        <f t="shared" si="2"/>
        <v>0</v>
      </c>
      <c r="Z23" s="118"/>
      <c r="AA23" s="118"/>
      <c r="AB23" s="118"/>
      <c r="AC23" s="156"/>
    </row>
    <row r="24" customHeight="1" spans="1:29">
      <c r="A24" s="49">
        <v>16</v>
      </c>
      <c r="B24" s="52" t="s">
        <v>28</v>
      </c>
      <c r="C24" s="54"/>
      <c r="D24" s="43" t="s">
        <v>1273</v>
      </c>
      <c r="E24" s="119" t="s">
        <v>58</v>
      </c>
      <c r="F24" s="118">
        <f>23074.99</f>
        <v>23074.99</v>
      </c>
      <c r="G24" s="118"/>
      <c r="H24" s="118">
        <f t="shared" si="3"/>
        <v>69224.97</v>
      </c>
      <c r="I24" s="118">
        <f t="shared" si="4"/>
        <v>1730.62425</v>
      </c>
      <c r="J24" s="118">
        <f>265272</f>
        <v>265272</v>
      </c>
      <c r="K24" s="118">
        <f t="shared" si="5"/>
        <v>11537.495</v>
      </c>
      <c r="L24" s="118">
        <f t="shared" si="6"/>
        <v>80762.465</v>
      </c>
      <c r="M24" s="118">
        <f t="shared" si="7"/>
        <v>23074.99</v>
      </c>
      <c r="N24" s="44"/>
      <c r="O24" s="44">
        <f t="shared" si="16"/>
        <v>70000</v>
      </c>
      <c r="P24" s="118">
        <f t="shared" si="8"/>
        <v>2307.499</v>
      </c>
      <c r="Q24" s="118">
        <v>15000</v>
      </c>
      <c r="R24" s="118">
        <f>100000+100000</f>
        <v>200000</v>
      </c>
      <c r="S24" s="118">
        <f t="shared" si="0"/>
        <v>761985.03325</v>
      </c>
      <c r="T24" s="118">
        <v>761985.03325</v>
      </c>
      <c r="U24" s="118">
        <f t="shared" si="1"/>
        <v>0</v>
      </c>
      <c r="V24" s="118"/>
      <c r="W24" s="118">
        <f t="shared" si="17"/>
        <v>7709.76</v>
      </c>
      <c r="X24" s="118">
        <v>7709.76</v>
      </c>
      <c r="Y24" s="118">
        <f t="shared" si="2"/>
        <v>0</v>
      </c>
      <c r="Z24" s="118"/>
      <c r="AA24" s="118"/>
      <c r="AB24" s="118"/>
      <c r="AC24" s="156"/>
    </row>
    <row r="25" customHeight="1" spans="1:29">
      <c r="A25" s="49">
        <v>17</v>
      </c>
      <c r="B25" s="115" t="s">
        <v>50</v>
      </c>
      <c r="C25" s="116"/>
      <c r="D25" s="117" t="s">
        <v>51</v>
      </c>
      <c r="E25" s="119" t="s">
        <v>1231</v>
      </c>
      <c r="F25" s="118">
        <f>23891.12</f>
        <v>23891.12</v>
      </c>
      <c r="G25" s="118"/>
      <c r="H25" s="118">
        <f t="shared" si="3"/>
        <v>71673.36</v>
      </c>
      <c r="I25" s="118">
        <f t="shared" si="4"/>
        <v>1791.834</v>
      </c>
      <c r="J25" s="118">
        <v>0</v>
      </c>
      <c r="K25" s="118">
        <f t="shared" si="5"/>
        <v>11945.56</v>
      </c>
      <c r="L25" s="118">
        <f t="shared" si="6"/>
        <v>83618.92</v>
      </c>
      <c r="M25" s="118">
        <f t="shared" si="7"/>
        <v>23891.12</v>
      </c>
      <c r="N25" s="44">
        <f>120000</f>
        <v>120000</v>
      </c>
      <c r="O25" s="44"/>
      <c r="P25" s="118">
        <f t="shared" si="8"/>
        <v>2389.112</v>
      </c>
      <c r="Q25" s="118">
        <v>15000</v>
      </c>
      <c r="R25" s="118">
        <v>0</v>
      </c>
      <c r="S25" s="118">
        <f t="shared" si="0"/>
        <v>354201.026</v>
      </c>
      <c r="T25" s="118">
        <v>346713.03325</v>
      </c>
      <c r="U25" s="118">
        <f t="shared" si="1"/>
        <v>7487.99275000003</v>
      </c>
      <c r="V25" s="118"/>
      <c r="W25" s="118">
        <f t="shared" ref="W25:W98" si="18">7709.76</f>
        <v>7709.76</v>
      </c>
      <c r="X25" s="118">
        <v>7709.76</v>
      </c>
      <c r="Y25" s="118">
        <f t="shared" si="2"/>
        <v>0</v>
      </c>
      <c r="Z25" s="118"/>
      <c r="AA25" s="118"/>
      <c r="AB25" s="118"/>
      <c r="AC25" s="156"/>
    </row>
    <row r="26" customHeight="1" spans="1:29">
      <c r="A26" s="49">
        <v>18</v>
      </c>
      <c r="B26" s="115" t="s">
        <v>60</v>
      </c>
      <c r="C26" s="116"/>
      <c r="D26" s="117" t="s">
        <v>94</v>
      </c>
      <c r="E26" s="119" t="s">
        <v>587</v>
      </c>
      <c r="F26" s="118">
        <f>18779.3</f>
        <v>18779.3</v>
      </c>
      <c r="G26" s="118"/>
      <c r="H26" s="118">
        <f t="shared" si="3"/>
        <v>56337.9</v>
      </c>
      <c r="I26" s="118">
        <f t="shared" si="4"/>
        <v>1408.4475</v>
      </c>
      <c r="J26" s="118"/>
      <c r="K26" s="118">
        <f t="shared" si="5"/>
        <v>9389.65</v>
      </c>
      <c r="L26" s="118">
        <f t="shared" si="6"/>
        <v>65727.55</v>
      </c>
      <c r="M26" s="118">
        <f t="shared" si="7"/>
        <v>18779.3</v>
      </c>
      <c r="N26" s="44"/>
      <c r="O26" s="44">
        <f>60000</f>
        <v>60000</v>
      </c>
      <c r="P26" s="118">
        <f t="shared" si="8"/>
        <v>1877.93</v>
      </c>
      <c r="Q26" s="118">
        <v>10000</v>
      </c>
      <c r="R26" s="118"/>
      <c r="S26" s="118">
        <f t="shared" si="0"/>
        <v>242300.0775</v>
      </c>
      <c r="T26" s="118">
        <v>237734.047</v>
      </c>
      <c r="U26" s="118">
        <f t="shared" si="1"/>
        <v>4566.03049999999</v>
      </c>
      <c r="V26" s="118"/>
      <c r="W26" s="118">
        <v>3369.51</v>
      </c>
      <c r="X26" s="118">
        <v>3369.51</v>
      </c>
      <c r="Y26" s="118">
        <f t="shared" si="2"/>
        <v>0</v>
      </c>
      <c r="Z26" s="118"/>
      <c r="AA26" s="118"/>
      <c r="AB26" s="118"/>
      <c r="AC26" s="156"/>
    </row>
    <row r="27" ht="18.75" customHeight="1" spans="1:29">
      <c r="A27" s="49">
        <v>19</v>
      </c>
      <c r="B27" s="115" t="s">
        <v>204</v>
      </c>
      <c r="C27" s="116"/>
      <c r="D27" s="117" t="s">
        <v>581</v>
      </c>
      <c r="E27" s="119" t="s">
        <v>135</v>
      </c>
      <c r="F27" s="118">
        <f>21520.88</f>
        <v>21520.88</v>
      </c>
      <c r="G27" s="118"/>
      <c r="H27" s="118">
        <f t="shared" si="3"/>
        <v>64562.64</v>
      </c>
      <c r="I27" s="118">
        <f t="shared" si="4"/>
        <v>1614.066</v>
      </c>
      <c r="J27" s="118"/>
      <c r="K27" s="118">
        <f t="shared" si="5"/>
        <v>10760.44</v>
      </c>
      <c r="L27" s="118">
        <f t="shared" si="6"/>
        <v>75323.08</v>
      </c>
      <c r="M27" s="118">
        <f t="shared" si="7"/>
        <v>21520.88</v>
      </c>
      <c r="N27" s="44"/>
      <c r="O27" s="44">
        <f>60000</f>
        <v>60000</v>
      </c>
      <c r="P27" s="118">
        <f t="shared" si="8"/>
        <v>2152.088</v>
      </c>
      <c r="Q27" s="118">
        <v>15000</v>
      </c>
      <c r="R27" s="118"/>
      <c r="S27" s="118">
        <f t="shared" si="0"/>
        <v>272454.074</v>
      </c>
      <c r="T27" s="118">
        <v>265372.075</v>
      </c>
      <c r="U27" s="118">
        <f t="shared" si="1"/>
        <v>7081.99900000001</v>
      </c>
      <c r="V27" s="118"/>
      <c r="W27" s="118">
        <v>3369.51</v>
      </c>
      <c r="X27" s="118">
        <v>3369.51</v>
      </c>
      <c r="Y27" s="118">
        <f t="shared" si="2"/>
        <v>0</v>
      </c>
      <c r="Z27" s="118"/>
      <c r="AA27" s="118"/>
      <c r="AB27" s="118"/>
      <c r="AC27" s="156"/>
    </row>
    <row r="28" ht="18.75" customHeight="1" spans="1:29">
      <c r="A28" s="49">
        <v>20</v>
      </c>
      <c r="B28" s="115" t="s">
        <v>53</v>
      </c>
      <c r="C28" s="116"/>
      <c r="D28" s="43" t="s">
        <v>54</v>
      </c>
      <c r="E28" s="119" t="s">
        <v>265</v>
      </c>
      <c r="F28" s="85">
        <f>18281.64</f>
        <v>18281.64</v>
      </c>
      <c r="G28" s="85"/>
      <c r="H28" s="85">
        <f t="shared" si="3"/>
        <v>54844.92</v>
      </c>
      <c r="I28" s="85">
        <f t="shared" si="4"/>
        <v>1371.123</v>
      </c>
      <c r="J28" s="85"/>
      <c r="K28" s="85">
        <f t="shared" si="5"/>
        <v>9140.82</v>
      </c>
      <c r="L28" s="85">
        <f t="shared" si="6"/>
        <v>63985.74</v>
      </c>
      <c r="M28" s="85">
        <f t="shared" si="7"/>
        <v>18281.64</v>
      </c>
      <c r="N28" s="44">
        <f>100000</f>
        <v>100000</v>
      </c>
      <c r="O28" s="44"/>
      <c r="P28" s="85">
        <f t="shared" si="8"/>
        <v>1828.164</v>
      </c>
      <c r="Q28" s="85">
        <v>10000</v>
      </c>
      <c r="R28" s="85">
        <f>100000</f>
        <v>100000</v>
      </c>
      <c r="S28" s="118">
        <f t="shared" si="0"/>
        <v>377734.047</v>
      </c>
      <c r="T28" s="118">
        <v>373168.2</v>
      </c>
      <c r="U28" s="118">
        <f t="shared" si="1"/>
        <v>4565.84700000001</v>
      </c>
      <c r="V28" s="85"/>
      <c r="W28" s="85">
        <v>3369.51</v>
      </c>
      <c r="X28" s="85">
        <v>3369.51</v>
      </c>
      <c r="Y28" s="118">
        <f t="shared" si="2"/>
        <v>0</v>
      </c>
      <c r="Z28" s="118"/>
      <c r="AA28" s="85"/>
      <c r="AB28" s="85"/>
      <c r="AC28" s="156"/>
    </row>
    <row r="29" ht="18.75" customHeight="1" spans="1:29">
      <c r="A29" s="49">
        <v>21</v>
      </c>
      <c r="B29" s="115" t="s">
        <v>76</v>
      </c>
      <c r="C29" s="116"/>
      <c r="D29" s="117" t="s">
        <v>74</v>
      </c>
      <c r="E29" s="119" t="s">
        <v>1198</v>
      </c>
      <c r="F29" s="128">
        <f>13492.21</f>
        <v>13492.21</v>
      </c>
      <c r="G29" s="118"/>
      <c r="H29" s="118">
        <f t="shared" si="3"/>
        <v>40476.63</v>
      </c>
      <c r="I29" s="118">
        <f t="shared" si="4"/>
        <v>1011.91575</v>
      </c>
      <c r="J29" s="118"/>
      <c r="K29" s="118">
        <f t="shared" si="5"/>
        <v>6746.105</v>
      </c>
      <c r="L29" s="118">
        <f t="shared" si="6"/>
        <v>47222.735</v>
      </c>
      <c r="M29" s="118">
        <f t="shared" si="7"/>
        <v>13492.21</v>
      </c>
      <c r="N29" s="44"/>
      <c r="O29" s="44">
        <f>50000</f>
        <v>50000</v>
      </c>
      <c r="P29" s="118">
        <f t="shared" si="8"/>
        <v>1349.221</v>
      </c>
      <c r="Q29" s="118">
        <v>10000</v>
      </c>
      <c r="R29" s="118"/>
      <c r="S29" s="118">
        <f t="shared" si="0"/>
        <v>183791.02675</v>
      </c>
      <c r="T29" s="118">
        <v>180304.068</v>
      </c>
      <c r="U29" s="118">
        <f t="shared" si="1"/>
        <v>3486.95874999999</v>
      </c>
      <c r="V29" s="118"/>
      <c r="W29" s="118">
        <v>1484.37</v>
      </c>
      <c r="X29" s="118">
        <v>1484.37</v>
      </c>
      <c r="Y29" s="118">
        <f t="shared" si="2"/>
        <v>0</v>
      </c>
      <c r="Z29" s="118"/>
      <c r="AA29" s="118"/>
      <c r="AB29" s="118"/>
      <c r="AC29" s="156"/>
    </row>
    <row r="30" ht="18.75" customHeight="1" spans="1:29">
      <c r="A30" s="49">
        <v>22</v>
      </c>
      <c r="B30" s="115" t="s">
        <v>1009</v>
      </c>
      <c r="C30" s="116"/>
      <c r="D30" s="117" t="s">
        <v>91</v>
      </c>
      <c r="E30" s="119" t="s">
        <v>95</v>
      </c>
      <c r="F30" s="85">
        <f>12351.94</f>
        <v>12351.94</v>
      </c>
      <c r="G30" s="85"/>
      <c r="H30" s="85">
        <f t="shared" si="3"/>
        <v>37055.82</v>
      </c>
      <c r="I30" s="85">
        <f t="shared" si="4"/>
        <v>926.3955</v>
      </c>
      <c r="J30" s="85"/>
      <c r="K30" s="85">
        <f t="shared" si="5"/>
        <v>6175.97</v>
      </c>
      <c r="L30" s="85">
        <f t="shared" si="6"/>
        <v>43231.79</v>
      </c>
      <c r="M30" s="85">
        <f t="shared" si="7"/>
        <v>12351.94</v>
      </c>
      <c r="N30" s="44"/>
      <c r="O30" s="44">
        <f>50000</f>
        <v>50000</v>
      </c>
      <c r="P30" s="85">
        <f t="shared" si="8"/>
        <v>1235.194</v>
      </c>
      <c r="Q30" s="85">
        <v>10000</v>
      </c>
      <c r="R30" s="85"/>
      <c r="S30" s="118">
        <f t="shared" si="0"/>
        <v>173329.0495</v>
      </c>
      <c r="T30" s="118">
        <v>173329.0495</v>
      </c>
      <c r="U30" s="118">
        <f t="shared" si="1"/>
        <v>0</v>
      </c>
      <c r="V30" s="85"/>
      <c r="W30" s="44">
        <f t="shared" ref="W30:W31" si="19">1484.37</f>
        <v>1484.37</v>
      </c>
      <c r="X30" s="85">
        <v>1484.37</v>
      </c>
      <c r="Y30" s="118">
        <f t="shared" si="2"/>
        <v>0</v>
      </c>
      <c r="Z30" s="118"/>
      <c r="AA30" s="85"/>
      <c r="AB30" s="85"/>
      <c r="AC30" s="156"/>
    </row>
    <row r="31" ht="18.75" customHeight="1" spans="1:29">
      <c r="A31" s="49">
        <v>23</v>
      </c>
      <c r="B31" s="115" t="s">
        <v>1182</v>
      </c>
      <c r="C31" s="116"/>
      <c r="D31" s="117" t="s">
        <v>91</v>
      </c>
      <c r="E31" s="119" t="s">
        <v>104</v>
      </c>
      <c r="F31" s="85">
        <f>17784.1</f>
        <v>17784.1</v>
      </c>
      <c r="G31" s="85"/>
      <c r="H31" s="85">
        <f t="shared" si="3"/>
        <v>53352.3</v>
      </c>
      <c r="I31" s="85">
        <f t="shared" si="4"/>
        <v>1333.8075</v>
      </c>
      <c r="J31" s="85"/>
      <c r="K31" s="85">
        <f t="shared" si="5"/>
        <v>8892.05</v>
      </c>
      <c r="L31" s="85">
        <f t="shared" si="6"/>
        <v>62244.35</v>
      </c>
      <c r="M31" s="85">
        <f t="shared" si="7"/>
        <v>17784.1</v>
      </c>
      <c r="N31" s="44"/>
      <c r="O31" s="44">
        <f>60000</f>
        <v>60000</v>
      </c>
      <c r="P31" s="85">
        <f t="shared" si="8"/>
        <v>1778.41</v>
      </c>
      <c r="Q31" s="85">
        <v>10000</v>
      </c>
      <c r="R31" s="85"/>
      <c r="S31" s="118">
        <f t="shared" si="0"/>
        <v>233169.1175</v>
      </c>
      <c r="T31" s="118">
        <v>228602.07775</v>
      </c>
      <c r="U31" s="118">
        <f t="shared" si="1"/>
        <v>4567.03974999997</v>
      </c>
      <c r="V31" s="85"/>
      <c r="W31" s="44">
        <f t="shared" si="19"/>
        <v>1484.37</v>
      </c>
      <c r="X31" s="85">
        <v>1484.37</v>
      </c>
      <c r="Y31" s="118">
        <f t="shared" si="2"/>
        <v>0</v>
      </c>
      <c r="Z31" s="118"/>
      <c r="AA31" s="85"/>
      <c r="AB31" s="85"/>
      <c r="AC31" s="156"/>
    </row>
    <row r="32" ht="18.75" customHeight="1" spans="1:29">
      <c r="A32" s="49">
        <v>24</v>
      </c>
      <c r="B32" s="117" t="s">
        <v>146</v>
      </c>
      <c r="C32" s="117"/>
      <c r="D32" s="43" t="s">
        <v>1037</v>
      </c>
      <c r="E32" s="119" t="s">
        <v>1019</v>
      </c>
      <c r="F32" s="118">
        <f>24741.26</f>
        <v>24741.26</v>
      </c>
      <c r="G32" s="118"/>
      <c r="H32" s="118">
        <f t="shared" si="3"/>
        <v>74223.78</v>
      </c>
      <c r="I32" s="118">
        <f t="shared" si="4"/>
        <v>1855.5945</v>
      </c>
      <c r="J32" s="118">
        <v>0</v>
      </c>
      <c r="K32" s="118">
        <f t="shared" si="5"/>
        <v>12370.63</v>
      </c>
      <c r="L32" s="118">
        <f t="shared" si="6"/>
        <v>86594.41</v>
      </c>
      <c r="M32" s="118">
        <f t="shared" si="7"/>
        <v>24741.26</v>
      </c>
      <c r="N32" s="44"/>
      <c r="O32" s="44">
        <f>70000</f>
        <v>70000</v>
      </c>
      <c r="P32" s="118">
        <f t="shared" si="8"/>
        <v>2474.126</v>
      </c>
      <c r="Q32" s="118">
        <v>15000</v>
      </c>
      <c r="R32" s="118">
        <v>0</v>
      </c>
      <c r="S32" s="118">
        <f t="shared" si="0"/>
        <v>312001.0605</v>
      </c>
      <c r="T32" s="118">
        <v>304201.026</v>
      </c>
      <c r="U32" s="118">
        <f t="shared" si="1"/>
        <v>7800.03450000001</v>
      </c>
      <c r="V32" s="118"/>
      <c r="W32" s="118">
        <f>7709.76</f>
        <v>7709.76</v>
      </c>
      <c r="X32" s="118">
        <v>7709.76</v>
      </c>
      <c r="Y32" s="118">
        <f t="shared" si="2"/>
        <v>0</v>
      </c>
      <c r="Z32" s="118"/>
      <c r="AA32" s="118"/>
      <c r="AB32" s="118"/>
      <c r="AC32" s="156"/>
    </row>
    <row r="33" ht="18.75" customHeight="1" spans="1:29">
      <c r="A33" s="49">
        <v>25</v>
      </c>
      <c r="B33" s="115" t="s">
        <v>202</v>
      </c>
      <c r="C33" s="116"/>
      <c r="D33" s="43" t="s">
        <v>1232</v>
      </c>
      <c r="E33" s="119" t="s">
        <v>587</v>
      </c>
      <c r="F33" s="118">
        <f>18779.3</f>
        <v>18779.3</v>
      </c>
      <c r="G33" s="118"/>
      <c r="H33" s="118">
        <f t="shared" si="3"/>
        <v>56337.9</v>
      </c>
      <c r="I33" s="118">
        <f t="shared" si="4"/>
        <v>1408.4475</v>
      </c>
      <c r="J33" s="118"/>
      <c r="K33" s="118">
        <f t="shared" si="5"/>
        <v>9389.65</v>
      </c>
      <c r="L33" s="118">
        <f t="shared" si="6"/>
        <v>65727.55</v>
      </c>
      <c r="M33" s="118">
        <f t="shared" si="7"/>
        <v>18779.3</v>
      </c>
      <c r="N33" s="44"/>
      <c r="O33" s="44">
        <f>60000</f>
        <v>60000</v>
      </c>
      <c r="P33" s="118">
        <f t="shared" si="8"/>
        <v>1877.93</v>
      </c>
      <c r="Q33" s="118">
        <v>10000</v>
      </c>
      <c r="R33" s="118"/>
      <c r="S33" s="118">
        <f t="shared" si="0"/>
        <v>242300.0775</v>
      </c>
      <c r="T33" s="118">
        <v>237734.047</v>
      </c>
      <c r="U33" s="118">
        <f t="shared" si="1"/>
        <v>4566.03049999999</v>
      </c>
      <c r="V33" s="118"/>
      <c r="W33" s="118">
        <v>3369.51</v>
      </c>
      <c r="X33" s="118">
        <v>3369.51</v>
      </c>
      <c r="Y33" s="118">
        <f t="shared" si="2"/>
        <v>0</v>
      </c>
      <c r="Z33" s="118"/>
      <c r="AA33" s="118"/>
      <c r="AB33" s="118"/>
      <c r="AC33" s="156"/>
    </row>
    <row r="34" ht="18.75" customHeight="1" spans="1:29">
      <c r="A34" s="49">
        <v>26</v>
      </c>
      <c r="B34" s="115" t="s">
        <v>254</v>
      </c>
      <c r="C34" s="116"/>
      <c r="D34" s="43" t="s">
        <v>1197</v>
      </c>
      <c r="E34" s="119" t="s">
        <v>265</v>
      </c>
      <c r="F34" s="85">
        <f>18281.64</f>
        <v>18281.64</v>
      </c>
      <c r="G34" s="85"/>
      <c r="H34" s="85">
        <f t="shared" si="3"/>
        <v>54844.92</v>
      </c>
      <c r="I34" s="85">
        <f t="shared" si="4"/>
        <v>1371.123</v>
      </c>
      <c r="J34" s="85"/>
      <c r="K34" s="85">
        <f t="shared" si="5"/>
        <v>9140.82</v>
      </c>
      <c r="L34" s="85">
        <f t="shared" si="6"/>
        <v>63985.74</v>
      </c>
      <c r="M34" s="85">
        <f t="shared" si="7"/>
        <v>18281.64</v>
      </c>
      <c r="N34" s="44"/>
      <c r="O34" s="44">
        <v>60000</v>
      </c>
      <c r="P34" s="85">
        <f t="shared" si="8"/>
        <v>1828.164</v>
      </c>
      <c r="Q34" s="85">
        <v>10000</v>
      </c>
      <c r="R34" s="85"/>
      <c r="S34" s="118">
        <f t="shared" si="0"/>
        <v>237734.047</v>
      </c>
      <c r="T34" s="118">
        <v>233168.2</v>
      </c>
      <c r="U34" s="118">
        <f t="shared" si="1"/>
        <v>4565.84700000001</v>
      </c>
      <c r="V34" s="118"/>
      <c r="W34" s="118">
        <v>3369.51</v>
      </c>
      <c r="X34" s="118">
        <v>3369.51</v>
      </c>
      <c r="Y34" s="118">
        <f t="shared" si="2"/>
        <v>0</v>
      </c>
      <c r="Z34" s="118"/>
      <c r="AA34" s="118"/>
      <c r="AB34" s="118"/>
      <c r="AC34" s="156"/>
    </row>
    <row r="35" ht="18.75" customHeight="1" spans="1:29">
      <c r="A35" s="49">
        <v>27</v>
      </c>
      <c r="B35" s="115" t="s">
        <v>1089</v>
      </c>
      <c r="C35" s="116"/>
      <c r="D35" s="117" t="s">
        <v>1036</v>
      </c>
      <c r="E35" s="119" t="s">
        <v>1014</v>
      </c>
      <c r="F35" s="128">
        <f>13492.21</f>
        <v>13492.21</v>
      </c>
      <c r="G35" s="118"/>
      <c r="H35" s="118">
        <f t="shared" ref="H35:H38" si="20">F35*300%</f>
        <v>40476.63</v>
      </c>
      <c r="I35" s="118">
        <f t="shared" ref="I35:I38" si="21">F35*7.5%</f>
        <v>1011.91575</v>
      </c>
      <c r="J35" s="118"/>
      <c r="K35" s="118">
        <f t="shared" ref="K35:K38" si="22">F35*50%</f>
        <v>6746.105</v>
      </c>
      <c r="L35" s="118">
        <f t="shared" ref="L35:L38" si="23">F35*350%</f>
        <v>47222.735</v>
      </c>
      <c r="M35" s="118">
        <f t="shared" ref="M35:M38" si="24">F35*100%</f>
        <v>13492.21</v>
      </c>
      <c r="N35" s="44"/>
      <c r="O35" s="44">
        <f>50000</f>
        <v>50000</v>
      </c>
      <c r="P35" s="118">
        <f t="shared" ref="P35:P38" si="25">F35*10%</f>
        <v>1349.221</v>
      </c>
      <c r="Q35" s="118">
        <v>10000</v>
      </c>
      <c r="R35" s="118"/>
      <c r="S35" s="118">
        <f t="shared" ref="S35:S36" si="26">SUM(F35:R35)</f>
        <v>183791.02675</v>
      </c>
      <c r="T35" s="118">
        <v>180304.068</v>
      </c>
      <c r="U35" s="118">
        <f t="shared" si="1"/>
        <v>3486.95874999999</v>
      </c>
      <c r="V35" s="118"/>
      <c r="W35" s="118">
        <v>1484.37</v>
      </c>
      <c r="X35" s="118">
        <v>1484.37</v>
      </c>
      <c r="Y35" s="118">
        <f t="shared" si="2"/>
        <v>0</v>
      </c>
      <c r="Z35" s="118"/>
      <c r="AA35" s="118"/>
      <c r="AB35" s="118"/>
      <c r="AC35" s="156"/>
    </row>
    <row r="36" ht="18.75" customHeight="1" spans="1:29">
      <c r="A36" s="49">
        <v>28</v>
      </c>
      <c r="B36" s="115" t="s">
        <v>78</v>
      </c>
      <c r="C36" s="116"/>
      <c r="D36" s="117" t="s">
        <v>1036</v>
      </c>
      <c r="E36" s="119" t="s">
        <v>1233</v>
      </c>
      <c r="F36" s="128">
        <f>13112.16</f>
        <v>13112.16</v>
      </c>
      <c r="G36" s="118"/>
      <c r="H36" s="118">
        <f t="shared" si="20"/>
        <v>39336.48</v>
      </c>
      <c r="I36" s="118">
        <f t="shared" si="21"/>
        <v>983.412</v>
      </c>
      <c r="J36" s="118"/>
      <c r="K36" s="118">
        <f t="shared" si="22"/>
        <v>6556.08</v>
      </c>
      <c r="L36" s="118">
        <f t="shared" si="23"/>
        <v>45892.56</v>
      </c>
      <c r="M36" s="118">
        <f t="shared" si="24"/>
        <v>13112.16</v>
      </c>
      <c r="N36" s="44"/>
      <c r="O36" s="44">
        <f>50000</f>
        <v>50000</v>
      </c>
      <c r="P36" s="118">
        <f t="shared" si="25"/>
        <v>1311.216</v>
      </c>
      <c r="Q36" s="118">
        <v>10000</v>
      </c>
      <c r="S36" s="118">
        <f t="shared" si="26"/>
        <v>180304.068</v>
      </c>
      <c r="T36" s="118">
        <v>176816.1</v>
      </c>
      <c r="U36" s="118">
        <f t="shared" si="1"/>
        <v>3487.96799999999</v>
      </c>
      <c r="V36" s="118"/>
      <c r="W36" s="118">
        <f>(1484.37)</f>
        <v>1484.37</v>
      </c>
      <c r="X36" s="118">
        <v>1484.37</v>
      </c>
      <c r="Y36" s="118">
        <f t="shared" si="2"/>
        <v>0</v>
      </c>
      <c r="Z36" s="118"/>
      <c r="AA36" s="118"/>
      <c r="AB36" s="118"/>
      <c r="AC36" s="156"/>
    </row>
    <row r="37" ht="18.75" customHeight="1" spans="1:29">
      <c r="A37" s="49">
        <v>29</v>
      </c>
      <c r="B37" s="125" t="s">
        <v>182</v>
      </c>
      <c r="C37" s="126"/>
      <c r="D37" s="17" t="s">
        <v>1199</v>
      </c>
      <c r="E37" s="119" t="s">
        <v>171</v>
      </c>
      <c r="F37" s="85">
        <f>13112.16</f>
        <v>13112.16</v>
      </c>
      <c r="G37" s="85"/>
      <c r="H37" s="85">
        <f t="shared" si="20"/>
        <v>39336.48</v>
      </c>
      <c r="I37" s="85">
        <f t="shared" si="21"/>
        <v>983.412</v>
      </c>
      <c r="J37" s="85"/>
      <c r="K37" s="85">
        <f t="shared" si="22"/>
        <v>6556.08</v>
      </c>
      <c r="L37" s="85">
        <f t="shared" si="23"/>
        <v>45892.56</v>
      </c>
      <c r="M37" s="85">
        <f t="shared" si="24"/>
        <v>13112.16</v>
      </c>
      <c r="N37" s="44"/>
      <c r="O37" s="44">
        <f>50000</f>
        <v>50000</v>
      </c>
      <c r="P37" s="85">
        <f t="shared" si="25"/>
        <v>1311.216</v>
      </c>
      <c r="Q37" s="85">
        <v>10000</v>
      </c>
      <c r="R37" s="85"/>
      <c r="S37" s="118">
        <f t="shared" si="0"/>
        <v>180304.068</v>
      </c>
      <c r="T37" s="118">
        <v>176816.1</v>
      </c>
      <c r="U37" s="118">
        <f t="shared" si="1"/>
        <v>3487.96799999999</v>
      </c>
      <c r="V37" s="118"/>
      <c r="W37" s="44">
        <f t="shared" ref="W37:W38" si="27">1484.37</f>
        <v>1484.37</v>
      </c>
      <c r="X37" s="118">
        <v>1484.37</v>
      </c>
      <c r="Y37" s="118">
        <f t="shared" si="2"/>
        <v>0</v>
      </c>
      <c r="Z37" s="118"/>
      <c r="AA37" s="118"/>
      <c r="AB37" s="118"/>
      <c r="AC37" s="156"/>
    </row>
    <row r="38" ht="18.75" customHeight="1" spans="1:29">
      <c r="A38" s="49">
        <v>30</v>
      </c>
      <c r="B38" s="125" t="s">
        <v>85</v>
      </c>
      <c r="C38" s="126"/>
      <c r="D38" s="17" t="s">
        <v>86</v>
      </c>
      <c r="E38" s="119" t="s">
        <v>95</v>
      </c>
      <c r="F38" s="85">
        <f>12351.94</f>
        <v>12351.94</v>
      </c>
      <c r="G38" s="85"/>
      <c r="H38" s="85">
        <f t="shared" si="20"/>
        <v>37055.82</v>
      </c>
      <c r="I38" s="85">
        <f t="shared" si="21"/>
        <v>926.3955</v>
      </c>
      <c r="J38" s="85"/>
      <c r="K38" s="85">
        <f t="shared" si="22"/>
        <v>6175.97</v>
      </c>
      <c r="L38" s="85">
        <f t="shared" si="23"/>
        <v>43231.79</v>
      </c>
      <c r="M38" s="85">
        <f t="shared" si="24"/>
        <v>12351.94</v>
      </c>
      <c r="N38" s="44"/>
      <c r="O38" s="44">
        <f>50000</f>
        <v>50000</v>
      </c>
      <c r="P38" s="85">
        <f t="shared" si="25"/>
        <v>1235.194</v>
      </c>
      <c r="Q38" s="85">
        <v>10000</v>
      </c>
      <c r="R38" s="85"/>
      <c r="S38" s="118">
        <f t="shared" si="0"/>
        <v>173329.0495</v>
      </c>
      <c r="T38" s="118">
        <v>173329.0495</v>
      </c>
      <c r="U38" s="118">
        <f t="shared" si="1"/>
        <v>0</v>
      </c>
      <c r="V38" s="118"/>
      <c r="W38" s="44">
        <f t="shared" si="27"/>
        <v>1484.37</v>
      </c>
      <c r="X38" s="118">
        <v>1484.37</v>
      </c>
      <c r="Y38" s="118">
        <f t="shared" si="2"/>
        <v>0</v>
      </c>
      <c r="Z38" s="118"/>
      <c r="AA38" s="118"/>
      <c r="AB38" s="118"/>
      <c r="AC38" s="156"/>
    </row>
    <row r="39" ht="18.75" customHeight="1" spans="1:29">
      <c r="A39" s="49"/>
      <c r="B39" s="129" t="s">
        <v>96</v>
      </c>
      <c r="C39" s="129"/>
      <c r="D39" s="68">
        <v>30</v>
      </c>
      <c r="E39" s="119"/>
      <c r="F39" s="130">
        <f t="shared" ref="F39:S39" si="28">SUM(F9:F38)</f>
        <v>942987.95</v>
      </c>
      <c r="G39" s="130">
        <f t="shared" si="28"/>
        <v>0</v>
      </c>
      <c r="H39" s="130">
        <f t="shared" si="28"/>
        <v>2668475.1</v>
      </c>
      <c r="I39" s="130">
        <f t="shared" si="28"/>
        <v>106834.07</v>
      </c>
      <c r="J39" s="130">
        <f t="shared" si="28"/>
        <v>826982.66</v>
      </c>
      <c r="K39" s="130">
        <f t="shared" si="28"/>
        <v>463469.54</v>
      </c>
      <c r="L39" s="130">
        <f t="shared" si="28"/>
        <v>2738747.2</v>
      </c>
      <c r="M39" s="130">
        <f t="shared" si="28"/>
        <v>902865.77</v>
      </c>
      <c r="N39" s="148">
        <f t="shared" si="28"/>
        <v>1170000</v>
      </c>
      <c r="O39" s="148">
        <f t="shared" si="28"/>
        <v>1530000</v>
      </c>
      <c r="P39" s="130">
        <f t="shared" si="28"/>
        <v>94298.8</v>
      </c>
      <c r="Q39" s="130">
        <f t="shared" si="28"/>
        <v>470000</v>
      </c>
      <c r="R39" s="130">
        <f t="shared" si="28"/>
        <v>875235</v>
      </c>
      <c r="S39" s="130">
        <f t="shared" si="28"/>
        <v>12789896.09</v>
      </c>
      <c r="T39" s="130">
        <v>12388712.88825</v>
      </c>
      <c r="U39" s="154">
        <f>SUM(U9:U38)</f>
        <v>135911.20175</v>
      </c>
      <c r="V39" s="130"/>
      <c r="W39" s="130">
        <f t="shared" ref="W39" si="29">SUM(W9:W38)</f>
        <v>411374.07</v>
      </c>
      <c r="X39" s="130">
        <v>411374.07</v>
      </c>
      <c r="Y39" s="118">
        <f t="shared" si="2"/>
        <v>0</v>
      </c>
      <c r="Z39" s="130"/>
      <c r="AA39" s="130"/>
      <c r="AB39" s="130"/>
      <c r="AC39" s="156"/>
    </row>
    <row r="40" ht="18.75" customHeight="1" spans="1:28">
      <c r="A40" s="49"/>
      <c r="B40" s="129"/>
      <c r="C40" s="129"/>
      <c r="D40" s="43"/>
      <c r="E40" s="119"/>
      <c r="F40" s="130"/>
      <c r="G40" s="130"/>
      <c r="H40" s="130"/>
      <c r="I40" s="130"/>
      <c r="J40" s="130"/>
      <c r="K40" s="130"/>
      <c r="L40" s="130"/>
      <c r="M40" s="130"/>
      <c r="N40" s="44"/>
      <c r="O40" s="44"/>
      <c r="P40" s="130"/>
      <c r="Q40" s="130"/>
      <c r="R40" s="130"/>
      <c r="S40" s="130"/>
      <c r="T40" s="130"/>
      <c r="U40" s="118">
        <f t="shared" si="1"/>
        <v>0</v>
      </c>
      <c r="V40" s="130"/>
      <c r="W40" s="130"/>
      <c r="X40" s="130"/>
      <c r="Y40" s="118">
        <f t="shared" si="2"/>
        <v>0</v>
      </c>
      <c r="Z40" s="130"/>
      <c r="AA40" s="130"/>
      <c r="AB40" s="130"/>
    </row>
    <row r="41" ht="18.75" customHeight="1" spans="1:28">
      <c r="A41" s="49"/>
      <c r="B41" s="129" t="s">
        <v>97</v>
      </c>
      <c r="C41" s="129"/>
      <c r="D41" s="43"/>
      <c r="E41" s="119"/>
      <c r="F41" s="118"/>
      <c r="G41" s="118"/>
      <c r="H41" s="118"/>
      <c r="I41" s="118"/>
      <c r="J41" s="118"/>
      <c r="K41" s="118"/>
      <c r="L41" s="118"/>
      <c r="M41" s="118"/>
      <c r="N41" s="44"/>
      <c r="O41" s="44"/>
      <c r="P41" s="118"/>
      <c r="Q41" s="118"/>
      <c r="R41" s="118"/>
      <c r="S41" s="118"/>
      <c r="T41" s="118"/>
      <c r="U41" s="118">
        <f t="shared" si="1"/>
        <v>0</v>
      </c>
      <c r="V41" s="118"/>
      <c r="W41" s="118"/>
      <c r="X41" s="118"/>
      <c r="Y41" s="118">
        <f t="shared" si="2"/>
        <v>0</v>
      </c>
      <c r="Z41" s="118"/>
      <c r="AA41" s="118"/>
      <c r="AB41" s="118"/>
    </row>
    <row r="42" ht="18.75" customHeight="1" spans="1:28">
      <c r="A42" s="49">
        <v>1</v>
      </c>
      <c r="B42" s="115" t="s">
        <v>98</v>
      </c>
      <c r="C42" s="116"/>
      <c r="D42" s="43" t="s">
        <v>99</v>
      </c>
      <c r="E42" s="49" t="s">
        <v>1235</v>
      </c>
      <c r="F42" s="118">
        <f>79039.64</f>
        <v>79039.64</v>
      </c>
      <c r="G42" s="118"/>
      <c r="H42" s="118">
        <f>F42*300%</f>
        <v>237118.92</v>
      </c>
      <c r="I42" s="118">
        <f>F42*7.5%</f>
        <v>5927.973</v>
      </c>
      <c r="J42" s="118">
        <v>80244.38</v>
      </c>
      <c r="K42" s="118">
        <f>F42*50%</f>
        <v>39519.82</v>
      </c>
      <c r="L42" s="118">
        <f>F42*350%</f>
        <v>276638.74</v>
      </c>
      <c r="M42" s="118">
        <f t="shared" ref="M42" si="30">F42*100%</f>
        <v>79039.64</v>
      </c>
      <c r="N42" s="44"/>
      <c r="O42" s="44">
        <f>100000</f>
        <v>100000</v>
      </c>
      <c r="P42" s="118">
        <f t="shared" ref="P42" si="31">F42*10%</f>
        <v>7903.964</v>
      </c>
      <c r="Q42" s="118">
        <v>20000</v>
      </c>
      <c r="R42" s="118"/>
      <c r="S42" s="118">
        <f>SUM(F42:R42)</f>
        <v>925433.077</v>
      </c>
      <c r="T42" s="118">
        <v>900657.4575</v>
      </c>
      <c r="U42" s="118">
        <f t="shared" si="1"/>
        <v>24775.6195</v>
      </c>
      <c r="V42" s="118"/>
      <c r="W42" s="118">
        <f>(52776.63)</f>
        <v>52776.63</v>
      </c>
      <c r="X42" s="118">
        <v>52776.63</v>
      </c>
      <c r="Y42" s="118">
        <f t="shared" si="2"/>
        <v>0</v>
      </c>
      <c r="Z42" s="118"/>
      <c r="AA42" s="118"/>
      <c r="AB42" s="118"/>
    </row>
    <row r="43" ht="19.5" customHeight="1" spans="1:28">
      <c r="A43" s="49"/>
      <c r="B43" s="43"/>
      <c r="C43" s="42" t="s">
        <v>96</v>
      </c>
      <c r="D43" s="68">
        <v>1</v>
      </c>
      <c r="E43" s="49"/>
      <c r="F43" s="130">
        <f t="shared" ref="F43:M43" si="32">SUM(F42:F42)</f>
        <v>79039.64</v>
      </c>
      <c r="G43" s="130">
        <f t="shared" si="32"/>
        <v>0</v>
      </c>
      <c r="H43" s="130">
        <f t="shared" si="32"/>
        <v>237118.92</v>
      </c>
      <c r="I43" s="130">
        <f t="shared" si="32"/>
        <v>5927.973</v>
      </c>
      <c r="J43" s="130">
        <f t="shared" si="32"/>
        <v>80244.38</v>
      </c>
      <c r="K43" s="130">
        <f t="shared" si="32"/>
        <v>39519.82</v>
      </c>
      <c r="L43" s="130">
        <f t="shared" si="32"/>
        <v>276638.74</v>
      </c>
      <c r="M43" s="130">
        <f t="shared" si="32"/>
        <v>79039.64</v>
      </c>
      <c r="N43" s="148"/>
      <c r="O43" s="148">
        <f>SUM(O42:O42)</f>
        <v>100000</v>
      </c>
      <c r="P43" s="130">
        <f>SUM(P42:P42)</f>
        <v>7903.964</v>
      </c>
      <c r="Q43" s="130">
        <f>SUM(Q42:Q42)</f>
        <v>20000</v>
      </c>
      <c r="R43" s="130">
        <f>SUM(R42:R42)</f>
        <v>0</v>
      </c>
      <c r="S43" s="130">
        <f>SUM(S42:S42)</f>
        <v>925433.077</v>
      </c>
      <c r="T43" s="130">
        <v>900657.4575</v>
      </c>
      <c r="U43" s="154">
        <f t="shared" si="1"/>
        <v>24775.6195</v>
      </c>
      <c r="V43" s="130"/>
      <c r="W43" s="130">
        <f>SUM(W42:W42)</f>
        <v>52776.63</v>
      </c>
      <c r="X43" s="130">
        <v>52776.63</v>
      </c>
      <c r="Y43" s="118">
        <f t="shared" si="2"/>
        <v>0</v>
      </c>
      <c r="Z43" s="130"/>
      <c r="AA43" s="130"/>
      <c r="AB43" s="130"/>
    </row>
    <row r="44" customHeight="1" spans="1:28">
      <c r="A44" s="49"/>
      <c r="B44" s="131"/>
      <c r="C44" s="132"/>
      <c r="D44" s="43"/>
      <c r="E44" s="49"/>
      <c r="F44" s="130"/>
      <c r="G44" s="130"/>
      <c r="H44" s="130"/>
      <c r="I44" s="130"/>
      <c r="J44" s="130"/>
      <c r="K44" s="130"/>
      <c r="L44" s="130"/>
      <c r="M44" s="130"/>
      <c r="N44" s="44"/>
      <c r="O44" s="44"/>
      <c r="P44" s="130"/>
      <c r="Q44" s="130"/>
      <c r="R44" s="130"/>
      <c r="S44" s="130"/>
      <c r="T44" s="130"/>
      <c r="U44" s="118">
        <f t="shared" si="1"/>
        <v>0</v>
      </c>
      <c r="V44" s="130"/>
      <c r="W44" s="130"/>
      <c r="X44" s="130"/>
      <c r="Y44" s="118">
        <f t="shared" si="2"/>
        <v>0</v>
      </c>
      <c r="Z44" s="118"/>
      <c r="AA44" s="118"/>
      <c r="AB44" s="118"/>
    </row>
    <row r="45" customHeight="1" spans="1:28">
      <c r="A45" s="49"/>
      <c r="B45" s="133" t="s">
        <v>107</v>
      </c>
      <c r="C45" s="134"/>
      <c r="D45" s="135"/>
      <c r="E45" s="57"/>
      <c r="F45" s="130"/>
      <c r="G45" s="130"/>
      <c r="H45" s="130"/>
      <c r="I45" s="118"/>
      <c r="J45" s="118"/>
      <c r="K45" s="118"/>
      <c r="L45" s="118"/>
      <c r="M45" s="118"/>
      <c r="N45" s="44"/>
      <c r="O45" s="44"/>
      <c r="P45" s="118"/>
      <c r="Q45" s="118"/>
      <c r="R45" s="118"/>
      <c r="S45" s="118"/>
      <c r="T45" s="118"/>
      <c r="U45" s="118">
        <f t="shared" si="1"/>
        <v>0</v>
      </c>
      <c r="V45" s="118"/>
      <c r="W45" s="118"/>
      <c r="X45" s="118"/>
      <c r="Y45" s="118">
        <f t="shared" si="2"/>
        <v>0</v>
      </c>
      <c r="Z45" s="118"/>
      <c r="AA45" s="118"/>
      <c r="AB45" s="118"/>
    </row>
    <row r="46" customHeight="1" spans="1:28">
      <c r="A46" s="49">
        <v>1</v>
      </c>
      <c r="B46" s="115" t="s">
        <v>501</v>
      </c>
      <c r="C46" s="116"/>
      <c r="D46" s="43" t="s">
        <v>502</v>
      </c>
      <c r="E46" s="49" t="s">
        <v>100</v>
      </c>
      <c r="F46" s="118">
        <f>81740.02</f>
        <v>81740.02</v>
      </c>
      <c r="G46" s="118"/>
      <c r="H46" s="118">
        <f>F46*300%</f>
        <v>245220.06</v>
      </c>
      <c r="I46" s="118">
        <f>F46*7.5%</f>
        <v>6130.5015</v>
      </c>
      <c r="J46" s="118">
        <v>80244.38</v>
      </c>
      <c r="K46" s="118">
        <f>F46*50%</f>
        <v>40870.01</v>
      </c>
      <c r="L46" s="118">
        <f>F46*350%</f>
        <v>286090.07</v>
      </c>
      <c r="M46" s="118">
        <f t="shared" ref="M46:M55" si="33">F46*100%</f>
        <v>81740.02</v>
      </c>
      <c r="N46" s="44">
        <f>200000</f>
        <v>200000</v>
      </c>
      <c r="O46" s="44"/>
      <c r="P46" s="118">
        <f t="shared" ref="P46:P55" si="34">F46*10%</f>
        <v>8174.002</v>
      </c>
      <c r="Q46" s="118">
        <v>20000</v>
      </c>
      <c r="R46" s="118"/>
      <c r="S46" s="118">
        <f t="shared" ref="S46:S55" si="35">SUM(F46:R46)</f>
        <v>1050209.0635</v>
      </c>
      <c r="T46" s="118">
        <v>1050209.0635</v>
      </c>
      <c r="U46" s="118">
        <f t="shared" si="1"/>
        <v>0</v>
      </c>
      <c r="V46" s="118"/>
      <c r="W46" s="118">
        <f>52776.63</f>
        <v>52776.63</v>
      </c>
      <c r="X46" s="118">
        <v>52776.63</v>
      </c>
      <c r="Y46" s="118">
        <f t="shared" si="2"/>
        <v>0</v>
      </c>
      <c r="Z46" s="118"/>
      <c r="AA46" s="118"/>
      <c r="AB46" s="118"/>
    </row>
    <row r="47" customHeight="1" spans="1:28">
      <c r="A47" s="49">
        <v>2</v>
      </c>
      <c r="B47" s="115" t="s">
        <v>491</v>
      </c>
      <c r="C47" s="116"/>
      <c r="D47" s="43" t="s">
        <v>44</v>
      </c>
      <c r="E47" s="49" t="s">
        <v>36</v>
      </c>
      <c r="F47" s="118">
        <f>33507.5</f>
        <v>33507.5</v>
      </c>
      <c r="G47" s="118"/>
      <c r="H47" s="118">
        <f>F47*300%</f>
        <v>100522.5</v>
      </c>
      <c r="I47" s="118">
        <f>F47*7.5%</f>
        <v>2513.0625</v>
      </c>
      <c r="J47" s="118">
        <v>40122.19</v>
      </c>
      <c r="K47" s="118">
        <f>F47*50%</f>
        <v>16753.75</v>
      </c>
      <c r="L47" s="118">
        <f>F47*350%</f>
        <v>117276.25</v>
      </c>
      <c r="M47" s="118">
        <f t="shared" si="33"/>
        <v>33507.5</v>
      </c>
      <c r="N47" s="44">
        <f>160000</f>
        <v>160000</v>
      </c>
      <c r="O47" s="44"/>
      <c r="P47" s="118">
        <f t="shared" si="34"/>
        <v>3350.75</v>
      </c>
      <c r="Q47" s="118">
        <v>20000</v>
      </c>
      <c r="R47" s="118">
        <v>0</v>
      </c>
      <c r="S47" s="118">
        <f t="shared" si="35"/>
        <v>527553.5025</v>
      </c>
      <c r="T47" s="118">
        <v>527553.5025</v>
      </c>
      <c r="U47" s="118">
        <f t="shared" si="1"/>
        <v>0</v>
      </c>
      <c r="V47" s="118"/>
      <c r="W47" s="118">
        <v>15548.33</v>
      </c>
      <c r="X47" s="118">
        <v>15548.33</v>
      </c>
      <c r="Y47" s="118">
        <f t="shared" si="2"/>
        <v>0</v>
      </c>
      <c r="Z47" s="118"/>
      <c r="AA47" s="118"/>
      <c r="AB47" s="118"/>
    </row>
    <row r="48" customHeight="1" spans="1:28">
      <c r="A48" s="49">
        <v>3</v>
      </c>
      <c r="B48" s="115" t="s">
        <v>108</v>
      </c>
      <c r="C48" s="116"/>
      <c r="D48" s="43" t="s">
        <v>112</v>
      </c>
      <c r="E48" s="49" t="s">
        <v>36</v>
      </c>
      <c r="F48" s="118">
        <f>33507.5</f>
        <v>33507.5</v>
      </c>
      <c r="G48" s="118"/>
      <c r="H48" s="118">
        <f>F48*300%</f>
        <v>100522.5</v>
      </c>
      <c r="I48" s="118">
        <f>F48*7.5%</f>
        <v>2513.0625</v>
      </c>
      <c r="J48" s="118">
        <v>40122.19</v>
      </c>
      <c r="K48" s="118">
        <f>F48*50%</f>
        <v>16753.75</v>
      </c>
      <c r="L48" s="118">
        <f>F48*350%</f>
        <v>117276.25</v>
      </c>
      <c r="M48" s="118">
        <f t="shared" si="33"/>
        <v>33507.5</v>
      </c>
      <c r="N48" s="44">
        <f>160000</f>
        <v>160000</v>
      </c>
      <c r="O48" s="44"/>
      <c r="P48" s="118">
        <f t="shared" si="34"/>
        <v>3350.75</v>
      </c>
      <c r="Q48" s="118">
        <v>20000</v>
      </c>
      <c r="R48" s="118"/>
      <c r="S48" s="118">
        <f t="shared" si="35"/>
        <v>527553.5025</v>
      </c>
      <c r="T48" s="118">
        <v>527553.5025</v>
      </c>
      <c r="U48" s="118">
        <f t="shared" si="1"/>
        <v>0</v>
      </c>
      <c r="V48" s="118"/>
      <c r="W48" s="118">
        <v>15548.33</v>
      </c>
      <c r="X48" s="118">
        <v>15548.33</v>
      </c>
      <c r="Y48" s="118">
        <f t="shared" si="2"/>
        <v>0</v>
      </c>
      <c r="Z48" s="118"/>
      <c r="AA48" s="118"/>
      <c r="AB48" s="118"/>
    </row>
    <row r="49" customHeight="1" spans="1:28">
      <c r="A49" s="49">
        <v>4</v>
      </c>
      <c r="B49" s="115" t="s">
        <v>111</v>
      </c>
      <c r="C49" s="116"/>
      <c r="D49" s="43" t="s">
        <v>112</v>
      </c>
      <c r="E49" s="49" t="s">
        <v>131</v>
      </c>
      <c r="F49" s="118">
        <f>32263.2</f>
        <v>32263.2</v>
      </c>
      <c r="G49" s="118"/>
      <c r="H49" s="118">
        <f>F49*300%</f>
        <v>96789.6</v>
      </c>
      <c r="I49" s="118">
        <f>F49*7.5%</f>
        <v>2419.74</v>
      </c>
      <c r="J49" s="118">
        <v>40122.19</v>
      </c>
      <c r="K49" s="118">
        <f>F49*50%</f>
        <v>16131.6</v>
      </c>
      <c r="L49" s="118">
        <f>F49*350%</f>
        <v>112921.2</v>
      </c>
      <c r="M49" s="118">
        <f t="shared" si="33"/>
        <v>32263.2</v>
      </c>
      <c r="N49" s="44">
        <f>160000</f>
        <v>160000</v>
      </c>
      <c r="O49" s="44"/>
      <c r="P49" s="118">
        <f t="shared" si="34"/>
        <v>3226.32</v>
      </c>
      <c r="Q49" s="118">
        <v>20000</v>
      </c>
      <c r="R49" s="118"/>
      <c r="S49" s="118">
        <f t="shared" si="35"/>
        <v>516137.05</v>
      </c>
      <c r="T49" s="118">
        <v>504720.047</v>
      </c>
      <c r="U49" s="118">
        <f t="shared" si="1"/>
        <v>11417.003</v>
      </c>
      <c r="V49" s="118"/>
      <c r="W49" s="118">
        <f>15548.33</f>
        <v>15548.33</v>
      </c>
      <c r="X49" s="118">
        <v>15548.33</v>
      </c>
      <c r="Y49" s="118">
        <f t="shared" si="2"/>
        <v>0</v>
      </c>
      <c r="Z49" s="118"/>
      <c r="AA49" s="118"/>
      <c r="AB49" s="118"/>
    </row>
    <row r="50" customHeight="1" spans="1:28">
      <c r="A50" s="49">
        <v>5</v>
      </c>
      <c r="B50" s="115" t="s">
        <v>113</v>
      </c>
      <c r="C50" s="116"/>
      <c r="D50" s="43" t="s">
        <v>46</v>
      </c>
      <c r="E50" s="49" t="s">
        <v>42</v>
      </c>
      <c r="F50" s="118">
        <f>28489.81</f>
        <v>28489.81</v>
      </c>
      <c r="G50" s="118"/>
      <c r="H50" s="118">
        <f t="shared" ref="H50:H55" si="36">F50*300%</f>
        <v>85469.43</v>
      </c>
      <c r="I50" s="118">
        <f t="shared" ref="I50:I55" si="37">F50*7.5%</f>
        <v>2136.73575</v>
      </c>
      <c r="J50" s="118">
        <v>0</v>
      </c>
      <c r="K50" s="118">
        <f t="shared" ref="K50:K55" si="38">F50*50%</f>
        <v>14244.905</v>
      </c>
      <c r="L50" s="118">
        <f t="shared" ref="L50:L55" si="39">F50*350%</f>
        <v>99714.335</v>
      </c>
      <c r="M50" s="118">
        <f t="shared" si="33"/>
        <v>28489.81</v>
      </c>
      <c r="N50" s="44">
        <f t="shared" ref="N50:N52" si="40">140000</f>
        <v>140000</v>
      </c>
      <c r="O50" s="44"/>
      <c r="P50" s="118">
        <f t="shared" si="34"/>
        <v>2848.981</v>
      </c>
      <c r="Q50" s="118">
        <v>20000</v>
      </c>
      <c r="R50" s="118">
        <v>0</v>
      </c>
      <c r="S50" s="118">
        <f t="shared" si="35"/>
        <v>421394.00675</v>
      </c>
      <c r="T50" s="118">
        <v>421394.00675</v>
      </c>
      <c r="U50" s="118">
        <f t="shared" si="1"/>
        <v>0</v>
      </c>
      <c r="V50" s="118"/>
      <c r="W50" s="118">
        <v>7709.76</v>
      </c>
      <c r="X50" s="118">
        <v>7709.76</v>
      </c>
      <c r="Y50" s="118">
        <f t="shared" si="2"/>
        <v>0</v>
      </c>
      <c r="Z50" s="118"/>
      <c r="AA50" s="118"/>
      <c r="AB50" s="118"/>
    </row>
    <row r="51" customHeight="1" spans="1:28">
      <c r="A51" s="49">
        <v>6</v>
      </c>
      <c r="B51" s="115" t="s">
        <v>114</v>
      </c>
      <c r="C51" s="116"/>
      <c r="D51" s="43" t="s">
        <v>46</v>
      </c>
      <c r="E51" s="49" t="s">
        <v>148</v>
      </c>
      <c r="F51" s="118">
        <f>26732.65</f>
        <v>26732.65</v>
      </c>
      <c r="G51" s="118"/>
      <c r="H51" s="118">
        <f t="shared" si="36"/>
        <v>80197.95</v>
      </c>
      <c r="I51" s="118">
        <f t="shared" si="37"/>
        <v>2004.94875</v>
      </c>
      <c r="J51" s="118"/>
      <c r="K51" s="118">
        <f t="shared" si="38"/>
        <v>13366.325</v>
      </c>
      <c r="L51" s="118">
        <f t="shared" si="39"/>
        <v>93564.275</v>
      </c>
      <c r="M51" s="118">
        <f t="shared" si="33"/>
        <v>26732.65</v>
      </c>
      <c r="N51" s="44">
        <f t="shared" si="40"/>
        <v>140000</v>
      </c>
      <c r="O51" s="44"/>
      <c r="P51" s="118">
        <f t="shared" si="34"/>
        <v>2673.265</v>
      </c>
      <c r="Q51" s="118">
        <v>20000</v>
      </c>
      <c r="R51" s="118"/>
      <c r="S51" s="118">
        <f t="shared" si="35"/>
        <v>405272.06375</v>
      </c>
      <c r="T51" s="118">
        <v>397211.3675</v>
      </c>
      <c r="U51" s="118">
        <f t="shared" si="1"/>
        <v>8060.69624999998</v>
      </c>
      <c r="V51" s="118"/>
      <c r="W51" s="118">
        <v>7709.76</v>
      </c>
      <c r="X51" s="118">
        <v>7709.76</v>
      </c>
      <c r="Y51" s="118">
        <f t="shared" si="2"/>
        <v>0</v>
      </c>
      <c r="Z51" s="118"/>
      <c r="AA51" s="118"/>
      <c r="AB51" s="118"/>
    </row>
    <row r="52" customHeight="1" spans="1:28">
      <c r="A52" s="49">
        <v>7</v>
      </c>
      <c r="B52" s="136" t="s">
        <v>115</v>
      </c>
      <c r="C52" s="137"/>
      <c r="D52" s="43" t="s">
        <v>133</v>
      </c>
      <c r="E52" s="16" t="s">
        <v>148</v>
      </c>
      <c r="F52" s="85">
        <f>26732.65</f>
        <v>26732.65</v>
      </c>
      <c r="G52" s="85"/>
      <c r="H52" s="85">
        <f t="shared" si="36"/>
        <v>80197.95</v>
      </c>
      <c r="I52" s="85">
        <f t="shared" si="37"/>
        <v>2004.94875</v>
      </c>
      <c r="J52" s="85"/>
      <c r="K52" s="85">
        <f t="shared" si="38"/>
        <v>13366.325</v>
      </c>
      <c r="L52" s="85">
        <f t="shared" si="39"/>
        <v>93564.275</v>
      </c>
      <c r="M52" s="85">
        <f t="shared" si="33"/>
        <v>26732.65</v>
      </c>
      <c r="N52" s="44">
        <f t="shared" si="40"/>
        <v>140000</v>
      </c>
      <c r="O52" s="44"/>
      <c r="P52" s="85">
        <f t="shared" si="34"/>
        <v>2673.265</v>
      </c>
      <c r="Q52" s="85">
        <v>20000</v>
      </c>
      <c r="R52" s="85"/>
      <c r="S52" s="118">
        <f t="shared" si="35"/>
        <v>405272.06375</v>
      </c>
      <c r="T52" s="118">
        <v>397211.3675</v>
      </c>
      <c r="U52" s="118">
        <f t="shared" si="1"/>
        <v>8060.69624999998</v>
      </c>
      <c r="V52" s="85"/>
      <c r="W52" s="85">
        <v>7709.76</v>
      </c>
      <c r="X52" s="85">
        <v>7709.76</v>
      </c>
      <c r="Y52" s="118">
        <f t="shared" si="2"/>
        <v>0</v>
      </c>
      <c r="Z52" s="118"/>
      <c r="AA52" s="118"/>
      <c r="AB52" s="118"/>
    </row>
    <row r="53" customHeight="1" spans="1:28">
      <c r="A53" s="49">
        <v>8</v>
      </c>
      <c r="B53" s="115" t="s">
        <v>1094</v>
      </c>
      <c r="C53" s="116"/>
      <c r="D53" s="43" t="s">
        <v>165</v>
      </c>
      <c r="E53" s="49" t="s">
        <v>52</v>
      </c>
      <c r="F53" s="118">
        <f>25523.45</f>
        <v>25523.45</v>
      </c>
      <c r="G53" s="118"/>
      <c r="H53" s="118">
        <f t="shared" si="36"/>
        <v>76570.35</v>
      </c>
      <c r="I53" s="118">
        <f t="shared" si="37"/>
        <v>1914.25875</v>
      </c>
      <c r="J53" s="118">
        <v>0</v>
      </c>
      <c r="K53" s="118">
        <f t="shared" si="38"/>
        <v>12761.725</v>
      </c>
      <c r="L53" s="118">
        <f t="shared" si="39"/>
        <v>89332.075</v>
      </c>
      <c r="M53" s="118">
        <f t="shared" si="33"/>
        <v>25523.45</v>
      </c>
      <c r="N53" s="44">
        <f>120000</f>
        <v>120000</v>
      </c>
      <c r="O53" s="44"/>
      <c r="P53" s="118">
        <f t="shared" si="34"/>
        <v>2552.345</v>
      </c>
      <c r="Q53" s="118">
        <v>15000</v>
      </c>
      <c r="R53" s="118">
        <v>0</v>
      </c>
      <c r="S53" s="118">
        <f t="shared" si="35"/>
        <v>369177.65375</v>
      </c>
      <c r="T53" s="118">
        <v>362001.0605</v>
      </c>
      <c r="U53" s="118">
        <f t="shared" si="1"/>
        <v>7176.59324999998</v>
      </c>
      <c r="V53" s="118"/>
      <c r="W53" s="118">
        <v>7709.76</v>
      </c>
      <c r="X53" s="118">
        <v>7709.76</v>
      </c>
      <c r="Y53" s="118">
        <f t="shared" si="2"/>
        <v>0</v>
      </c>
      <c r="Z53" s="118"/>
      <c r="AA53" s="118"/>
      <c r="AB53" s="118"/>
    </row>
    <row r="54" customHeight="1" spans="1:28">
      <c r="A54" s="49">
        <v>9</v>
      </c>
      <c r="B54" s="138" t="s">
        <v>1274</v>
      </c>
      <c r="C54" s="139"/>
      <c r="D54" s="140" t="s">
        <v>133</v>
      </c>
      <c r="E54" s="141" t="s">
        <v>47</v>
      </c>
      <c r="F54" s="142">
        <f>25854.1</f>
        <v>25854.1</v>
      </c>
      <c r="G54" s="142"/>
      <c r="H54" s="142">
        <f t="shared" si="36"/>
        <v>77562.3</v>
      </c>
      <c r="I54" s="142">
        <f t="shared" si="37"/>
        <v>1939.0575</v>
      </c>
      <c r="J54" s="142">
        <v>0</v>
      </c>
      <c r="K54" s="142">
        <f t="shared" si="38"/>
        <v>12927.05</v>
      </c>
      <c r="L54" s="142">
        <f t="shared" si="39"/>
        <v>90489.35</v>
      </c>
      <c r="M54" s="142">
        <f t="shared" si="33"/>
        <v>25854.1</v>
      </c>
      <c r="N54" s="149">
        <v>140000</v>
      </c>
      <c r="O54" s="149"/>
      <c r="P54" s="142">
        <f t="shared" si="34"/>
        <v>2585.41</v>
      </c>
      <c r="Q54" s="142">
        <v>20000</v>
      </c>
      <c r="R54" s="142">
        <v>0</v>
      </c>
      <c r="S54" s="142">
        <f t="shared" si="35"/>
        <v>397211.3675</v>
      </c>
      <c r="T54" s="142">
        <v>397211.3675</v>
      </c>
      <c r="U54" s="118">
        <f t="shared" si="1"/>
        <v>0</v>
      </c>
      <c r="V54" s="142"/>
      <c r="W54" s="142">
        <v>7709.76</v>
      </c>
      <c r="X54" s="142">
        <v>7709.76</v>
      </c>
      <c r="Y54" s="118">
        <f t="shared" si="2"/>
        <v>0</v>
      </c>
      <c r="Z54" s="118"/>
      <c r="AA54" s="118"/>
      <c r="AB54" s="118"/>
    </row>
    <row r="55" customHeight="1" spans="1:28">
      <c r="A55" s="49">
        <v>10</v>
      </c>
      <c r="B55" s="125" t="s">
        <v>45</v>
      </c>
      <c r="C55" s="126"/>
      <c r="D55" s="43" t="s">
        <v>483</v>
      </c>
      <c r="E55" s="10" t="s">
        <v>1019</v>
      </c>
      <c r="F55" s="85">
        <f>24741.26</f>
        <v>24741.26</v>
      </c>
      <c r="G55" s="118"/>
      <c r="H55" s="85">
        <f t="shared" si="36"/>
        <v>74223.78</v>
      </c>
      <c r="I55" s="85">
        <f t="shared" si="37"/>
        <v>1855.5945</v>
      </c>
      <c r="J55" s="85"/>
      <c r="K55" s="85">
        <f t="shared" si="38"/>
        <v>12370.63</v>
      </c>
      <c r="L55" s="85">
        <f t="shared" si="39"/>
        <v>86594.41</v>
      </c>
      <c r="M55" s="85">
        <f t="shared" si="33"/>
        <v>24741.26</v>
      </c>
      <c r="N55" s="44">
        <f t="shared" ref="N55" si="41">120000</f>
        <v>120000</v>
      </c>
      <c r="O55" s="44"/>
      <c r="P55" s="85">
        <f t="shared" si="34"/>
        <v>2474.126</v>
      </c>
      <c r="Q55" s="85">
        <v>15000</v>
      </c>
      <c r="R55" s="85"/>
      <c r="S55" s="118">
        <f t="shared" si="35"/>
        <v>362001.0605</v>
      </c>
      <c r="T55" s="118">
        <v>354201.026</v>
      </c>
      <c r="U55" s="118">
        <f t="shared" si="1"/>
        <v>7800.03449999995</v>
      </c>
      <c r="V55" s="85"/>
      <c r="W55" s="85">
        <f>7709.76</f>
        <v>7709.76</v>
      </c>
      <c r="X55" s="85">
        <v>7709.76</v>
      </c>
      <c r="Y55" s="118">
        <f t="shared" si="2"/>
        <v>0</v>
      </c>
      <c r="Z55" s="118"/>
      <c r="AA55" s="118"/>
      <c r="AB55" s="118"/>
    </row>
    <row r="56" customHeight="1" spans="1:28">
      <c r="A56" s="49"/>
      <c r="B56" s="143" t="s">
        <v>96</v>
      </c>
      <c r="C56" s="144"/>
      <c r="D56" s="21">
        <v>10</v>
      </c>
      <c r="E56" s="21"/>
      <c r="F56" s="93">
        <f t="shared" ref="F56:N56" si="42">SUM(F46:F55)</f>
        <v>339092.14</v>
      </c>
      <c r="G56" s="93">
        <f t="shared" si="42"/>
        <v>0</v>
      </c>
      <c r="H56" s="93">
        <f t="shared" si="42"/>
        <v>1017276.42</v>
      </c>
      <c r="I56" s="93">
        <f t="shared" si="42"/>
        <v>25431.9105</v>
      </c>
      <c r="J56" s="93">
        <f t="shared" si="42"/>
        <v>200610.95</v>
      </c>
      <c r="K56" s="93">
        <f t="shared" si="42"/>
        <v>169546.07</v>
      </c>
      <c r="L56" s="93">
        <f t="shared" si="42"/>
        <v>1186822.49</v>
      </c>
      <c r="M56" s="93">
        <f t="shared" si="42"/>
        <v>339092.14</v>
      </c>
      <c r="N56" s="148">
        <f t="shared" si="42"/>
        <v>1480000</v>
      </c>
      <c r="O56" s="148"/>
      <c r="P56" s="93">
        <f>SUM(P46:P55)</f>
        <v>33909.214</v>
      </c>
      <c r="Q56" s="93">
        <f>SUM(Q46:Q55)</f>
        <v>190000</v>
      </c>
      <c r="R56" s="93">
        <f>SUM(R46:R55)</f>
        <v>0</v>
      </c>
      <c r="S56" s="93">
        <f>SUM(S46:S55)</f>
        <v>4981781.3345</v>
      </c>
      <c r="T56" s="93">
        <v>4939266.31125</v>
      </c>
      <c r="U56" s="154">
        <f t="shared" si="1"/>
        <v>42515.0232499987</v>
      </c>
      <c r="V56" s="93"/>
      <c r="W56" s="93">
        <f>SUM(W46:W55)</f>
        <v>145680.18</v>
      </c>
      <c r="X56" s="93">
        <v>145680.18</v>
      </c>
      <c r="Y56" s="118">
        <f t="shared" si="2"/>
        <v>0</v>
      </c>
      <c r="Z56" s="93"/>
      <c r="AA56" s="93"/>
      <c r="AB56" s="93"/>
    </row>
    <row r="57" customHeight="1" spans="1:28">
      <c r="A57" s="49"/>
      <c r="B57" s="145"/>
      <c r="C57" s="145"/>
      <c r="D57" s="21"/>
      <c r="E57" s="21"/>
      <c r="F57" s="146"/>
      <c r="G57" s="146"/>
      <c r="H57" s="146"/>
      <c r="I57" s="146"/>
      <c r="J57" s="146"/>
      <c r="K57" s="146"/>
      <c r="L57" s="146"/>
      <c r="M57" s="146"/>
      <c r="N57" s="44"/>
      <c r="O57" s="44"/>
      <c r="P57" s="146"/>
      <c r="Q57" s="146"/>
      <c r="R57" s="146"/>
      <c r="S57" s="146"/>
      <c r="T57" s="146"/>
      <c r="U57" s="118">
        <f t="shared" si="1"/>
        <v>0</v>
      </c>
      <c r="V57" s="146"/>
      <c r="W57" s="146"/>
      <c r="X57" s="146"/>
      <c r="Y57" s="118">
        <f t="shared" si="2"/>
        <v>0</v>
      </c>
      <c r="Z57" s="146"/>
      <c r="AA57" s="146"/>
      <c r="AB57" s="146"/>
    </row>
    <row r="58" customHeight="1" spans="1:28">
      <c r="A58" s="49"/>
      <c r="B58" s="143" t="s">
        <v>120</v>
      </c>
      <c r="C58" s="144"/>
      <c r="D58" s="21"/>
      <c r="E58" s="21"/>
      <c r="F58" s="146"/>
      <c r="G58" s="146"/>
      <c r="H58" s="146"/>
      <c r="I58" s="146"/>
      <c r="J58" s="146"/>
      <c r="K58" s="146"/>
      <c r="L58" s="146"/>
      <c r="M58" s="146"/>
      <c r="N58" s="44"/>
      <c r="O58" s="44"/>
      <c r="P58" s="146"/>
      <c r="Q58" s="146"/>
      <c r="R58" s="146"/>
      <c r="S58" s="146"/>
      <c r="T58" s="146"/>
      <c r="U58" s="118">
        <f t="shared" si="1"/>
        <v>0</v>
      </c>
      <c r="V58" s="146"/>
      <c r="W58" s="146"/>
      <c r="X58" s="146"/>
      <c r="Y58" s="118">
        <f t="shared" si="2"/>
        <v>0</v>
      </c>
      <c r="Z58" s="146"/>
      <c r="AA58" s="146"/>
      <c r="AB58" s="146"/>
    </row>
    <row r="59" customHeight="1" spans="1:28">
      <c r="A59" s="49">
        <v>1</v>
      </c>
      <c r="B59" s="115" t="s">
        <v>503</v>
      </c>
      <c r="C59" s="116"/>
      <c r="D59" s="117" t="s">
        <v>122</v>
      </c>
      <c r="E59" s="119" t="s">
        <v>100</v>
      </c>
      <c r="F59" s="118">
        <f>81740.02</f>
        <v>81740.02</v>
      </c>
      <c r="G59" s="118"/>
      <c r="H59" s="118">
        <f>F59*300%</f>
        <v>245220.06</v>
      </c>
      <c r="I59" s="118">
        <f>F59*7.5%</f>
        <v>6130.5015</v>
      </c>
      <c r="J59" s="118">
        <v>80244.38</v>
      </c>
      <c r="K59" s="118">
        <f>F59*50%</f>
        <v>40870.01</v>
      </c>
      <c r="L59" s="118">
        <f>F59*350%</f>
        <v>286090.07</v>
      </c>
      <c r="M59" s="118">
        <f>F59*100%</f>
        <v>81740.02</v>
      </c>
      <c r="N59" s="44">
        <f>200000</f>
        <v>200000</v>
      </c>
      <c r="O59" s="44"/>
      <c r="P59" s="118">
        <f>F59*10%</f>
        <v>8174.002</v>
      </c>
      <c r="Q59" s="118">
        <v>20000</v>
      </c>
      <c r="R59" s="118">
        <v>0</v>
      </c>
      <c r="S59" s="118">
        <f>SUM(F59:R59)</f>
        <v>1050209.0635</v>
      </c>
      <c r="T59" s="118">
        <v>1050209.0635</v>
      </c>
      <c r="U59" s="118">
        <f t="shared" si="1"/>
        <v>0</v>
      </c>
      <c r="V59" s="118"/>
      <c r="W59" s="118">
        <v>52776.63</v>
      </c>
      <c r="X59" s="118">
        <v>52776.63</v>
      </c>
      <c r="Y59" s="118">
        <f t="shared" si="2"/>
        <v>0</v>
      </c>
      <c r="Z59" s="118"/>
      <c r="AA59" s="118"/>
      <c r="AB59" s="118"/>
    </row>
    <row r="60" customHeight="1" spans="1:28">
      <c r="A60" s="49">
        <v>2</v>
      </c>
      <c r="B60" s="115" t="s">
        <v>123</v>
      </c>
      <c r="C60" s="116"/>
      <c r="D60" s="117" t="s">
        <v>124</v>
      </c>
      <c r="E60" s="119" t="s">
        <v>573</v>
      </c>
      <c r="F60" s="118">
        <f>32263.2</f>
        <v>32263.2</v>
      </c>
      <c r="G60" s="118"/>
      <c r="H60" s="118">
        <f t="shared" ref="H60" si="43">F60*300%</f>
        <v>96789.6</v>
      </c>
      <c r="I60" s="118">
        <f t="shared" ref="I60" si="44">F60*7.5%</f>
        <v>2419.74</v>
      </c>
      <c r="J60" s="118">
        <v>40122.19</v>
      </c>
      <c r="K60" s="118">
        <f t="shared" ref="K60" si="45">F60*50%</f>
        <v>16131.6</v>
      </c>
      <c r="L60" s="118">
        <f t="shared" ref="L60" si="46">F60*350%</f>
        <v>112921.2</v>
      </c>
      <c r="M60" s="118">
        <f t="shared" ref="M60" si="47">F60*100%</f>
        <v>32263.2</v>
      </c>
      <c r="N60" s="44"/>
      <c r="O60" s="44">
        <f>80000</f>
        <v>80000</v>
      </c>
      <c r="P60" s="118">
        <f t="shared" ref="P60" si="48">F60*10%</f>
        <v>3226.32</v>
      </c>
      <c r="Q60" s="118">
        <v>20000</v>
      </c>
      <c r="R60" s="153">
        <v>0</v>
      </c>
      <c r="S60" s="118">
        <f t="shared" ref="S60" si="49">SUM(F60:R60)</f>
        <v>436137.05</v>
      </c>
      <c r="T60" s="118">
        <v>424720.047</v>
      </c>
      <c r="U60" s="118">
        <f t="shared" si="1"/>
        <v>11417.003</v>
      </c>
      <c r="V60" s="118"/>
      <c r="W60" s="118">
        <f>15548.33</f>
        <v>15548.33</v>
      </c>
      <c r="X60" s="118">
        <v>15548.33</v>
      </c>
      <c r="Y60" s="118">
        <f t="shared" si="2"/>
        <v>0</v>
      </c>
      <c r="Z60" s="118"/>
      <c r="AA60" s="118"/>
      <c r="AB60" s="118"/>
    </row>
    <row r="61" customHeight="1" spans="1:28">
      <c r="A61" s="49"/>
      <c r="B61" s="143" t="s">
        <v>96</v>
      </c>
      <c r="C61" s="144"/>
      <c r="D61" s="21">
        <v>2</v>
      </c>
      <c r="E61" s="21"/>
      <c r="F61" s="93">
        <f>SUM(F59:F60)</f>
        <v>114003.22</v>
      </c>
      <c r="G61" s="93"/>
      <c r="H61" s="93">
        <f t="shared" ref="H61:S61" si="50">SUM(H59:H60)</f>
        <v>342009.66</v>
      </c>
      <c r="I61" s="93">
        <f t="shared" si="50"/>
        <v>8550.2415</v>
      </c>
      <c r="J61" s="93">
        <f t="shared" si="50"/>
        <v>120366.57</v>
      </c>
      <c r="K61" s="93">
        <f t="shared" si="50"/>
        <v>57001.61</v>
      </c>
      <c r="L61" s="93">
        <f t="shared" si="50"/>
        <v>399011.27</v>
      </c>
      <c r="M61" s="93">
        <f t="shared" si="50"/>
        <v>114003.22</v>
      </c>
      <c r="N61" s="148">
        <f t="shared" si="50"/>
        <v>200000</v>
      </c>
      <c r="O61" s="148">
        <f t="shared" si="50"/>
        <v>80000</v>
      </c>
      <c r="P61" s="93">
        <f t="shared" si="50"/>
        <v>11400.322</v>
      </c>
      <c r="Q61" s="93">
        <f t="shared" si="50"/>
        <v>40000</v>
      </c>
      <c r="R61" s="93">
        <f t="shared" si="50"/>
        <v>0</v>
      </c>
      <c r="S61" s="93">
        <f t="shared" si="50"/>
        <v>1486346.1135</v>
      </c>
      <c r="T61" s="93">
        <v>1474929.1105</v>
      </c>
      <c r="U61" s="154">
        <f t="shared" si="1"/>
        <v>11417.0030000003</v>
      </c>
      <c r="V61" s="93"/>
      <c r="W61" s="93">
        <f>SUM(W59:W60)</f>
        <v>68324.96</v>
      </c>
      <c r="X61" s="93">
        <v>68324.96</v>
      </c>
      <c r="Y61" s="118">
        <f t="shared" si="2"/>
        <v>0</v>
      </c>
      <c r="Z61" s="93"/>
      <c r="AA61" s="93"/>
      <c r="AB61" s="93"/>
    </row>
    <row r="62" customHeight="1" spans="1:28">
      <c r="A62" s="49"/>
      <c r="B62" s="143"/>
      <c r="C62" s="144"/>
      <c r="D62" s="21"/>
      <c r="E62" s="21"/>
      <c r="F62" s="146"/>
      <c r="G62" s="146"/>
      <c r="H62" s="146"/>
      <c r="I62" s="146"/>
      <c r="J62" s="146"/>
      <c r="K62" s="146"/>
      <c r="L62" s="146"/>
      <c r="M62" s="146"/>
      <c r="N62" s="44"/>
      <c r="O62" s="44"/>
      <c r="P62" s="146"/>
      <c r="Q62" s="146"/>
      <c r="R62" s="146"/>
      <c r="S62" s="146"/>
      <c r="T62" s="146"/>
      <c r="U62" s="118">
        <f t="shared" si="1"/>
        <v>0</v>
      </c>
      <c r="V62" s="146"/>
      <c r="W62" s="146"/>
      <c r="X62" s="146"/>
      <c r="Y62" s="118">
        <f t="shared" si="2"/>
        <v>0</v>
      </c>
      <c r="Z62" s="146"/>
      <c r="AA62" s="146"/>
      <c r="AB62" s="146"/>
    </row>
    <row r="63" customHeight="1" spans="1:28">
      <c r="A63" s="49"/>
      <c r="B63" s="143" t="s">
        <v>1236</v>
      </c>
      <c r="C63" s="144"/>
      <c r="D63" s="21"/>
      <c r="E63" s="21"/>
      <c r="F63" s="146"/>
      <c r="G63" s="146"/>
      <c r="H63" s="146"/>
      <c r="I63" s="146"/>
      <c r="J63" s="146"/>
      <c r="K63" s="146"/>
      <c r="L63" s="146"/>
      <c r="M63" s="146"/>
      <c r="N63" s="44"/>
      <c r="O63" s="44"/>
      <c r="P63" s="146"/>
      <c r="Q63" s="146"/>
      <c r="R63" s="146"/>
      <c r="S63" s="146"/>
      <c r="T63" s="146"/>
      <c r="U63" s="118">
        <f t="shared" si="1"/>
        <v>0</v>
      </c>
      <c r="V63" s="146"/>
      <c r="W63" s="146"/>
      <c r="X63" s="146"/>
      <c r="Y63" s="118">
        <f t="shared" si="2"/>
        <v>0</v>
      </c>
      <c r="Z63" s="146"/>
      <c r="AA63" s="146"/>
      <c r="AB63" s="146"/>
    </row>
    <row r="64" customHeight="1" spans="1:28">
      <c r="A64" s="49">
        <v>1</v>
      </c>
      <c r="B64" s="125" t="s">
        <v>127</v>
      </c>
      <c r="C64" s="126"/>
      <c r="D64" s="17" t="s">
        <v>128</v>
      </c>
      <c r="E64" s="10" t="s">
        <v>100</v>
      </c>
      <c r="F64" s="85">
        <f>81740.02</f>
        <v>81740.02</v>
      </c>
      <c r="G64" s="85"/>
      <c r="H64" s="85">
        <f t="shared" ref="H64:H75" si="51">F64*300%</f>
        <v>245220.06</v>
      </c>
      <c r="I64" s="85">
        <f t="shared" ref="I64:I75" si="52">F64*7.5%</f>
        <v>6130.5015</v>
      </c>
      <c r="J64" s="118">
        <v>80244.38</v>
      </c>
      <c r="K64" s="85">
        <f t="shared" ref="K64:K75" si="53">F64*50%</f>
        <v>40870.01</v>
      </c>
      <c r="L64" s="85">
        <f t="shared" ref="L64:L75" si="54">F64*350%</f>
        <v>286090.07</v>
      </c>
      <c r="M64" s="85">
        <f t="shared" ref="M64:M75" si="55">F64*100%</f>
        <v>81740.02</v>
      </c>
      <c r="N64" s="44">
        <f>200000</f>
        <v>200000</v>
      </c>
      <c r="O64" s="44"/>
      <c r="P64" s="85">
        <f t="shared" ref="P64:P75" si="56">F64*10%</f>
        <v>8174.002</v>
      </c>
      <c r="Q64" s="85">
        <v>20000</v>
      </c>
      <c r="R64" s="85">
        <v>0</v>
      </c>
      <c r="S64" s="85">
        <v>1050209.0635</v>
      </c>
      <c r="T64" s="85">
        <v>1025433.077</v>
      </c>
      <c r="U64" s="118">
        <f t="shared" si="1"/>
        <v>24775.9864999999</v>
      </c>
      <c r="V64" s="85"/>
      <c r="W64" s="85">
        <f>52776.63</f>
        <v>52776.63</v>
      </c>
      <c r="X64" s="85">
        <v>52776.63</v>
      </c>
      <c r="Y64" s="118">
        <f t="shared" si="2"/>
        <v>0</v>
      </c>
      <c r="Z64" s="85"/>
      <c r="AA64" s="85"/>
      <c r="AB64" s="85"/>
    </row>
    <row r="65" customHeight="1" spans="1:28">
      <c r="A65" s="49">
        <v>2</v>
      </c>
      <c r="B65" s="125" t="s">
        <v>129</v>
      </c>
      <c r="C65" s="126"/>
      <c r="D65" s="17" t="s">
        <v>130</v>
      </c>
      <c r="E65" s="119" t="s">
        <v>1021</v>
      </c>
      <c r="F65" s="118">
        <v>31018.84</v>
      </c>
      <c r="G65" s="118"/>
      <c r="H65" s="118">
        <f t="shared" si="51"/>
        <v>93056.52</v>
      </c>
      <c r="I65" s="118">
        <f t="shared" si="52"/>
        <v>2326.413</v>
      </c>
      <c r="J65" s="118">
        <v>40122.19</v>
      </c>
      <c r="K65" s="118">
        <f t="shared" si="53"/>
        <v>15509.42</v>
      </c>
      <c r="L65" s="118">
        <f t="shared" si="54"/>
        <v>108565.94</v>
      </c>
      <c r="M65" s="118">
        <f t="shared" si="55"/>
        <v>31018.84</v>
      </c>
      <c r="N65" s="44">
        <f>160000</f>
        <v>160000</v>
      </c>
      <c r="O65" s="44"/>
      <c r="P65" s="118">
        <f t="shared" si="56"/>
        <v>3101.884</v>
      </c>
      <c r="Q65" s="118">
        <v>20000</v>
      </c>
      <c r="R65" s="153">
        <v>0</v>
      </c>
      <c r="S65" s="118">
        <f t="shared" ref="S65:S75" si="57">SUM(F65:R65)</f>
        <v>504720.047</v>
      </c>
      <c r="T65" s="118">
        <v>504720.047</v>
      </c>
      <c r="U65" s="118">
        <f t="shared" si="1"/>
        <v>0</v>
      </c>
      <c r="V65" s="118"/>
      <c r="W65" s="118">
        <f>15548.33</f>
        <v>15548.33</v>
      </c>
      <c r="X65" s="118">
        <v>15548.33</v>
      </c>
      <c r="Y65" s="118">
        <f t="shared" si="2"/>
        <v>0</v>
      </c>
      <c r="Z65" s="85"/>
      <c r="AA65" s="118"/>
      <c r="AB65" s="118"/>
    </row>
    <row r="66" customHeight="1" spans="1:28">
      <c r="A66" s="49">
        <v>3</v>
      </c>
      <c r="B66" s="125" t="s">
        <v>1275</v>
      </c>
      <c r="C66" s="126"/>
      <c r="D66" s="4" t="s">
        <v>483</v>
      </c>
      <c r="E66" s="10" t="s">
        <v>192</v>
      </c>
      <c r="F66" s="85">
        <f>26339.3</f>
        <v>26339.3</v>
      </c>
      <c r="G66" s="85"/>
      <c r="H66" s="85">
        <f t="shared" si="51"/>
        <v>79017.9</v>
      </c>
      <c r="I66" s="85">
        <f t="shared" si="52"/>
        <v>1975.4475</v>
      </c>
      <c r="J66" s="85"/>
      <c r="K66" s="85">
        <f t="shared" si="53"/>
        <v>13169.65</v>
      </c>
      <c r="L66" s="85">
        <f t="shared" si="54"/>
        <v>92187.55</v>
      </c>
      <c r="M66" s="85">
        <f t="shared" si="55"/>
        <v>26339.3</v>
      </c>
      <c r="N66" s="44">
        <f t="shared" ref="N66:N68" si="58">120000</f>
        <v>120000</v>
      </c>
      <c r="O66" s="44"/>
      <c r="P66" s="85">
        <f t="shared" si="56"/>
        <v>2633.93</v>
      </c>
      <c r="Q66" s="85">
        <v>15000</v>
      </c>
      <c r="R66" s="85"/>
      <c r="S66" s="118">
        <f t="shared" si="57"/>
        <v>376663.0775</v>
      </c>
      <c r="T66" s="118">
        <v>369177.65375</v>
      </c>
      <c r="U66" s="118">
        <f t="shared" si="1"/>
        <v>7485.42374999996</v>
      </c>
      <c r="V66" s="85"/>
      <c r="W66" s="85">
        <v>7709.76</v>
      </c>
      <c r="X66" s="85">
        <v>7709.76</v>
      </c>
      <c r="Y66" s="118">
        <f t="shared" si="2"/>
        <v>0</v>
      </c>
      <c r="Z66" s="85"/>
      <c r="AA66" s="118"/>
      <c r="AB66" s="118"/>
    </row>
    <row r="67" customHeight="1" spans="1:28">
      <c r="A67" s="49">
        <v>4</v>
      </c>
      <c r="B67" s="125" t="s">
        <v>132</v>
      </c>
      <c r="C67" s="126"/>
      <c r="D67" s="43" t="s">
        <v>165</v>
      </c>
      <c r="E67" s="10" t="s">
        <v>1019</v>
      </c>
      <c r="F67" s="85">
        <f>24741.26</f>
        <v>24741.26</v>
      </c>
      <c r="G67" s="85"/>
      <c r="H67" s="85">
        <f t="shared" si="51"/>
        <v>74223.78</v>
      </c>
      <c r="I67" s="85">
        <f t="shared" si="52"/>
        <v>1855.5945</v>
      </c>
      <c r="J67" s="85"/>
      <c r="K67" s="85">
        <f t="shared" si="53"/>
        <v>12370.63</v>
      </c>
      <c r="L67" s="85">
        <f t="shared" si="54"/>
        <v>86594.41</v>
      </c>
      <c r="M67" s="85">
        <f t="shared" si="55"/>
        <v>24741.26</v>
      </c>
      <c r="N67" s="44">
        <f t="shared" si="58"/>
        <v>120000</v>
      </c>
      <c r="O67" s="44"/>
      <c r="P67" s="85">
        <f t="shared" si="56"/>
        <v>2474.126</v>
      </c>
      <c r="Q67" s="85">
        <v>15000</v>
      </c>
      <c r="R67" s="85"/>
      <c r="S67" s="85">
        <f t="shared" si="57"/>
        <v>362001.0605</v>
      </c>
      <c r="T67" s="85">
        <v>354201.026</v>
      </c>
      <c r="U67" s="118">
        <f t="shared" si="1"/>
        <v>7800.03449999995</v>
      </c>
      <c r="V67" s="85"/>
      <c r="W67" s="85">
        <f>7709.76</f>
        <v>7709.76</v>
      </c>
      <c r="X67" s="85">
        <v>7709.76</v>
      </c>
      <c r="Y67" s="118">
        <f t="shared" si="2"/>
        <v>0</v>
      </c>
      <c r="Z67" s="85"/>
      <c r="AA67" s="85"/>
      <c r="AB67" s="85"/>
    </row>
    <row r="68" customHeight="1" spans="1:28">
      <c r="A68" s="49">
        <v>5</v>
      </c>
      <c r="B68" s="125" t="s">
        <v>1276</v>
      </c>
      <c r="C68" s="126"/>
      <c r="D68" s="17" t="s">
        <v>165</v>
      </c>
      <c r="E68" s="119" t="s">
        <v>1231</v>
      </c>
      <c r="F68" s="118">
        <f>23891.12</f>
        <v>23891.12</v>
      </c>
      <c r="G68" s="118"/>
      <c r="H68" s="118">
        <f t="shared" si="51"/>
        <v>71673.36</v>
      </c>
      <c r="I68" s="118">
        <f t="shared" si="52"/>
        <v>1791.834</v>
      </c>
      <c r="J68" s="118">
        <v>0</v>
      </c>
      <c r="K68" s="118">
        <f t="shared" si="53"/>
        <v>11945.56</v>
      </c>
      <c r="L68" s="118">
        <f t="shared" si="54"/>
        <v>83618.92</v>
      </c>
      <c r="M68" s="118">
        <f t="shared" si="55"/>
        <v>23891.12</v>
      </c>
      <c r="N68" s="44">
        <f t="shared" si="58"/>
        <v>120000</v>
      </c>
      <c r="O68" s="44"/>
      <c r="P68" s="118">
        <f t="shared" si="56"/>
        <v>2389.112</v>
      </c>
      <c r="Q68" s="118">
        <v>15000</v>
      </c>
      <c r="R68" s="118">
        <v>0</v>
      </c>
      <c r="S68" s="118">
        <f t="shared" si="57"/>
        <v>354201.026</v>
      </c>
      <c r="T68" s="118">
        <v>346713.03325</v>
      </c>
      <c r="U68" s="118">
        <f t="shared" si="1"/>
        <v>7487.99275000003</v>
      </c>
      <c r="V68" s="118"/>
      <c r="W68" s="118">
        <v>7709.76</v>
      </c>
      <c r="X68" s="118">
        <v>7709.76</v>
      </c>
      <c r="Y68" s="118">
        <f t="shared" si="2"/>
        <v>0</v>
      </c>
      <c r="Z68" s="85"/>
      <c r="AA68" s="118"/>
      <c r="AB68" s="118"/>
    </row>
    <row r="69" customHeight="1" spans="1:28">
      <c r="A69" s="49">
        <v>6</v>
      </c>
      <c r="B69" s="52" t="s">
        <v>519</v>
      </c>
      <c r="C69" s="54"/>
      <c r="D69" s="17" t="s">
        <v>133</v>
      </c>
      <c r="E69" s="119" t="s">
        <v>148</v>
      </c>
      <c r="F69" s="118">
        <f>26732.65</f>
        <v>26732.65</v>
      </c>
      <c r="G69" s="118"/>
      <c r="H69" s="118">
        <f t="shared" si="51"/>
        <v>80197.95</v>
      </c>
      <c r="I69" s="118">
        <f t="shared" si="52"/>
        <v>2004.94875</v>
      </c>
      <c r="J69" s="118"/>
      <c r="K69" s="118">
        <f t="shared" si="53"/>
        <v>13366.325</v>
      </c>
      <c r="L69" s="118">
        <f t="shared" si="54"/>
        <v>93564.275</v>
      </c>
      <c r="M69" s="118">
        <f t="shared" si="55"/>
        <v>26732.65</v>
      </c>
      <c r="N69" s="44">
        <f>140000</f>
        <v>140000</v>
      </c>
      <c r="O69" s="44"/>
      <c r="P69" s="118">
        <f t="shared" si="56"/>
        <v>2673.265</v>
      </c>
      <c r="Q69" s="118">
        <v>20000</v>
      </c>
      <c r="R69" s="118"/>
      <c r="S69" s="118">
        <f t="shared" si="57"/>
        <v>405272.06375</v>
      </c>
      <c r="T69" s="118">
        <v>397211.3675</v>
      </c>
      <c r="U69" s="118">
        <f t="shared" si="1"/>
        <v>8060.69624999998</v>
      </c>
      <c r="V69" s="118"/>
      <c r="W69" s="118">
        <f>7709.76</f>
        <v>7709.76</v>
      </c>
      <c r="X69" s="118">
        <v>7709.76</v>
      </c>
      <c r="Y69" s="118">
        <f t="shared" si="2"/>
        <v>0</v>
      </c>
      <c r="Z69" s="85"/>
      <c r="AA69" s="118"/>
      <c r="AB69" s="118"/>
    </row>
    <row r="70" customHeight="1" spans="1:28">
      <c r="A70" s="49">
        <v>7</v>
      </c>
      <c r="B70" s="125" t="s">
        <v>134</v>
      </c>
      <c r="C70" s="126"/>
      <c r="D70" s="4" t="s">
        <v>117</v>
      </c>
      <c r="E70" s="10" t="s">
        <v>1237</v>
      </c>
      <c r="F70" s="85">
        <f>19774.62</f>
        <v>19774.62</v>
      </c>
      <c r="G70" s="85"/>
      <c r="H70" s="85">
        <f t="shared" si="51"/>
        <v>59323.86</v>
      </c>
      <c r="I70" s="85">
        <f t="shared" si="52"/>
        <v>1483.0965</v>
      </c>
      <c r="J70" s="85">
        <v>0</v>
      </c>
      <c r="K70" s="85">
        <f t="shared" si="53"/>
        <v>9887.31</v>
      </c>
      <c r="L70" s="85">
        <f t="shared" si="54"/>
        <v>69211.17</v>
      </c>
      <c r="M70" s="85">
        <f t="shared" si="55"/>
        <v>19774.62</v>
      </c>
      <c r="N70" s="44">
        <f>100000</f>
        <v>100000</v>
      </c>
      <c r="O70" s="44"/>
      <c r="P70" s="85">
        <f t="shared" si="56"/>
        <v>1977.462</v>
      </c>
      <c r="Q70" s="85">
        <v>10000</v>
      </c>
      <c r="R70" s="85">
        <v>0</v>
      </c>
      <c r="S70" s="118">
        <f t="shared" si="57"/>
        <v>291432.1385</v>
      </c>
      <c r="T70" s="118">
        <v>291432.1385</v>
      </c>
      <c r="U70" s="118">
        <f t="shared" si="1"/>
        <v>0</v>
      </c>
      <c r="V70" s="85"/>
      <c r="W70" s="85">
        <v>3369.51</v>
      </c>
      <c r="X70" s="85">
        <v>3369.51</v>
      </c>
      <c r="Y70" s="118">
        <f t="shared" si="2"/>
        <v>0</v>
      </c>
      <c r="Z70" s="85"/>
      <c r="AA70" s="118"/>
      <c r="AB70" s="118"/>
    </row>
    <row r="71" customHeight="1" spans="1:28">
      <c r="A71" s="49">
        <v>8</v>
      </c>
      <c r="B71" s="117" t="s">
        <v>1102</v>
      </c>
      <c r="C71" s="117"/>
      <c r="D71" s="17" t="s">
        <v>117</v>
      </c>
      <c r="E71" s="119" t="s">
        <v>135</v>
      </c>
      <c r="F71" s="118">
        <f>21520.88</f>
        <v>21520.88</v>
      </c>
      <c r="G71" s="118"/>
      <c r="H71" s="118">
        <f t="shared" si="51"/>
        <v>64562.64</v>
      </c>
      <c r="I71" s="118">
        <f t="shared" si="52"/>
        <v>1614.066</v>
      </c>
      <c r="J71" s="118">
        <v>0</v>
      </c>
      <c r="K71" s="118">
        <f t="shared" si="53"/>
        <v>10760.44</v>
      </c>
      <c r="L71" s="118">
        <f t="shared" si="54"/>
        <v>75323.08</v>
      </c>
      <c r="M71" s="118">
        <f t="shared" si="55"/>
        <v>21520.88</v>
      </c>
      <c r="N71" s="44">
        <f>110000</f>
        <v>110000</v>
      </c>
      <c r="O71" s="44"/>
      <c r="P71" s="118">
        <f t="shared" si="56"/>
        <v>2152.088</v>
      </c>
      <c r="Q71" s="118">
        <v>15000</v>
      </c>
      <c r="R71" s="118">
        <v>0</v>
      </c>
      <c r="S71" s="118">
        <f t="shared" si="57"/>
        <v>322454.074</v>
      </c>
      <c r="T71" s="118">
        <v>315372.075</v>
      </c>
      <c r="U71" s="118">
        <f t="shared" si="1"/>
        <v>7081.99900000001</v>
      </c>
      <c r="V71" s="118"/>
      <c r="W71" s="118">
        <f>3369.51</f>
        <v>3369.51</v>
      </c>
      <c r="X71" s="118">
        <v>3369.51</v>
      </c>
      <c r="Y71" s="118">
        <f t="shared" si="2"/>
        <v>0</v>
      </c>
      <c r="Z71" s="85"/>
      <c r="AA71" s="118"/>
      <c r="AB71" s="118"/>
    </row>
    <row r="72" customHeight="1" spans="1:28">
      <c r="A72" s="49">
        <v>9</v>
      </c>
      <c r="B72" s="115" t="s">
        <v>138</v>
      </c>
      <c r="C72" s="116"/>
      <c r="D72" s="43" t="s">
        <v>152</v>
      </c>
      <c r="E72" s="49" t="s">
        <v>587</v>
      </c>
      <c r="F72" s="118">
        <f>18779.3</f>
        <v>18779.3</v>
      </c>
      <c r="G72" s="118"/>
      <c r="H72" s="118">
        <f t="shared" si="51"/>
        <v>56337.9</v>
      </c>
      <c r="I72" s="118">
        <f t="shared" si="52"/>
        <v>1408.4475</v>
      </c>
      <c r="J72" s="118"/>
      <c r="K72" s="118">
        <f t="shared" si="53"/>
        <v>9389.65</v>
      </c>
      <c r="L72" s="118">
        <f t="shared" si="54"/>
        <v>65727.55</v>
      </c>
      <c r="M72" s="118">
        <f t="shared" si="55"/>
        <v>18779.3</v>
      </c>
      <c r="N72" s="44">
        <f t="shared" ref="N72:N75" si="59">100000</f>
        <v>100000</v>
      </c>
      <c r="O72" s="44"/>
      <c r="P72" s="118">
        <f t="shared" si="56"/>
        <v>1877.93</v>
      </c>
      <c r="Q72" s="118">
        <v>10000</v>
      </c>
      <c r="R72" s="118"/>
      <c r="S72" s="118">
        <f t="shared" si="57"/>
        <v>282300.0775</v>
      </c>
      <c r="T72" s="118">
        <v>277734.047</v>
      </c>
      <c r="U72" s="118">
        <f t="shared" si="1"/>
        <v>4566.03049999994</v>
      </c>
      <c r="V72" s="118"/>
      <c r="W72" s="118">
        <v>3369.51</v>
      </c>
      <c r="X72" s="118">
        <v>3369.51</v>
      </c>
      <c r="Y72" s="118">
        <f t="shared" si="2"/>
        <v>0</v>
      </c>
      <c r="Z72" s="85"/>
      <c r="AA72" s="118"/>
      <c r="AB72" s="118"/>
    </row>
    <row r="73" customHeight="1" spans="1:28">
      <c r="A73" s="49">
        <v>10</v>
      </c>
      <c r="B73" s="125" t="s">
        <v>1184</v>
      </c>
      <c r="C73" s="126"/>
      <c r="D73" s="17" t="s">
        <v>117</v>
      </c>
      <c r="E73" s="49" t="s">
        <v>70</v>
      </c>
      <c r="F73" s="118">
        <f>17286.33</f>
        <v>17286.33</v>
      </c>
      <c r="G73" s="118"/>
      <c r="H73" s="118">
        <f t="shared" si="51"/>
        <v>51858.99</v>
      </c>
      <c r="I73" s="118">
        <f t="shared" si="52"/>
        <v>1296.47475</v>
      </c>
      <c r="J73" s="118"/>
      <c r="K73" s="118">
        <f t="shared" si="53"/>
        <v>8643.165</v>
      </c>
      <c r="L73" s="118">
        <f t="shared" si="54"/>
        <v>60502.155</v>
      </c>
      <c r="M73" s="118">
        <f t="shared" si="55"/>
        <v>17286.33</v>
      </c>
      <c r="N73" s="44">
        <f t="shared" si="59"/>
        <v>100000</v>
      </c>
      <c r="O73" s="44"/>
      <c r="P73" s="118">
        <f t="shared" si="56"/>
        <v>1728.633</v>
      </c>
      <c r="Q73" s="118">
        <v>10000</v>
      </c>
      <c r="R73" s="118"/>
      <c r="S73" s="118">
        <f t="shared" si="57"/>
        <v>268602.07775</v>
      </c>
      <c r="T73" s="118">
        <v>268602.07775</v>
      </c>
      <c r="U73" s="118">
        <f t="shared" si="1"/>
        <v>0</v>
      </c>
      <c r="V73" s="118"/>
      <c r="W73" s="118">
        <v>3369.51</v>
      </c>
      <c r="X73" s="118">
        <v>3369.51</v>
      </c>
      <c r="Y73" s="118">
        <f t="shared" si="2"/>
        <v>0</v>
      </c>
      <c r="Z73" s="85"/>
      <c r="AA73" s="118"/>
      <c r="AB73" s="118"/>
    </row>
    <row r="74" customHeight="1" spans="1:28">
      <c r="A74" s="49">
        <v>11</v>
      </c>
      <c r="B74" s="125" t="s">
        <v>77</v>
      </c>
      <c r="C74" s="126"/>
      <c r="D74" s="17" t="s">
        <v>64</v>
      </c>
      <c r="E74" s="49" t="s">
        <v>95</v>
      </c>
      <c r="F74" s="118">
        <f>12351.94</f>
        <v>12351.94</v>
      </c>
      <c r="G74" s="118"/>
      <c r="H74" s="118">
        <f t="shared" si="51"/>
        <v>37055.82</v>
      </c>
      <c r="I74" s="118">
        <f t="shared" si="52"/>
        <v>926.3955</v>
      </c>
      <c r="J74" s="118"/>
      <c r="K74" s="118">
        <f t="shared" si="53"/>
        <v>6175.97</v>
      </c>
      <c r="L74" s="118">
        <f t="shared" si="54"/>
        <v>43231.79</v>
      </c>
      <c r="M74" s="118">
        <f t="shared" si="55"/>
        <v>12351.94</v>
      </c>
      <c r="N74" s="44">
        <f t="shared" si="59"/>
        <v>100000</v>
      </c>
      <c r="O74" s="44"/>
      <c r="P74" s="118">
        <f t="shared" si="56"/>
        <v>1235.194</v>
      </c>
      <c r="Q74" s="118">
        <v>10000</v>
      </c>
      <c r="R74" s="118"/>
      <c r="S74" s="118">
        <f t="shared" si="57"/>
        <v>223329.0495</v>
      </c>
      <c r="T74" s="118">
        <v>223329.0495</v>
      </c>
      <c r="U74" s="118">
        <f t="shared" ref="U74:U137" si="60">S74-T74</f>
        <v>0</v>
      </c>
      <c r="V74" s="118"/>
      <c r="W74" s="118">
        <v>1484.37</v>
      </c>
      <c r="X74" s="118">
        <v>1484.37</v>
      </c>
      <c r="Y74" s="118">
        <f t="shared" ref="Y74:Y137" si="61">X74-W74</f>
        <v>0</v>
      </c>
      <c r="Z74" s="85"/>
      <c r="AA74" s="118"/>
      <c r="AB74" s="118"/>
    </row>
    <row r="75" customHeight="1" spans="1:28">
      <c r="A75" s="49">
        <v>12</v>
      </c>
      <c r="B75" s="52" t="s">
        <v>63</v>
      </c>
      <c r="C75" s="54"/>
      <c r="D75" s="17" t="s">
        <v>64</v>
      </c>
      <c r="E75" s="49" t="s">
        <v>95</v>
      </c>
      <c r="F75" s="118">
        <f>12351.94</f>
        <v>12351.94</v>
      </c>
      <c r="G75" s="118"/>
      <c r="H75" s="118">
        <f t="shared" si="51"/>
        <v>37055.82</v>
      </c>
      <c r="I75" s="118">
        <f t="shared" si="52"/>
        <v>926.3955</v>
      </c>
      <c r="J75" s="118"/>
      <c r="K75" s="118">
        <f t="shared" si="53"/>
        <v>6175.97</v>
      </c>
      <c r="L75" s="118">
        <f t="shared" si="54"/>
        <v>43231.79</v>
      </c>
      <c r="M75" s="118">
        <f t="shared" si="55"/>
        <v>12351.94</v>
      </c>
      <c r="N75" s="44">
        <f t="shared" si="59"/>
        <v>100000</v>
      </c>
      <c r="O75" s="44"/>
      <c r="P75" s="118">
        <f t="shared" si="56"/>
        <v>1235.194</v>
      </c>
      <c r="Q75" s="118">
        <v>10000</v>
      </c>
      <c r="R75" s="118"/>
      <c r="S75" s="118">
        <f t="shared" si="57"/>
        <v>223329.0495</v>
      </c>
      <c r="T75" s="118">
        <v>223329.0495</v>
      </c>
      <c r="U75" s="118">
        <f t="shared" si="60"/>
        <v>0</v>
      </c>
      <c r="V75" s="118"/>
      <c r="W75" s="118">
        <v>1484.37</v>
      </c>
      <c r="X75" s="118">
        <v>1484.37</v>
      </c>
      <c r="Y75" s="118">
        <f t="shared" si="61"/>
        <v>0</v>
      </c>
      <c r="Z75" s="85"/>
      <c r="AA75" s="118"/>
      <c r="AB75" s="118"/>
    </row>
    <row r="76" customHeight="1" spans="1:28">
      <c r="A76" s="49"/>
      <c r="B76" s="143" t="s">
        <v>96</v>
      </c>
      <c r="C76" s="144"/>
      <c r="D76" s="21">
        <v>12</v>
      </c>
      <c r="E76" s="21"/>
      <c r="F76" s="93">
        <f t="shared" ref="F76:N76" si="62">SUM(F64:F75)</f>
        <v>316528.2</v>
      </c>
      <c r="G76" s="93">
        <f t="shared" si="62"/>
        <v>0</v>
      </c>
      <c r="H76" s="93">
        <f t="shared" si="62"/>
        <v>949584.6</v>
      </c>
      <c r="I76" s="93">
        <f t="shared" si="62"/>
        <v>23739.615</v>
      </c>
      <c r="J76" s="93">
        <f t="shared" si="62"/>
        <v>120366.57</v>
      </c>
      <c r="K76" s="93">
        <f t="shared" si="62"/>
        <v>158264.1</v>
      </c>
      <c r="L76" s="93">
        <f t="shared" si="62"/>
        <v>1107848.7</v>
      </c>
      <c r="M76" s="93">
        <f t="shared" si="62"/>
        <v>316528.2</v>
      </c>
      <c r="N76" s="148">
        <f t="shared" si="62"/>
        <v>1470000</v>
      </c>
      <c r="O76" s="148"/>
      <c r="P76" s="93">
        <f>SUM(P64:P75)</f>
        <v>31652.82</v>
      </c>
      <c r="Q76" s="93">
        <f>SUM(Q64:Q75)</f>
        <v>170000</v>
      </c>
      <c r="R76" s="93">
        <f>SUM(R64:R75)</f>
        <v>0</v>
      </c>
      <c r="S76" s="93">
        <f>SUM(S64:S75)</f>
        <v>4664512.805</v>
      </c>
      <c r="T76" s="93">
        <v>4597254.64175</v>
      </c>
      <c r="U76" s="154">
        <f t="shared" si="60"/>
        <v>67258.1632499993</v>
      </c>
      <c r="V76" s="93"/>
      <c r="W76" s="93">
        <f t="shared" ref="W76" si="63">SUM(W64:W75)</f>
        <v>115610.78</v>
      </c>
      <c r="X76" s="93">
        <v>115610.78</v>
      </c>
      <c r="Y76" s="118">
        <f t="shared" si="61"/>
        <v>0</v>
      </c>
      <c r="Z76" s="93"/>
      <c r="AA76" s="93"/>
      <c r="AB76" s="93"/>
    </row>
    <row r="77" customHeight="1" spans="1:28">
      <c r="A77" s="49"/>
      <c r="B77" s="143"/>
      <c r="C77" s="144"/>
      <c r="D77" s="21"/>
      <c r="E77" s="21"/>
      <c r="F77" s="146"/>
      <c r="G77" s="146"/>
      <c r="H77" s="146"/>
      <c r="I77" s="146"/>
      <c r="J77" s="146"/>
      <c r="K77" s="146"/>
      <c r="L77" s="146"/>
      <c r="M77" s="146"/>
      <c r="N77" s="44"/>
      <c r="O77" s="44"/>
      <c r="P77" s="146"/>
      <c r="Q77" s="146"/>
      <c r="R77" s="146"/>
      <c r="S77" s="146"/>
      <c r="T77" s="146"/>
      <c r="U77" s="118">
        <f t="shared" si="60"/>
        <v>0</v>
      </c>
      <c r="V77" s="146"/>
      <c r="W77" s="146"/>
      <c r="X77" s="146"/>
      <c r="Y77" s="118">
        <f t="shared" si="61"/>
        <v>0</v>
      </c>
      <c r="Z77" s="146"/>
      <c r="AA77" s="146"/>
      <c r="AB77" s="146"/>
    </row>
    <row r="78" customHeight="1" spans="1:28">
      <c r="A78" s="49"/>
      <c r="B78" s="143" t="s">
        <v>1238</v>
      </c>
      <c r="C78" s="144"/>
      <c r="D78" s="21"/>
      <c r="E78" s="21"/>
      <c r="F78" s="146"/>
      <c r="G78" s="146"/>
      <c r="H78" s="146"/>
      <c r="I78" s="146"/>
      <c r="J78" s="146"/>
      <c r="K78" s="146"/>
      <c r="L78" s="146"/>
      <c r="M78" s="146"/>
      <c r="N78" s="44"/>
      <c r="O78" s="44"/>
      <c r="P78" s="146"/>
      <c r="Q78" s="146"/>
      <c r="R78" s="146"/>
      <c r="S78" s="146"/>
      <c r="T78" s="146"/>
      <c r="U78" s="118">
        <f t="shared" si="60"/>
        <v>0</v>
      </c>
      <c r="V78" s="146"/>
      <c r="W78" s="146"/>
      <c r="X78" s="146"/>
      <c r="Y78" s="118">
        <f t="shared" si="61"/>
        <v>0</v>
      </c>
      <c r="Z78" s="146"/>
      <c r="AA78" s="146"/>
      <c r="AB78" s="146"/>
    </row>
    <row r="79" customHeight="1" spans="1:28">
      <c r="A79" s="49">
        <v>1</v>
      </c>
      <c r="B79" s="115" t="s">
        <v>142</v>
      </c>
      <c r="C79" s="116"/>
      <c r="D79" s="43" t="s">
        <v>143</v>
      </c>
      <c r="E79" s="49" t="s">
        <v>100</v>
      </c>
      <c r="F79" s="118">
        <f>81740.02</f>
        <v>81740.02</v>
      </c>
      <c r="G79" s="118"/>
      <c r="H79" s="118">
        <f t="shared" ref="H79:H85" si="64">F79*300%</f>
        <v>245220.06</v>
      </c>
      <c r="I79" s="118">
        <f t="shared" ref="I79:I85" si="65">F79*7.5%</f>
        <v>6130.5015</v>
      </c>
      <c r="J79" s="118">
        <v>80244.38</v>
      </c>
      <c r="K79" s="118">
        <f>F79*50%</f>
        <v>40870.01</v>
      </c>
      <c r="L79" s="118">
        <f t="shared" ref="L79:L85" si="66">F79*350%</f>
        <v>286090.07</v>
      </c>
      <c r="M79" s="118">
        <f>F79*100%</f>
        <v>81740.02</v>
      </c>
      <c r="N79" s="44">
        <f>200000</f>
        <v>200000</v>
      </c>
      <c r="O79" s="44"/>
      <c r="P79" s="118">
        <f>F79*10%</f>
        <v>8174.002</v>
      </c>
      <c r="Q79" s="118">
        <v>20000</v>
      </c>
      <c r="R79" s="118">
        <v>0</v>
      </c>
      <c r="S79" s="118">
        <f>SUM(F79:R79)</f>
        <v>1050209.0635</v>
      </c>
      <c r="T79" s="118">
        <v>1050209.0635</v>
      </c>
      <c r="U79" s="118">
        <f t="shared" si="60"/>
        <v>0</v>
      </c>
      <c r="V79" s="118"/>
      <c r="W79" s="118">
        <v>52776.63</v>
      </c>
      <c r="X79" s="118">
        <v>52776.63</v>
      </c>
      <c r="Y79" s="118">
        <f t="shared" si="61"/>
        <v>0</v>
      </c>
      <c r="Z79" s="118"/>
      <c r="AA79" s="118"/>
      <c r="AB79" s="118"/>
    </row>
    <row r="80" customHeight="1" spans="1:28">
      <c r="A80" s="49">
        <v>2</v>
      </c>
      <c r="B80" s="46" t="s">
        <v>520</v>
      </c>
      <c r="D80" s="46" t="s">
        <v>572</v>
      </c>
      <c r="E80" s="119" t="s">
        <v>1021</v>
      </c>
      <c r="F80" s="118">
        <v>31018.84</v>
      </c>
      <c r="G80" s="118"/>
      <c r="H80" s="118">
        <f t="shared" si="64"/>
        <v>93056.52</v>
      </c>
      <c r="I80" s="118">
        <f t="shared" si="65"/>
        <v>2326.413</v>
      </c>
      <c r="J80" s="118">
        <v>40122.19</v>
      </c>
      <c r="K80" s="118">
        <f t="shared" ref="K80:K82" si="67">F80*50%</f>
        <v>15509.42</v>
      </c>
      <c r="L80" s="118">
        <f t="shared" si="66"/>
        <v>108565.94</v>
      </c>
      <c r="M80" s="118">
        <f t="shared" ref="M80:M82" si="68">F80*100%</f>
        <v>31018.84</v>
      </c>
      <c r="N80" s="44">
        <f>160000</f>
        <v>160000</v>
      </c>
      <c r="O80" s="44"/>
      <c r="P80" s="118">
        <f t="shared" ref="P80:P82" si="69">F80*10%</f>
        <v>3101.884</v>
      </c>
      <c r="Q80" s="118">
        <v>20000</v>
      </c>
      <c r="R80" s="153">
        <v>0</v>
      </c>
      <c r="S80" s="118">
        <f t="shared" ref="S80:S82" si="70">SUM(F80:R80)</f>
        <v>504720.047</v>
      </c>
      <c r="T80" s="118">
        <v>504720.047</v>
      </c>
      <c r="U80" s="118">
        <f t="shared" si="60"/>
        <v>0</v>
      </c>
      <c r="V80" s="118"/>
      <c r="W80" s="118">
        <f t="shared" ref="W80:W81" si="71">15548.33</f>
        <v>15548.33</v>
      </c>
      <c r="X80" s="118">
        <v>15548.33</v>
      </c>
      <c r="Y80" s="118">
        <f t="shared" si="61"/>
        <v>0</v>
      </c>
      <c r="Z80" s="118"/>
      <c r="AA80" s="118"/>
      <c r="AB80" s="118"/>
    </row>
    <row r="81" customHeight="1" spans="1:28">
      <c r="A81" s="49">
        <v>3</v>
      </c>
      <c r="B81" s="46" t="s">
        <v>1185</v>
      </c>
      <c r="D81" s="46" t="s">
        <v>1186</v>
      </c>
      <c r="E81" s="119" t="s">
        <v>1021</v>
      </c>
      <c r="F81" s="118">
        <v>31018.84</v>
      </c>
      <c r="G81" s="118"/>
      <c r="H81" s="118">
        <f t="shared" si="64"/>
        <v>93056.52</v>
      </c>
      <c r="I81" s="118">
        <f t="shared" si="65"/>
        <v>2326.413</v>
      </c>
      <c r="J81" s="118">
        <v>40122.19</v>
      </c>
      <c r="K81" s="118">
        <f t="shared" si="67"/>
        <v>15509.42</v>
      </c>
      <c r="L81" s="118">
        <f t="shared" si="66"/>
        <v>108565.94</v>
      </c>
      <c r="M81" s="118">
        <f t="shared" si="68"/>
        <v>31018.84</v>
      </c>
      <c r="N81" s="44">
        <f>160000</f>
        <v>160000</v>
      </c>
      <c r="O81" s="44"/>
      <c r="P81" s="118">
        <f t="shared" si="69"/>
        <v>3101.884</v>
      </c>
      <c r="Q81" s="118">
        <v>20000</v>
      </c>
      <c r="R81" s="153">
        <v>0</v>
      </c>
      <c r="S81" s="118">
        <f t="shared" si="70"/>
        <v>504720.047</v>
      </c>
      <c r="T81" s="118">
        <v>504720.047</v>
      </c>
      <c r="U81" s="118">
        <f t="shared" si="60"/>
        <v>0</v>
      </c>
      <c r="V81" s="118"/>
      <c r="W81" s="118">
        <f t="shared" si="71"/>
        <v>15548.33</v>
      </c>
      <c r="X81" s="118">
        <v>15548.33</v>
      </c>
      <c r="Y81" s="118">
        <f t="shared" si="61"/>
        <v>0</v>
      </c>
      <c r="Z81" s="118"/>
      <c r="AA81" s="118"/>
      <c r="AB81" s="118"/>
    </row>
    <row r="82" customHeight="1" spans="1:28">
      <c r="A82" s="49">
        <v>4</v>
      </c>
      <c r="B82" s="115" t="s">
        <v>1277</v>
      </c>
      <c r="C82" s="116"/>
      <c r="D82" s="43" t="s">
        <v>483</v>
      </c>
      <c r="E82" s="119" t="s">
        <v>1019</v>
      </c>
      <c r="F82" s="118">
        <f>24741.26</f>
        <v>24741.26</v>
      </c>
      <c r="G82" s="118"/>
      <c r="H82" s="118">
        <f t="shared" si="64"/>
        <v>74223.78</v>
      </c>
      <c r="I82" s="118">
        <f t="shared" si="65"/>
        <v>1855.5945</v>
      </c>
      <c r="J82" s="118">
        <v>0</v>
      </c>
      <c r="K82" s="118">
        <f t="shared" si="67"/>
        <v>12370.63</v>
      </c>
      <c r="L82" s="118">
        <f t="shared" si="66"/>
        <v>86594.41</v>
      </c>
      <c r="M82" s="118">
        <f t="shared" si="68"/>
        <v>24741.26</v>
      </c>
      <c r="N82" s="44">
        <f>120000</f>
        <v>120000</v>
      </c>
      <c r="O82" s="44"/>
      <c r="P82" s="118">
        <f t="shared" si="69"/>
        <v>2474.126</v>
      </c>
      <c r="Q82" s="118">
        <v>15000</v>
      </c>
      <c r="R82" s="118">
        <v>0</v>
      </c>
      <c r="S82" s="118">
        <f t="shared" si="70"/>
        <v>362001.0605</v>
      </c>
      <c r="T82" s="118">
        <v>354201.026</v>
      </c>
      <c r="U82" s="118">
        <f t="shared" si="60"/>
        <v>7800.03449999995</v>
      </c>
      <c r="V82" s="118"/>
      <c r="W82" s="118">
        <f>7709.76</f>
        <v>7709.76</v>
      </c>
      <c r="X82" s="118">
        <v>7709.76</v>
      </c>
      <c r="Y82" s="118">
        <f t="shared" si="61"/>
        <v>0</v>
      </c>
      <c r="Z82" s="118"/>
      <c r="AA82" s="118"/>
      <c r="AB82" s="118"/>
    </row>
    <row r="83" customHeight="1" spans="1:28">
      <c r="A83" s="49">
        <v>5</v>
      </c>
      <c r="B83" s="115" t="s">
        <v>149</v>
      </c>
      <c r="C83" s="116"/>
      <c r="D83" s="43" t="s">
        <v>152</v>
      </c>
      <c r="E83" s="49" t="s">
        <v>70</v>
      </c>
      <c r="F83" s="118">
        <f t="shared" ref="F83" si="72">17286.33</f>
        <v>17286.33</v>
      </c>
      <c r="G83" s="118"/>
      <c r="H83" s="118">
        <f t="shared" si="64"/>
        <v>51858.99</v>
      </c>
      <c r="I83" s="118">
        <f t="shared" si="65"/>
        <v>1296.47475</v>
      </c>
      <c r="J83" s="118"/>
      <c r="K83" s="118">
        <f t="shared" ref="K83:K85" si="73">F83*50%</f>
        <v>8643.165</v>
      </c>
      <c r="L83" s="118">
        <f t="shared" si="66"/>
        <v>60502.155</v>
      </c>
      <c r="M83" s="118">
        <f t="shared" ref="M83:M85" si="74">F83*100%</f>
        <v>17286.33</v>
      </c>
      <c r="N83" s="44">
        <f>100000</f>
        <v>100000</v>
      </c>
      <c r="O83" s="44"/>
      <c r="P83" s="118">
        <f t="shared" ref="P83:P85" si="75">F83*10%</f>
        <v>1728.633</v>
      </c>
      <c r="Q83" s="118">
        <v>10000</v>
      </c>
      <c r="R83" s="118"/>
      <c r="S83" s="118">
        <f t="shared" ref="S83:S85" si="76">SUM(F83:R83)</f>
        <v>268602.07775</v>
      </c>
      <c r="T83" s="118">
        <v>268602.07775</v>
      </c>
      <c r="U83" s="118">
        <f t="shared" si="60"/>
        <v>0</v>
      </c>
      <c r="V83" s="118"/>
      <c r="W83" s="118">
        <v>3369.51</v>
      </c>
      <c r="X83" s="118">
        <v>3369.51</v>
      </c>
      <c r="Y83" s="118">
        <f t="shared" si="61"/>
        <v>0</v>
      </c>
      <c r="Z83" s="118"/>
      <c r="AA83" s="118"/>
      <c r="AB83" s="118"/>
    </row>
    <row r="84" customHeight="1" spans="1:28">
      <c r="A84" s="49">
        <v>6</v>
      </c>
      <c r="B84" s="115" t="s">
        <v>81</v>
      </c>
      <c r="C84" s="116"/>
      <c r="D84" s="43" t="s">
        <v>1091</v>
      </c>
      <c r="E84" s="49" t="s">
        <v>171</v>
      </c>
      <c r="F84" s="118">
        <f>13112.16</f>
        <v>13112.16</v>
      </c>
      <c r="G84" s="118"/>
      <c r="H84" s="118">
        <f t="shared" si="64"/>
        <v>39336.48</v>
      </c>
      <c r="I84" s="118">
        <f t="shared" si="65"/>
        <v>983.412</v>
      </c>
      <c r="J84" s="118"/>
      <c r="K84" s="118">
        <f t="shared" si="73"/>
        <v>6556.08</v>
      </c>
      <c r="L84" s="118">
        <f t="shared" si="66"/>
        <v>45892.56</v>
      </c>
      <c r="M84" s="118">
        <f t="shared" si="74"/>
        <v>13112.16</v>
      </c>
      <c r="N84" s="44">
        <f t="shared" ref="N84:N85" si="77">100000</f>
        <v>100000</v>
      </c>
      <c r="O84" s="44"/>
      <c r="P84" s="118">
        <f t="shared" si="75"/>
        <v>1311.216</v>
      </c>
      <c r="Q84" s="118">
        <v>10000</v>
      </c>
      <c r="R84" s="118"/>
      <c r="S84" s="118">
        <f t="shared" si="76"/>
        <v>230304.068</v>
      </c>
      <c r="T84" s="118">
        <v>226816.1</v>
      </c>
      <c r="U84" s="118">
        <f t="shared" si="60"/>
        <v>3487.96799999999</v>
      </c>
      <c r="V84" s="118"/>
      <c r="W84" s="118">
        <v>1484.37</v>
      </c>
      <c r="X84" s="118">
        <v>1484.37</v>
      </c>
      <c r="Y84" s="118">
        <f t="shared" si="61"/>
        <v>0</v>
      </c>
      <c r="Z84" s="118"/>
      <c r="AA84" s="118"/>
      <c r="AB84" s="118"/>
    </row>
    <row r="85" customHeight="1" spans="1:28">
      <c r="A85" s="49">
        <v>7</v>
      </c>
      <c r="B85" s="115" t="s">
        <v>88</v>
      </c>
      <c r="C85" s="116"/>
      <c r="D85" s="43" t="s">
        <v>1200</v>
      </c>
      <c r="E85" s="49" t="s">
        <v>95</v>
      </c>
      <c r="F85" s="118">
        <f>12351.94</f>
        <v>12351.94</v>
      </c>
      <c r="G85" s="118"/>
      <c r="H85" s="118">
        <f t="shared" si="64"/>
        <v>37055.82</v>
      </c>
      <c r="I85" s="118">
        <f t="shared" si="65"/>
        <v>926.3955</v>
      </c>
      <c r="J85" s="118"/>
      <c r="K85" s="118">
        <f t="shared" si="73"/>
        <v>6175.97</v>
      </c>
      <c r="L85" s="118">
        <f t="shared" si="66"/>
        <v>43231.79</v>
      </c>
      <c r="M85" s="118">
        <f t="shared" si="74"/>
        <v>12351.94</v>
      </c>
      <c r="N85" s="44">
        <f t="shared" si="77"/>
        <v>100000</v>
      </c>
      <c r="O85" s="44"/>
      <c r="P85" s="118">
        <f t="shared" si="75"/>
        <v>1235.194</v>
      </c>
      <c r="Q85" s="118">
        <v>10000</v>
      </c>
      <c r="R85" s="118"/>
      <c r="S85" s="118">
        <f t="shared" si="76"/>
        <v>223329.0495</v>
      </c>
      <c r="T85" s="118">
        <v>223329.0495</v>
      </c>
      <c r="U85" s="118">
        <f t="shared" si="60"/>
        <v>0</v>
      </c>
      <c r="V85" s="118"/>
      <c r="W85" s="118">
        <v>1484.37</v>
      </c>
      <c r="X85" s="118">
        <v>1484.37</v>
      </c>
      <c r="Y85" s="118">
        <f t="shared" si="61"/>
        <v>0</v>
      </c>
      <c r="Z85" s="118"/>
      <c r="AA85" s="118"/>
      <c r="AB85" s="118"/>
    </row>
    <row r="86" customHeight="1" spans="1:28">
      <c r="A86" s="49"/>
      <c r="B86" s="143" t="s">
        <v>96</v>
      </c>
      <c r="C86" s="144"/>
      <c r="D86" s="21">
        <v>7</v>
      </c>
      <c r="E86" s="21"/>
      <c r="F86" s="93">
        <f>SUM(F79:F85)</f>
        <v>211269.39</v>
      </c>
      <c r="G86" s="93"/>
      <c r="H86" s="93">
        <f t="shared" ref="H86:N86" si="78">SUM(H79:H85)</f>
        <v>633808.17</v>
      </c>
      <c r="I86" s="93">
        <f t="shared" si="78"/>
        <v>15845.20425</v>
      </c>
      <c r="J86" s="93">
        <f t="shared" si="78"/>
        <v>160488.76</v>
      </c>
      <c r="K86" s="93">
        <f t="shared" si="78"/>
        <v>105634.695</v>
      </c>
      <c r="L86" s="93">
        <f t="shared" si="78"/>
        <v>739442.865</v>
      </c>
      <c r="M86" s="93">
        <f t="shared" si="78"/>
        <v>211269.39</v>
      </c>
      <c r="N86" s="148">
        <f t="shared" si="78"/>
        <v>940000</v>
      </c>
      <c r="O86" s="148"/>
      <c r="P86" s="93">
        <f>SUM(P79:P85)</f>
        <v>21126.939</v>
      </c>
      <c r="Q86" s="93">
        <f>SUM(Q79:Q85)</f>
        <v>105000</v>
      </c>
      <c r="R86" s="93">
        <f>SUM(R79:R85)</f>
        <v>0</v>
      </c>
      <c r="S86" s="93">
        <f>SUM(S79:S85)</f>
        <v>3143885.41325</v>
      </c>
      <c r="T86" s="93">
        <v>3132597.41075</v>
      </c>
      <c r="U86" s="154">
        <f t="shared" si="60"/>
        <v>11288.0025000009</v>
      </c>
      <c r="V86" s="93"/>
      <c r="W86" s="93">
        <f>SUM(W79:W85)</f>
        <v>97921.3</v>
      </c>
      <c r="X86" s="93">
        <v>97921.3</v>
      </c>
      <c r="Y86" s="118">
        <f t="shared" si="61"/>
        <v>0</v>
      </c>
      <c r="Z86" s="93"/>
      <c r="AA86" s="93"/>
      <c r="AB86" s="93"/>
    </row>
    <row r="87" customHeight="1" spans="1:28">
      <c r="A87" s="49"/>
      <c r="B87" s="157"/>
      <c r="C87" s="158"/>
      <c r="D87" s="68"/>
      <c r="E87" s="68"/>
      <c r="F87" s="153"/>
      <c r="G87" s="153"/>
      <c r="H87" s="153"/>
      <c r="I87" s="153"/>
      <c r="J87" s="153"/>
      <c r="K87" s="153"/>
      <c r="L87" s="153"/>
      <c r="M87" s="153"/>
      <c r="N87" s="44"/>
      <c r="O87" s="44"/>
      <c r="P87" s="153"/>
      <c r="Q87" s="153"/>
      <c r="R87" s="153"/>
      <c r="S87" s="153"/>
      <c r="T87" s="153"/>
      <c r="U87" s="118">
        <f t="shared" si="60"/>
        <v>0</v>
      </c>
      <c r="V87" s="153"/>
      <c r="W87" s="153"/>
      <c r="X87" s="153"/>
      <c r="Y87" s="118">
        <f t="shared" si="61"/>
        <v>0</v>
      </c>
      <c r="Z87" s="118"/>
      <c r="AA87" s="118"/>
      <c r="AB87" s="118"/>
    </row>
    <row r="88" customHeight="1" spans="1:28">
      <c r="A88" s="49"/>
      <c r="B88" s="159" t="s">
        <v>1239</v>
      </c>
      <c r="C88" s="160"/>
      <c r="D88" s="161"/>
      <c r="E88" s="68"/>
      <c r="F88" s="153"/>
      <c r="G88" s="153"/>
      <c r="H88" s="153"/>
      <c r="I88" s="153"/>
      <c r="J88" s="153"/>
      <c r="K88" s="153"/>
      <c r="L88" s="153"/>
      <c r="M88" s="153"/>
      <c r="N88" s="44"/>
      <c r="O88" s="44"/>
      <c r="P88" s="153"/>
      <c r="Q88" s="153"/>
      <c r="R88" s="153"/>
      <c r="S88" s="153"/>
      <c r="T88" s="153"/>
      <c r="U88" s="118">
        <f t="shared" si="60"/>
        <v>0</v>
      </c>
      <c r="V88" s="153"/>
      <c r="W88" s="153"/>
      <c r="X88" s="153"/>
      <c r="Y88" s="118">
        <f t="shared" si="61"/>
        <v>0</v>
      </c>
      <c r="Z88" s="118"/>
      <c r="AA88" s="118"/>
      <c r="AB88" s="118"/>
    </row>
    <row r="89" customHeight="1" spans="1:28">
      <c r="A89" s="49">
        <v>1</v>
      </c>
      <c r="B89" s="115" t="s">
        <v>1240</v>
      </c>
      <c r="C89" s="116"/>
      <c r="D89" s="43" t="s">
        <v>1203</v>
      </c>
      <c r="E89" s="49" t="s">
        <v>110</v>
      </c>
      <c r="F89" s="118">
        <f>41157.69</f>
        <v>41157.69</v>
      </c>
      <c r="G89" s="118"/>
      <c r="H89" s="118">
        <f t="shared" ref="H89:H98" si="79">F89*300%</f>
        <v>123473.07</v>
      </c>
      <c r="I89" s="118">
        <f t="shared" ref="I89:I98" si="80">F89*7.5%</f>
        <v>3086.82675</v>
      </c>
      <c r="J89" s="118">
        <v>40122.19</v>
      </c>
      <c r="K89" s="118">
        <f t="shared" ref="K89:K98" si="81">F89*50%</f>
        <v>20578.845</v>
      </c>
      <c r="L89" s="118">
        <f t="shared" ref="L89:L98" si="82">F89*350%</f>
        <v>144051.915</v>
      </c>
      <c r="M89" s="118">
        <f t="shared" ref="M89:M98" si="83">F89*100%</f>
        <v>41157.69</v>
      </c>
      <c r="N89" s="44">
        <f>180000</f>
        <v>180000</v>
      </c>
      <c r="O89" s="44"/>
      <c r="P89" s="118">
        <f t="shared" ref="P89:P98" si="84">F89*10%</f>
        <v>4115.769</v>
      </c>
      <c r="Q89" s="118">
        <v>20000</v>
      </c>
      <c r="R89" s="118"/>
      <c r="S89" s="118">
        <f t="shared" ref="S89:S98" si="85">SUM(F89:R89)</f>
        <v>617743.99575</v>
      </c>
      <c r="T89" s="118">
        <v>604023.33375</v>
      </c>
      <c r="U89" s="118">
        <f t="shared" si="60"/>
        <v>13720.662</v>
      </c>
      <c r="V89" s="118"/>
      <c r="W89" s="118">
        <f>21618.09</f>
        <v>21618.09</v>
      </c>
      <c r="X89" s="118">
        <v>21618.09</v>
      </c>
      <c r="Y89" s="118">
        <f t="shared" si="61"/>
        <v>0</v>
      </c>
      <c r="Z89" s="118"/>
      <c r="AA89" s="118"/>
      <c r="AB89" s="118"/>
    </row>
    <row r="90" customHeight="1" spans="1:28">
      <c r="A90" s="49">
        <v>2</v>
      </c>
      <c r="B90" s="115" t="s">
        <v>156</v>
      </c>
      <c r="C90" s="116"/>
      <c r="D90" s="43" t="s">
        <v>112</v>
      </c>
      <c r="E90" s="49" t="s">
        <v>36</v>
      </c>
      <c r="F90" s="118">
        <f>33507.5</f>
        <v>33507.5</v>
      </c>
      <c r="G90" s="118"/>
      <c r="H90" s="118">
        <f t="shared" si="79"/>
        <v>100522.5</v>
      </c>
      <c r="I90" s="118">
        <f t="shared" si="80"/>
        <v>2513.0625</v>
      </c>
      <c r="J90" s="118">
        <f>40122.19</f>
        <v>40122.19</v>
      </c>
      <c r="K90" s="118">
        <f t="shared" si="81"/>
        <v>16753.75</v>
      </c>
      <c r="L90" s="118">
        <f t="shared" si="82"/>
        <v>117276.25</v>
      </c>
      <c r="M90" s="118">
        <f t="shared" si="83"/>
        <v>33507.5</v>
      </c>
      <c r="N90" s="44">
        <f>160000</f>
        <v>160000</v>
      </c>
      <c r="O90" s="44"/>
      <c r="P90" s="118">
        <f t="shared" si="84"/>
        <v>3350.75</v>
      </c>
      <c r="Q90" s="118">
        <v>20000</v>
      </c>
      <c r="R90" s="118"/>
      <c r="S90" s="118">
        <f t="shared" si="85"/>
        <v>527553.5025</v>
      </c>
      <c r="T90" s="118">
        <v>516137.05</v>
      </c>
      <c r="U90" s="118">
        <f t="shared" si="60"/>
        <v>11416.4525</v>
      </c>
      <c r="V90" s="118"/>
      <c r="W90" s="118">
        <f>15548.33</f>
        <v>15548.33</v>
      </c>
      <c r="X90" s="118">
        <v>15548.33</v>
      </c>
      <c r="Y90" s="118">
        <f t="shared" si="61"/>
        <v>0</v>
      </c>
      <c r="Z90" s="118"/>
      <c r="AA90" s="118"/>
      <c r="AB90" s="118"/>
    </row>
    <row r="91" customHeight="1" spans="1:28">
      <c r="A91" s="49">
        <v>3</v>
      </c>
      <c r="B91" s="115" t="s">
        <v>157</v>
      </c>
      <c r="C91" s="116"/>
      <c r="D91" s="43" t="s">
        <v>112</v>
      </c>
      <c r="E91" s="49" t="s">
        <v>36</v>
      </c>
      <c r="F91" s="118">
        <f>33507.5</f>
        <v>33507.5</v>
      </c>
      <c r="G91" s="118"/>
      <c r="H91" s="118">
        <f t="shared" si="79"/>
        <v>100522.5</v>
      </c>
      <c r="I91" s="118">
        <f t="shared" si="80"/>
        <v>2513.0625</v>
      </c>
      <c r="J91" s="118">
        <f>40122.19</f>
        <v>40122.19</v>
      </c>
      <c r="K91" s="118">
        <f t="shared" si="81"/>
        <v>16753.75</v>
      </c>
      <c r="L91" s="118">
        <f t="shared" si="82"/>
        <v>117276.25</v>
      </c>
      <c r="M91" s="118">
        <f t="shared" si="83"/>
        <v>33507.5</v>
      </c>
      <c r="N91" s="44">
        <f>160000</f>
        <v>160000</v>
      </c>
      <c r="O91" s="44"/>
      <c r="P91" s="118">
        <f t="shared" si="84"/>
        <v>3350.75</v>
      </c>
      <c r="Q91" s="118">
        <v>20000</v>
      </c>
      <c r="R91" s="118"/>
      <c r="S91" s="118">
        <f t="shared" si="85"/>
        <v>527553.5025</v>
      </c>
      <c r="T91" s="118">
        <v>516137.05</v>
      </c>
      <c r="U91" s="118">
        <f t="shared" si="60"/>
        <v>11416.4525</v>
      </c>
      <c r="V91" s="118"/>
      <c r="W91" s="118">
        <f>15548.33</f>
        <v>15548.33</v>
      </c>
      <c r="X91" s="118">
        <v>15548.33</v>
      </c>
      <c r="Y91" s="118">
        <f t="shared" si="61"/>
        <v>0</v>
      </c>
      <c r="Z91" s="118"/>
      <c r="AA91" s="118"/>
      <c r="AB91" s="118"/>
    </row>
    <row r="92" customHeight="1" spans="1:28">
      <c r="A92" s="49">
        <v>4</v>
      </c>
      <c r="B92" s="115" t="s">
        <v>1278</v>
      </c>
      <c r="C92" s="116"/>
      <c r="D92" s="43" t="s">
        <v>46</v>
      </c>
      <c r="E92" s="49" t="s">
        <v>148</v>
      </c>
      <c r="F92" s="118">
        <f>26732.65</f>
        <v>26732.65</v>
      </c>
      <c r="G92" s="118"/>
      <c r="H92" s="118">
        <f t="shared" si="79"/>
        <v>80197.95</v>
      </c>
      <c r="I92" s="118">
        <f t="shared" si="80"/>
        <v>2004.94875</v>
      </c>
      <c r="J92" s="118">
        <v>0</v>
      </c>
      <c r="K92" s="118">
        <f t="shared" si="81"/>
        <v>13366.325</v>
      </c>
      <c r="L92" s="118">
        <f t="shared" si="82"/>
        <v>93564.275</v>
      </c>
      <c r="M92" s="118">
        <f t="shared" si="83"/>
        <v>26732.65</v>
      </c>
      <c r="N92" s="44">
        <v>140000</v>
      </c>
      <c r="O92" s="44"/>
      <c r="P92" s="118">
        <f t="shared" si="84"/>
        <v>2673.265</v>
      </c>
      <c r="Q92" s="118">
        <v>20000</v>
      </c>
      <c r="R92" s="118">
        <v>0</v>
      </c>
      <c r="S92" s="118">
        <f t="shared" si="85"/>
        <v>405272.06375</v>
      </c>
      <c r="T92" s="118">
        <v>397211.3675</v>
      </c>
      <c r="U92" s="118">
        <f t="shared" si="60"/>
        <v>8060.69624999998</v>
      </c>
      <c r="V92" s="118"/>
      <c r="W92" s="118">
        <f t="shared" si="17"/>
        <v>7709.76</v>
      </c>
      <c r="X92" s="118">
        <v>7709.76</v>
      </c>
      <c r="Y92" s="118">
        <f t="shared" si="61"/>
        <v>0</v>
      </c>
      <c r="Z92" s="118"/>
      <c r="AA92" s="118"/>
      <c r="AB92" s="118"/>
    </row>
    <row r="93" customHeight="1" spans="1:28">
      <c r="A93" s="49">
        <v>5</v>
      </c>
      <c r="B93" s="52" t="s">
        <v>201</v>
      </c>
      <c r="C93" s="54"/>
      <c r="D93" s="43" t="s">
        <v>133</v>
      </c>
      <c r="E93" s="49" t="s">
        <v>222</v>
      </c>
      <c r="F93" s="118">
        <f>27611.23</f>
        <v>27611.23</v>
      </c>
      <c r="G93" s="118"/>
      <c r="H93" s="118">
        <f t="shared" si="79"/>
        <v>82833.69</v>
      </c>
      <c r="I93" s="118">
        <f t="shared" si="80"/>
        <v>2070.84225</v>
      </c>
      <c r="J93" s="118"/>
      <c r="K93" s="118">
        <f t="shared" si="81"/>
        <v>13805.615</v>
      </c>
      <c r="L93" s="118">
        <f t="shared" si="82"/>
        <v>96639.305</v>
      </c>
      <c r="M93" s="118">
        <f t="shared" si="83"/>
        <v>27611.23</v>
      </c>
      <c r="N93" s="44">
        <v>140000</v>
      </c>
      <c r="O93" s="44"/>
      <c r="P93" s="118">
        <f t="shared" si="84"/>
        <v>2761.123</v>
      </c>
      <c r="Q93" s="118">
        <v>20000</v>
      </c>
      <c r="R93" s="118">
        <v>0</v>
      </c>
      <c r="S93" s="85">
        <f t="shared" si="85"/>
        <v>413333.03525</v>
      </c>
      <c r="T93" s="85">
        <v>405272.06375</v>
      </c>
      <c r="U93" s="118">
        <f t="shared" si="60"/>
        <v>8060.9715000001</v>
      </c>
      <c r="V93" s="118"/>
      <c r="W93" s="118">
        <f t="shared" si="17"/>
        <v>7709.76</v>
      </c>
      <c r="X93" s="118">
        <v>7709.76</v>
      </c>
      <c r="Y93" s="118">
        <f t="shared" si="61"/>
        <v>0</v>
      </c>
      <c r="Z93" s="118"/>
      <c r="AA93" s="85"/>
      <c r="AB93" s="85"/>
    </row>
    <row r="94" customHeight="1" spans="1:28">
      <c r="A94" s="49">
        <v>6</v>
      </c>
      <c r="B94" s="125" t="s">
        <v>158</v>
      </c>
      <c r="C94" s="126"/>
      <c r="D94" s="43" t="s">
        <v>46</v>
      </c>
      <c r="E94" s="49" t="s">
        <v>148</v>
      </c>
      <c r="F94" s="85">
        <f>26732.65</f>
        <v>26732.65</v>
      </c>
      <c r="G94" s="118"/>
      <c r="H94" s="85">
        <f t="shared" si="79"/>
        <v>80197.95</v>
      </c>
      <c r="I94" s="85">
        <f t="shared" si="80"/>
        <v>2004.94875</v>
      </c>
      <c r="J94" s="85"/>
      <c r="K94" s="85">
        <f t="shared" si="81"/>
        <v>13366.325</v>
      </c>
      <c r="L94" s="85">
        <f t="shared" si="82"/>
        <v>93564.275</v>
      </c>
      <c r="M94" s="85">
        <f t="shared" si="83"/>
        <v>26732.65</v>
      </c>
      <c r="N94" s="44">
        <v>140000</v>
      </c>
      <c r="O94" s="44"/>
      <c r="P94" s="85">
        <f t="shared" si="84"/>
        <v>2673.265</v>
      </c>
      <c r="Q94" s="85">
        <v>20000</v>
      </c>
      <c r="R94" s="85"/>
      <c r="S94" s="118">
        <f t="shared" si="85"/>
        <v>405272.06375</v>
      </c>
      <c r="T94" s="118">
        <v>397211.3675</v>
      </c>
      <c r="U94" s="118">
        <f t="shared" si="60"/>
        <v>8060.69624999998</v>
      </c>
      <c r="V94" s="85"/>
      <c r="W94" s="118">
        <f t="shared" si="17"/>
        <v>7709.76</v>
      </c>
      <c r="X94" s="85">
        <v>7709.76</v>
      </c>
      <c r="Y94" s="118">
        <f t="shared" si="61"/>
        <v>0</v>
      </c>
      <c r="Z94" s="118"/>
      <c r="AA94" s="118"/>
      <c r="AB94" s="118"/>
    </row>
    <row r="95" customHeight="1" spans="1:28">
      <c r="A95" s="49">
        <v>7</v>
      </c>
      <c r="B95" s="115" t="s">
        <v>1279</v>
      </c>
      <c r="C95" s="116"/>
      <c r="D95" s="117" t="s">
        <v>133</v>
      </c>
      <c r="E95" s="119" t="s">
        <v>47</v>
      </c>
      <c r="F95" s="118">
        <f>25854.1</f>
        <v>25854.1</v>
      </c>
      <c r="G95" s="118"/>
      <c r="H95" s="118">
        <f t="shared" si="79"/>
        <v>77562.3</v>
      </c>
      <c r="I95" s="118">
        <f t="shared" si="80"/>
        <v>1939.0575</v>
      </c>
      <c r="J95" s="118">
        <v>0</v>
      </c>
      <c r="K95" s="118">
        <f t="shared" si="81"/>
        <v>12927.05</v>
      </c>
      <c r="L95" s="118">
        <f t="shared" si="82"/>
        <v>90489.35</v>
      </c>
      <c r="M95" s="118">
        <f t="shared" si="83"/>
        <v>25854.1</v>
      </c>
      <c r="N95" s="44">
        <v>140000</v>
      </c>
      <c r="O95" s="44"/>
      <c r="P95" s="118">
        <f t="shared" si="84"/>
        <v>2585.41</v>
      </c>
      <c r="Q95" s="118">
        <v>20000</v>
      </c>
      <c r="R95" s="839" t="s">
        <v>1280</v>
      </c>
      <c r="S95" s="118">
        <f t="shared" si="85"/>
        <v>397211.3675</v>
      </c>
      <c r="T95" s="118">
        <v>389153.05675</v>
      </c>
      <c r="U95" s="118">
        <f t="shared" si="60"/>
        <v>8058.31075</v>
      </c>
      <c r="V95" s="118"/>
      <c r="W95" s="118">
        <f t="shared" si="18"/>
        <v>7709.76</v>
      </c>
      <c r="X95" s="118">
        <v>7709.76</v>
      </c>
      <c r="Y95" s="118">
        <f t="shared" si="61"/>
        <v>0</v>
      </c>
      <c r="Z95" s="118"/>
      <c r="AA95" s="118"/>
      <c r="AB95" s="118"/>
    </row>
    <row r="96" ht="21.6" customHeight="1" spans="1:28">
      <c r="A96" s="49">
        <v>8</v>
      </c>
      <c r="B96" s="117" t="s">
        <v>159</v>
      </c>
      <c r="C96" s="117"/>
      <c r="D96" s="43" t="s">
        <v>483</v>
      </c>
      <c r="E96" s="119" t="s">
        <v>1019</v>
      </c>
      <c r="F96" s="118">
        <f>24741.26</f>
        <v>24741.26</v>
      </c>
      <c r="G96" s="118"/>
      <c r="H96" s="118">
        <f t="shared" si="79"/>
        <v>74223.78</v>
      </c>
      <c r="I96" s="118">
        <f t="shared" si="80"/>
        <v>1855.5945</v>
      </c>
      <c r="J96" s="118">
        <v>0</v>
      </c>
      <c r="K96" s="118">
        <f t="shared" si="81"/>
        <v>12370.63</v>
      </c>
      <c r="L96" s="118">
        <f t="shared" si="82"/>
        <v>86594.41</v>
      </c>
      <c r="M96" s="118">
        <f t="shared" si="83"/>
        <v>24741.26</v>
      </c>
      <c r="N96" s="44">
        <f>120000</f>
        <v>120000</v>
      </c>
      <c r="O96" s="44"/>
      <c r="P96" s="118">
        <f t="shared" si="84"/>
        <v>2474.126</v>
      </c>
      <c r="Q96" s="118">
        <v>15000</v>
      </c>
      <c r="R96" s="118">
        <v>0</v>
      </c>
      <c r="S96" s="118">
        <f t="shared" si="85"/>
        <v>362001.0605</v>
      </c>
      <c r="T96" s="118">
        <v>354201.026</v>
      </c>
      <c r="U96" s="118">
        <f t="shared" si="60"/>
        <v>7800.03449999995</v>
      </c>
      <c r="V96" s="118"/>
      <c r="W96" s="118">
        <f t="shared" si="18"/>
        <v>7709.76</v>
      </c>
      <c r="X96" s="118">
        <v>7709.76</v>
      </c>
      <c r="Y96" s="118">
        <f t="shared" si="61"/>
        <v>0</v>
      </c>
      <c r="Z96" s="118"/>
      <c r="AA96" s="118"/>
      <c r="AB96" s="118"/>
    </row>
    <row r="97" ht="21.6" customHeight="1" spans="1:28">
      <c r="A97" s="49">
        <v>9</v>
      </c>
      <c r="B97" s="115" t="s">
        <v>160</v>
      </c>
      <c r="C97" s="116"/>
      <c r="D97" s="117" t="s">
        <v>165</v>
      </c>
      <c r="E97" s="119" t="s">
        <v>1231</v>
      </c>
      <c r="F97" s="118">
        <f>23891.12</f>
        <v>23891.12</v>
      </c>
      <c r="G97" s="118"/>
      <c r="H97" s="118">
        <f t="shared" si="79"/>
        <v>71673.36</v>
      </c>
      <c r="I97" s="118">
        <f t="shared" si="80"/>
        <v>1791.834</v>
      </c>
      <c r="J97" s="118">
        <v>0</v>
      </c>
      <c r="K97" s="118">
        <f t="shared" si="81"/>
        <v>11945.56</v>
      </c>
      <c r="L97" s="118">
        <f t="shared" si="82"/>
        <v>83618.92</v>
      </c>
      <c r="M97" s="118">
        <f t="shared" si="83"/>
        <v>23891.12</v>
      </c>
      <c r="N97" s="44">
        <f t="shared" ref="N97:N98" si="86">120000</f>
        <v>120000</v>
      </c>
      <c r="O97" s="44"/>
      <c r="P97" s="118">
        <f t="shared" si="84"/>
        <v>2389.112</v>
      </c>
      <c r="Q97" s="118">
        <v>15000</v>
      </c>
      <c r="R97" s="118">
        <v>0</v>
      </c>
      <c r="S97" s="118">
        <f t="shared" si="85"/>
        <v>354201.026</v>
      </c>
      <c r="T97" s="118">
        <v>346713.03325</v>
      </c>
      <c r="U97" s="118">
        <f t="shared" si="60"/>
        <v>7487.99275000003</v>
      </c>
      <c r="V97" s="118"/>
      <c r="W97" s="118">
        <f t="shared" si="18"/>
        <v>7709.76</v>
      </c>
      <c r="X97" s="118">
        <v>7709.76</v>
      </c>
      <c r="Y97" s="118">
        <f t="shared" si="61"/>
        <v>0</v>
      </c>
      <c r="Z97" s="118"/>
      <c r="AA97" s="118"/>
      <c r="AB97" s="118"/>
    </row>
    <row r="98" ht="21.6" customHeight="1" spans="1:28">
      <c r="A98" s="49">
        <v>10</v>
      </c>
      <c r="B98" s="115" t="s">
        <v>161</v>
      </c>
      <c r="C98" s="116"/>
      <c r="D98" s="117" t="s">
        <v>165</v>
      </c>
      <c r="E98" s="119" t="s">
        <v>1231</v>
      </c>
      <c r="F98" s="118">
        <f>23891.12</f>
        <v>23891.12</v>
      </c>
      <c r="G98" s="118"/>
      <c r="H98" s="118">
        <f t="shared" si="79"/>
        <v>71673.36</v>
      </c>
      <c r="I98" s="118">
        <f t="shared" si="80"/>
        <v>1791.834</v>
      </c>
      <c r="J98" s="118">
        <v>0</v>
      </c>
      <c r="K98" s="118">
        <f t="shared" si="81"/>
        <v>11945.56</v>
      </c>
      <c r="L98" s="118">
        <f t="shared" si="82"/>
        <v>83618.92</v>
      </c>
      <c r="M98" s="118">
        <f t="shared" si="83"/>
        <v>23891.12</v>
      </c>
      <c r="N98" s="44">
        <f t="shared" si="86"/>
        <v>120000</v>
      </c>
      <c r="O98" s="44"/>
      <c r="P98" s="118">
        <f t="shared" si="84"/>
        <v>2389.112</v>
      </c>
      <c r="Q98" s="118">
        <v>15000</v>
      </c>
      <c r="R98" s="118">
        <v>0</v>
      </c>
      <c r="S98" s="118">
        <f t="shared" si="85"/>
        <v>354201.026</v>
      </c>
      <c r="T98" s="118">
        <v>346713.03325</v>
      </c>
      <c r="U98" s="118">
        <f t="shared" si="60"/>
        <v>7487.99275000003</v>
      </c>
      <c r="V98" s="118"/>
      <c r="W98" s="118">
        <f t="shared" si="18"/>
        <v>7709.76</v>
      </c>
      <c r="X98" s="118">
        <v>7709.76</v>
      </c>
      <c r="Y98" s="118">
        <f t="shared" si="61"/>
        <v>0</v>
      </c>
      <c r="Z98" s="118"/>
      <c r="AA98" s="118"/>
      <c r="AB98" s="118"/>
    </row>
    <row r="99" customHeight="1" spans="1:28">
      <c r="A99" s="49"/>
      <c r="B99" s="129" t="s">
        <v>96</v>
      </c>
      <c r="C99" s="129"/>
      <c r="D99" s="68">
        <v>10</v>
      </c>
      <c r="E99" s="68"/>
      <c r="F99" s="154">
        <f>SUM(F89:F98)</f>
        <v>287626.82</v>
      </c>
      <c r="G99" s="154"/>
      <c r="H99" s="154">
        <f t="shared" ref="H99:N99" si="87">SUM(H89:H98)</f>
        <v>862880.46</v>
      </c>
      <c r="I99" s="154">
        <f t="shared" si="87"/>
        <v>21572.0115</v>
      </c>
      <c r="J99" s="154">
        <f t="shared" si="87"/>
        <v>120366.57</v>
      </c>
      <c r="K99" s="154">
        <f t="shared" si="87"/>
        <v>143813.41</v>
      </c>
      <c r="L99" s="154">
        <f t="shared" si="87"/>
        <v>1006693.87</v>
      </c>
      <c r="M99" s="154">
        <f t="shared" si="87"/>
        <v>287626.82</v>
      </c>
      <c r="N99" s="148">
        <f t="shared" si="87"/>
        <v>1420000</v>
      </c>
      <c r="O99" s="148"/>
      <c r="P99" s="154">
        <f>SUM(P89:P98)</f>
        <v>28762.682</v>
      </c>
      <c r="Q99" s="154">
        <f>SUM(Q89:Q98)</f>
        <v>185000</v>
      </c>
      <c r="R99" s="154">
        <f>SUM(R89:R98)</f>
        <v>0</v>
      </c>
      <c r="S99" s="154">
        <f>SUM(S89:S98)</f>
        <v>4364342.6435</v>
      </c>
      <c r="T99" s="154">
        <v>4272772.38175</v>
      </c>
      <c r="U99" s="154">
        <f t="shared" si="60"/>
        <v>91570.2617500005</v>
      </c>
      <c r="V99" s="154"/>
      <c r="W99" s="154">
        <f>SUM(W89:W98)</f>
        <v>106683.07</v>
      </c>
      <c r="X99" s="154">
        <v>106683.07</v>
      </c>
      <c r="Y99" s="118">
        <f t="shared" si="61"/>
        <v>0</v>
      </c>
      <c r="Z99" s="154"/>
      <c r="AA99" s="154"/>
      <c r="AB99" s="154"/>
    </row>
    <row r="100" customHeight="1" spans="1:28">
      <c r="A100" s="49"/>
      <c r="B100" s="129"/>
      <c r="C100" s="129"/>
      <c r="D100" s="68"/>
      <c r="E100" s="68"/>
      <c r="F100" s="153"/>
      <c r="G100" s="153"/>
      <c r="H100" s="153"/>
      <c r="I100" s="153"/>
      <c r="J100" s="153"/>
      <c r="K100" s="153"/>
      <c r="L100" s="153"/>
      <c r="M100" s="153"/>
      <c r="N100" s="44"/>
      <c r="O100" s="44"/>
      <c r="P100" s="153"/>
      <c r="Q100" s="153"/>
      <c r="R100" s="153"/>
      <c r="S100" s="153"/>
      <c r="T100" s="153"/>
      <c r="U100" s="118">
        <f t="shared" si="60"/>
        <v>0</v>
      </c>
      <c r="V100" s="153"/>
      <c r="W100" s="153"/>
      <c r="X100" s="153"/>
      <c r="Y100" s="118">
        <f t="shared" si="61"/>
        <v>0</v>
      </c>
      <c r="Z100" s="153"/>
      <c r="AA100" s="153"/>
      <c r="AB100" s="153"/>
    </row>
    <row r="101" customHeight="1" spans="1:28">
      <c r="A101" s="49"/>
      <c r="B101" s="129" t="s">
        <v>1242</v>
      </c>
      <c r="C101" s="129"/>
      <c r="D101" s="68"/>
      <c r="E101" s="68"/>
      <c r="F101" s="153"/>
      <c r="G101" s="153"/>
      <c r="H101" s="153"/>
      <c r="I101" s="153"/>
      <c r="J101" s="153"/>
      <c r="K101" s="153"/>
      <c r="L101" s="153"/>
      <c r="M101" s="153"/>
      <c r="N101" s="44"/>
      <c r="O101" s="44"/>
      <c r="P101" s="153"/>
      <c r="Q101" s="153"/>
      <c r="R101" s="153"/>
      <c r="S101" s="153"/>
      <c r="T101" s="153"/>
      <c r="U101" s="118">
        <f t="shared" si="60"/>
        <v>0</v>
      </c>
      <c r="V101" s="153"/>
      <c r="W101" s="153"/>
      <c r="X101" s="153"/>
      <c r="Y101" s="118">
        <f t="shared" si="61"/>
        <v>0</v>
      </c>
      <c r="Z101" s="153"/>
      <c r="AA101" s="153"/>
      <c r="AB101" s="153"/>
    </row>
    <row r="102" customHeight="1" spans="1:28">
      <c r="A102" s="49">
        <v>1</v>
      </c>
      <c r="B102" s="115" t="s">
        <v>576</v>
      </c>
      <c r="C102" s="116"/>
      <c r="D102" s="49" t="s">
        <v>577</v>
      </c>
      <c r="E102" s="119" t="s">
        <v>110</v>
      </c>
      <c r="F102" s="118">
        <f>41157.69</f>
        <v>41157.69</v>
      </c>
      <c r="G102" s="118"/>
      <c r="H102" s="118">
        <f t="shared" ref="H102:H103" si="88">F102*300%</f>
        <v>123473.07</v>
      </c>
      <c r="I102" s="118">
        <f t="shared" ref="I102:I103" si="89">F102*7.5%</f>
        <v>3086.82675</v>
      </c>
      <c r="J102" s="118">
        <v>40122.19</v>
      </c>
      <c r="K102" s="118">
        <f t="shared" ref="K102:K103" si="90">F102*50%</f>
        <v>20578.845</v>
      </c>
      <c r="L102" s="118">
        <f t="shared" ref="L102:L103" si="91">F102*350%</f>
        <v>144051.915</v>
      </c>
      <c r="M102" s="118">
        <f t="shared" ref="M102:M103" si="92">F102*100%</f>
        <v>41157.69</v>
      </c>
      <c r="N102" s="44"/>
      <c r="O102" s="44">
        <f>90000</f>
        <v>90000</v>
      </c>
      <c r="P102" s="118">
        <f t="shared" ref="P102:P103" si="93">F102*10%</f>
        <v>4115.769</v>
      </c>
      <c r="Q102" s="118">
        <v>20000</v>
      </c>
      <c r="R102" s="118"/>
      <c r="S102" s="118">
        <f>SUM(F102:R102)</f>
        <v>527743.99575</v>
      </c>
      <c r="T102" s="118">
        <v>514023.33375</v>
      </c>
      <c r="U102" s="118">
        <f t="shared" si="60"/>
        <v>13720.662</v>
      </c>
      <c r="V102" s="118"/>
      <c r="W102" s="118">
        <f>21618.09</f>
        <v>21618.09</v>
      </c>
      <c r="X102" s="118">
        <v>21618.09</v>
      </c>
      <c r="Y102" s="118">
        <f t="shared" si="61"/>
        <v>0</v>
      </c>
      <c r="Z102" s="118"/>
      <c r="AA102" s="118"/>
      <c r="AB102" s="118"/>
    </row>
    <row r="103" customHeight="1" spans="1:29">
      <c r="A103" s="49">
        <v>2</v>
      </c>
      <c r="B103" s="125" t="s">
        <v>37</v>
      </c>
      <c r="C103" s="126"/>
      <c r="D103" s="4" t="s">
        <v>177</v>
      </c>
      <c r="E103" s="10" t="s">
        <v>148</v>
      </c>
      <c r="F103" s="85">
        <f>26732.65</f>
        <v>26732.65</v>
      </c>
      <c r="G103" s="118"/>
      <c r="H103" s="85">
        <f t="shared" si="88"/>
        <v>80197.95</v>
      </c>
      <c r="I103" s="85">
        <f t="shared" si="89"/>
        <v>2004.94875</v>
      </c>
      <c r="J103" s="85"/>
      <c r="K103" s="85">
        <f t="shared" si="90"/>
        <v>13366.325</v>
      </c>
      <c r="L103" s="85">
        <f t="shared" si="91"/>
        <v>93564.275</v>
      </c>
      <c r="M103" s="85">
        <f t="shared" si="92"/>
        <v>26732.65</v>
      </c>
      <c r="N103" s="44"/>
      <c r="O103" s="44">
        <f>70000</f>
        <v>70000</v>
      </c>
      <c r="P103" s="85">
        <f t="shared" si="93"/>
        <v>2673.265</v>
      </c>
      <c r="Q103" s="85">
        <v>20000</v>
      </c>
      <c r="R103" s="85"/>
      <c r="S103" s="118">
        <f>SUM(F103:R103)</f>
        <v>335272.06375</v>
      </c>
      <c r="T103" s="118">
        <v>327211.3675</v>
      </c>
      <c r="U103" s="118">
        <f t="shared" si="60"/>
        <v>8060.69624999998</v>
      </c>
      <c r="V103" s="85"/>
      <c r="W103" s="118">
        <f t="shared" si="17"/>
        <v>7709.76</v>
      </c>
      <c r="X103" s="85">
        <v>7709.76</v>
      </c>
      <c r="Y103" s="118">
        <f t="shared" si="61"/>
        <v>0</v>
      </c>
      <c r="Z103" s="118"/>
      <c r="AA103" s="118"/>
      <c r="AB103" s="118"/>
      <c r="AC103" s="156"/>
    </row>
    <row r="104" customHeight="1" spans="1:29">
      <c r="A104" s="49">
        <v>3</v>
      </c>
      <c r="B104" s="125" t="s">
        <v>1204</v>
      </c>
      <c r="C104" s="126"/>
      <c r="D104" s="4" t="s">
        <v>1205</v>
      </c>
      <c r="E104" s="119" t="s">
        <v>1231</v>
      </c>
      <c r="F104" s="118">
        <f>23891.12</f>
        <v>23891.12</v>
      </c>
      <c r="G104" s="118"/>
      <c r="H104" s="118">
        <f t="shared" ref="H104:H105" si="94">F104*300%</f>
        <v>71673.36</v>
      </c>
      <c r="I104" s="118">
        <f t="shared" ref="I104:I105" si="95">F104*7.5%</f>
        <v>1791.834</v>
      </c>
      <c r="J104" s="118">
        <v>0</v>
      </c>
      <c r="K104" s="118">
        <f t="shared" ref="K104:K105" si="96">F104*50%</f>
        <v>11945.56</v>
      </c>
      <c r="L104" s="118">
        <f t="shared" ref="L104:L105" si="97">F104*350%</f>
        <v>83618.92</v>
      </c>
      <c r="M104" s="118">
        <f t="shared" ref="M104:M105" si="98">F104*100%</f>
        <v>23891.12</v>
      </c>
      <c r="N104" s="44"/>
      <c r="O104" s="44">
        <v>70000</v>
      </c>
      <c r="P104" s="118">
        <f t="shared" ref="P104:P105" si="99">F104*10%</f>
        <v>2389.112</v>
      </c>
      <c r="Q104" s="118">
        <v>15000</v>
      </c>
      <c r="R104" s="118">
        <v>0</v>
      </c>
      <c r="S104" s="118">
        <f t="shared" ref="S104:S105" si="100">SUM(F104:R104)</f>
        <v>304201.026</v>
      </c>
      <c r="T104" s="118">
        <v>296713.03325</v>
      </c>
      <c r="U104" s="118">
        <f t="shared" si="60"/>
        <v>7487.99275000003</v>
      </c>
      <c r="V104" s="118"/>
      <c r="W104" s="118">
        <f t="shared" si="17"/>
        <v>7709.76</v>
      </c>
      <c r="X104" s="118">
        <v>7709.76</v>
      </c>
      <c r="Y104" s="118">
        <f t="shared" si="61"/>
        <v>0</v>
      </c>
      <c r="Z104" s="118"/>
      <c r="AA104" s="118"/>
      <c r="AB104" s="118"/>
      <c r="AC104" s="156"/>
    </row>
    <row r="105" customHeight="1" spans="1:29">
      <c r="A105" s="49">
        <v>4</v>
      </c>
      <c r="B105" s="115" t="s">
        <v>180</v>
      </c>
      <c r="C105" s="116"/>
      <c r="D105" s="43" t="s">
        <v>1243</v>
      </c>
      <c r="E105" s="119" t="s">
        <v>1244</v>
      </c>
      <c r="F105" s="85">
        <f>19276.95</f>
        <v>19276.95</v>
      </c>
      <c r="G105" s="118"/>
      <c r="H105" s="118">
        <f t="shared" si="94"/>
        <v>57830.85</v>
      </c>
      <c r="I105" s="118">
        <f t="shared" si="95"/>
        <v>1445.77125</v>
      </c>
      <c r="J105" s="118"/>
      <c r="K105" s="118">
        <f t="shared" si="96"/>
        <v>9638.475</v>
      </c>
      <c r="L105" s="118">
        <f t="shared" si="97"/>
        <v>67469.325</v>
      </c>
      <c r="M105" s="85">
        <f t="shared" si="98"/>
        <v>19276.95</v>
      </c>
      <c r="N105" s="44"/>
      <c r="O105" s="44">
        <f>60000</f>
        <v>60000</v>
      </c>
      <c r="P105" s="118">
        <f t="shared" si="99"/>
        <v>1927.695</v>
      </c>
      <c r="Q105" s="118">
        <v>10000</v>
      </c>
      <c r="R105" s="118"/>
      <c r="S105" s="118">
        <f t="shared" si="100"/>
        <v>246866.01625</v>
      </c>
      <c r="T105" s="118">
        <v>237734.047</v>
      </c>
      <c r="U105" s="118">
        <f t="shared" si="60"/>
        <v>9131.96925000005</v>
      </c>
      <c r="V105" s="118"/>
      <c r="W105" s="118">
        <v>3369.51</v>
      </c>
      <c r="X105" s="118">
        <v>3369.51</v>
      </c>
      <c r="Y105" s="118">
        <f t="shared" si="61"/>
        <v>0</v>
      </c>
      <c r="Z105" s="118"/>
      <c r="AA105" s="118"/>
      <c r="AB105" s="118"/>
      <c r="AC105" s="156"/>
    </row>
    <row r="106" customHeight="1" spans="1:29">
      <c r="A106" s="43"/>
      <c r="B106" s="129" t="s">
        <v>96</v>
      </c>
      <c r="C106" s="129"/>
      <c r="D106" s="68">
        <v>4</v>
      </c>
      <c r="E106" s="162"/>
      <c r="F106" s="93">
        <f>SUM(F102:F105)</f>
        <v>111058.41</v>
      </c>
      <c r="G106" s="93"/>
      <c r="H106" s="93">
        <f t="shared" ref="H106:M106" si="101">SUM(H102:H105)</f>
        <v>333175.23</v>
      </c>
      <c r="I106" s="93">
        <f t="shared" si="101"/>
        <v>8329.38075</v>
      </c>
      <c r="J106" s="93">
        <f t="shared" si="101"/>
        <v>40122.19</v>
      </c>
      <c r="K106" s="93">
        <f t="shared" si="101"/>
        <v>55529.205</v>
      </c>
      <c r="L106" s="93">
        <f t="shared" si="101"/>
        <v>388704.435</v>
      </c>
      <c r="M106" s="93">
        <f t="shared" si="101"/>
        <v>111058.41</v>
      </c>
      <c r="N106" s="148"/>
      <c r="O106" s="148">
        <f>SUM(O102:O105)</f>
        <v>290000</v>
      </c>
      <c r="P106" s="93">
        <f>SUM(P102:P105)</f>
        <v>11105.841</v>
      </c>
      <c r="Q106" s="93">
        <f>SUM(Q102:Q105)</f>
        <v>65000</v>
      </c>
      <c r="R106" s="93">
        <f>SUM(R102:R105)</f>
        <v>0</v>
      </c>
      <c r="S106" s="93">
        <f>SUM(S102:S105)</f>
        <v>1414083.10175</v>
      </c>
      <c r="T106" s="93">
        <v>1375681.7815</v>
      </c>
      <c r="U106" s="154">
        <f t="shared" si="60"/>
        <v>38401.3202500001</v>
      </c>
      <c r="V106" s="93"/>
      <c r="W106" s="93">
        <f t="shared" ref="W106" si="102">SUM(W102:W105)</f>
        <v>40407.12</v>
      </c>
      <c r="X106" s="93">
        <v>40407.12</v>
      </c>
      <c r="Y106" s="118">
        <f t="shared" si="61"/>
        <v>0</v>
      </c>
      <c r="Z106" s="93"/>
      <c r="AA106" s="93"/>
      <c r="AB106" s="93"/>
      <c r="AC106" s="156"/>
    </row>
    <row r="107" customHeight="1" spans="1:28">
      <c r="A107" s="43"/>
      <c r="B107" s="129"/>
      <c r="C107" s="129"/>
      <c r="D107" s="68"/>
      <c r="E107" s="162"/>
      <c r="F107" s="146"/>
      <c r="G107" s="146"/>
      <c r="H107" s="146"/>
      <c r="I107" s="146"/>
      <c r="J107" s="146"/>
      <c r="K107" s="146"/>
      <c r="L107" s="146"/>
      <c r="M107" s="146"/>
      <c r="N107" s="44"/>
      <c r="O107" s="44"/>
      <c r="P107" s="146"/>
      <c r="Q107" s="146"/>
      <c r="R107" s="146"/>
      <c r="S107" s="146"/>
      <c r="T107" s="146"/>
      <c r="U107" s="118">
        <f t="shared" si="60"/>
        <v>0</v>
      </c>
      <c r="V107" s="146"/>
      <c r="W107" s="146"/>
      <c r="X107" s="146"/>
      <c r="Y107" s="118">
        <f t="shared" si="61"/>
        <v>0</v>
      </c>
      <c r="Z107" s="146"/>
      <c r="AA107" s="146"/>
      <c r="AB107" s="146"/>
    </row>
    <row r="108" customHeight="1" spans="1:28">
      <c r="A108" s="43"/>
      <c r="B108" s="129" t="s">
        <v>1245</v>
      </c>
      <c r="C108" s="129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4"/>
      <c r="O108" s="44"/>
      <c r="P108" s="43"/>
      <c r="Q108" s="43"/>
      <c r="R108" s="43"/>
      <c r="S108" s="43"/>
      <c r="T108" s="43"/>
      <c r="U108" s="118">
        <f t="shared" si="60"/>
        <v>0</v>
      </c>
      <c r="V108" s="43"/>
      <c r="W108" s="43"/>
      <c r="X108" s="43"/>
      <c r="Y108" s="118">
        <f t="shared" si="61"/>
        <v>0</v>
      </c>
      <c r="Z108" s="43"/>
      <c r="AA108" s="43"/>
      <c r="AB108" s="43"/>
    </row>
    <row r="109" customHeight="1" spans="1:28">
      <c r="A109" s="43">
        <v>1</v>
      </c>
      <c r="B109" s="115" t="s">
        <v>185</v>
      </c>
      <c r="C109" s="116"/>
      <c r="D109" s="117" t="s">
        <v>186</v>
      </c>
      <c r="E109" s="119" t="s">
        <v>100</v>
      </c>
      <c r="F109" s="118">
        <f>81740.02</f>
        <v>81740.02</v>
      </c>
      <c r="G109" s="118"/>
      <c r="H109" s="118">
        <f>F109*300%</f>
        <v>245220.06</v>
      </c>
      <c r="I109" s="118">
        <f>F109*7.5%</f>
        <v>6130.5015</v>
      </c>
      <c r="J109" s="118">
        <v>80244.38</v>
      </c>
      <c r="K109" s="118">
        <f>F109*50%</f>
        <v>40870.01</v>
      </c>
      <c r="L109" s="118">
        <f>F109*350%</f>
        <v>286090.07</v>
      </c>
      <c r="M109" s="118">
        <f>F109*100%</f>
        <v>81740.02</v>
      </c>
      <c r="N109" s="44">
        <f>200000</f>
        <v>200000</v>
      </c>
      <c r="O109" s="44"/>
      <c r="P109" s="118">
        <f>F109*10%</f>
        <v>8174.002</v>
      </c>
      <c r="Q109" s="118">
        <v>20000</v>
      </c>
      <c r="R109" s="118">
        <v>0</v>
      </c>
      <c r="S109" s="118">
        <f>SUM(F109:R109)</f>
        <v>1050209.0635</v>
      </c>
      <c r="T109" s="118">
        <v>1025433.077</v>
      </c>
      <c r="U109" s="118">
        <f t="shared" si="60"/>
        <v>24775.9865000001</v>
      </c>
      <c r="V109" s="118"/>
      <c r="W109" s="118">
        <f>52776.63</f>
        <v>52776.63</v>
      </c>
      <c r="X109" s="118">
        <v>52776.63</v>
      </c>
      <c r="Y109" s="118">
        <f t="shared" si="61"/>
        <v>0</v>
      </c>
      <c r="Z109" s="118"/>
      <c r="AA109" s="118"/>
      <c r="AB109" s="118"/>
    </row>
    <row r="110" customHeight="1" spans="1:28">
      <c r="A110" s="43">
        <v>2</v>
      </c>
      <c r="B110" s="163" t="s">
        <v>187</v>
      </c>
      <c r="C110" s="164"/>
      <c r="D110" s="43" t="s">
        <v>188</v>
      </c>
      <c r="E110" s="49" t="s">
        <v>36</v>
      </c>
      <c r="F110" s="118">
        <f>33507.5</f>
        <v>33507.5</v>
      </c>
      <c r="G110" s="118"/>
      <c r="H110" s="118">
        <f>F110*300%</f>
        <v>100522.5</v>
      </c>
      <c r="I110" s="118">
        <f>F110*7.5%</f>
        <v>2513.0625</v>
      </c>
      <c r="J110" s="118">
        <v>40122.19</v>
      </c>
      <c r="K110" s="118">
        <f>F110*50%</f>
        <v>16753.75</v>
      </c>
      <c r="L110" s="118">
        <f>F110*350%</f>
        <v>117276.25</v>
      </c>
      <c r="M110" s="118">
        <f>F110*100%</f>
        <v>33507.5</v>
      </c>
      <c r="N110" s="44">
        <f>160000</f>
        <v>160000</v>
      </c>
      <c r="O110" s="44"/>
      <c r="P110" s="118">
        <f>F110*10%</f>
        <v>3350.75</v>
      </c>
      <c r="Q110" s="118">
        <v>20000</v>
      </c>
      <c r="R110" s="118">
        <v>0</v>
      </c>
      <c r="S110" s="118">
        <f>SUM(F110:R110)</f>
        <v>527553.5025</v>
      </c>
      <c r="T110" s="118">
        <v>527553.5025</v>
      </c>
      <c r="U110" s="118">
        <f t="shared" si="60"/>
        <v>0</v>
      </c>
      <c r="V110" s="118"/>
      <c r="W110" s="118">
        <v>15548.33</v>
      </c>
      <c r="X110" s="118">
        <v>15548.33</v>
      </c>
      <c r="Y110" s="118">
        <f t="shared" si="61"/>
        <v>0</v>
      </c>
      <c r="Z110" s="118"/>
      <c r="AA110" s="118"/>
      <c r="AB110" s="118"/>
    </row>
    <row r="111" customHeight="1" spans="1:28">
      <c r="A111" s="43">
        <v>3</v>
      </c>
      <c r="B111" s="115" t="s">
        <v>190</v>
      </c>
      <c r="C111" s="116"/>
      <c r="D111" s="43" t="s">
        <v>191</v>
      </c>
      <c r="E111" s="49" t="s">
        <v>192</v>
      </c>
      <c r="F111" s="118">
        <f>26339.3</f>
        <v>26339.3</v>
      </c>
      <c r="G111" s="118"/>
      <c r="H111" s="118">
        <f>F111*300%</f>
        <v>79017.9</v>
      </c>
      <c r="I111" s="118">
        <f>F111*7.5%</f>
        <v>1975.4475</v>
      </c>
      <c r="J111" s="118">
        <v>0</v>
      </c>
      <c r="K111" s="118">
        <f>F111*50%</f>
        <v>13169.65</v>
      </c>
      <c r="L111" s="118">
        <f>F111*350%</f>
        <v>92187.55</v>
      </c>
      <c r="M111" s="118">
        <f>F111*100%</f>
        <v>26339.3</v>
      </c>
      <c r="N111" s="44">
        <f>120000</f>
        <v>120000</v>
      </c>
      <c r="O111" s="44"/>
      <c r="P111" s="118">
        <f>F111*10%</f>
        <v>2633.93</v>
      </c>
      <c r="Q111" s="118">
        <v>15000</v>
      </c>
      <c r="R111" s="118" t="e">
        <f>#REF!</f>
        <v>#REF!</v>
      </c>
      <c r="S111" s="118" t="e">
        <f>SUM(F111:R111)</f>
        <v>#REF!</v>
      </c>
      <c r="T111" s="118">
        <v>418096.016025</v>
      </c>
      <c r="U111" s="118" t="e">
        <f t="shared" si="60"/>
        <v>#REF!</v>
      </c>
      <c r="V111" s="118"/>
      <c r="W111" s="118">
        <f>7709.76</f>
        <v>7709.76</v>
      </c>
      <c r="X111" s="118">
        <v>7709.76</v>
      </c>
      <c r="Y111" s="118">
        <f t="shared" si="61"/>
        <v>0</v>
      </c>
      <c r="Z111" s="118"/>
      <c r="AA111" s="118"/>
      <c r="AB111" s="118"/>
    </row>
    <row r="112" customHeight="1" spans="1:28">
      <c r="A112" s="43">
        <v>4</v>
      </c>
      <c r="B112" s="125" t="s">
        <v>193</v>
      </c>
      <c r="C112" s="126"/>
      <c r="D112" s="43" t="s">
        <v>191</v>
      </c>
      <c r="E112" s="10" t="s">
        <v>52</v>
      </c>
      <c r="F112" s="85">
        <f>25523.45</f>
        <v>25523.45</v>
      </c>
      <c r="G112" s="85"/>
      <c r="H112" s="85">
        <f>F112*300%</f>
        <v>76570.35</v>
      </c>
      <c r="I112" s="85">
        <f>F112*7.5%</f>
        <v>1914.25875</v>
      </c>
      <c r="J112" s="85">
        <v>0</v>
      </c>
      <c r="K112" s="85">
        <f>F112*50%</f>
        <v>12761.725</v>
      </c>
      <c r="L112" s="85">
        <f>F112*350%</f>
        <v>89332.075</v>
      </c>
      <c r="M112" s="85">
        <f>F112*100%</f>
        <v>25523.45</v>
      </c>
      <c r="N112" s="44">
        <f>120000</f>
        <v>120000</v>
      </c>
      <c r="O112" s="44"/>
      <c r="P112" s="85">
        <f>F112*10%</f>
        <v>2552.345</v>
      </c>
      <c r="Q112" s="85">
        <v>15000</v>
      </c>
      <c r="R112" s="85" t="e">
        <f>#REF!</f>
        <v>#REF!</v>
      </c>
      <c r="S112" s="118" t="e">
        <f>SUM(F112:R112)</f>
        <v>#REF!</v>
      </c>
      <c r="T112" s="118">
        <v>401821.177155</v>
      </c>
      <c r="U112" s="118" t="e">
        <f t="shared" si="60"/>
        <v>#REF!</v>
      </c>
      <c r="V112" s="85"/>
      <c r="W112" s="85">
        <f>7709.76</f>
        <v>7709.76</v>
      </c>
      <c r="X112" s="85">
        <v>7709.76</v>
      </c>
      <c r="Y112" s="118">
        <f t="shared" si="61"/>
        <v>0</v>
      </c>
      <c r="Z112" s="118"/>
      <c r="AA112" s="118"/>
      <c r="AB112" s="118"/>
    </row>
    <row r="113" customHeight="1" spans="1:28">
      <c r="A113" s="43">
        <v>5</v>
      </c>
      <c r="B113" s="115" t="s">
        <v>194</v>
      </c>
      <c r="C113" s="116"/>
      <c r="D113" s="46" t="s">
        <v>195</v>
      </c>
      <c r="E113" s="119" t="s">
        <v>1014</v>
      </c>
      <c r="F113" s="128">
        <f>13492.21</f>
        <v>13492.21</v>
      </c>
      <c r="G113" s="118"/>
      <c r="H113" s="118">
        <f>F113*300%</f>
        <v>40476.63</v>
      </c>
      <c r="I113" s="118">
        <f>F113*7.5%</f>
        <v>1011.91575</v>
      </c>
      <c r="J113" s="118"/>
      <c r="K113" s="118">
        <f>F113*50%</f>
        <v>6746.105</v>
      </c>
      <c r="L113" s="118">
        <f>F113*350%</f>
        <v>47222.735</v>
      </c>
      <c r="M113" s="118">
        <f>F113*100%</f>
        <v>13492.21</v>
      </c>
      <c r="N113" s="44">
        <f>100000</f>
        <v>100000</v>
      </c>
      <c r="O113" s="44"/>
      <c r="P113" s="118">
        <f>F113*10%</f>
        <v>1349.221</v>
      </c>
      <c r="Q113" s="118">
        <v>10000</v>
      </c>
      <c r="R113" s="118" t="e">
        <f>#REF!</f>
        <v>#REF!</v>
      </c>
      <c r="S113" s="118" t="e">
        <f>SUM(F113:R113)</f>
        <v>#REF!</v>
      </c>
      <c r="T113" s="118">
        <v>255637.51548</v>
      </c>
      <c r="U113" s="118" t="e">
        <f t="shared" si="60"/>
        <v>#REF!</v>
      </c>
      <c r="V113" s="118"/>
      <c r="W113" s="118">
        <v>1484.37</v>
      </c>
      <c r="X113" s="118">
        <v>1484.37</v>
      </c>
      <c r="Y113" s="118">
        <f t="shared" si="61"/>
        <v>0</v>
      </c>
      <c r="Z113" s="118"/>
      <c r="AA113" s="118"/>
      <c r="AB113" s="118"/>
    </row>
    <row r="114" customHeight="1" spans="1:28">
      <c r="A114" s="43">
        <v>6</v>
      </c>
      <c r="B114" s="125" t="s">
        <v>197</v>
      </c>
      <c r="C114" s="126"/>
      <c r="D114" s="46" t="s">
        <v>195</v>
      </c>
      <c r="E114" s="49" t="s">
        <v>171</v>
      </c>
      <c r="F114" s="118">
        <f>13112.16</f>
        <v>13112.16</v>
      </c>
      <c r="G114" s="118"/>
      <c r="H114" s="118">
        <f t="shared" ref="H114:H116" si="103">F114*300%</f>
        <v>39336.48</v>
      </c>
      <c r="I114" s="118">
        <f t="shared" ref="I114:I116" si="104">F114*7.5%</f>
        <v>983.412</v>
      </c>
      <c r="J114" s="118"/>
      <c r="K114" s="118">
        <f t="shared" ref="K114:K116" si="105">F114*50%</f>
        <v>6556.08</v>
      </c>
      <c r="L114" s="118">
        <f t="shared" ref="L114:L116" si="106">F114*350%</f>
        <v>45892.56</v>
      </c>
      <c r="M114" s="118">
        <f t="shared" ref="M114:M116" si="107">F114*100%</f>
        <v>13112.16</v>
      </c>
      <c r="N114" s="44">
        <f>100000</f>
        <v>100000</v>
      </c>
      <c r="O114" s="44"/>
      <c r="P114" s="118">
        <f t="shared" ref="P114:P116" si="108">F114*10%</f>
        <v>1311.216</v>
      </c>
      <c r="Q114" s="118">
        <v>10000</v>
      </c>
      <c r="R114" s="118" t="e">
        <f>#REF!</f>
        <v>#REF!</v>
      </c>
      <c r="S114" s="118" t="e">
        <f t="shared" ref="S114:S116" si="109">SUM(F114:R114)</f>
        <v>#REF!</v>
      </c>
      <c r="T114" s="118">
        <v>251765.871</v>
      </c>
      <c r="U114" s="118" t="e">
        <f t="shared" si="60"/>
        <v>#REF!</v>
      </c>
      <c r="V114" s="118"/>
      <c r="W114" s="118">
        <v>1484.37</v>
      </c>
      <c r="X114" s="118">
        <v>1484.37</v>
      </c>
      <c r="Y114" s="118">
        <f t="shared" si="61"/>
        <v>0</v>
      </c>
      <c r="Z114" s="118"/>
      <c r="AA114" s="118"/>
      <c r="AB114" s="118"/>
    </row>
    <row r="115" customHeight="1" spans="1:28">
      <c r="A115" s="43">
        <v>7</v>
      </c>
      <c r="B115" s="115" t="s">
        <v>199</v>
      </c>
      <c r="C115" s="116"/>
      <c r="D115" s="46" t="s">
        <v>195</v>
      </c>
      <c r="E115" s="119" t="s">
        <v>95</v>
      </c>
      <c r="F115" s="128">
        <f>12351.94</f>
        <v>12351.94</v>
      </c>
      <c r="G115" s="118"/>
      <c r="H115" s="118">
        <f t="shared" si="103"/>
        <v>37055.82</v>
      </c>
      <c r="I115" s="118">
        <f t="shared" si="104"/>
        <v>926.3955</v>
      </c>
      <c r="J115" s="118"/>
      <c r="K115" s="118">
        <f t="shared" si="105"/>
        <v>6175.97</v>
      </c>
      <c r="L115" s="118">
        <f t="shared" si="106"/>
        <v>43231.79</v>
      </c>
      <c r="M115" s="118">
        <f t="shared" si="107"/>
        <v>12351.94</v>
      </c>
      <c r="N115" s="44">
        <f t="shared" ref="N115:N116" si="110">100000</f>
        <v>100000</v>
      </c>
      <c r="O115" s="44"/>
      <c r="P115" s="118">
        <f t="shared" si="108"/>
        <v>1235.194</v>
      </c>
      <c r="Q115" s="118">
        <v>10000</v>
      </c>
      <c r="R115" s="118" t="e">
        <f>#REF!</f>
        <v>#REF!</v>
      </c>
      <c r="S115" s="118" t="e">
        <f t="shared" si="109"/>
        <v>#REF!</v>
      </c>
      <c r="T115" s="118">
        <v>247895.244945</v>
      </c>
      <c r="U115" s="118" t="e">
        <f t="shared" si="60"/>
        <v>#REF!</v>
      </c>
      <c r="V115" s="118"/>
      <c r="W115" s="118">
        <v>1484.37</v>
      </c>
      <c r="X115" s="118">
        <v>1484.37</v>
      </c>
      <c r="Y115" s="118">
        <f t="shared" si="61"/>
        <v>0</v>
      </c>
      <c r="Z115" s="118"/>
      <c r="AA115" s="118"/>
      <c r="AB115" s="118"/>
    </row>
    <row r="116" customHeight="1" spans="1:28">
      <c r="A116" s="43">
        <v>8</v>
      </c>
      <c r="B116" s="115" t="s">
        <v>1281</v>
      </c>
      <c r="C116" s="116"/>
      <c r="D116" s="46" t="s">
        <v>195</v>
      </c>
      <c r="E116" s="119" t="s">
        <v>95</v>
      </c>
      <c r="F116" s="128">
        <f>12351.94</f>
        <v>12351.94</v>
      </c>
      <c r="G116" s="118"/>
      <c r="H116" s="118">
        <f t="shared" si="103"/>
        <v>37055.82</v>
      </c>
      <c r="I116" s="118">
        <f t="shared" si="104"/>
        <v>926.3955</v>
      </c>
      <c r="J116" s="118"/>
      <c r="K116" s="118">
        <f t="shared" si="105"/>
        <v>6175.97</v>
      </c>
      <c r="L116" s="118">
        <f t="shared" si="106"/>
        <v>43231.79</v>
      </c>
      <c r="M116" s="118">
        <f t="shared" si="107"/>
        <v>12351.94</v>
      </c>
      <c r="N116" s="44">
        <f t="shared" si="110"/>
        <v>100000</v>
      </c>
      <c r="O116" s="44"/>
      <c r="P116" s="118">
        <f t="shared" si="108"/>
        <v>1235.194</v>
      </c>
      <c r="Q116" s="118">
        <v>10000</v>
      </c>
      <c r="R116" s="118" t="e">
        <f>#REF!</f>
        <v>#REF!</v>
      </c>
      <c r="S116" s="118" t="e">
        <f t="shared" si="109"/>
        <v>#REF!</v>
      </c>
      <c r="T116" s="118">
        <v>247895.244945</v>
      </c>
      <c r="U116" s="118" t="e">
        <f t="shared" si="60"/>
        <v>#REF!</v>
      </c>
      <c r="V116" s="118"/>
      <c r="W116" s="118">
        <v>1484.37</v>
      </c>
      <c r="X116" s="118">
        <v>1484.37</v>
      </c>
      <c r="Y116" s="118">
        <f t="shared" si="61"/>
        <v>0</v>
      </c>
      <c r="Z116" s="118"/>
      <c r="AA116" s="118"/>
      <c r="AB116" s="118"/>
    </row>
    <row r="117" customHeight="1" spans="1:28">
      <c r="A117" s="43"/>
      <c r="B117" s="129" t="s">
        <v>96</v>
      </c>
      <c r="C117" s="129"/>
      <c r="D117" s="49">
        <v>8</v>
      </c>
      <c r="E117" s="43"/>
      <c r="F117" s="165">
        <f>SUM(F109:F116)</f>
        <v>218418.52</v>
      </c>
      <c r="G117" s="165"/>
      <c r="H117" s="165">
        <f t="shared" ref="H117:N117" si="111">SUM(H109:H116)</f>
        <v>655255.56</v>
      </c>
      <c r="I117" s="165">
        <f t="shared" si="111"/>
        <v>16381.389</v>
      </c>
      <c r="J117" s="165">
        <f t="shared" si="111"/>
        <v>120366.57</v>
      </c>
      <c r="K117" s="165">
        <f t="shared" si="111"/>
        <v>109209.26</v>
      </c>
      <c r="L117" s="165">
        <f t="shared" si="111"/>
        <v>764464.82</v>
      </c>
      <c r="M117" s="165">
        <f t="shared" si="111"/>
        <v>218418.52</v>
      </c>
      <c r="N117" s="148">
        <f t="shared" si="111"/>
        <v>1000000</v>
      </c>
      <c r="O117" s="148"/>
      <c r="P117" s="165">
        <f>SUM(P109:P116)</f>
        <v>21841.852</v>
      </c>
      <c r="Q117" s="165">
        <f>SUM(Q109:Q116)</f>
        <v>110000</v>
      </c>
      <c r="R117" s="165" t="e">
        <f>SUM(R109:R116)</f>
        <v>#REF!</v>
      </c>
      <c r="S117" s="165" t="e">
        <f>SUM(S109:S116)</f>
        <v>#REF!</v>
      </c>
      <c r="T117" s="165">
        <v>3376097.64905</v>
      </c>
      <c r="U117" s="154" t="e">
        <f t="shared" si="60"/>
        <v>#REF!</v>
      </c>
      <c r="V117" s="165"/>
      <c r="W117" s="165">
        <f t="shared" ref="W117" si="112">SUM(W109:W116)</f>
        <v>89681.96</v>
      </c>
      <c r="X117" s="165">
        <v>89681.96</v>
      </c>
      <c r="Y117" s="118">
        <f t="shared" si="61"/>
        <v>0</v>
      </c>
      <c r="Z117" s="165"/>
      <c r="AA117" s="165"/>
      <c r="AB117" s="165"/>
    </row>
    <row r="118" customHeight="1" spans="1:28">
      <c r="A118" s="43"/>
      <c r="B118" s="129"/>
      <c r="C118" s="129"/>
      <c r="D118" s="49"/>
      <c r="E118" s="43"/>
      <c r="F118" s="56"/>
      <c r="G118" s="42"/>
      <c r="H118" s="56"/>
      <c r="I118" s="56"/>
      <c r="J118" s="56"/>
      <c r="K118" s="56"/>
      <c r="L118" s="56"/>
      <c r="M118" s="56"/>
      <c r="N118" s="44"/>
      <c r="O118" s="44"/>
      <c r="P118" s="56"/>
      <c r="Q118" s="56"/>
      <c r="R118" s="56"/>
      <c r="S118" s="56"/>
      <c r="T118" s="56"/>
      <c r="U118" s="118">
        <f t="shared" si="60"/>
        <v>0</v>
      </c>
      <c r="V118" s="56"/>
      <c r="W118" s="56"/>
      <c r="X118" s="56"/>
      <c r="Y118" s="118">
        <f t="shared" si="61"/>
        <v>0</v>
      </c>
      <c r="Z118" s="56"/>
      <c r="AA118" s="56"/>
      <c r="AB118" s="56"/>
    </row>
    <row r="119" customHeight="1" spans="1:28">
      <c r="A119" s="43"/>
      <c r="B119" s="129" t="s">
        <v>1246</v>
      </c>
      <c r="C119" s="129"/>
      <c r="D119" s="68"/>
      <c r="E119" s="68"/>
      <c r="F119" s="153"/>
      <c r="G119" s="153"/>
      <c r="H119" s="153"/>
      <c r="I119" s="153"/>
      <c r="J119" s="153"/>
      <c r="K119" s="153"/>
      <c r="L119" s="153"/>
      <c r="M119" s="153"/>
      <c r="N119" s="44"/>
      <c r="O119" s="44"/>
      <c r="P119" s="153"/>
      <c r="Q119" s="153"/>
      <c r="R119" s="153"/>
      <c r="S119" s="153"/>
      <c r="T119" s="153"/>
      <c r="U119" s="118">
        <f t="shared" si="60"/>
        <v>0</v>
      </c>
      <c r="V119" s="153"/>
      <c r="W119" s="153"/>
      <c r="X119" s="153"/>
      <c r="Y119" s="118">
        <f t="shared" si="61"/>
        <v>0</v>
      </c>
      <c r="Z119" s="118"/>
      <c r="AA119" s="118"/>
      <c r="AB119" s="118"/>
    </row>
    <row r="120" customHeight="1" spans="1:28">
      <c r="A120" s="43">
        <v>1</v>
      </c>
      <c r="B120" s="117" t="s">
        <v>214</v>
      </c>
      <c r="C120" s="117"/>
      <c r="D120" s="117" t="s">
        <v>215</v>
      </c>
      <c r="E120" s="119" t="s">
        <v>100</v>
      </c>
      <c r="F120" s="118">
        <f>81740.02</f>
        <v>81740.02</v>
      </c>
      <c r="G120" s="118"/>
      <c r="H120" s="118">
        <f t="shared" ref="H120:H128" si="113">F120*300%</f>
        <v>245220.06</v>
      </c>
      <c r="I120" s="118">
        <f t="shared" ref="I120:I128" si="114">F120*7.5%</f>
        <v>6130.5015</v>
      </c>
      <c r="J120" s="118">
        <f>80244.38</f>
        <v>80244.38</v>
      </c>
      <c r="K120" s="118">
        <f t="shared" ref="K120:K128" si="115">F120*50%</f>
        <v>40870.01</v>
      </c>
      <c r="L120" s="118">
        <f t="shared" ref="L120:L128" si="116">F120*350%</f>
        <v>286090.07</v>
      </c>
      <c r="M120" s="118">
        <f t="shared" ref="M120:M128" si="117">F120*100%</f>
        <v>81740.02</v>
      </c>
      <c r="N120" s="44"/>
      <c r="O120" s="44">
        <f>100000</f>
        <v>100000</v>
      </c>
      <c r="P120" s="118">
        <f t="shared" ref="P120:P128" si="118">F120*10%</f>
        <v>8174.002</v>
      </c>
      <c r="Q120" s="118">
        <v>20000</v>
      </c>
      <c r="R120" s="118">
        <v>100000</v>
      </c>
      <c r="S120" s="118">
        <f t="shared" ref="S120:S128" si="119">SUM(F120:R120)</f>
        <v>1050209.0635</v>
      </c>
      <c r="T120" s="118">
        <v>1050209.0635</v>
      </c>
      <c r="U120" s="118">
        <f t="shared" si="60"/>
        <v>0</v>
      </c>
      <c r="V120" s="118"/>
      <c r="W120" s="118">
        <f>52776.63</f>
        <v>52776.63</v>
      </c>
      <c r="X120" s="118">
        <v>52776.63</v>
      </c>
      <c r="Y120" s="118">
        <f t="shared" si="61"/>
        <v>0</v>
      </c>
      <c r="Z120" s="118"/>
      <c r="AA120" s="118"/>
      <c r="AB120" s="118"/>
    </row>
    <row r="121" customHeight="1" spans="1:28">
      <c r="A121" s="43">
        <v>2</v>
      </c>
      <c r="B121" s="117" t="s">
        <v>1207</v>
      </c>
      <c r="C121" s="117"/>
      <c r="D121" s="117" t="s">
        <v>1208</v>
      </c>
      <c r="E121" s="119" t="s">
        <v>189</v>
      </c>
      <c r="F121" s="118">
        <f>42653.17</f>
        <v>42653.17</v>
      </c>
      <c r="G121" s="118"/>
      <c r="H121" s="118">
        <f t="shared" si="113"/>
        <v>127959.51</v>
      </c>
      <c r="I121" s="118">
        <f t="shared" si="114"/>
        <v>3198.98775</v>
      </c>
      <c r="J121" s="118">
        <v>40122.19</v>
      </c>
      <c r="K121" s="118">
        <f t="shared" si="115"/>
        <v>21326.585</v>
      </c>
      <c r="L121" s="118">
        <f t="shared" si="116"/>
        <v>149286.095</v>
      </c>
      <c r="M121" s="118">
        <f t="shared" si="117"/>
        <v>42653.17</v>
      </c>
      <c r="N121" s="44"/>
      <c r="O121" s="44">
        <f>90000</f>
        <v>90000</v>
      </c>
      <c r="P121" s="118">
        <f t="shared" si="118"/>
        <v>4265.317</v>
      </c>
      <c r="Q121" s="118">
        <v>20000</v>
      </c>
      <c r="R121" s="118">
        <f>100000</f>
        <v>100000</v>
      </c>
      <c r="S121" s="118">
        <f t="shared" si="119"/>
        <v>641465.02475</v>
      </c>
      <c r="T121" s="118">
        <v>641465.02475</v>
      </c>
      <c r="U121" s="118">
        <f t="shared" si="60"/>
        <v>0</v>
      </c>
      <c r="V121" s="118"/>
      <c r="W121" s="118">
        <f>21618.09</f>
        <v>21618.09</v>
      </c>
      <c r="X121" s="118">
        <v>21618.09</v>
      </c>
      <c r="Y121" s="118">
        <f t="shared" si="61"/>
        <v>0</v>
      </c>
      <c r="Z121" s="118"/>
      <c r="AA121" s="118"/>
      <c r="AB121" s="118"/>
    </row>
    <row r="122" customHeight="1" spans="1:28">
      <c r="A122" s="43">
        <v>3</v>
      </c>
      <c r="B122" s="117" t="s">
        <v>216</v>
      </c>
      <c r="C122" s="117"/>
      <c r="D122" s="117" t="s">
        <v>219</v>
      </c>
      <c r="E122" s="119" t="s">
        <v>36</v>
      </c>
      <c r="F122" s="85">
        <f>33507.5</f>
        <v>33507.5</v>
      </c>
      <c r="G122" s="118"/>
      <c r="H122" s="118">
        <f t="shared" si="113"/>
        <v>100522.5</v>
      </c>
      <c r="I122" s="118">
        <f t="shared" si="114"/>
        <v>2513.0625</v>
      </c>
      <c r="J122" s="118">
        <v>40122.19</v>
      </c>
      <c r="K122" s="118">
        <f t="shared" si="115"/>
        <v>16753.75</v>
      </c>
      <c r="L122" s="118">
        <f t="shared" si="116"/>
        <v>117276.25</v>
      </c>
      <c r="M122" s="118">
        <f t="shared" si="117"/>
        <v>33507.5</v>
      </c>
      <c r="N122" s="44"/>
      <c r="O122" s="44">
        <f>80000</f>
        <v>80000</v>
      </c>
      <c r="P122" s="118">
        <f t="shared" si="118"/>
        <v>3350.75</v>
      </c>
      <c r="Q122" s="118">
        <v>20000</v>
      </c>
      <c r="R122" s="118">
        <v>0</v>
      </c>
      <c r="S122" s="118">
        <f t="shared" si="119"/>
        <v>447553.5025</v>
      </c>
      <c r="T122" s="118">
        <v>447553.5025</v>
      </c>
      <c r="U122" s="118">
        <f t="shared" si="60"/>
        <v>0</v>
      </c>
      <c r="V122" s="118"/>
      <c r="W122" s="118">
        <v>15548.33</v>
      </c>
      <c r="X122" s="118">
        <v>15548.33</v>
      </c>
      <c r="Y122" s="118">
        <f t="shared" si="61"/>
        <v>0</v>
      </c>
      <c r="Z122" s="118"/>
      <c r="AA122" s="118"/>
      <c r="AB122" s="118"/>
    </row>
    <row r="123" customHeight="1" spans="1:28">
      <c r="A123" s="43">
        <v>4</v>
      </c>
      <c r="B123" s="48" t="s">
        <v>218</v>
      </c>
      <c r="C123" s="48"/>
      <c r="D123" s="117" t="s">
        <v>219</v>
      </c>
      <c r="E123" s="119" t="s">
        <v>36</v>
      </c>
      <c r="F123" s="118">
        <f>33507.5</f>
        <v>33507.5</v>
      </c>
      <c r="G123" s="118"/>
      <c r="H123" s="118">
        <f t="shared" si="113"/>
        <v>100522.5</v>
      </c>
      <c r="I123" s="118">
        <f t="shared" si="114"/>
        <v>2513.0625</v>
      </c>
      <c r="J123" s="118">
        <f>40122.19</f>
        <v>40122.19</v>
      </c>
      <c r="K123" s="118">
        <f t="shared" si="115"/>
        <v>16753.75</v>
      </c>
      <c r="L123" s="118">
        <f t="shared" si="116"/>
        <v>117276.25</v>
      </c>
      <c r="M123" s="118">
        <f t="shared" si="117"/>
        <v>33507.5</v>
      </c>
      <c r="N123" s="44"/>
      <c r="O123" s="44">
        <f t="shared" si="9"/>
        <v>80000</v>
      </c>
      <c r="P123" s="118">
        <f t="shared" si="118"/>
        <v>3350.75</v>
      </c>
      <c r="Q123" s="118">
        <v>20000</v>
      </c>
      <c r="R123" s="118">
        <f>100000</f>
        <v>100000</v>
      </c>
      <c r="S123" s="118">
        <f t="shared" si="119"/>
        <v>547553.5025</v>
      </c>
      <c r="T123" s="118">
        <v>536137.05</v>
      </c>
      <c r="U123" s="118">
        <f t="shared" si="60"/>
        <v>11416.4524999999</v>
      </c>
      <c r="V123" s="118"/>
      <c r="W123" s="118">
        <f>15548.33</f>
        <v>15548.33</v>
      </c>
      <c r="X123" s="118">
        <v>15548.33</v>
      </c>
      <c r="Y123" s="118">
        <f t="shared" si="61"/>
        <v>0</v>
      </c>
      <c r="Z123" s="118"/>
      <c r="AA123" s="118"/>
      <c r="AB123" s="118"/>
    </row>
    <row r="124" customHeight="1" spans="1:28">
      <c r="A124" s="43">
        <v>5</v>
      </c>
      <c r="B124" s="46" t="s">
        <v>523</v>
      </c>
      <c r="D124" s="117" t="s">
        <v>219</v>
      </c>
      <c r="E124" s="119" t="s">
        <v>39</v>
      </c>
      <c r="F124" s="85">
        <f>31018.84</f>
        <v>31018.84</v>
      </c>
      <c r="G124" s="118"/>
      <c r="H124" s="118">
        <f t="shared" ref="H124" si="120">F124*300%</f>
        <v>93056.52</v>
      </c>
      <c r="I124" s="118">
        <f t="shared" ref="I124" si="121">F124*7.5%</f>
        <v>2326.413</v>
      </c>
      <c r="J124" s="118">
        <v>40122.19</v>
      </c>
      <c r="K124" s="118">
        <f t="shared" ref="K124" si="122">F124*50%</f>
        <v>15509.42</v>
      </c>
      <c r="L124" s="118">
        <f t="shared" ref="L124" si="123">F124*350%</f>
        <v>108565.94</v>
      </c>
      <c r="M124" s="118">
        <f t="shared" ref="M124" si="124">F124*100%</f>
        <v>31018.84</v>
      </c>
      <c r="N124" s="44"/>
      <c r="O124" s="44">
        <f t="shared" si="9"/>
        <v>80000</v>
      </c>
      <c r="P124" s="118">
        <f t="shared" ref="P124" si="125">F124*10%</f>
        <v>3101.884</v>
      </c>
      <c r="Q124" s="118">
        <v>20000</v>
      </c>
      <c r="R124" s="118">
        <v>0</v>
      </c>
      <c r="S124" s="118">
        <f t="shared" si="119"/>
        <v>424720.047</v>
      </c>
      <c r="T124" s="118">
        <v>424720.047</v>
      </c>
      <c r="U124" s="118">
        <f t="shared" si="60"/>
        <v>0</v>
      </c>
      <c r="V124" s="118"/>
      <c r="W124" s="118">
        <f>(15548.33)</f>
        <v>15548.33</v>
      </c>
      <c r="X124" s="118">
        <v>15548.33</v>
      </c>
      <c r="Y124" s="118">
        <f t="shared" si="61"/>
        <v>0</v>
      </c>
      <c r="Z124" s="118"/>
      <c r="AA124" s="118"/>
      <c r="AB124" s="118"/>
    </row>
    <row r="125" customHeight="1" spans="1:28">
      <c r="A125" s="43">
        <v>6</v>
      </c>
      <c r="B125" s="166" t="s">
        <v>220</v>
      </c>
      <c r="C125" s="166"/>
      <c r="D125" s="117" t="s">
        <v>1210</v>
      </c>
      <c r="E125" s="119" t="s">
        <v>52</v>
      </c>
      <c r="F125" s="118">
        <f>25523.45</f>
        <v>25523.45</v>
      </c>
      <c r="G125" s="118"/>
      <c r="H125" s="118">
        <f t="shared" si="113"/>
        <v>76570.35</v>
      </c>
      <c r="I125" s="118">
        <f t="shared" si="114"/>
        <v>1914.25875</v>
      </c>
      <c r="J125" s="118">
        <v>0</v>
      </c>
      <c r="K125" s="118">
        <f t="shared" si="115"/>
        <v>12761.725</v>
      </c>
      <c r="L125" s="118">
        <f t="shared" si="116"/>
        <v>89332.075</v>
      </c>
      <c r="M125" s="118">
        <f t="shared" si="117"/>
        <v>25523.45</v>
      </c>
      <c r="N125" s="44"/>
      <c r="O125" s="44">
        <f>70000</f>
        <v>70000</v>
      </c>
      <c r="P125" s="118">
        <f t="shared" si="118"/>
        <v>2552.345</v>
      </c>
      <c r="Q125" s="118">
        <v>15000</v>
      </c>
      <c r="R125" s="118">
        <v>0</v>
      </c>
      <c r="S125" s="118">
        <f t="shared" si="119"/>
        <v>319177.65375</v>
      </c>
      <c r="T125" s="118">
        <v>312001.0605</v>
      </c>
      <c r="U125" s="118">
        <f t="shared" si="60"/>
        <v>7176.59324999998</v>
      </c>
      <c r="V125" s="118"/>
      <c r="W125" s="118">
        <f>7709.76</f>
        <v>7709.76</v>
      </c>
      <c r="X125" s="118">
        <v>7709.76</v>
      </c>
      <c r="Y125" s="118">
        <f t="shared" si="61"/>
        <v>0</v>
      </c>
      <c r="Z125" s="118"/>
      <c r="AA125" s="118"/>
      <c r="AB125" s="118"/>
    </row>
    <row r="126" customHeight="1" spans="1:28">
      <c r="A126" s="43">
        <v>7</v>
      </c>
      <c r="B126" s="117" t="s">
        <v>223</v>
      </c>
      <c r="C126" s="117"/>
      <c r="D126" s="117" t="s">
        <v>224</v>
      </c>
      <c r="E126" s="119" t="s">
        <v>1019</v>
      </c>
      <c r="F126" s="118">
        <f>24741.26</f>
        <v>24741.26</v>
      </c>
      <c r="G126" s="118"/>
      <c r="H126" s="118">
        <f t="shared" si="113"/>
        <v>74223.78</v>
      </c>
      <c r="I126" s="118">
        <f t="shared" si="114"/>
        <v>1855.5945</v>
      </c>
      <c r="J126" s="118"/>
      <c r="K126" s="118">
        <f t="shared" si="115"/>
        <v>12370.63</v>
      </c>
      <c r="L126" s="118">
        <f t="shared" si="116"/>
        <v>86594.41</v>
      </c>
      <c r="M126" s="118">
        <f t="shared" si="117"/>
        <v>24741.26</v>
      </c>
      <c r="N126" s="44"/>
      <c r="O126" s="44">
        <f t="shared" ref="O126:O128" si="126">70000</f>
        <v>70000</v>
      </c>
      <c r="P126" s="118">
        <f t="shared" si="118"/>
        <v>2474.126</v>
      </c>
      <c r="Q126" s="118">
        <v>15000</v>
      </c>
      <c r="R126" s="118">
        <f>30000</f>
        <v>30000</v>
      </c>
      <c r="S126" s="118">
        <f t="shared" si="119"/>
        <v>342001.0605</v>
      </c>
      <c r="T126" s="118">
        <v>334201.026</v>
      </c>
      <c r="U126" s="118">
        <f t="shared" si="60"/>
        <v>7800.03449999995</v>
      </c>
      <c r="V126" s="118"/>
      <c r="W126" s="118">
        <f>7709.76</f>
        <v>7709.76</v>
      </c>
      <c r="X126" s="118">
        <v>7709.76</v>
      </c>
      <c r="Y126" s="118">
        <f t="shared" si="61"/>
        <v>0</v>
      </c>
      <c r="Z126" s="118"/>
      <c r="AA126" s="118"/>
      <c r="AB126" s="118"/>
    </row>
    <row r="127" customHeight="1" spans="1:28">
      <c r="A127" s="43">
        <v>8</v>
      </c>
      <c r="B127" s="117" t="s">
        <v>225</v>
      </c>
      <c r="C127" s="117"/>
      <c r="D127" s="117" t="s">
        <v>1039</v>
      </c>
      <c r="E127" s="119" t="s">
        <v>1019</v>
      </c>
      <c r="F127" s="118">
        <f>24741.26</f>
        <v>24741.26</v>
      </c>
      <c r="G127" s="118"/>
      <c r="H127" s="118">
        <f t="shared" si="113"/>
        <v>74223.78</v>
      </c>
      <c r="I127" s="118">
        <f t="shared" si="114"/>
        <v>1855.5945</v>
      </c>
      <c r="J127" s="118"/>
      <c r="K127" s="118">
        <f t="shared" si="115"/>
        <v>12370.63</v>
      </c>
      <c r="L127" s="118">
        <f t="shared" si="116"/>
        <v>86594.41</v>
      </c>
      <c r="M127" s="118">
        <f t="shared" si="117"/>
        <v>24741.26</v>
      </c>
      <c r="N127" s="44"/>
      <c r="O127" s="44">
        <f t="shared" si="126"/>
        <v>70000</v>
      </c>
      <c r="P127" s="118">
        <f t="shared" si="118"/>
        <v>2474.126</v>
      </c>
      <c r="Q127" s="118">
        <v>15000</v>
      </c>
      <c r="R127" s="118"/>
      <c r="S127" s="118">
        <f t="shared" si="119"/>
        <v>312001.0605</v>
      </c>
      <c r="T127" s="118">
        <v>304201.026</v>
      </c>
      <c r="U127" s="118">
        <f t="shared" si="60"/>
        <v>7800.03449999995</v>
      </c>
      <c r="V127" s="118"/>
      <c r="W127" s="118">
        <f>7709.76</f>
        <v>7709.76</v>
      </c>
      <c r="X127" s="118">
        <v>7709.76</v>
      </c>
      <c r="Y127" s="118">
        <f t="shared" si="61"/>
        <v>0</v>
      </c>
      <c r="Z127" s="118"/>
      <c r="AA127" s="118"/>
      <c r="AB127" s="118"/>
    </row>
    <row r="128" customHeight="1" spans="1:28">
      <c r="A128" s="43">
        <v>9</v>
      </c>
      <c r="B128" s="115" t="s">
        <v>1209</v>
      </c>
      <c r="C128" s="116"/>
      <c r="D128" s="117" t="s">
        <v>1210</v>
      </c>
      <c r="E128" s="119" t="s">
        <v>1020</v>
      </c>
      <c r="F128" s="118">
        <f>23891.12</f>
        <v>23891.12</v>
      </c>
      <c r="G128" s="118"/>
      <c r="H128" s="118">
        <f t="shared" si="113"/>
        <v>71673.36</v>
      </c>
      <c r="I128" s="118">
        <f t="shared" si="114"/>
        <v>1791.834</v>
      </c>
      <c r="J128" s="118"/>
      <c r="K128" s="118">
        <f t="shared" si="115"/>
        <v>11945.56</v>
      </c>
      <c r="L128" s="118">
        <f t="shared" si="116"/>
        <v>83618.92</v>
      </c>
      <c r="M128" s="118">
        <f t="shared" si="117"/>
        <v>23891.12</v>
      </c>
      <c r="N128" s="44"/>
      <c r="O128" s="44">
        <f t="shared" si="126"/>
        <v>70000</v>
      </c>
      <c r="P128" s="118">
        <f t="shared" si="118"/>
        <v>2389.112</v>
      </c>
      <c r="Q128" s="118">
        <v>15000</v>
      </c>
      <c r="R128" s="118"/>
      <c r="S128" s="118">
        <f t="shared" si="119"/>
        <v>304201.026</v>
      </c>
      <c r="T128" s="118">
        <v>296713.03325</v>
      </c>
      <c r="U128" s="118">
        <f t="shared" si="60"/>
        <v>7487.99275000003</v>
      </c>
      <c r="V128" s="118"/>
      <c r="W128" s="118">
        <f>7709.76</f>
        <v>7709.76</v>
      </c>
      <c r="X128" s="118">
        <v>7709.76</v>
      </c>
      <c r="Y128" s="118">
        <f t="shared" si="61"/>
        <v>0</v>
      </c>
      <c r="Z128" s="118"/>
      <c r="AA128" s="118"/>
      <c r="AB128" s="118"/>
    </row>
    <row r="129" customHeight="1" spans="1:28">
      <c r="A129" s="43"/>
      <c r="B129" s="129" t="s">
        <v>96</v>
      </c>
      <c r="C129" s="129"/>
      <c r="D129" s="162" t="s">
        <v>1189</v>
      </c>
      <c r="E129" s="119"/>
      <c r="F129" s="153">
        <f>SUM(F120:F128)</f>
        <v>321324.12</v>
      </c>
      <c r="G129" s="153"/>
      <c r="H129" s="153">
        <f t="shared" ref="H129:M129" si="127">SUM(H120:H128)</f>
        <v>963972.36</v>
      </c>
      <c r="I129" s="153">
        <f t="shared" si="127"/>
        <v>24099.309</v>
      </c>
      <c r="J129" s="153">
        <f t="shared" si="127"/>
        <v>240733.14</v>
      </c>
      <c r="K129" s="153">
        <f t="shared" si="127"/>
        <v>160662.06</v>
      </c>
      <c r="L129" s="153">
        <f t="shared" si="127"/>
        <v>1124634.42</v>
      </c>
      <c r="M129" s="153">
        <f t="shared" si="127"/>
        <v>321324.12</v>
      </c>
      <c r="N129" s="148"/>
      <c r="O129" s="148">
        <f>SUM(O120:O128)</f>
        <v>710000</v>
      </c>
      <c r="P129" s="153">
        <f>SUM(P120:P128)</f>
        <v>32132.412</v>
      </c>
      <c r="Q129" s="153">
        <f>SUM(Q120:Q128)</f>
        <v>160000</v>
      </c>
      <c r="R129" s="153">
        <f>SUM(R120:R128)</f>
        <v>330000</v>
      </c>
      <c r="S129" s="153">
        <f>SUM(S120:S128)</f>
        <v>4388881.941</v>
      </c>
      <c r="T129" s="153">
        <v>4347200.8335</v>
      </c>
      <c r="U129" s="154">
        <f t="shared" si="60"/>
        <v>41681.1075000009</v>
      </c>
      <c r="V129" s="153"/>
      <c r="W129" s="153">
        <f t="shared" ref="W129" si="128">SUM(W120:W128)</f>
        <v>151878.75</v>
      </c>
      <c r="X129" s="153">
        <v>151878.75</v>
      </c>
      <c r="Y129" s="118">
        <f t="shared" si="61"/>
        <v>0</v>
      </c>
      <c r="Z129" s="153"/>
      <c r="AA129" s="153"/>
      <c r="AB129" s="153"/>
    </row>
    <row r="130" customHeight="1" spans="1:28">
      <c r="A130" s="43"/>
      <c r="B130" s="129"/>
      <c r="C130" s="129"/>
      <c r="D130" s="162"/>
      <c r="E130" s="119"/>
      <c r="F130" s="153"/>
      <c r="G130" s="153"/>
      <c r="H130" s="153"/>
      <c r="I130" s="153"/>
      <c r="J130" s="153"/>
      <c r="K130" s="153"/>
      <c r="L130" s="153"/>
      <c r="M130" s="153"/>
      <c r="N130" s="44"/>
      <c r="O130" s="44"/>
      <c r="P130" s="153"/>
      <c r="Q130" s="153"/>
      <c r="R130" s="153"/>
      <c r="S130" s="153"/>
      <c r="T130" s="153"/>
      <c r="U130" s="118">
        <f t="shared" si="60"/>
        <v>0</v>
      </c>
      <c r="V130" s="153"/>
      <c r="W130" s="153"/>
      <c r="X130" s="153"/>
      <c r="Y130" s="118">
        <f t="shared" si="61"/>
        <v>0</v>
      </c>
      <c r="Z130" s="153"/>
      <c r="AA130" s="153"/>
      <c r="AB130" s="153"/>
    </row>
    <row r="131" customHeight="1" spans="1:28">
      <c r="A131" s="43"/>
      <c r="B131" s="129" t="s">
        <v>1247</v>
      </c>
      <c r="C131" s="129"/>
      <c r="D131" s="117"/>
      <c r="E131" s="119"/>
      <c r="F131" s="118"/>
      <c r="G131" s="118"/>
      <c r="H131" s="118"/>
      <c r="I131" s="118"/>
      <c r="J131" s="118"/>
      <c r="K131" s="118"/>
      <c r="L131" s="118"/>
      <c r="M131" s="118"/>
      <c r="N131" s="44"/>
      <c r="O131" s="44"/>
      <c r="P131" s="118"/>
      <c r="Q131" s="118"/>
      <c r="R131" s="118"/>
      <c r="S131" s="118"/>
      <c r="T131" s="118"/>
      <c r="U131" s="118">
        <f t="shared" si="60"/>
        <v>0</v>
      </c>
      <c r="V131" s="118"/>
      <c r="W131" s="118"/>
      <c r="X131" s="118"/>
      <c r="Y131" s="118">
        <f t="shared" si="61"/>
        <v>0</v>
      </c>
      <c r="Z131" s="118"/>
      <c r="AA131" s="118"/>
      <c r="AB131" s="118"/>
    </row>
    <row r="132" customHeight="1" spans="1:28">
      <c r="A132" s="43">
        <v>1</v>
      </c>
      <c r="B132" s="117" t="s">
        <v>1248</v>
      </c>
      <c r="C132" s="117"/>
      <c r="D132" s="117" t="s">
        <v>1249</v>
      </c>
      <c r="E132" s="119" t="s">
        <v>100</v>
      </c>
      <c r="F132" s="118">
        <v>81740.02</v>
      </c>
      <c r="G132" s="118"/>
      <c r="H132" s="118">
        <f>F132*300%</f>
        <v>245220.06</v>
      </c>
      <c r="I132" s="118">
        <f>F132*7.5%</f>
        <v>6130.5015</v>
      </c>
      <c r="J132" s="118">
        <v>80244.38</v>
      </c>
      <c r="K132" s="118">
        <f>F132*50%</f>
        <v>40870.01</v>
      </c>
      <c r="L132" s="118">
        <f>F132*350%</f>
        <v>286090.07</v>
      </c>
      <c r="M132" s="118">
        <f>F132*100%</f>
        <v>81740.02</v>
      </c>
      <c r="N132" s="44"/>
      <c r="O132" s="44">
        <f>100000</f>
        <v>100000</v>
      </c>
      <c r="P132" s="118">
        <f>F132*10%</f>
        <v>8174.002</v>
      </c>
      <c r="Q132" s="118">
        <v>20000</v>
      </c>
      <c r="R132" s="118">
        <v>0</v>
      </c>
      <c r="S132" s="118">
        <f>SUM(F132:R132)</f>
        <v>950209.0635</v>
      </c>
      <c r="T132" s="118">
        <v>950209.0635</v>
      </c>
      <c r="U132" s="118">
        <f t="shared" si="60"/>
        <v>0</v>
      </c>
      <c r="V132" s="118"/>
      <c r="W132" s="118">
        <v>52776.63</v>
      </c>
      <c r="X132" s="118">
        <v>52776.63</v>
      </c>
      <c r="Y132" s="118">
        <f t="shared" si="61"/>
        <v>0</v>
      </c>
      <c r="Z132" s="118"/>
      <c r="AA132" s="118"/>
      <c r="AB132" s="118"/>
    </row>
    <row r="133" customHeight="1" spans="1:28">
      <c r="A133" s="43">
        <v>2</v>
      </c>
      <c r="B133" s="117" t="s">
        <v>235</v>
      </c>
      <c r="C133" s="117"/>
      <c r="D133" s="117" t="s">
        <v>236</v>
      </c>
      <c r="E133" s="119" t="s">
        <v>100</v>
      </c>
      <c r="F133" s="118">
        <f>81740.02</f>
        <v>81740.02</v>
      </c>
      <c r="G133" s="118"/>
      <c r="H133" s="118">
        <f>F133*300%</f>
        <v>245220.06</v>
      </c>
      <c r="I133" s="118">
        <f>F133*7.5%</f>
        <v>6130.5015</v>
      </c>
      <c r="J133" s="118">
        <f>80244.38</f>
        <v>80244.38</v>
      </c>
      <c r="K133" s="118">
        <f>F133*50%</f>
        <v>40870.01</v>
      </c>
      <c r="L133" s="118">
        <f>F133*350%</f>
        <v>286090.07</v>
      </c>
      <c r="M133" s="118">
        <f>F133*100%</f>
        <v>81740.02</v>
      </c>
      <c r="N133" s="44"/>
      <c r="O133" s="44">
        <f>100000</f>
        <v>100000</v>
      </c>
      <c r="P133" s="118">
        <f>F133*10%</f>
        <v>8174.002</v>
      </c>
      <c r="Q133" s="118">
        <v>20000</v>
      </c>
      <c r="R133" s="118">
        <v>0</v>
      </c>
      <c r="S133" s="118">
        <f>SUM(F133:R133)</f>
        <v>950209.0635</v>
      </c>
      <c r="T133" s="118">
        <v>950209.0635</v>
      </c>
      <c r="U133" s="118">
        <f t="shared" si="60"/>
        <v>0</v>
      </c>
      <c r="V133" s="118"/>
      <c r="W133" s="118">
        <f>52776.63</f>
        <v>52776.63</v>
      </c>
      <c r="X133" s="118">
        <v>52776.63</v>
      </c>
      <c r="Y133" s="118">
        <f t="shared" si="61"/>
        <v>0</v>
      </c>
      <c r="Z133" s="118"/>
      <c r="AA133" s="118"/>
      <c r="AB133" s="118"/>
    </row>
    <row r="134" customHeight="1" spans="1:28">
      <c r="A134" s="43">
        <v>3</v>
      </c>
      <c r="B134" s="166" t="s">
        <v>524</v>
      </c>
      <c r="C134" s="166"/>
      <c r="D134" s="117" t="s">
        <v>575</v>
      </c>
      <c r="E134" s="119" t="s">
        <v>189</v>
      </c>
      <c r="F134" s="118">
        <f>42653.17</f>
        <v>42653.17</v>
      </c>
      <c r="G134" s="118"/>
      <c r="H134" s="118">
        <f t="shared" ref="H134:H186" si="129">F134*300%</f>
        <v>127959.51</v>
      </c>
      <c r="I134" s="118">
        <f t="shared" ref="I134:I186" si="130">F134*7.5%</f>
        <v>3198.98775</v>
      </c>
      <c r="J134" s="118">
        <v>40122.19</v>
      </c>
      <c r="K134" s="118">
        <f t="shared" ref="K134:K186" si="131">F134*50%</f>
        <v>21326.585</v>
      </c>
      <c r="L134" s="118">
        <f t="shared" ref="L134:L186" si="132">F134*350%</f>
        <v>149286.095</v>
      </c>
      <c r="M134" s="118">
        <f t="shared" ref="M134:M155" si="133">F134*100%</f>
        <v>42653.17</v>
      </c>
      <c r="N134" s="44"/>
      <c r="O134" s="44">
        <f>90000</f>
        <v>90000</v>
      </c>
      <c r="P134" s="118">
        <f t="shared" ref="P134:P155" si="134">F134*10%</f>
        <v>4265.317</v>
      </c>
      <c r="Q134" s="118">
        <v>20000</v>
      </c>
      <c r="R134" s="118">
        <v>0</v>
      </c>
      <c r="S134" s="118">
        <f t="shared" ref="S134:S154" si="135">SUM(F134:R134)</f>
        <v>541465.02475</v>
      </c>
      <c r="T134" s="118">
        <v>541465.02475</v>
      </c>
      <c r="U134" s="118">
        <f t="shared" si="60"/>
        <v>0</v>
      </c>
      <c r="V134" s="118"/>
      <c r="W134" s="118">
        <f>21618.09</f>
        <v>21618.09</v>
      </c>
      <c r="X134" s="118">
        <v>21618.09</v>
      </c>
      <c r="Y134" s="118">
        <f t="shared" si="61"/>
        <v>0</v>
      </c>
      <c r="Z134" s="118"/>
      <c r="AA134" s="118"/>
      <c r="AB134" s="118"/>
    </row>
    <row r="135" customHeight="1" spans="1:28">
      <c r="A135" s="43">
        <v>4</v>
      </c>
      <c r="B135" s="136" t="s">
        <v>237</v>
      </c>
      <c r="C135" s="137"/>
      <c r="D135" s="4" t="s">
        <v>1250</v>
      </c>
      <c r="E135" s="16" t="s">
        <v>36</v>
      </c>
      <c r="F135" s="118">
        <v>33507.5</v>
      </c>
      <c r="G135" s="85"/>
      <c r="H135" s="85">
        <f t="shared" si="129"/>
        <v>100522.5</v>
      </c>
      <c r="I135" s="85">
        <f t="shared" si="130"/>
        <v>2513.0625</v>
      </c>
      <c r="J135" s="85">
        <v>40122.19</v>
      </c>
      <c r="K135" s="85">
        <f t="shared" si="131"/>
        <v>16753.75</v>
      </c>
      <c r="L135" s="85">
        <f t="shared" si="132"/>
        <v>117276.25</v>
      </c>
      <c r="M135" s="85">
        <f t="shared" si="133"/>
        <v>33507.5</v>
      </c>
      <c r="N135" s="44"/>
      <c r="O135" s="44">
        <v>80000</v>
      </c>
      <c r="P135" s="85">
        <f t="shared" si="134"/>
        <v>3350.75</v>
      </c>
      <c r="Q135" s="85">
        <v>20000</v>
      </c>
      <c r="R135" s="85">
        <v>50000</v>
      </c>
      <c r="S135" s="118">
        <f t="shared" si="135"/>
        <v>497553.5025</v>
      </c>
      <c r="T135" s="118">
        <v>497553.5025</v>
      </c>
      <c r="U135" s="118">
        <f t="shared" si="60"/>
        <v>0</v>
      </c>
      <c r="V135" s="85"/>
      <c r="W135" s="85">
        <v>15548.33</v>
      </c>
      <c r="X135" s="85">
        <v>15548.33</v>
      </c>
      <c r="Y135" s="118">
        <f t="shared" si="61"/>
        <v>0</v>
      </c>
      <c r="Z135" s="118"/>
      <c r="AA135" s="118"/>
      <c r="AB135" s="118"/>
    </row>
    <row r="136" customHeight="1" spans="1:28">
      <c r="A136" s="43">
        <v>5</v>
      </c>
      <c r="B136" s="136" t="s">
        <v>1251</v>
      </c>
      <c r="C136" s="137"/>
      <c r="D136" s="4" t="s">
        <v>1252</v>
      </c>
      <c r="E136" s="16" t="s">
        <v>36</v>
      </c>
      <c r="F136" s="118">
        <v>33507.5</v>
      </c>
      <c r="G136" s="85"/>
      <c r="H136" s="85">
        <f t="shared" si="129"/>
        <v>100522.5</v>
      </c>
      <c r="I136" s="85">
        <f t="shared" si="130"/>
        <v>2513.0625</v>
      </c>
      <c r="J136" s="85">
        <v>40122.19</v>
      </c>
      <c r="K136" s="85">
        <f t="shared" si="131"/>
        <v>16753.75</v>
      </c>
      <c r="L136" s="85">
        <f t="shared" si="132"/>
        <v>117276.25</v>
      </c>
      <c r="M136" s="85">
        <f t="shared" si="133"/>
        <v>33507.5</v>
      </c>
      <c r="N136" s="44"/>
      <c r="O136" s="44">
        <v>80000</v>
      </c>
      <c r="P136" s="85">
        <f t="shared" si="134"/>
        <v>3350.75</v>
      </c>
      <c r="Q136" s="85">
        <v>20000</v>
      </c>
      <c r="R136" s="85"/>
      <c r="S136" s="118">
        <f t="shared" si="135"/>
        <v>447553.5025</v>
      </c>
      <c r="T136" s="118">
        <v>447553.5025</v>
      </c>
      <c r="U136" s="118">
        <f t="shared" si="60"/>
        <v>0</v>
      </c>
      <c r="V136" s="85"/>
      <c r="W136" s="85">
        <v>15548.33</v>
      </c>
      <c r="X136" s="85">
        <v>15548.33</v>
      </c>
      <c r="Y136" s="118">
        <f t="shared" si="61"/>
        <v>0</v>
      </c>
      <c r="Z136" s="118"/>
      <c r="AA136" s="118"/>
      <c r="AB136" s="118"/>
    </row>
    <row r="137" customHeight="1" spans="1:28">
      <c r="A137" s="43">
        <v>6</v>
      </c>
      <c r="B137" s="117" t="s">
        <v>239</v>
      </c>
      <c r="C137" s="117"/>
      <c r="D137" s="117" t="s">
        <v>582</v>
      </c>
      <c r="E137" s="119" t="s">
        <v>148</v>
      </c>
      <c r="F137" s="118">
        <f>26732.65</f>
        <v>26732.65</v>
      </c>
      <c r="G137" s="118"/>
      <c r="H137" s="118">
        <f t="shared" si="129"/>
        <v>80197.95</v>
      </c>
      <c r="I137" s="118">
        <f t="shared" si="130"/>
        <v>2004.94875</v>
      </c>
      <c r="J137" s="118">
        <v>0</v>
      </c>
      <c r="K137" s="118">
        <f t="shared" si="131"/>
        <v>13366.325</v>
      </c>
      <c r="L137" s="118">
        <f t="shared" si="132"/>
        <v>93564.275</v>
      </c>
      <c r="M137" s="118">
        <f t="shared" si="133"/>
        <v>26732.65</v>
      </c>
      <c r="N137" s="44"/>
      <c r="O137" s="44">
        <v>70000</v>
      </c>
      <c r="P137" s="118">
        <f t="shared" si="134"/>
        <v>2673.265</v>
      </c>
      <c r="Q137" s="85">
        <v>20000</v>
      </c>
      <c r="R137" s="118"/>
      <c r="S137" s="118">
        <f t="shared" si="135"/>
        <v>335272.06375</v>
      </c>
      <c r="T137" s="118">
        <v>327211.3675</v>
      </c>
      <c r="U137" s="118">
        <f t="shared" si="60"/>
        <v>8060.69624999998</v>
      </c>
      <c r="V137" s="118"/>
      <c r="W137" s="118">
        <v>7709.76</v>
      </c>
      <c r="X137" s="118">
        <v>7709.76</v>
      </c>
      <c r="Y137" s="118">
        <f t="shared" si="61"/>
        <v>0</v>
      </c>
      <c r="Z137" s="118"/>
      <c r="AA137" s="118"/>
      <c r="AB137" s="118"/>
    </row>
    <row r="138" customHeight="1" spans="1:28">
      <c r="A138" s="43">
        <v>7</v>
      </c>
      <c r="B138" s="117" t="s">
        <v>241</v>
      </c>
      <c r="C138" s="117"/>
      <c r="D138" s="43" t="s">
        <v>583</v>
      </c>
      <c r="E138" s="119" t="s">
        <v>148</v>
      </c>
      <c r="F138" s="118">
        <f t="shared" ref="F138:F139" si="136">26732.65</f>
        <v>26732.65</v>
      </c>
      <c r="G138" s="118"/>
      <c r="H138" s="118">
        <f t="shared" si="129"/>
        <v>80197.95</v>
      </c>
      <c r="I138" s="118">
        <f t="shared" si="130"/>
        <v>2004.94875</v>
      </c>
      <c r="J138" s="118">
        <v>0</v>
      </c>
      <c r="K138" s="118">
        <f t="shared" si="131"/>
        <v>13366.325</v>
      </c>
      <c r="L138" s="118">
        <f t="shared" si="132"/>
        <v>93564.275</v>
      </c>
      <c r="M138" s="118">
        <f t="shared" si="133"/>
        <v>26732.65</v>
      </c>
      <c r="N138" s="44"/>
      <c r="O138" s="44">
        <v>70000</v>
      </c>
      <c r="P138" s="118">
        <f t="shared" si="134"/>
        <v>2673.265</v>
      </c>
      <c r="Q138" s="85">
        <v>20000</v>
      </c>
      <c r="R138" s="118">
        <v>0</v>
      </c>
      <c r="S138" s="118">
        <f t="shared" si="135"/>
        <v>335272.06375</v>
      </c>
      <c r="T138" s="118">
        <v>327211.3675</v>
      </c>
      <c r="U138" s="118">
        <f t="shared" ref="U138:U186" si="137">S138-T138</f>
        <v>8060.69624999998</v>
      </c>
      <c r="V138" s="118"/>
      <c r="W138" s="118">
        <v>7709.76</v>
      </c>
      <c r="X138" s="118">
        <v>7709.76</v>
      </c>
      <c r="Y138" s="118">
        <f t="shared" ref="Y138:Y186" si="138">X138-W138</f>
        <v>0</v>
      </c>
      <c r="Z138" s="118"/>
      <c r="AA138" s="118"/>
      <c r="AB138" s="118"/>
    </row>
    <row r="139" customHeight="1" spans="1:28">
      <c r="A139" s="43">
        <v>8</v>
      </c>
      <c r="B139" s="117" t="s">
        <v>243</v>
      </c>
      <c r="C139" s="117"/>
      <c r="D139" s="43" t="s">
        <v>583</v>
      </c>
      <c r="E139" s="119" t="s">
        <v>148</v>
      </c>
      <c r="F139" s="118">
        <f t="shared" si="136"/>
        <v>26732.65</v>
      </c>
      <c r="G139" s="118"/>
      <c r="H139" s="118">
        <f t="shared" si="129"/>
        <v>80197.95</v>
      </c>
      <c r="I139" s="118">
        <f t="shared" si="130"/>
        <v>2004.94875</v>
      </c>
      <c r="J139" s="118">
        <v>0</v>
      </c>
      <c r="K139" s="118">
        <f t="shared" si="131"/>
        <v>13366.325</v>
      </c>
      <c r="L139" s="118">
        <f t="shared" si="132"/>
        <v>93564.275</v>
      </c>
      <c r="M139" s="118">
        <f t="shared" si="133"/>
        <v>26732.65</v>
      </c>
      <c r="N139" s="44"/>
      <c r="O139" s="44">
        <v>70000</v>
      </c>
      <c r="P139" s="118">
        <f t="shared" si="134"/>
        <v>2673.265</v>
      </c>
      <c r="Q139" s="85">
        <v>20000</v>
      </c>
      <c r="R139" s="118">
        <v>0</v>
      </c>
      <c r="S139" s="118">
        <f t="shared" si="135"/>
        <v>335272.06375</v>
      </c>
      <c r="T139" s="118">
        <v>327211.3675</v>
      </c>
      <c r="U139" s="118">
        <v>0</v>
      </c>
      <c r="V139" s="118"/>
      <c r="W139" s="118">
        <v>7709.76</v>
      </c>
      <c r="X139" s="118">
        <v>7709.76</v>
      </c>
      <c r="Y139" s="118">
        <f t="shared" si="138"/>
        <v>0</v>
      </c>
      <c r="Z139" s="118"/>
      <c r="AA139" s="118"/>
      <c r="AB139" s="118"/>
    </row>
    <row r="140" customHeight="1" spans="1:28">
      <c r="A140" s="43">
        <v>9</v>
      </c>
      <c r="B140" s="117" t="s">
        <v>176</v>
      </c>
      <c r="C140" s="117"/>
      <c r="D140" s="43" t="s">
        <v>585</v>
      </c>
      <c r="E140" s="119" t="s">
        <v>1019</v>
      </c>
      <c r="F140" s="118">
        <f>24741.26</f>
        <v>24741.26</v>
      </c>
      <c r="G140" s="118"/>
      <c r="H140" s="118">
        <f t="shared" si="129"/>
        <v>74223.78</v>
      </c>
      <c r="I140" s="118">
        <f t="shared" si="130"/>
        <v>1855.5945</v>
      </c>
      <c r="J140" s="118">
        <v>0</v>
      </c>
      <c r="K140" s="118">
        <f t="shared" si="131"/>
        <v>12370.63</v>
      </c>
      <c r="L140" s="118">
        <f t="shared" si="132"/>
        <v>86594.41</v>
      </c>
      <c r="M140" s="118">
        <f t="shared" si="133"/>
        <v>24741.26</v>
      </c>
      <c r="N140" s="44"/>
      <c r="O140" s="44">
        <v>70000</v>
      </c>
      <c r="P140" s="118">
        <f t="shared" si="134"/>
        <v>2474.126</v>
      </c>
      <c r="Q140" s="118">
        <v>15000</v>
      </c>
      <c r="R140" s="118">
        <v>0</v>
      </c>
      <c r="S140" s="118">
        <f t="shared" si="135"/>
        <v>312001.0605</v>
      </c>
      <c r="T140" s="118">
        <v>304201.026</v>
      </c>
      <c r="U140" s="118">
        <f t="shared" si="137"/>
        <v>7800.03449999995</v>
      </c>
      <c r="V140" s="118"/>
      <c r="W140" s="118">
        <f>7709.76</f>
        <v>7709.76</v>
      </c>
      <c r="X140" s="118">
        <v>7709.76</v>
      </c>
      <c r="Y140" s="118">
        <f t="shared" si="138"/>
        <v>0</v>
      </c>
      <c r="Z140" s="118"/>
      <c r="AA140" s="118"/>
      <c r="AB140" s="118"/>
    </row>
    <row r="141" customHeight="1" spans="1:28">
      <c r="A141" s="43">
        <v>10</v>
      </c>
      <c r="B141" s="115" t="s">
        <v>178</v>
      </c>
      <c r="C141" s="116"/>
      <c r="D141" s="117" t="s">
        <v>584</v>
      </c>
      <c r="E141" s="119" t="s">
        <v>135</v>
      </c>
      <c r="F141" s="118">
        <f>21520.88</f>
        <v>21520.88</v>
      </c>
      <c r="G141" s="118"/>
      <c r="H141" s="118">
        <f t="shared" si="129"/>
        <v>64562.64</v>
      </c>
      <c r="I141" s="118">
        <f t="shared" si="130"/>
        <v>1614.066</v>
      </c>
      <c r="J141" s="118">
        <v>0</v>
      </c>
      <c r="K141" s="118">
        <f t="shared" si="131"/>
        <v>10760.44</v>
      </c>
      <c r="L141" s="118">
        <f t="shared" si="132"/>
        <v>75323.08</v>
      </c>
      <c r="M141" s="118">
        <f t="shared" si="133"/>
        <v>21520.88</v>
      </c>
      <c r="N141" s="44"/>
      <c r="O141" s="44">
        <f t="shared" ref="O141:O149" si="139">60000</f>
        <v>60000</v>
      </c>
      <c r="P141" s="118">
        <f t="shared" si="134"/>
        <v>2152.088</v>
      </c>
      <c r="Q141" s="118">
        <v>15000</v>
      </c>
      <c r="R141" s="118">
        <v>0</v>
      </c>
      <c r="S141" s="118">
        <f t="shared" si="135"/>
        <v>272454.074</v>
      </c>
      <c r="T141" s="118">
        <v>265372.075</v>
      </c>
      <c r="U141" s="118">
        <f t="shared" si="137"/>
        <v>7081.99900000001</v>
      </c>
      <c r="V141" s="118"/>
      <c r="W141" s="118">
        <f>3369.51</f>
        <v>3369.51</v>
      </c>
      <c r="X141" s="118">
        <v>3369.51</v>
      </c>
      <c r="Y141" s="118">
        <f t="shared" si="138"/>
        <v>0</v>
      </c>
      <c r="Z141" s="118"/>
      <c r="AA141" s="118"/>
      <c r="AB141" s="118"/>
    </row>
    <row r="142" customHeight="1" spans="1:28">
      <c r="A142" s="43">
        <v>11</v>
      </c>
      <c r="B142" s="117" t="s">
        <v>244</v>
      </c>
      <c r="C142" s="117"/>
      <c r="D142" s="117" t="s">
        <v>584</v>
      </c>
      <c r="E142" s="119" t="s">
        <v>135</v>
      </c>
      <c r="F142" s="118">
        <f t="shared" ref="F142:F143" si="140">21520.88</f>
        <v>21520.88</v>
      </c>
      <c r="G142" s="118"/>
      <c r="H142" s="118">
        <f t="shared" si="129"/>
        <v>64562.64</v>
      </c>
      <c r="I142" s="118">
        <f t="shared" si="130"/>
        <v>1614.066</v>
      </c>
      <c r="J142" s="118">
        <v>0</v>
      </c>
      <c r="K142" s="118">
        <f t="shared" si="131"/>
        <v>10760.44</v>
      </c>
      <c r="L142" s="118">
        <f t="shared" si="132"/>
        <v>75323.08</v>
      </c>
      <c r="M142" s="85">
        <f t="shared" si="133"/>
        <v>21520.88</v>
      </c>
      <c r="N142" s="44"/>
      <c r="O142" s="44">
        <f t="shared" si="139"/>
        <v>60000</v>
      </c>
      <c r="P142" s="118">
        <f t="shared" si="134"/>
        <v>2152.088</v>
      </c>
      <c r="Q142" s="118">
        <v>15000</v>
      </c>
      <c r="R142" s="118">
        <v>0</v>
      </c>
      <c r="S142" s="118">
        <f t="shared" si="135"/>
        <v>272454.074</v>
      </c>
      <c r="T142" s="118">
        <v>265372.075</v>
      </c>
      <c r="U142" s="118">
        <f t="shared" si="137"/>
        <v>7081.99900000001</v>
      </c>
      <c r="V142" s="118"/>
      <c r="W142" s="118">
        <v>3369.51</v>
      </c>
      <c r="X142" s="118">
        <v>3369.51</v>
      </c>
      <c r="Y142" s="118">
        <f t="shared" si="138"/>
        <v>0</v>
      </c>
      <c r="Z142" s="118"/>
      <c r="AA142" s="118"/>
      <c r="AB142" s="118"/>
    </row>
    <row r="143" customHeight="1" spans="1:28">
      <c r="A143" s="43">
        <v>12</v>
      </c>
      <c r="B143" s="115" t="s">
        <v>245</v>
      </c>
      <c r="C143" s="116"/>
      <c r="D143" s="43" t="s">
        <v>585</v>
      </c>
      <c r="E143" s="119" t="s">
        <v>135</v>
      </c>
      <c r="F143" s="118">
        <f t="shared" si="140"/>
        <v>21520.88</v>
      </c>
      <c r="G143" s="118"/>
      <c r="H143" s="118">
        <f t="shared" si="129"/>
        <v>64562.64</v>
      </c>
      <c r="I143" s="118">
        <f t="shared" si="130"/>
        <v>1614.066</v>
      </c>
      <c r="J143" s="118"/>
      <c r="K143" s="118">
        <f t="shared" si="131"/>
        <v>10760.44</v>
      </c>
      <c r="L143" s="118">
        <f t="shared" si="132"/>
        <v>75323.08</v>
      </c>
      <c r="M143" s="118">
        <f t="shared" si="133"/>
        <v>21520.88</v>
      </c>
      <c r="N143" s="44"/>
      <c r="O143" s="44">
        <f t="shared" si="139"/>
        <v>60000</v>
      </c>
      <c r="P143" s="118">
        <f t="shared" si="134"/>
        <v>2152.088</v>
      </c>
      <c r="Q143" s="118">
        <v>15000</v>
      </c>
      <c r="R143" s="118"/>
      <c r="S143" s="118">
        <f t="shared" si="135"/>
        <v>272454.074</v>
      </c>
      <c r="T143" s="118">
        <v>265372.075</v>
      </c>
      <c r="U143" s="118">
        <f t="shared" si="137"/>
        <v>7081.99900000001</v>
      </c>
      <c r="V143" s="118"/>
      <c r="W143" s="118">
        <v>3369.51</v>
      </c>
      <c r="X143" s="118">
        <v>3369.51</v>
      </c>
      <c r="Y143" s="118">
        <f t="shared" si="138"/>
        <v>0</v>
      </c>
      <c r="Z143" s="118"/>
      <c r="AA143" s="118"/>
      <c r="AB143" s="118"/>
    </row>
    <row r="144" customHeight="1" spans="1:28">
      <c r="A144" s="43">
        <v>13</v>
      </c>
      <c r="B144" s="115" t="s">
        <v>247</v>
      </c>
      <c r="C144" s="116"/>
      <c r="D144" s="43" t="s">
        <v>586</v>
      </c>
      <c r="E144" s="119" t="s">
        <v>587</v>
      </c>
      <c r="F144" s="85">
        <f>18779.3</f>
        <v>18779.3</v>
      </c>
      <c r="G144" s="118"/>
      <c r="H144" s="118">
        <f t="shared" si="129"/>
        <v>56337.9</v>
      </c>
      <c r="I144" s="118">
        <f t="shared" si="130"/>
        <v>1408.4475</v>
      </c>
      <c r="J144" s="118"/>
      <c r="K144" s="118">
        <f t="shared" si="131"/>
        <v>9389.65</v>
      </c>
      <c r="L144" s="118">
        <f t="shared" si="132"/>
        <v>65727.55</v>
      </c>
      <c r="M144" s="85">
        <f t="shared" si="133"/>
        <v>18779.3</v>
      </c>
      <c r="N144" s="44"/>
      <c r="O144" s="44">
        <f t="shared" si="139"/>
        <v>60000</v>
      </c>
      <c r="P144" s="118">
        <f t="shared" si="134"/>
        <v>1877.93</v>
      </c>
      <c r="Q144" s="118">
        <v>10000</v>
      </c>
      <c r="R144" s="118"/>
      <c r="S144" s="118">
        <f t="shared" si="135"/>
        <v>242300.0775</v>
      </c>
      <c r="T144" s="118">
        <v>237734.047</v>
      </c>
      <c r="U144" s="118">
        <f t="shared" si="137"/>
        <v>4566.03049999996</v>
      </c>
      <c r="V144" s="118"/>
      <c r="W144" s="118">
        <v>3369.51</v>
      </c>
      <c r="X144" s="118">
        <v>3369.51</v>
      </c>
      <c r="Y144" s="118">
        <f t="shared" si="138"/>
        <v>0</v>
      </c>
      <c r="Z144" s="118"/>
      <c r="AA144" s="118"/>
      <c r="AB144" s="118"/>
    </row>
    <row r="145" customHeight="1" spans="1:28">
      <c r="A145" s="43">
        <v>14</v>
      </c>
      <c r="B145" s="115" t="s">
        <v>249</v>
      </c>
      <c r="C145" s="116"/>
      <c r="D145" s="117" t="s">
        <v>1041</v>
      </c>
      <c r="E145" s="119" t="s">
        <v>265</v>
      </c>
      <c r="F145" s="85">
        <f>18281.64</f>
        <v>18281.64</v>
      </c>
      <c r="G145" s="118"/>
      <c r="H145" s="118">
        <f t="shared" si="129"/>
        <v>54844.92</v>
      </c>
      <c r="I145" s="118">
        <f t="shared" si="130"/>
        <v>1371.123</v>
      </c>
      <c r="J145" s="118"/>
      <c r="K145" s="118">
        <f t="shared" si="131"/>
        <v>9140.82</v>
      </c>
      <c r="L145" s="118">
        <f t="shared" si="132"/>
        <v>63985.74</v>
      </c>
      <c r="M145" s="118">
        <f t="shared" si="133"/>
        <v>18281.64</v>
      </c>
      <c r="N145" s="44"/>
      <c r="O145" s="44">
        <f t="shared" si="139"/>
        <v>60000</v>
      </c>
      <c r="P145" s="118">
        <f t="shared" si="134"/>
        <v>1828.164</v>
      </c>
      <c r="Q145" s="118">
        <v>10000</v>
      </c>
      <c r="R145" s="118"/>
      <c r="S145" s="118">
        <f t="shared" si="135"/>
        <v>237734.047</v>
      </c>
      <c r="T145" s="118">
        <v>233168.2</v>
      </c>
      <c r="U145" s="118">
        <f t="shared" si="137"/>
        <v>4565.84699999995</v>
      </c>
      <c r="V145" s="118"/>
      <c r="W145" s="118">
        <f>3369.51</f>
        <v>3369.51</v>
      </c>
      <c r="X145" s="118">
        <v>3369.51</v>
      </c>
      <c r="Y145" s="118">
        <f t="shared" si="138"/>
        <v>0</v>
      </c>
      <c r="Z145" s="118"/>
      <c r="AA145" s="118"/>
      <c r="AB145" s="118"/>
    </row>
    <row r="146" customHeight="1" spans="1:28">
      <c r="A146" s="43">
        <v>15</v>
      </c>
      <c r="B146" s="115" t="s">
        <v>251</v>
      </c>
      <c r="C146" s="116"/>
      <c r="D146" s="117" t="s">
        <v>276</v>
      </c>
      <c r="E146" s="119" t="s">
        <v>587</v>
      </c>
      <c r="F146" s="85">
        <f>18779.3</f>
        <v>18779.3</v>
      </c>
      <c r="G146" s="118"/>
      <c r="H146" s="118">
        <f t="shared" si="129"/>
        <v>56337.9</v>
      </c>
      <c r="I146" s="118">
        <f t="shared" si="130"/>
        <v>1408.4475</v>
      </c>
      <c r="J146" s="118"/>
      <c r="K146" s="118">
        <f t="shared" si="131"/>
        <v>9389.65</v>
      </c>
      <c r="L146" s="118">
        <f t="shared" si="132"/>
        <v>65727.55</v>
      </c>
      <c r="M146" s="118">
        <f t="shared" si="133"/>
        <v>18779.3</v>
      </c>
      <c r="N146" s="44"/>
      <c r="O146" s="44">
        <f t="shared" si="139"/>
        <v>60000</v>
      </c>
      <c r="P146" s="118">
        <f t="shared" si="134"/>
        <v>1877.93</v>
      </c>
      <c r="Q146" s="118">
        <v>10000</v>
      </c>
      <c r="R146" s="118"/>
      <c r="S146" s="118">
        <f t="shared" si="135"/>
        <v>242300.0775</v>
      </c>
      <c r="T146" s="118">
        <v>237734.047</v>
      </c>
      <c r="U146" s="118">
        <f t="shared" si="137"/>
        <v>4566.03049999996</v>
      </c>
      <c r="V146" s="118"/>
      <c r="W146" s="118">
        <v>3369.51</v>
      </c>
      <c r="X146" s="118">
        <v>3369.51</v>
      </c>
      <c r="Y146" s="118">
        <f t="shared" si="138"/>
        <v>0</v>
      </c>
      <c r="Z146" s="118"/>
      <c r="AA146" s="118"/>
      <c r="AB146" s="118"/>
    </row>
    <row r="147" customHeight="1" spans="1:28">
      <c r="A147" s="43">
        <v>16</v>
      </c>
      <c r="B147" s="115" t="s">
        <v>1253</v>
      </c>
      <c r="C147" s="116"/>
      <c r="D147" s="43" t="s">
        <v>586</v>
      </c>
      <c r="E147" s="119" t="s">
        <v>104</v>
      </c>
      <c r="F147" s="128">
        <f>17784.1</f>
        <v>17784.1</v>
      </c>
      <c r="G147" s="118"/>
      <c r="H147" s="118">
        <f t="shared" si="129"/>
        <v>53352.3</v>
      </c>
      <c r="I147" s="118">
        <f t="shared" si="130"/>
        <v>1333.8075</v>
      </c>
      <c r="J147" s="118"/>
      <c r="K147" s="118">
        <f t="shared" si="131"/>
        <v>8892.05</v>
      </c>
      <c r="L147" s="118">
        <f t="shared" si="132"/>
        <v>62244.35</v>
      </c>
      <c r="M147" s="118">
        <f t="shared" si="133"/>
        <v>17784.1</v>
      </c>
      <c r="N147" s="44"/>
      <c r="O147" s="44">
        <f t="shared" si="139"/>
        <v>60000</v>
      </c>
      <c r="P147" s="118">
        <f t="shared" si="134"/>
        <v>1778.41</v>
      </c>
      <c r="Q147" s="118">
        <v>10000</v>
      </c>
      <c r="R147" s="118"/>
      <c r="S147" s="118">
        <f t="shared" si="135"/>
        <v>233169.1175</v>
      </c>
      <c r="T147" s="118">
        <v>228602.07775</v>
      </c>
      <c r="U147" s="118">
        <f t="shared" si="137"/>
        <v>4567.03975</v>
      </c>
      <c r="V147" s="118"/>
      <c r="W147" s="118">
        <v>1484.37</v>
      </c>
      <c r="X147" s="118">
        <v>1484.37</v>
      </c>
      <c r="Y147" s="118">
        <f t="shared" si="138"/>
        <v>0</v>
      </c>
      <c r="Z147" s="118"/>
      <c r="AA147" s="118"/>
      <c r="AB147" s="118"/>
    </row>
    <row r="148" customHeight="1" spans="1:28">
      <c r="A148" s="43">
        <v>17</v>
      </c>
      <c r="B148" s="115" t="s">
        <v>423</v>
      </c>
      <c r="C148" s="116"/>
      <c r="D148" s="43" t="s">
        <v>586</v>
      </c>
      <c r="E148" s="119" t="s">
        <v>104</v>
      </c>
      <c r="F148" s="128">
        <f t="shared" ref="F148:F149" si="141">17784.1</f>
        <v>17784.1</v>
      </c>
      <c r="G148" s="118"/>
      <c r="H148" s="118">
        <f t="shared" si="129"/>
        <v>53352.3</v>
      </c>
      <c r="I148" s="118">
        <f t="shared" si="130"/>
        <v>1333.8075</v>
      </c>
      <c r="J148" s="118"/>
      <c r="K148" s="118">
        <f t="shared" si="131"/>
        <v>8892.05</v>
      </c>
      <c r="L148" s="118">
        <f t="shared" si="132"/>
        <v>62244.35</v>
      </c>
      <c r="M148" s="118">
        <f t="shared" si="133"/>
        <v>17784.1</v>
      </c>
      <c r="N148" s="44"/>
      <c r="O148" s="44">
        <f t="shared" si="139"/>
        <v>60000</v>
      </c>
      <c r="P148" s="118">
        <f t="shared" si="134"/>
        <v>1778.41</v>
      </c>
      <c r="Q148" s="118">
        <v>10000</v>
      </c>
      <c r="R148" s="118"/>
      <c r="S148" s="118">
        <f t="shared" si="135"/>
        <v>233169.1175</v>
      </c>
      <c r="T148" s="118">
        <v>228602.07775</v>
      </c>
      <c r="U148" s="118">
        <f t="shared" si="137"/>
        <v>4567.03975</v>
      </c>
      <c r="V148" s="118"/>
      <c r="W148" s="118">
        <v>1484.37</v>
      </c>
      <c r="X148" s="118">
        <v>1484.37</v>
      </c>
      <c r="Y148" s="118">
        <f t="shared" si="138"/>
        <v>0</v>
      </c>
      <c r="Z148" s="118"/>
      <c r="AA148" s="118"/>
      <c r="AB148" s="118"/>
    </row>
    <row r="149" customHeight="1" spans="1:28">
      <c r="A149" s="43">
        <v>18</v>
      </c>
      <c r="B149" s="115" t="s">
        <v>258</v>
      </c>
      <c r="C149" s="116"/>
      <c r="D149" s="43" t="s">
        <v>586</v>
      </c>
      <c r="E149" s="119" t="s">
        <v>104</v>
      </c>
      <c r="F149" s="128">
        <f t="shared" si="141"/>
        <v>17784.1</v>
      </c>
      <c r="G149" s="118"/>
      <c r="H149" s="118">
        <f t="shared" si="129"/>
        <v>53352.3</v>
      </c>
      <c r="I149" s="118">
        <f t="shared" si="130"/>
        <v>1333.8075</v>
      </c>
      <c r="J149" s="118"/>
      <c r="K149" s="118">
        <f t="shared" si="131"/>
        <v>8892.05</v>
      </c>
      <c r="L149" s="118">
        <f t="shared" si="132"/>
        <v>62244.35</v>
      </c>
      <c r="M149" s="118">
        <f t="shared" si="133"/>
        <v>17784.1</v>
      </c>
      <c r="N149" s="44"/>
      <c r="O149" s="44">
        <f t="shared" si="139"/>
        <v>60000</v>
      </c>
      <c r="P149" s="118">
        <f t="shared" si="134"/>
        <v>1778.41</v>
      </c>
      <c r="Q149" s="118">
        <v>10000</v>
      </c>
      <c r="R149" s="118"/>
      <c r="S149" s="118">
        <f t="shared" si="135"/>
        <v>233169.1175</v>
      </c>
      <c r="T149" s="118">
        <v>228602.07775</v>
      </c>
      <c r="U149" s="118">
        <f t="shared" si="137"/>
        <v>4567.03975</v>
      </c>
      <c r="V149" s="118"/>
      <c r="W149" s="118">
        <v>1484.37</v>
      </c>
      <c r="X149" s="118">
        <v>1484.37</v>
      </c>
      <c r="Y149" s="118">
        <f t="shared" si="138"/>
        <v>0</v>
      </c>
      <c r="Z149" s="118"/>
      <c r="AA149" s="118"/>
      <c r="AB149" s="118"/>
    </row>
    <row r="150" customHeight="1" spans="1:28">
      <c r="A150" s="43">
        <v>19</v>
      </c>
      <c r="B150" s="115" t="s">
        <v>263</v>
      </c>
      <c r="C150" s="116"/>
      <c r="D150" s="117" t="s">
        <v>276</v>
      </c>
      <c r="E150" s="119" t="s">
        <v>1014</v>
      </c>
      <c r="F150" s="128">
        <f>13492.21</f>
        <v>13492.21</v>
      </c>
      <c r="G150" s="118"/>
      <c r="H150" s="118">
        <f t="shared" si="129"/>
        <v>40476.63</v>
      </c>
      <c r="I150" s="118">
        <f t="shared" si="130"/>
        <v>1011.91575</v>
      </c>
      <c r="J150" s="118"/>
      <c r="K150" s="118">
        <f t="shared" si="131"/>
        <v>6746.105</v>
      </c>
      <c r="L150" s="118">
        <f t="shared" si="132"/>
        <v>47222.735</v>
      </c>
      <c r="M150" s="118">
        <f t="shared" si="133"/>
        <v>13492.21</v>
      </c>
      <c r="N150" s="44"/>
      <c r="O150" s="44">
        <f t="shared" ref="O150:O157" si="142">50000</f>
        <v>50000</v>
      </c>
      <c r="P150" s="118">
        <f t="shared" si="134"/>
        <v>1349.221</v>
      </c>
      <c r="Q150" s="118">
        <v>10000</v>
      </c>
      <c r="R150" s="118"/>
      <c r="S150" s="118">
        <f t="shared" si="135"/>
        <v>183791.02675</v>
      </c>
      <c r="T150" s="118">
        <v>180304.068</v>
      </c>
      <c r="U150" s="118">
        <f t="shared" si="137"/>
        <v>3486.95874999999</v>
      </c>
      <c r="V150" s="118"/>
      <c r="W150" s="118">
        <v>1484.37</v>
      </c>
      <c r="X150" s="118">
        <v>1484.37</v>
      </c>
      <c r="Y150" s="118">
        <f t="shared" si="138"/>
        <v>0</v>
      </c>
      <c r="Z150" s="118"/>
      <c r="AA150" s="118"/>
      <c r="AB150" s="118"/>
    </row>
    <row r="151" customHeight="1" spans="1:28">
      <c r="A151" s="43">
        <v>20</v>
      </c>
      <c r="B151" s="115" t="s">
        <v>266</v>
      </c>
      <c r="C151" s="116"/>
      <c r="D151" s="117" t="s">
        <v>1254</v>
      </c>
      <c r="E151" s="119" t="s">
        <v>1014</v>
      </c>
      <c r="F151" s="128">
        <f t="shared" ref="F151:F153" si="143">13492.21</f>
        <v>13492.21</v>
      </c>
      <c r="G151" s="118"/>
      <c r="H151" s="118">
        <f t="shared" si="129"/>
        <v>40476.63</v>
      </c>
      <c r="I151" s="118">
        <f t="shared" si="130"/>
        <v>1011.91575</v>
      </c>
      <c r="J151" s="118"/>
      <c r="K151" s="118">
        <f t="shared" si="131"/>
        <v>6746.105</v>
      </c>
      <c r="L151" s="118">
        <f t="shared" si="132"/>
        <v>47222.735</v>
      </c>
      <c r="M151" s="118">
        <f t="shared" si="133"/>
        <v>13492.21</v>
      </c>
      <c r="N151" s="44"/>
      <c r="O151" s="44">
        <f t="shared" si="142"/>
        <v>50000</v>
      </c>
      <c r="P151" s="118">
        <f t="shared" si="134"/>
        <v>1349.221</v>
      </c>
      <c r="Q151" s="118">
        <v>10000</v>
      </c>
      <c r="R151" s="118"/>
      <c r="S151" s="118">
        <f t="shared" si="135"/>
        <v>183791.02675</v>
      </c>
      <c r="T151" s="118">
        <v>180304.068</v>
      </c>
      <c r="U151" s="118">
        <f t="shared" si="137"/>
        <v>3486.95874999999</v>
      </c>
      <c r="V151" s="118"/>
      <c r="W151" s="118">
        <v>1484.37</v>
      </c>
      <c r="X151" s="118">
        <v>1484.37</v>
      </c>
      <c r="Y151" s="118">
        <f t="shared" si="138"/>
        <v>0</v>
      </c>
      <c r="Z151" s="118"/>
      <c r="AA151" s="118"/>
      <c r="AB151" s="118"/>
    </row>
    <row r="152" customHeight="1" spans="1:28">
      <c r="A152" s="43">
        <v>21</v>
      </c>
      <c r="B152" s="115" t="s">
        <v>268</v>
      </c>
      <c r="C152" s="116"/>
      <c r="D152" s="117" t="s">
        <v>276</v>
      </c>
      <c r="E152" s="119" t="s">
        <v>1014</v>
      </c>
      <c r="F152" s="128">
        <f t="shared" si="143"/>
        <v>13492.21</v>
      </c>
      <c r="G152" s="118"/>
      <c r="H152" s="118">
        <f t="shared" si="129"/>
        <v>40476.63</v>
      </c>
      <c r="I152" s="118">
        <f t="shared" si="130"/>
        <v>1011.91575</v>
      </c>
      <c r="J152" s="118"/>
      <c r="K152" s="118">
        <f t="shared" si="131"/>
        <v>6746.105</v>
      </c>
      <c r="L152" s="118">
        <f t="shared" si="132"/>
        <v>47222.735</v>
      </c>
      <c r="M152" s="118">
        <f t="shared" si="133"/>
        <v>13492.21</v>
      </c>
      <c r="N152" s="44"/>
      <c r="O152" s="44">
        <f t="shared" si="142"/>
        <v>50000</v>
      </c>
      <c r="P152" s="118">
        <f t="shared" si="134"/>
        <v>1349.221</v>
      </c>
      <c r="Q152" s="118">
        <v>10000</v>
      </c>
      <c r="R152" s="118"/>
      <c r="S152" s="118">
        <f t="shared" si="135"/>
        <v>183791.02675</v>
      </c>
      <c r="T152" s="118">
        <v>180304.068</v>
      </c>
      <c r="U152" s="118">
        <f t="shared" si="137"/>
        <v>3486.95874999999</v>
      </c>
      <c r="V152" s="118"/>
      <c r="W152" s="118">
        <v>1484.37</v>
      </c>
      <c r="X152" s="118">
        <v>1484.37</v>
      </c>
      <c r="Y152" s="118">
        <f t="shared" si="138"/>
        <v>0</v>
      </c>
      <c r="Z152" s="118"/>
      <c r="AA152" s="118"/>
      <c r="AB152" s="118"/>
    </row>
    <row r="153" customHeight="1" spans="1:28">
      <c r="A153" s="43">
        <v>22</v>
      </c>
      <c r="B153" s="115" t="s">
        <v>270</v>
      </c>
      <c r="C153" s="116"/>
      <c r="D153" s="117" t="s">
        <v>271</v>
      </c>
      <c r="E153" s="119" t="s">
        <v>1014</v>
      </c>
      <c r="F153" s="128">
        <f t="shared" si="143"/>
        <v>13492.21</v>
      </c>
      <c r="G153" s="118"/>
      <c r="H153" s="118">
        <f t="shared" si="129"/>
        <v>40476.63</v>
      </c>
      <c r="I153" s="118">
        <f t="shared" si="130"/>
        <v>1011.91575</v>
      </c>
      <c r="J153" s="118"/>
      <c r="K153" s="118">
        <f t="shared" si="131"/>
        <v>6746.105</v>
      </c>
      <c r="L153" s="118">
        <f t="shared" si="132"/>
        <v>47222.735</v>
      </c>
      <c r="M153" s="118">
        <f t="shared" si="133"/>
        <v>13492.21</v>
      </c>
      <c r="N153" s="44"/>
      <c r="O153" s="44">
        <f t="shared" si="142"/>
        <v>50000</v>
      </c>
      <c r="P153" s="118">
        <f t="shared" si="134"/>
        <v>1349.221</v>
      </c>
      <c r="Q153" s="118">
        <v>10000</v>
      </c>
      <c r="R153" s="118"/>
      <c r="S153" s="118">
        <f t="shared" si="135"/>
        <v>183791.02675</v>
      </c>
      <c r="T153" s="118">
        <v>180304.068</v>
      </c>
      <c r="U153" s="118">
        <f t="shared" si="137"/>
        <v>3486.95874999999</v>
      </c>
      <c r="V153" s="118"/>
      <c r="W153" s="118">
        <v>1484.37</v>
      </c>
      <c r="X153" s="118">
        <v>1484.37</v>
      </c>
      <c r="Y153" s="118">
        <f t="shared" si="138"/>
        <v>0</v>
      </c>
      <c r="Z153" s="118"/>
      <c r="AA153" s="118"/>
      <c r="AB153" s="118"/>
    </row>
    <row r="154" customHeight="1" spans="1:28">
      <c r="A154" s="43">
        <v>23</v>
      </c>
      <c r="B154" s="115" t="s">
        <v>272</v>
      </c>
      <c r="C154" s="116"/>
      <c r="D154" s="117" t="s">
        <v>278</v>
      </c>
      <c r="E154" s="119" t="s">
        <v>1233</v>
      </c>
      <c r="F154" s="128">
        <f>13112.16</f>
        <v>13112.16</v>
      </c>
      <c r="G154" s="118"/>
      <c r="H154" s="118">
        <f t="shared" si="129"/>
        <v>39336.48</v>
      </c>
      <c r="I154" s="118">
        <f t="shared" si="130"/>
        <v>983.412</v>
      </c>
      <c r="J154" s="118"/>
      <c r="K154" s="118">
        <f t="shared" si="131"/>
        <v>6556.08</v>
      </c>
      <c r="L154" s="118">
        <f t="shared" si="132"/>
        <v>45892.56</v>
      </c>
      <c r="M154" s="118">
        <f t="shared" si="133"/>
        <v>13112.16</v>
      </c>
      <c r="N154" s="44"/>
      <c r="O154" s="44">
        <f t="shared" si="142"/>
        <v>50000</v>
      </c>
      <c r="P154" s="118">
        <f t="shared" si="134"/>
        <v>1311.216</v>
      </c>
      <c r="Q154" s="118">
        <v>10000</v>
      </c>
      <c r="S154" s="118">
        <f t="shared" si="135"/>
        <v>180304.068</v>
      </c>
      <c r="T154" s="118">
        <v>223168.2</v>
      </c>
      <c r="U154" s="118">
        <f t="shared" si="137"/>
        <v>-42864.132</v>
      </c>
      <c r="V154" s="118"/>
      <c r="W154" s="118">
        <f>3369.51</f>
        <v>3369.51</v>
      </c>
      <c r="X154" s="118">
        <v>3369.51</v>
      </c>
      <c r="Y154" s="118">
        <f t="shared" si="138"/>
        <v>0</v>
      </c>
      <c r="Z154" s="118"/>
      <c r="AA154" s="118"/>
      <c r="AB154" s="118"/>
    </row>
    <row r="155" customHeight="1" spans="1:28">
      <c r="A155" s="43">
        <v>24</v>
      </c>
      <c r="B155" s="115" t="s">
        <v>1212</v>
      </c>
      <c r="C155" s="116"/>
      <c r="D155" s="117" t="s">
        <v>276</v>
      </c>
      <c r="E155" s="119" t="s">
        <v>95</v>
      </c>
      <c r="F155" s="85">
        <f>12351.94</f>
        <v>12351.94</v>
      </c>
      <c r="G155" s="85"/>
      <c r="H155" s="85">
        <f t="shared" si="129"/>
        <v>37055.82</v>
      </c>
      <c r="I155" s="85">
        <f t="shared" si="130"/>
        <v>926.3955</v>
      </c>
      <c r="J155" s="85"/>
      <c r="K155" s="85">
        <f t="shared" si="131"/>
        <v>6175.97</v>
      </c>
      <c r="L155" s="85">
        <f t="shared" si="132"/>
        <v>43231.79</v>
      </c>
      <c r="M155" s="85">
        <f t="shared" si="133"/>
        <v>12351.94</v>
      </c>
      <c r="N155" s="44"/>
      <c r="O155" s="44">
        <f t="shared" si="142"/>
        <v>50000</v>
      </c>
      <c r="P155" s="85">
        <f t="shared" si="134"/>
        <v>1235.194</v>
      </c>
      <c r="Q155" s="85">
        <v>10000</v>
      </c>
      <c r="R155" s="85"/>
      <c r="S155" s="118">
        <f t="shared" ref="S155:S157" si="144">R155+Q155+P155+O155+N155+M155+L155+K155+J155+I155+H155+G155+F155</f>
        <v>173329.0495</v>
      </c>
      <c r="T155" s="118">
        <v>173329.0495</v>
      </c>
      <c r="U155" s="118">
        <f t="shared" si="137"/>
        <v>0</v>
      </c>
      <c r="V155" s="118"/>
      <c r="W155" s="118">
        <v>1484.37</v>
      </c>
      <c r="X155" s="118">
        <v>1484.37</v>
      </c>
      <c r="Y155" s="118">
        <f t="shared" si="138"/>
        <v>0</v>
      </c>
      <c r="Z155" s="118"/>
      <c r="AA155" s="118"/>
      <c r="AB155" s="118"/>
    </row>
    <row r="156" customHeight="1" spans="1:28">
      <c r="A156" s="43">
        <v>25</v>
      </c>
      <c r="B156" s="115" t="s">
        <v>169</v>
      </c>
      <c r="C156" s="116"/>
      <c r="D156" s="117" t="s">
        <v>278</v>
      </c>
      <c r="E156" s="119" t="s">
        <v>95</v>
      </c>
      <c r="F156" s="85">
        <f t="shared" ref="F156:F157" si="145">12351.94</f>
        <v>12351.94</v>
      </c>
      <c r="G156" s="85"/>
      <c r="H156" s="85">
        <f t="shared" ref="H156:H157" si="146">F156*300%</f>
        <v>37055.82</v>
      </c>
      <c r="I156" s="85">
        <f t="shared" ref="I156:I157" si="147">F156*7.5%</f>
        <v>926.3955</v>
      </c>
      <c r="J156" s="85"/>
      <c r="K156" s="85">
        <f t="shared" ref="K156:K157" si="148">F156*50%</f>
        <v>6175.97</v>
      </c>
      <c r="L156" s="85">
        <f t="shared" ref="L156:L157" si="149">F156*350%</f>
        <v>43231.79</v>
      </c>
      <c r="M156" s="85">
        <f t="shared" ref="M156:M167" si="150">F156*100%</f>
        <v>12351.94</v>
      </c>
      <c r="N156" s="44"/>
      <c r="O156" s="44">
        <f t="shared" si="142"/>
        <v>50000</v>
      </c>
      <c r="P156" s="85">
        <f t="shared" ref="P156:P186" si="151">F156*10%</f>
        <v>1235.194</v>
      </c>
      <c r="Q156" s="85">
        <v>10000</v>
      </c>
      <c r="R156" s="85"/>
      <c r="S156" s="118">
        <f t="shared" si="144"/>
        <v>173329.0495</v>
      </c>
      <c r="T156" s="118">
        <v>173329.0495</v>
      </c>
      <c r="U156" s="118">
        <f t="shared" si="137"/>
        <v>0</v>
      </c>
      <c r="V156" s="118"/>
      <c r="W156" s="118">
        <v>1484.37</v>
      </c>
      <c r="X156" s="118">
        <v>1484.37</v>
      </c>
      <c r="Y156" s="118">
        <f t="shared" si="138"/>
        <v>0</v>
      </c>
      <c r="Z156" s="118"/>
      <c r="AA156" s="118"/>
      <c r="AB156" s="118"/>
    </row>
    <row r="157" customHeight="1" spans="1:28">
      <c r="A157" s="43">
        <v>26</v>
      </c>
      <c r="B157" s="115" t="s">
        <v>275</v>
      </c>
      <c r="C157" s="116"/>
      <c r="D157" s="117" t="s">
        <v>276</v>
      </c>
      <c r="E157" s="119" t="s">
        <v>95</v>
      </c>
      <c r="F157" s="85">
        <f t="shared" si="145"/>
        <v>12351.94</v>
      </c>
      <c r="G157" s="85"/>
      <c r="H157" s="85">
        <f t="shared" si="146"/>
        <v>37055.82</v>
      </c>
      <c r="I157" s="85">
        <f t="shared" si="147"/>
        <v>926.3955</v>
      </c>
      <c r="J157" s="85"/>
      <c r="K157" s="85">
        <f t="shared" si="148"/>
        <v>6175.97</v>
      </c>
      <c r="L157" s="85">
        <f t="shared" si="149"/>
        <v>43231.79</v>
      </c>
      <c r="M157" s="85">
        <f t="shared" si="150"/>
        <v>12351.94</v>
      </c>
      <c r="N157" s="44"/>
      <c r="O157" s="44">
        <f t="shared" si="142"/>
        <v>50000</v>
      </c>
      <c r="P157" s="85">
        <f t="shared" si="151"/>
        <v>1235.194</v>
      </c>
      <c r="Q157" s="85">
        <v>10000</v>
      </c>
      <c r="R157" s="85"/>
      <c r="S157" s="118">
        <f t="shared" si="144"/>
        <v>173329.0495</v>
      </c>
      <c r="T157" s="118">
        <v>173329.0495</v>
      </c>
      <c r="U157" s="118">
        <f t="shared" si="137"/>
        <v>0</v>
      </c>
      <c r="V157" s="118"/>
      <c r="W157" s="118">
        <v>1484.37</v>
      </c>
      <c r="X157" s="118">
        <v>1484.37</v>
      </c>
      <c r="Y157" s="118">
        <f t="shared" si="138"/>
        <v>0</v>
      </c>
      <c r="Z157" s="118"/>
      <c r="AA157" s="118"/>
      <c r="AB157" s="118"/>
    </row>
    <row r="158" customHeight="1" spans="1:28">
      <c r="A158" s="43">
        <v>27</v>
      </c>
      <c r="B158" s="117" t="s">
        <v>287</v>
      </c>
      <c r="C158" s="117"/>
      <c r="D158" s="117" t="s">
        <v>288</v>
      </c>
      <c r="E158" s="119" t="s">
        <v>306</v>
      </c>
      <c r="F158" s="128">
        <f>9050.14</f>
        <v>9050.14</v>
      </c>
      <c r="G158" s="44"/>
      <c r="H158" s="118">
        <f t="shared" si="129"/>
        <v>27150.42</v>
      </c>
      <c r="I158" s="118">
        <f t="shared" si="130"/>
        <v>678.7605</v>
      </c>
      <c r="J158" s="128">
        <v>0</v>
      </c>
      <c r="K158" s="118">
        <f t="shared" si="131"/>
        <v>4525.07</v>
      </c>
      <c r="L158" s="118">
        <f t="shared" si="132"/>
        <v>31675.49</v>
      </c>
      <c r="M158" s="118">
        <f t="shared" si="150"/>
        <v>9050.14</v>
      </c>
      <c r="N158" s="44"/>
      <c r="O158" s="44">
        <f t="shared" ref="O158:O164" si="152">30000</f>
        <v>30000</v>
      </c>
      <c r="P158" s="118">
        <f t="shared" si="151"/>
        <v>905.014</v>
      </c>
      <c r="Q158" s="128">
        <v>5000</v>
      </c>
      <c r="R158" s="118">
        <f>4000</f>
        <v>4000</v>
      </c>
      <c r="S158" s="118">
        <f t="shared" ref="S158:S182" si="153">SUM(F158:R158)</f>
        <v>122035.0345</v>
      </c>
      <c r="T158" s="118">
        <v>119104.99825</v>
      </c>
      <c r="U158" s="118">
        <f t="shared" si="137"/>
        <v>2930.03624999999</v>
      </c>
      <c r="V158" s="118"/>
      <c r="W158" s="118">
        <v>236.04</v>
      </c>
      <c r="X158" s="118">
        <v>236.04</v>
      </c>
      <c r="Y158" s="118">
        <f t="shared" si="138"/>
        <v>0</v>
      </c>
      <c r="Z158" s="118"/>
      <c r="AA158" s="118"/>
      <c r="AB158" s="118"/>
    </row>
    <row r="159" customHeight="1" spans="1:28">
      <c r="A159" s="43">
        <v>28</v>
      </c>
      <c r="B159" s="117" t="s">
        <v>290</v>
      </c>
      <c r="C159" s="117"/>
      <c r="D159" s="117" t="s">
        <v>288</v>
      </c>
      <c r="E159" s="119" t="s">
        <v>306</v>
      </c>
      <c r="F159" s="128">
        <f t="shared" ref="F159:F164" si="154">9050.14</f>
        <v>9050.14</v>
      </c>
      <c r="G159" s="44"/>
      <c r="H159" s="118">
        <f t="shared" si="129"/>
        <v>27150.42</v>
      </c>
      <c r="I159" s="118">
        <f t="shared" si="130"/>
        <v>678.7605</v>
      </c>
      <c r="J159" s="128">
        <v>0</v>
      </c>
      <c r="K159" s="118">
        <f t="shared" si="131"/>
        <v>4525.07</v>
      </c>
      <c r="L159" s="118">
        <f t="shared" si="132"/>
        <v>31675.49</v>
      </c>
      <c r="M159" s="118">
        <f t="shared" si="150"/>
        <v>9050.14</v>
      </c>
      <c r="N159" s="44"/>
      <c r="O159" s="44">
        <f t="shared" si="152"/>
        <v>30000</v>
      </c>
      <c r="P159" s="118">
        <f t="shared" si="151"/>
        <v>905.014</v>
      </c>
      <c r="Q159" s="128">
        <v>5000</v>
      </c>
      <c r="R159" s="118">
        <f>7000</f>
        <v>7000</v>
      </c>
      <c r="S159" s="118">
        <f t="shared" si="153"/>
        <v>125035.0345</v>
      </c>
      <c r="T159" s="118">
        <v>122104.99825</v>
      </c>
      <c r="U159" s="118">
        <f t="shared" si="137"/>
        <v>2930.03624999999</v>
      </c>
      <c r="V159" s="118"/>
      <c r="W159" s="118">
        <v>236.04</v>
      </c>
      <c r="X159" s="118">
        <v>236.04</v>
      </c>
      <c r="Y159" s="118">
        <f t="shared" si="138"/>
        <v>0</v>
      </c>
      <c r="Z159" s="118"/>
      <c r="AA159" s="118"/>
      <c r="AB159" s="118"/>
    </row>
    <row r="160" customHeight="1" spans="1:28">
      <c r="A160" s="43">
        <v>29</v>
      </c>
      <c r="B160" s="117" t="s">
        <v>291</v>
      </c>
      <c r="C160" s="117"/>
      <c r="D160" s="117" t="s">
        <v>288</v>
      </c>
      <c r="E160" s="119" t="s">
        <v>306</v>
      </c>
      <c r="F160" s="128">
        <f t="shared" si="154"/>
        <v>9050.14</v>
      </c>
      <c r="G160" s="44"/>
      <c r="H160" s="118">
        <f t="shared" si="129"/>
        <v>27150.42</v>
      </c>
      <c r="I160" s="118">
        <f t="shared" si="130"/>
        <v>678.7605</v>
      </c>
      <c r="J160" s="118">
        <v>0</v>
      </c>
      <c r="K160" s="118">
        <f t="shared" si="131"/>
        <v>4525.07</v>
      </c>
      <c r="L160" s="118">
        <f t="shared" si="132"/>
        <v>31675.49</v>
      </c>
      <c r="M160" s="118">
        <f t="shared" si="150"/>
        <v>9050.14</v>
      </c>
      <c r="N160" s="44"/>
      <c r="O160" s="44">
        <f t="shared" si="152"/>
        <v>30000</v>
      </c>
      <c r="P160" s="118">
        <f t="shared" si="151"/>
        <v>905.014</v>
      </c>
      <c r="Q160" s="118">
        <v>5000</v>
      </c>
      <c r="R160" s="118">
        <f>4000</f>
        <v>4000</v>
      </c>
      <c r="S160" s="118">
        <f t="shared" si="153"/>
        <v>122035.0345</v>
      </c>
      <c r="T160" s="118">
        <v>119104.99825</v>
      </c>
      <c r="U160" s="118">
        <f t="shared" si="137"/>
        <v>2930.03624999999</v>
      </c>
      <c r="V160" s="118"/>
      <c r="W160" s="118">
        <v>236.04</v>
      </c>
      <c r="X160" s="118">
        <v>236.04</v>
      </c>
      <c r="Y160" s="118">
        <f t="shared" si="138"/>
        <v>0</v>
      </c>
      <c r="Z160" s="118"/>
      <c r="AA160" s="118"/>
      <c r="AB160" s="118"/>
    </row>
    <row r="161" customHeight="1" spans="1:28">
      <c r="A161" s="43">
        <v>30</v>
      </c>
      <c r="B161" s="117" t="s">
        <v>741</v>
      </c>
      <c r="C161" s="117"/>
      <c r="D161" s="117" t="s">
        <v>288</v>
      </c>
      <c r="E161" s="119" t="s">
        <v>306</v>
      </c>
      <c r="F161" s="128">
        <f t="shared" si="154"/>
        <v>9050.14</v>
      </c>
      <c r="G161" s="44"/>
      <c r="H161" s="118">
        <f t="shared" si="129"/>
        <v>27150.42</v>
      </c>
      <c r="I161" s="118">
        <f t="shared" si="130"/>
        <v>678.7605</v>
      </c>
      <c r="J161" s="118">
        <v>0</v>
      </c>
      <c r="K161" s="118">
        <f t="shared" si="131"/>
        <v>4525.07</v>
      </c>
      <c r="L161" s="118">
        <f t="shared" si="132"/>
        <v>31675.49</v>
      </c>
      <c r="M161" s="118">
        <f t="shared" si="150"/>
        <v>9050.14</v>
      </c>
      <c r="N161" s="44"/>
      <c r="O161" s="44">
        <f t="shared" si="152"/>
        <v>30000</v>
      </c>
      <c r="P161" s="118">
        <f t="shared" si="151"/>
        <v>905.014</v>
      </c>
      <c r="Q161" s="118">
        <v>5000</v>
      </c>
      <c r="R161" s="118">
        <f>4000</f>
        <v>4000</v>
      </c>
      <c r="S161" s="118">
        <f t="shared" si="153"/>
        <v>122035.0345</v>
      </c>
      <c r="T161" s="118">
        <v>119104.99825</v>
      </c>
      <c r="U161" s="118">
        <f t="shared" si="137"/>
        <v>2930.03624999999</v>
      </c>
      <c r="V161" s="118"/>
      <c r="W161" s="118">
        <v>236.04</v>
      </c>
      <c r="X161" s="118">
        <v>236.04</v>
      </c>
      <c r="Y161" s="118">
        <f t="shared" si="138"/>
        <v>0</v>
      </c>
      <c r="Z161" s="118"/>
      <c r="AA161" s="118"/>
      <c r="AB161" s="118"/>
    </row>
    <row r="162" customHeight="1" spans="1:28">
      <c r="A162" s="43">
        <v>31</v>
      </c>
      <c r="B162" s="117" t="s">
        <v>739</v>
      </c>
      <c r="C162" s="117"/>
      <c r="D162" s="117" t="s">
        <v>288</v>
      </c>
      <c r="E162" s="119" t="s">
        <v>306</v>
      </c>
      <c r="F162" s="128">
        <f t="shared" si="154"/>
        <v>9050.14</v>
      </c>
      <c r="G162" s="44"/>
      <c r="H162" s="118">
        <f t="shared" si="129"/>
        <v>27150.42</v>
      </c>
      <c r="I162" s="118">
        <f t="shared" si="130"/>
        <v>678.7605</v>
      </c>
      <c r="J162" s="118">
        <v>0</v>
      </c>
      <c r="K162" s="118">
        <f t="shared" si="131"/>
        <v>4525.07</v>
      </c>
      <c r="L162" s="118">
        <f t="shared" si="132"/>
        <v>31675.49</v>
      </c>
      <c r="M162" s="118">
        <f t="shared" si="150"/>
        <v>9050.14</v>
      </c>
      <c r="N162" s="44"/>
      <c r="O162" s="44">
        <f t="shared" si="152"/>
        <v>30000</v>
      </c>
      <c r="P162" s="118">
        <f t="shared" si="151"/>
        <v>905.014</v>
      </c>
      <c r="Q162" s="118">
        <v>5000</v>
      </c>
      <c r="R162" s="118">
        <f>4000</f>
        <v>4000</v>
      </c>
      <c r="S162" s="118">
        <f t="shared" si="153"/>
        <v>122035.0345</v>
      </c>
      <c r="T162" s="118">
        <v>119104.99825</v>
      </c>
      <c r="U162" s="118">
        <f t="shared" si="137"/>
        <v>2930.03624999999</v>
      </c>
      <c r="V162" s="118"/>
      <c r="W162" s="118">
        <v>236.04</v>
      </c>
      <c r="X162" s="118">
        <v>236.04</v>
      </c>
      <c r="Y162" s="118">
        <f t="shared" si="138"/>
        <v>0</v>
      </c>
      <c r="Z162" s="118"/>
      <c r="AA162" s="118"/>
      <c r="AB162" s="118"/>
    </row>
    <row r="163" customHeight="1" spans="1:28">
      <c r="A163" s="43">
        <v>32</v>
      </c>
      <c r="B163" s="117" t="s">
        <v>292</v>
      </c>
      <c r="C163" s="117"/>
      <c r="D163" s="117" t="s">
        <v>288</v>
      </c>
      <c r="E163" s="119" t="s">
        <v>306</v>
      </c>
      <c r="F163" s="128">
        <f t="shared" si="154"/>
        <v>9050.14</v>
      </c>
      <c r="G163" s="44"/>
      <c r="H163" s="118">
        <f t="shared" si="129"/>
        <v>27150.42</v>
      </c>
      <c r="I163" s="118">
        <f t="shared" si="130"/>
        <v>678.7605</v>
      </c>
      <c r="J163" s="118">
        <v>0</v>
      </c>
      <c r="K163" s="118">
        <f t="shared" si="131"/>
        <v>4525.07</v>
      </c>
      <c r="L163" s="118">
        <f t="shared" si="132"/>
        <v>31675.49</v>
      </c>
      <c r="M163" s="118">
        <f t="shared" si="150"/>
        <v>9050.14</v>
      </c>
      <c r="N163" s="44"/>
      <c r="O163" s="44">
        <f t="shared" si="152"/>
        <v>30000</v>
      </c>
      <c r="P163" s="118">
        <f t="shared" si="151"/>
        <v>905.014</v>
      </c>
      <c r="Q163" s="118">
        <v>5000</v>
      </c>
      <c r="R163" s="118">
        <f>4000</f>
        <v>4000</v>
      </c>
      <c r="S163" s="118">
        <f t="shared" si="153"/>
        <v>122035.0345</v>
      </c>
      <c r="T163" s="118">
        <v>119104.99825</v>
      </c>
      <c r="U163" s="118">
        <f t="shared" si="137"/>
        <v>2930.03624999999</v>
      </c>
      <c r="V163" s="118"/>
      <c r="W163" s="118">
        <v>236.04</v>
      </c>
      <c r="X163" s="118">
        <v>236.04</v>
      </c>
      <c r="Y163" s="118">
        <f t="shared" si="138"/>
        <v>0</v>
      </c>
      <c r="Z163" s="118"/>
      <c r="AA163" s="118"/>
      <c r="AB163" s="118"/>
    </row>
    <row r="164" customHeight="1" spans="1:28">
      <c r="A164" s="43">
        <v>33</v>
      </c>
      <c r="B164" s="117" t="s">
        <v>293</v>
      </c>
      <c r="C164" s="117"/>
      <c r="D164" s="117" t="s">
        <v>288</v>
      </c>
      <c r="E164" s="119" t="s">
        <v>306</v>
      </c>
      <c r="F164" s="128">
        <f t="shared" si="154"/>
        <v>9050.14</v>
      </c>
      <c r="G164" s="44"/>
      <c r="H164" s="118">
        <f t="shared" si="129"/>
        <v>27150.42</v>
      </c>
      <c r="I164" s="118">
        <f t="shared" si="130"/>
        <v>678.7605</v>
      </c>
      <c r="J164" s="118">
        <v>0</v>
      </c>
      <c r="K164" s="118">
        <f t="shared" si="131"/>
        <v>4525.07</v>
      </c>
      <c r="L164" s="118">
        <f t="shared" si="132"/>
        <v>31675.49</v>
      </c>
      <c r="M164" s="118">
        <f t="shared" si="150"/>
        <v>9050.14</v>
      </c>
      <c r="N164" s="44"/>
      <c r="O164" s="44">
        <f t="shared" si="152"/>
        <v>30000</v>
      </c>
      <c r="P164" s="118">
        <f t="shared" si="151"/>
        <v>905.014</v>
      </c>
      <c r="Q164" s="118">
        <v>5000</v>
      </c>
      <c r="R164" s="118">
        <f>4000</f>
        <v>4000</v>
      </c>
      <c r="S164" s="118">
        <f t="shared" si="153"/>
        <v>122035.0345</v>
      </c>
      <c r="T164" s="118">
        <v>119104.99825</v>
      </c>
      <c r="U164" s="118">
        <f t="shared" si="137"/>
        <v>2930.03624999999</v>
      </c>
      <c r="V164" s="118"/>
      <c r="W164" s="118">
        <v>236.04</v>
      </c>
      <c r="X164" s="118">
        <v>236.04</v>
      </c>
      <c r="Y164" s="118">
        <f t="shared" si="138"/>
        <v>0</v>
      </c>
      <c r="Z164" s="118"/>
      <c r="AA164" s="118"/>
      <c r="AB164" s="118"/>
    </row>
    <row r="165" customHeight="1" spans="1:28">
      <c r="A165" s="43">
        <v>34</v>
      </c>
      <c r="B165" s="117" t="s">
        <v>294</v>
      </c>
      <c r="C165" s="117"/>
      <c r="D165" s="117" t="s">
        <v>308</v>
      </c>
      <c r="E165" s="119" t="s">
        <v>1255</v>
      </c>
      <c r="F165" s="118">
        <f>5769.6</f>
        <v>5769.6</v>
      </c>
      <c r="G165" s="44"/>
      <c r="H165" s="118">
        <f t="shared" si="129"/>
        <v>17308.8</v>
      </c>
      <c r="I165" s="118">
        <f t="shared" si="130"/>
        <v>432.72</v>
      </c>
      <c r="J165" s="118">
        <v>0</v>
      </c>
      <c r="K165" s="118">
        <f t="shared" si="131"/>
        <v>2884.8</v>
      </c>
      <c r="L165" s="118">
        <f t="shared" si="132"/>
        <v>20193.6</v>
      </c>
      <c r="M165" s="118">
        <f t="shared" si="150"/>
        <v>5769.6</v>
      </c>
      <c r="N165" s="44"/>
      <c r="O165" s="44">
        <f t="shared" ref="O165:O180" si="155">20000</f>
        <v>20000</v>
      </c>
      <c r="P165" s="118">
        <f t="shared" si="151"/>
        <v>576.96</v>
      </c>
      <c r="Q165" s="118">
        <v>5000</v>
      </c>
      <c r="R165" s="118">
        <f>7000</f>
        <v>7000</v>
      </c>
      <c r="S165" s="118">
        <f t="shared" si="153"/>
        <v>84936.08</v>
      </c>
      <c r="T165" s="118">
        <v>83370.091</v>
      </c>
      <c r="U165" s="118">
        <f t="shared" si="137"/>
        <v>1565.989</v>
      </c>
      <c r="V165" s="118"/>
      <c r="W165" s="118">
        <v>236.04</v>
      </c>
      <c r="X165" s="118">
        <v>236.04</v>
      </c>
      <c r="Y165" s="118">
        <f t="shared" si="138"/>
        <v>0</v>
      </c>
      <c r="Z165" s="118"/>
      <c r="AA165" s="118"/>
      <c r="AB165" s="118"/>
    </row>
    <row r="166" customHeight="1" spans="1:28">
      <c r="A166" s="43">
        <v>35</v>
      </c>
      <c r="B166" s="117" t="s">
        <v>296</v>
      </c>
      <c r="C166" s="117"/>
      <c r="D166" s="117" t="s">
        <v>308</v>
      </c>
      <c r="E166" s="119" t="s">
        <v>1255</v>
      </c>
      <c r="F166" s="118">
        <f t="shared" ref="F166:F171" si="156">5769.6</f>
        <v>5769.6</v>
      </c>
      <c r="G166" s="44"/>
      <c r="H166" s="118">
        <f t="shared" si="129"/>
        <v>17308.8</v>
      </c>
      <c r="I166" s="118">
        <f t="shared" si="130"/>
        <v>432.72</v>
      </c>
      <c r="J166" s="118">
        <v>0</v>
      </c>
      <c r="K166" s="118">
        <f t="shared" si="131"/>
        <v>2884.8</v>
      </c>
      <c r="L166" s="118">
        <f t="shared" si="132"/>
        <v>20193.6</v>
      </c>
      <c r="M166" s="118">
        <f t="shared" si="150"/>
        <v>5769.6</v>
      </c>
      <c r="N166" s="44"/>
      <c r="O166" s="44">
        <f t="shared" si="155"/>
        <v>20000</v>
      </c>
      <c r="P166" s="118">
        <f t="shared" si="151"/>
        <v>576.96</v>
      </c>
      <c r="Q166" s="118">
        <v>5000</v>
      </c>
      <c r="R166" s="118">
        <f>4000</f>
        <v>4000</v>
      </c>
      <c r="S166" s="118">
        <f t="shared" si="153"/>
        <v>81936.08</v>
      </c>
      <c r="T166" s="118">
        <v>80370.091</v>
      </c>
      <c r="U166" s="118">
        <f t="shared" si="137"/>
        <v>1565.989</v>
      </c>
      <c r="V166" s="118"/>
      <c r="W166" s="118">
        <v>236.04</v>
      </c>
      <c r="X166" s="118">
        <v>236.04</v>
      </c>
      <c r="Y166" s="118">
        <f t="shared" si="138"/>
        <v>0</v>
      </c>
      <c r="Z166" s="118"/>
      <c r="AA166" s="118"/>
      <c r="AB166" s="118"/>
    </row>
    <row r="167" customHeight="1" spans="1:28">
      <c r="A167" s="43">
        <v>36</v>
      </c>
      <c r="B167" s="117" t="s">
        <v>1190</v>
      </c>
      <c r="C167" s="117"/>
      <c r="D167" s="117" t="s">
        <v>308</v>
      </c>
      <c r="E167" s="119" t="s">
        <v>1255</v>
      </c>
      <c r="F167" s="118">
        <f t="shared" si="156"/>
        <v>5769.6</v>
      </c>
      <c r="G167" s="44"/>
      <c r="H167" s="118">
        <f t="shared" si="129"/>
        <v>17308.8</v>
      </c>
      <c r="I167" s="118">
        <f t="shared" si="130"/>
        <v>432.72</v>
      </c>
      <c r="J167" s="118">
        <v>0</v>
      </c>
      <c r="K167" s="118">
        <f t="shared" si="131"/>
        <v>2884.8</v>
      </c>
      <c r="L167" s="118">
        <f t="shared" si="132"/>
        <v>20193.6</v>
      </c>
      <c r="M167" s="118">
        <f t="shared" si="150"/>
        <v>5769.6</v>
      </c>
      <c r="N167" s="44"/>
      <c r="O167" s="44">
        <f t="shared" si="155"/>
        <v>20000</v>
      </c>
      <c r="P167" s="118">
        <f t="shared" si="151"/>
        <v>576.96</v>
      </c>
      <c r="Q167" s="118">
        <v>5000</v>
      </c>
      <c r="R167" s="118">
        <f>4000</f>
        <v>4000</v>
      </c>
      <c r="S167" s="118">
        <f t="shared" si="153"/>
        <v>81936.08</v>
      </c>
      <c r="T167" s="118">
        <v>80370.091</v>
      </c>
      <c r="U167" s="118">
        <f t="shared" si="137"/>
        <v>1565.989</v>
      </c>
      <c r="V167" s="118"/>
      <c r="W167" s="118">
        <v>236.04</v>
      </c>
      <c r="X167" s="118">
        <v>236.04</v>
      </c>
      <c r="Y167" s="118">
        <f t="shared" si="138"/>
        <v>0</v>
      </c>
      <c r="Z167" s="118"/>
      <c r="AA167" s="118"/>
      <c r="AB167" s="118"/>
    </row>
    <row r="168" customHeight="1" spans="1:28">
      <c r="A168" s="43">
        <v>37</v>
      </c>
      <c r="B168" s="43" t="s">
        <v>297</v>
      </c>
      <c r="C168" s="43"/>
      <c r="D168" s="117" t="s">
        <v>308</v>
      </c>
      <c r="E168" s="119" t="s">
        <v>1255</v>
      </c>
      <c r="F168" s="118">
        <f t="shared" si="156"/>
        <v>5769.6</v>
      </c>
      <c r="G168" s="44"/>
      <c r="H168" s="118">
        <f t="shared" si="129"/>
        <v>17308.8</v>
      </c>
      <c r="I168" s="118">
        <f t="shared" si="130"/>
        <v>432.72</v>
      </c>
      <c r="J168" s="118">
        <v>0</v>
      </c>
      <c r="K168" s="118">
        <f t="shared" si="131"/>
        <v>2884.8</v>
      </c>
      <c r="L168" s="118">
        <f t="shared" si="132"/>
        <v>20193.6</v>
      </c>
      <c r="M168" s="118">
        <f>F167*100%</f>
        <v>5769.6</v>
      </c>
      <c r="N168" s="44"/>
      <c r="O168" s="44">
        <f t="shared" si="155"/>
        <v>20000</v>
      </c>
      <c r="P168" s="118">
        <f t="shared" si="151"/>
        <v>576.96</v>
      </c>
      <c r="Q168" s="118">
        <v>5000</v>
      </c>
      <c r="R168" s="118">
        <f>7000</f>
        <v>7000</v>
      </c>
      <c r="S168" s="118">
        <f t="shared" si="153"/>
        <v>84936.08</v>
      </c>
      <c r="T168" s="118">
        <v>83370.091</v>
      </c>
      <c r="U168" s="118">
        <f t="shared" si="137"/>
        <v>1565.989</v>
      </c>
      <c r="V168" s="118"/>
      <c r="W168" s="118">
        <v>236.04</v>
      </c>
      <c r="X168" s="118">
        <v>236.04</v>
      </c>
      <c r="Y168" s="118">
        <f t="shared" si="138"/>
        <v>0</v>
      </c>
      <c r="Z168" s="118"/>
      <c r="AA168" s="118"/>
      <c r="AB168" s="118"/>
    </row>
    <row r="169" customHeight="1" spans="1:28">
      <c r="A169" s="43">
        <v>38</v>
      </c>
      <c r="B169" s="115" t="s">
        <v>298</v>
      </c>
      <c r="C169" s="116"/>
      <c r="D169" s="117" t="s">
        <v>308</v>
      </c>
      <c r="E169" s="119" t="s">
        <v>1255</v>
      </c>
      <c r="F169" s="118">
        <f t="shared" si="156"/>
        <v>5769.6</v>
      </c>
      <c r="G169" s="44"/>
      <c r="H169" s="118">
        <f t="shared" si="129"/>
        <v>17308.8</v>
      </c>
      <c r="I169" s="118">
        <f t="shared" si="130"/>
        <v>432.72</v>
      </c>
      <c r="J169" s="118"/>
      <c r="K169" s="118">
        <f t="shared" si="131"/>
        <v>2884.8</v>
      </c>
      <c r="L169" s="118">
        <f t="shared" si="132"/>
        <v>20193.6</v>
      </c>
      <c r="M169" s="118">
        <f t="shared" ref="M169:M186" si="157">F169*100%</f>
        <v>5769.6</v>
      </c>
      <c r="N169" s="44"/>
      <c r="O169" s="44">
        <f t="shared" si="155"/>
        <v>20000</v>
      </c>
      <c r="P169" s="118">
        <f t="shared" si="151"/>
        <v>576.96</v>
      </c>
      <c r="Q169" s="118">
        <v>5000</v>
      </c>
      <c r="R169" s="118">
        <f>4000</f>
        <v>4000</v>
      </c>
      <c r="S169" s="118">
        <f t="shared" si="153"/>
        <v>81936.08</v>
      </c>
      <c r="T169" s="118">
        <v>80370.091</v>
      </c>
      <c r="U169" s="118">
        <f t="shared" si="137"/>
        <v>1565.989</v>
      </c>
      <c r="V169" s="118"/>
      <c r="W169" s="118">
        <v>236.04</v>
      </c>
      <c r="X169" s="118">
        <v>236.04</v>
      </c>
      <c r="Y169" s="118">
        <f t="shared" si="138"/>
        <v>0</v>
      </c>
      <c r="Z169" s="118"/>
      <c r="AA169" s="118"/>
      <c r="AB169" s="118"/>
    </row>
    <row r="170" customHeight="1" spans="1:28">
      <c r="A170" s="43">
        <v>39</v>
      </c>
      <c r="B170" s="117" t="s">
        <v>299</v>
      </c>
      <c r="C170" s="43"/>
      <c r="D170" s="117" t="s">
        <v>308</v>
      </c>
      <c r="E170" s="119" t="s">
        <v>1255</v>
      </c>
      <c r="F170" s="118">
        <f t="shared" si="156"/>
        <v>5769.6</v>
      </c>
      <c r="G170" s="44"/>
      <c r="H170" s="118">
        <f t="shared" si="129"/>
        <v>17308.8</v>
      </c>
      <c r="I170" s="118">
        <f t="shared" si="130"/>
        <v>432.72</v>
      </c>
      <c r="J170" s="118"/>
      <c r="K170" s="118">
        <f t="shared" si="131"/>
        <v>2884.8</v>
      </c>
      <c r="L170" s="118">
        <f t="shared" si="132"/>
        <v>20193.6</v>
      </c>
      <c r="M170" s="118">
        <f t="shared" si="157"/>
        <v>5769.6</v>
      </c>
      <c r="N170" s="44"/>
      <c r="O170" s="44">
        <f t="shared" si="155"/>
        <v>20000</v>
      </c>
      <c r="P170" s="118">
        <f t="shared" si="151"/>
        <v>576.96</v>
      </c>
      <c r="Q170" s="118">
        <v>5000</v>
      </c>
      <c r="R170" s="118">
        <f>4000</f>
        <v>4000</v>
      </c>
      <c r="S170" s="118">
        <f t="shared" si="153"/>
        <v>81936.08</v>
      </c>
      <c r="T170" s="118">
        <v>80370.091</v>
      </c>
      <c r="U170" s="118">
        <f t="shared" si="137"/>
        <v>1565.989</v>
      </c>
      <c r="V170" s="118"/>
      <c r="W170" s="118">
        <v>236.04</v>
      </c>
      <c r="X170" s="118">
        <v>236.04</v>
      </c>
      <c r="Y170" s="118">
        <f t="shared" si="138"/>
        <v>0</v>
      </c>
      <c r="Z170" s="118"/>
      <c r="AA170" s="118"/>
      <c r="AB170" s="118"/>
    </row>
    <row r="171" customHeight="1" spans="1:28">
      <c r="A171" s="43">
        <v>40</v>
      </c>
      <c r="B171" s="117" t="s">
        <v>300</v>
      </c>
      <c r="C171" s="43"/>
      <c r="D171" s="117" t="s">
        <v>308</v>
      </c>
      <c r="E171" s="119" t="s">
        <v>1255</v>
      </c>
      <c r="F171" s="118">
        <f t="shared" si="156"/>
        <v>5769.6</v>
      </c>
      <c r="G171" s="44"/>
      <c r="H171" s="118">
        <f t="shared" si="129"/>
        <v>17308.8</v>
      </c>
      <c r="I171" s="118">
        <f t="shared" si="130"/>
        <v>432.72</v>
      </c>
      <c r="J171" s="118"/>
      <c r="K171" s="118">
        <f t="shared" si="131"/>
        <v>2884.8</v>
      </c>
      <c r="L171" s="118">
        <f t="shared" si="132"/>
        <v>20193.6</v>
      </c>
      <c r="M171" s="118">
        <f t="shared" si="157"/>
        <v>5769.6</v>
      </c>
      <c r="N171" s="44"/>
      <c r="O171" s="44">
        <f t="shared" si="155"/>
        <v>20000</v>
      </c>
      <c r="P171" s="118">
        <f t="shared" si="151"/>
        <v>576.96</v>
      </c>
      <c r="Q171" s="118">
        <v>5000</v>
      </c>
      <c r="R171" s="118">
        <f t="shared" ref="R171:R176" si="158">7000</f>
        <v>7000</v>
      </c>
      <c r="S171" s="118">
        <f t="shared" si="153"/>
        <v>84936.08</v>
      </c>
      <c r="T171" s="118">
        <v>83370.091</v>
      </c>
      <c r="U171" s="118">
        <f t="shared" si="137"/>
        <v>1565.989</v>
      </c>
      <c r="V171" s="118"/>
      <c r="W171" s="118">
        <v>236.04</v>
      </c>
      <c r="X171" s="118">
        <v>236.04</v>
      </c>
      <c r="Y171" s="118">
        <f t="shared" si="138"/>
        <v>0</v>
      </c>
      <c r="Z171" s="118"/>
      <c r="AA171" s="118"/>
      <c r="AB171" s="118"/>
    </row>
    <row r="172" customHeight="1" spans="1:28">
      <c r="A172" s="43">
        <v>41</v>
      </c>
      <c r="B172" s="115" t="s">
        <v>301</v>
      </c>
      <c r="C172" s="116"/>
      <c r="D172" s="117" t="s">
        <v>308</v>
      </c>
      <c r="E172" s="119" t="s">
        <v>1023</v>
      </c>
      <c r="F172" s="118">
        <f t="shared" ref="F172:F173" si="159">5257.44</f>
        <v>5257.44</v>
      </c>
      <c r="G172" s="44"/>
      <c r="H172" s="118">
        <f t="shared" si="129"/>
        <v>15772.32</v>
      </c>
      <c r="I172" s="118">
        <f t="shared" si="130"/>
        <v>394.308</v>
      </c>
      <c r="J172" s="118"/>
      <c r="K172" s="118">
        <f t="shared" si="131"/>
        <v>2628.72</v>
      </c>
      <c r="L172" s="118">
        <f t="shared" si="132"/>
        <v>18401.04</v>
      </c>
      <c r="M172" s="118">
        <f t="shared" si="157"/>
        <v>5257.44</v>
      </c>
      <c r="N172" s="44"/>
      <c r="O172" s="44">
        <f t="shared" si="155"/>
        <v>20000</v>
      </c>
      <c r="P172" s="118">
        <f t="shared" si="151"/>
        <v>525.744</v>
      </c>
      <c r="Q172" s="118">
        <v>5000</v>
      </c>
      <c r="R172" s="118">
        <f t="shared" si="158"/>
        <v>7000</v>
      </c>
      <c r="S172" s="118">
        <f t="shared" si="153"/>
        <v>80237.012</v>
      </c>
      <c r="T172" s="118">
        <v>78671.023</v>
      </c>
      <c r="U172" s="118">
        <f t="shared" si="137"/>
        <v>1565.989</v>
      </c>
      <c r="V172" s="118"/>
      <c r="W172" s="118">
        <v>236.04</v>
      </c>
      <c r="X172" s="118">
        <v>236.04</v>
      </c>
      <c r="Y172" s="118">
        <f t="shared" si="138"/>
        <v>0</v>
      </c>
      <c r="Z172" s="118"/>
      <c r="AA172" s="118"/>
      <c r="AB172" s="118"/>
    </row>
    <row r="173" customHeight="1" spans="1:28">
      <c r="A173" s="43">
        <v>42</v>
      </c>
      <c r="B173" s="115" t="s">
        <v>304</v>
      </c>
      <c r="C173" s="116"/>
      <c r="D173" s="117" t="s">
        <v>308</v>
      </c>
      <c r="E173" s="119" t="s">
        <v>1023</v>
      </c>
      <c r="F173" s="118">
        <f t="shared" si="159"/>
        <v>5257.44</v>
      </c>
      <c r="G173" s="44"/>
      <c r="H173" s="118">
        <f t="shared" si="129"/>
        <v>15772.32</v>
      </c>
      <c r="I173" s="118">
        <f t="shared" si="130"/>
        <v>394.308</v>
      </c>
      <c r="J173" s="118"/>
      <c r="K173" s="118">
        <f t="shared" si="131"/>
        <v>2628.72</v>
      </c>
      <c r="L173" s="118">
        <f t="shared" si="132"/>
        <v>18401.04</v>
      </c>
      <c r="M173" s="118">
        <f t="shared" si="157"/>
        <v>5257.44</v>
      </c>
      <c r="N173" s="44"/>
      <c r="O173" s="44">
        <f t="shared" si="155"/>
        <v>20000</v>
      </c>
      <c r="P173" s="118">
        <f t="shared" si="151"/>
        <v>525.744</v>
      </c>
      <c r="Q173" s="118">
        <v>5000</v>
      </c>
      <c r="R173" s="118">
        <f t="shared" si="158"/>
        <v>7000</v>
      </c>
      <c r="S173" s="118">
        <f t="shared" si="153"/>
        <v>80237.012</v>
      </c>
      <c r="T173" s="118">
        <v>78671.023</v>
      </c>
      <c r="U173" s="118">
        <f t="shared" si="137"/>
        <v>1565.989</v>
      </c>
      <c r="V173" s="118"/>
      <c r="W173" s="118">
        <v>236.04</v>
      </c>
      <c r="X173" s="118">
        <v>236.04</v>
      </c>
      <c r="Y173" s="118">
        <f t="shared" si="138"/>
        <v>0</v>
      </c>
      <c r="Z173" s="118"/>
      <c r="AA173" s="118"/>
      <c r="AB173" s="118"/>
    </row>
    <row r="174" customHeight="1" spans="1:28">
      <c r="A174" s="43">
        <v>43</v>
      </c>
      <c r="B174" s="117" t="s">
        <v>305</v>
      </c>
      <c r="C174" s="43"/>
      <c r="D174" s="117" t="s">
        <v>308</v>
      </c>
      <c r="E174" s="119" t="s">
        <v>588</v>
      </c>
      <c r="F174" s="118">
        <f>5428.12</f>
        <v>5428.12</v>
      </c>
      <c r="G174" s="44"/>
      <c r="H174" s="118">
        <f t="shared" si="129"/>
        <v>16284.36</v>
      </c>
      <c r="I174" s="118">
        <f t="shared" si="130"/>
        <v>407.109</v>
      </c>
      <c r="J174" s="118"/>
      <c r="K174" s="118">
        <f t="shared" si="131"/>
        <v>2714.06</v>
      </c>
      <c r="L174" s="118">
        <f t="shared" si="132"/>
        <v>18998.42</v>
      </c>
      <c r="M174" s="118">
        <f t="shared" si="157"/>
        <v>5428.12</v>
      </c>
      <c r="N174" s="44"/>
      <c r="O174" s="44">
        <f t="shared" si="155"/>
        <v>20000</v>
      </c>
      <c r="P174" s="118">
        <f t="shared" si="151"/>
        <v>542.812</v>
      </c>
      <c r="Q174" s="118">
        <v>5000</v>
      </c>
      <c r="R174" s="118">
        <f t="shared" si="158"/>
        <v>7000</v>
      </c>
      <c r="S174" s="118">
        <f t="shared" si="153"/>
        <v>81803.001</v>
      </c>
      <c r="T174" s="118">
        <v>80237.012</v>
      </c>
      <c r="U174" s="118">
        <f t="shared" si="137"/>
        <v>1565.98900000002</v>
      </c>
      <c r="V174" s="118"/>
      <c r="W174" s="118">
        <f>236.04</f>
        <v>236.04</v>
      </c>
      <c r="X174" s="118">
        <v>236.04</v>
      </c>
      <c r="Y174" s="118">
        <f t="shared" si="138"/>
        <v>0</v>
      </c>
      <c r="Z174" s="118"/>
      <c r="AA174" s="118"/>
      <c r="AB174" s="118"/>
    </row>
    <row r="175" customHeight="1" spans="1:28">
      <c r="A175" s="43">
        <v>44</v>
      </c>
      <c r="B175" s="115" t="s">
        <v>307</v>
      </c>
      <c r="C175" s="116"/>
      <c r="D175" s="117" t="s">
        <v>308</v>
      </c>
      <c r="E175" s="119" t="s">
        <v>322</v>
      </c>
      <c r="F175" s="118">
        <f>5086.76</f>
        <v>5086.76</v>
      </c>
      <c r="G175" s="44"/>
      <c r="H175" s="118">
        <f t="shared" si="129"/>
        <v>15260.28</v>
      </c>
      <c r="I175" s="118">
        <f t="shared" si="130"/>
        <v>381.507</v>
      </c>
      <c r="J175" s="118"/>
      <c r="K175" s="118">
        <f t="shared" si="131"/>
        <v>2543.38</v>
      </c>
      <c r="L175" s="118">
        <f t="shared" si="132"/>
        <v>17803.66</v>
      </c>
      <c r="M175" s="118">
        <f t="shared" si="157"/>
        <v>5086.76</v>
      </c>
      <c r="N175" s="44"/>
      <c r="O175" s="44">
        <f t="shared" si="155"/>
        <v>20000</v>
      </c>
      <c r="P175" s="118">
        <f t="shared" si="151"/>
        <v>508.676</v>
      </c>
      <c r="Q175" s="118">
        <v>5000</v>
      </c>
      <c r="R175" s="118">
        <f t="shared" si="158"/>
        <v>7000</v>
      </c>
      <c r="S175" s="118">
        <f t="shared" si="153"/>
        <v>78671.023</v>
      </c>
      <c r="T175" s="118">
        <v>77104.02475</v>
      </c>
      <c r="U175" s="118">
        <f t="shared" si="137"/>
        <v>1566.99825000002</v>
      </c>
      <c r="V175" s="118"/>
      <c r="W175" s="118">
        <v>236.04</v>
      </c>
      <c r="X175" s="118">
        <v>236.04</v>
      </c>
      <c r="Y175" s="118">
        <f t="shared" si="138"/>
        <v>0</v>
      </c>
      <c r="Z175" s="118"/>
      <c r="AA175" s="118"/>
      <c r="AB175" s="118"/>
    </row>
    <row r="176" customHeight="1" spans="1:28">
      <c r="A176" s="43">
        <v>45</v>
      </c>
      <c r="B176" s="115" t="s">
        <v>309</v>
      </c>
      <c r="C176" s="116"/>
      <c r="D176" s="117" t="s">
        <v>310</v>
      </c>
      <c r="E176" s="119" t="s">
        <v>1256</v>
      </c>
      <c r="F176" s="118">
        <f>4915.94</f>
        <v>4915.94</v>
      </c>
      <c r="G176" s="44"/>
      <c r="H176" s="118">
        <f t="shared" si="129"/>
        <v>14747.82</v>
      </c>
      <c r="I176" s="118">
        <f t="shared" si="130"/>
        <v>368.6955</v>
      </c>
      <c r="J176" s="118"/>
      <c r="K176" s="118">
        <f t="shared" si="131"/>
        <v>2457.97</v>
      </c>
      <c r="L176" s="118">
        <f t="shared" si="132"/>
        <v>17205.79</v>
      </c>
      <c r="M176" s="118">
        <f t="shared" si="157"/>
        <v>4915.94</v>
      </c>
      <c r="N176" s="44"/>
      <c r="O176" s="44">
        <f t="shared" si="155"/>
        <v>20000</v>
      </c>
      <c r="P176" s="118">
        <f t="shared" si="151"/>
        <v>491.594</v>
      </c>
      <c r="Q176" s="118">
        <v>5000</v>
      </c>
      <c r="R176" s="118">
        <f t="shared" si="158"/>
        <v>7000</v>
      </c>
      <c r="S176" s="118">
        <f t="shared" si="153"/>
        <v>77103.7495</v>
      </c>
      <c r="T176" s="118">
        <v>75538.03575</v>
      </c>
      <c r="U176" s="118">
        <f t="shared" si="137"/>
        <v>1565.71375000001</v>
      </c>
      <c r="V176" s="118"/>
      <c r="W176" s="118">
        <v>236.04</v>
      </c>
      <c r="X176" s="118">
        <v>236.04</v>
      </c>
      <c r="Y176" s="118">
        <f t="shared" si="138"/>
        <v>0</v>
      </c>
      <c r="Z176" s="118"/>
      <c r="AA176" s="118"/>
      <c r="AB176" s="118"/>
    </row>
    <row r="177" customHeight="1" spans="1:28">
      <c r="A177" s="43">
        <v>46</v>
      </c>
      <c r="B177" s="115" t="s">
        <v>312</v>
      </c>
      <c r="C177" s="116"/>
      <c r="D177" s="117" t="s">
        <v>310</v>
      </c>
      <c r="E177" s="119" t="s">
        <v>1256</v>
      </c>
      <c r="F177" s="118">
        <f t="shared" ref="F177:F180" si="160">4915.94</f>
        <v>4915.94</v>
      </c>
      <c r="G177" s="44"/>
      <c r="H177" s="118">
        <f t="shared" si="129"/>
        <v>14747.82</v>
      </c>
      <c r="I177" s="118">
        <f t="shared" si="130"/>
        <v>368.6955</v>
      </c>
      <c r="J177" s="118"/>
      <c r="K177" s="118">
        <f t="shared" si="131"/>
        <v>2457.97</v>
      </c>
      <c r="L177" s="118">
        <f t="shared" si="132"/>
        <v>17205.79</v>
      </c>
      <c r="M177" s="118">
        <f t="shared" si="157"/>
        <v>4915.94</v>
      </c>
      <c r="N177" s="44"/>
      <c r="O177" s="44">
        <f t="shared" si="155"/>
        <v>20000</v>
      </c>
      <c r="P177" s="118">
        <f t="shared" si="151"/>
        <v>491.594</v>
      </c>
      <c r="Q177" s="118">
        <v>5000</v>
      </c>
      <c r="R177" s="118">
        <f>4000</f>
        <v>4000</v>
      </c>
      <c r="S177" s="118">
        <f t="shared" si="153"/>
        <v>74103.7495</v>
      </c>
      <c r="T177" s="118">
        <v>72538.03575</v>
      </c>
      <c r="U177" s="118">
        <f t="shared" si="137"/>
        <v>1565.71375000001</v>
      </c>
      <c r="V177" s="118"/>
      <c r="W177" s="118">
        <v>236.04</v>
      </c>
      <c r="X177" s="118">
        <v>236.04</v>
      </c>
      <c r="Y177" s="118">
        <f t="shared" si="138"/>
        <v>0</v>
      </c>
      <c r="Z177" s="118"/>
      <c r="AA177" s="118"/>
      <c r="AB177" s="118"/>
    </row>
    <row r="178" customHeight="1" spans="1:28">
      <c r="A178" s="43">
        <v>47</v>
      </c>
      <c r="B178" s="115" t="s">
        <v>313</v>
      </c>
      <c r="C178" s="116"/>
      <c r="D178" s="117" t="s">
        <v>310</v>
      </c>
      <c r="E178" s="119" t="s">
        <v>1256</v>
      </c>
      <c r="F178" s="118">
        <f t="shared" si="160"/>
        <v>4915.94</v>
      </c>
      <c r="G178" s="44"/>
      <c r="H178" s="118">
        <f t="shared" si="129"/>
        <v>14747.82</v>
      </c>
      <c r="I178" s="118">
        <f t="shared" si="130"/>
        <v>368.6955</v>
      </c>
      <c r="J178" s="118"/>
      <c r="K178" s="118">
        <f t="shared" si="131"/>
        <v>2457.97</v>
      </c>
      <c r="L178" s="118">
        <f t="shared" si="132"/>
        <v>17205.79</v>
      </c>
      <c r="M178" s="118">
        <f t="shared" si="157"/>
        <v>4915.94</v>
      </c>
      <c r="N178" s="44"/>
      <c r="O178" s="44">
        <f t="shared" si="155"/>
        <v>20000</v>
      </c>
      <c r="P178" s="118">
        <f t="shared" si="151"/>
        <v>491.594</v>
      </c>
      <c r="Q178" s="118">
        <v>5000</v>
      </c>
      <c r="R178" s="118">
        <f>7000</f>
        <v>7000</v>
      </c>
      <c r="S178" s="118">
        <f t="shared" si="153"/>
        <v>77103.7495</v>
      </c>
      <c r="T178" s="118">
        <v>75538.03575</v>
      </c>
      <c r="U178" s="118">
        <f t="shared" si="137"/>
        <v>1565.71375000001</v>
      </c>
      <c r="V178" s="118"/>
      <c r="W178" s="118">
        <v>236.04</v>
      </c>
      <c r="X178" s="118">
        <v>236.04</v>
      </c>
      <c r="Y178" s="118">
        <f t="shared" si="138"/>
        <v>0</v>
      </c>
      <c r="Z178" s="118"/>
      <c r="AA178" s="118"/>
      <c r="AB178" s="118"/>
    </row>
    <row r="179" customHeight="1" spans="1:28">
      <c r="A179" s="43">
        <v>48</v>
      </c>
      <c r="B179" s="115" t="s">
        <v>314</v>
      </c>
      <c r="C179" s="116"/>
      <c r="D179" s="117" t="s">
        <v>310</v>
      </c>
      <c r="E179" s="119" t="s">
        <v>1256</v>
      </c>
      <c r="F179" s="118">
        <f t="shared" si="160"/>
        <v>4915.94</v>
      </c>
      <c r="G179" s="44"/>
      <c r="H179" s="118">
        <f t="shared" si="129"/>
        <v>14747.82</v>
      </c>
      <c r="I179" s="118">
        <f t="shared" si="130"/>
        <v>368.6955</v>
      </c>
      <c r="J179" s="118"/>
      <c r="K179" s="118">
        <f t="shared" si="131"/>
        <v>2457.97</v>
      </c>
      <c r="L179" s="118">
        <f t="shared" si="132"/>
        <v>17205.79</v>
      </c>
      <c r="M179" s="118">
        <f t="shared" si="157"/>
        <v>4915.94</v>
      </c>
      <c r="N179" s="44"/>
      <c r="O179" s="44">
        <f t="shared" si="155"/>
        <v>20000</v>
      </c>
      <c r="P179" s="118">
        <f t="shared" si="151"/>
        <v>491.594</v>
      </c>
      <c r="Q179" s="118">
        <v>5000</v>
      </c>
      <c r="R179" s="118">
        <f>4000</f>
        <v>4000</v>
      </c>
      <c r="S179" s="118">
        <f t="shared" si="153"/>
        <v>74103.7495</v>
      </c>
      <c r="T179" s="118">
        <v>72538.03575</v>
      </c>
      <c r="U179" s="118">
        <f t="shared" si="137"/>
        <v>1565.71375000001</v>
      </c>
      <c r="V179" s="118"/>
      <c r="W179" s="118">
        <v>236.04</v>
      </c>
      <c r="X179" s="118">
        <v>236.04</v>
      </c>
      <c r="Y179" s="118">
        <f t="shared" si="138"/>
        <v>0</v>
      </c>
      <c r="Z179" s="118"/>
      <c r="AA179" s="118"/>
      <c r="AB179" s="118"/>
    </row>
    <row r="180" customHeight="1" spans="1:28">
      <c r="A180" s="43">
        <v>49</v>
      </c>
      <c r="B180" s="115" t="s">
        <v>315</v>
      </c>
      <c r="C180" s="116"/>
      <c r="D180" s="117" t="s">
        <v>310</v>
      </c>
      <c r="E180" s="119" t="s">
        <v>1256</v>
      </c>
      <c r="F180" s="118">
        <f t="shared" si="160"/>
        <v>4915.94</v>
      </c>
      <c r="G180" s="44"/>
      <c r="H180" s="118">
        <f t="shared" si="129"/>
        <v>14747.82</v>
      </c>
      <c r="I180" s="118">
        <f t="shared" si="130"/>
        <v>368.6955</v>
      </c>
      <c r="J180" s="118"/>
      <c r="K180" s="118">
        <f t="shared" si="131"/>
        <v>2457.97</v>
      </c>
      <c r="L180" s="118">
        <f t="shared" si="132"/>
        <v>17205.79</v>
      </c>
      <c r="M180" s="118">
        <f t="shared" si="157"/>
        <v>4915.94</v>
      </c>
      <c r="N180" s="44"/>
      <c r="O180" s="44">
        <f t="shared" si="155"/>
        <v>20000</v>
      </c>
      <c r="P180" s="118">
        <f t="shared" si="151"/>
        <v>491.594</v>
      </c>
      <c r="Q180" s="118">
        <v>5000</v>
      </c>
      <c r="R180" s="118">
        <f>7000</f>
        <v>7000</v>
      </c>
      <c r="S180" s="118">
        <f t="shared" si="153"/>
        <v>77103.7495</v>
      </c>
      <c r="T180" s="118">
        <v>75538.03575</v>
      </c>
      <c r="U180" s="118">
        <f t="shared" si="137"/>
        <v>1565.71375000001</v>
      </c>
      <c r="V180" s="118"/>
      <c r="W180" s="118">
        <v>236.04</v>
      </c>
      <c r="X180" s="118">
        <v>236.04</v>
      </c>
      <c r="Y180" s="118">
        <f t="shared" si="138"/>
        <v>0</v>
      </c>
      <c r="Z180" s="118"/>
      <c r="AA180" s="118"/>
      <c r="AB180" s="118"/>
    </row>
    <row r="181" customHeight="1" spans="1:28">
      <c r="A181" s="43">
        <v>50</v>
      </c>
      <c r="B181" s="167" t="s">
        <v>318</v>
      </c>
      <c r="C181" s="168"/>
      <c r="D181" s="117" t="s">
        <v>310</v>
      </c>
      <c r="E181" s="119" t="s">
        <v>589</v>
      </c>
      <c r="F181" s="118">
        <f>4836.5</f>
        <v>4836.5</v>
      </c>
      <c r="G181" s="44"/>
      <c r="H181" s="118">
        <f t="shared" si="129"/>
        <v>14509.5</v>
      </c>
      <c r="I181" s="118">
        <f t="shared" si="130"/>
        <v>362.7375</v>
      </c>
      <c r="J181" s="118"/>
      <c r="K181" s="118">
        <f t="shared" si="131"/>
        <v>2418.25</v>
      </c>
      <c r="L181" s="118">
        <f t="shared" si="132"/>
        <v>16927.75</v>
      </c>
      <c r="M181" s="118">
        <f t="shared" si="157"/>
        <v>4836.5</v>
      </c>
      <c r="N181" s="44"/>
      <c r="O181" s="44">
        <f>15000</f>
        <v>15000</v>
      </c>
      <c r="P181" s="118">
        <f t="shared" si="151"/>
        <v>483.65</v>
      </c>
      <c r="Q181" s="118">
        <v>5000</v>
      </c>
      <c r="R181" s="118">
        <f>7000</f>
        <v>7000</v>
      </c>
      <c r="S181" s="118">
        <f t="shared" si="153"/>
        <v>71374.8875</v>
      </c>
      <c r="T181" s="118">
        <v>67328.07025</v>
      </c>
      <c r="U181" s="118">
        <f t="shared" si="137"/>
        <v>4046.81725000001</v>
      </c>
      <c r="V181" s="118"/>
      <c r="W181" s="118">
        <v>236.04</v>
      </c>
      <c r="X181" s="118">
        <v>236.04</v>
      </c>
      <c r="Y181" s="118">
        <f t="shared" si="138"/>
        <v>0</v>
      </c>
      <c r="Z181" s="118"/>
      <c r="AA181" s="118"/>
      <c r="AB181" s="118"/>
    </row>
    <row r="182" customHeight="1" spans="1:28">
      <c r="A182" s="43">
        <v>51</v>
      </c>
      <c r="B182" s="169" t="s">
        <v>319</v>
      </c>
      <c r="C182" s="170"/>
      <c r="D182" s="117" t="s">
        <v>310</v>
      </c>
      <c r="E182" s="119" t="s">
        <v>589</v>
      </c>
      <c r="F182" s="118">
        <f t="shared" ref="F182:F183" si="161">4836.5</f>
        <v>4836.5</v>
      </c>
      <c r="G182" s="44"/>
      <c r="H182" s="118">
        <f t="shared" si="129"/>
        <v>14509.5</v>
      </c>
      <c r="I182" s="118">
        <f t="shared" si="130"/>
        <v>362.7375</v>
      </c>
      <c r="J182" s="118"/>
      <c r="K182" s="118">
        <f t="shared" si="131"/>
        <v>2418.25</v>
      </c>
      <c r="L182" s="118">
        <f t="shared" si="132"/>
        <v>16927.75</v>
      </c>
      <c r="M182" s="118">
        <f t="shared" si="157"/>
        <v>4836.5</v>
      </c>
      <c r="N182" s="44"/>
      <c r="O182" s="44">
        <f>15000</f>
        <v>15000</v>
      </c>
      <c r="P182" s="118">
        <f t="shared" si="151"/>
        <v>483.65</v>
      </c>
      <c r="Q182" s="118">
        <v>5000</v>
      </c>
      <c r="R182" s="118">
        <f>7000</f>
        <v>7000</v>
      </c>
      <c r="S182" s="118">
        <f t="shared" si="153"/>
        <v>71374.8875</v>
      </c>
      <c r="T182" s="118">
        <v>67328.07025</v>
      </c>
      <c r="U182" s="118">
        <f t="shared" si="137"/>
        <v>4046.81725000001</v>
      </c>
      <c r="V182" s="118"/>
      <c r="W182" s="118">
        <v>236.04</v>
      </c>
      <c r="X182" s="118">
        <v>236.04</v>
      </c>
      <c r="Y182" s="118">
        <f t="shared" si="138"/>
        <v>0</v>
      </c>
      <c r="Z182" s="118"/>
      <c r="AA182" s="118"/>
      <c r="AB182" s="118"/>
    </row>
    <row r="183" customHeight="1" spans="1:28">
      <c r="A183" s="43">
        <v>52</v>
      </c>
      <c r="B183" s="169" t="s">
        <v>320</v>
      </c>
      <c r="C183" s="171"/>
      <c r="D183" s="117" t="s">
        <v>310</v>
      </c>
      <c r="E183" s="119" t="s">
        <v>589</v>
      </c>
      <c r="F183" s="118">
        <f t="shared" si="161"/>
        <v>4836.5</v>
      </c>
      <c r="G183" s="44"/>
      <c r="H183" s="118">
        <f t="shared" si="129"/>
        <v>14509.5</v>
      </c>
      <c r="I183" s="118">
        <f t="shared" si="130"/>
        <v>362.7375</v>
      </c>
      <c r="J183" s="118"/>
      <c r="K183" s="118">
        <f t="shared" si="131"/>
        <v>2418.25</v>
      </c>
      <c r="L183" s="118">
        <f t="shared" si="132"/>
        <v>16927.75</v>
      </c>
      <c r="M183" s="118">
        <f t="shared" si="157"/>
        <v>4836.5</v>
      </c>
      <c r="N183" s="44"/>
      <c r="O183" s="44">
        <f>15000</f>
        <v>15000</v>
      </c>
      <c r="P183" s="118">
        <f t="shared" si="151"/>
        <v>483.65</v>
      </c>
      <c r="Q183" s="118">
        <v>5000</v>
      </c>
      <c r="R183" s="118">
        <f>4000</f>
        <v>4000</v>
      </c>
      <c r="S183" s="118">
        <f t="shared" ref="S183:S185" si="162">SUM(F183:R183)</f>
        <v>68374.8875</v>
      </c>
      <c r="T183" s="118">
        <v>64328.07025</v>
      </c>
      <c r="U183" s="118">
        <f t="shared" si="137"/>
        <v>4046.81725000001</v>
      </c>
      <c r="V183" s="118"/>
      <c r="W183" s="118">
        <v>236.04</v>
      </c>
      <c r="X183" s="118">
        <v>236.04</v>
      </c>
      <c r="Y183" s="118">
        <f t="shared" si="138"/>
        <v>0</v>
      </c>
      <c r="Z183" s="118"/>
      <c r="AA183" s="118"/>
      <c r="AB183" s="118"/>
    </row>
    <row r="184" customHeight="1" spans="1:28">
      <c r="A184" s="43">
        <v>53</v>
      </c>
      <c r="B184" s="169" t="s">
        <v>316</v>
      </c>
      <c r="C184" s="171"/>
      <c r="D184" s="117" t="s">
        <v>310</v>
      </c>
      <c r="E184" s="119" t="s">
        <v>333</v>
      </c>
      <c r="F184" s="118">
        <f>4915.94</f>
        <v>4915.94</v>
      </c>
      <c r="G184" s="44"/>
      <c r="H184" s="118">
        <f t="shared" si="129"/>
        <v>14747.82</v>
      </c>
      <c r="I184" s="118">
        <f t="shared" si="130"/>
        <v>368.6955</v>
      </c>
      <c r="J184" s="118"/>
      <c r="K184" s="118">
        <f t="shared" si="131"/>
        <v>2457.97</v>
      </c>
      <c r="L184" s="118">
        <f t="shared" si="132"/>
        <v>17205.79</v>
      </c>
      <c r="M184" s="118">
        <f t="shared" si="157"/>
        <v>4915.94</v>
      </c>
      <c r="N184" s="44"/>
      <c r="O184" s="44">
        <f>20000</f>
        <v>20000</v>
      </c>
      <c r="P184" s="118">
        <f t="shared" si="151"/>
        <v>491.594</v>
      </c>
      <c r="Q184" s="118">
        <v>5000</v>
      </c>
      <c r="R184" s="118">
        <f>4000</f>
        <v>4000</v>
      </c>
      <c r="S184" s="118">
        <f t="shared" si="162"/>
        <v>74103.7495</v>
      </c>
      <c r="T184" s="118">
        <v>72538.03575</v>
      </c>
      <c r="U184" s="118">
        <f t="shared" si="137"/>
        <v>1565.71375000001</v>
      </c>
      <c r="V184" s="118"/>
      <c r="W184" s="118">
        <v>236.04</v>
      </c>
      <c r="X184" s="118">
        <v>236.04</v>
      </c>
      <c r="Y184" s="118">
        <f t="shared" si="138"/>
        <v>0</v>
      </c>
      <c r="Z184" s="118"/>
      <c r="AA184" s="118"/>
      <c r="AB184" s="118"/>
    </row>
    <row r="185" customHeight="1" spans="1:28">
      <c r="A185" s="43">
        <v>54</v>
      </c>
      <c r="B185" s="169" t="s">
        <v>325</v>
      </c>
      <c r="C185" s="171"/>
      <c r="D185" s="117" t="s">
        <v>310</v>
      </c>
      <c r="E185" s="119" t="s">
        <v>328</v>
      </c>
      <c r="F185" s="39">
        <f>4248.5</f>
        <v>4248.5</v>
      </c>
      <c r="G185" s="44"/>
      <c r="H185" s="118">
        <f t="shared" si="129"/>
        <v>12745.5</v>
      </c>
      <c r="I185" s="118">
        <f t="shared" si="130"/>
        <v>318.6375</v>
      </c>
      <c r="J185" s="118"/>
      <c r="K185" s="118">
        <f t="shared" si="131"/>
        <v>2124.25</v>
      </c>
      <c r="L185" s="118">
        <f t="shared" si="132"/>
        <v>14869.75</v>
      </c>
      <c r="M185" s="118">
        <f t="shared" si="157"/>
        <v>4248.5</v>
      </c>
      <c r="N185" s="44"/>
      <c r="O185" s="44">
        <f>15000</f>
        <v>15000</v>
      </c>
      <c r="P185" s="118">
        <f t="shared" si="151"/>
        <v>424.85</v>
      </c>
      <c r="Q185" s="118">
        <v>5000</v>
      </c>
      <c r="R185" s="118">
        <f>7000</f>
        <v>7000</v>
      </c>
      <c r="S185" s="118">
        <f t="shared" si="162"/>
        <v>65979.9875</v>
      </c>
      <c r="T185" s="118">
        <v>64631.9965</v>
      </c>
      <c r="U185" s="118">
        <f t="shared" si="137"/>
        <v>1347.99099999999</v>
      </c>
      <c r="V185" s="118"/>
      <c r="W185" s="118">
        <v>236.04</v>
      </c>
      <c r="X185" s="118">
        <v>236.04</v>
      </c>
      <c r="Y185" s="118">
        <f t="shared" si="138"/>
        <v>0</v>
      </c>
      <c r="Z185" s="118"/>
      <c r="AA185" s="118"/>
      <c r="AB185" s="118"/>
    </row>
    <row r="186" customHeight="1" spans="1:28">
      <c r="A186" s="43">
        <v>55</v>
      </c>
      <c r="B186" s="169" t="s">
        <v>317</v>
      </c>
      <c r="C186" s="171"/>
      <c r="D186" s="117" t="s">
        <v>310</v>
      </c>
      <c r="E186" s="119" t="s">
        <v>333</v>
      </c>
      <c r="F186" s="118">
        <f>4915.94</f>
        <v>4915.94</v>
      </c>
      <c r="G186" s="44"/>
      <c r="H186" s="118">
        <f t="shared" si="129"/>
        <v>14747.82</v>
      </c>
      <c r="I186" s="118">
        <f t="shared" si="130"/>
        <v>368.6955</v>
      </c>
      <c r="J186" s="118"/>
      <c r="K186" s="118">
        <f t="shared" si="131"/>
        <v>2457.97</v>
      </c>
      <c r="L186" s="118">
        <f t="shared" si="132"/>
        <v>17205.79</v>
      </c>
      <c r="M186" s="118">
        <f t="shared" si="157"/>
        <v>4915.94</v>
      </c>
      <c r="N186" s="44"/>
      <c r="O186" s="44">
        <f>20000</f>
        <v>20000</v>
      </c>
      <c r="P186" s="118">
        <f t="shared" si="151"/>
        <v>491.594</v>
      </c>
      <c r="Q186" s="118">
        <v>5000</v>
      </c>
      <c r="R186" s="118">
        <f>7000</f>
        <v>7000</v>
      </c>
      <c r="S186" s="118">
        <f t="shared" ref="S186" si="163">SUM(F186:R186)</f>
        <v>77103.7495</v>
      </c>
      <c r="T186" s="118">
        <v>75538.03575</v>
      </c>
      <c r="U186" s="118">
        <f t="shared" si="137"/>
        <v>1565.71375000001</v>
      </c>
      <c r="V186" s="118"/>
      <c r="W186" s="118">
        <v>236.04</v>
      </c>
      <c r="X186" s="118">
        <v>236.04</v>
      </c>
      <c r="Y186" s="118">
        <f t="shared" si="138"/>
        <v>0</v>
      </c>
      <c r="Z186" s="118"/>
      <c r="AA186" s="118"/>
      <c r="AB186" s="118"/>
    </row>
    <row r="187" customHeight="1" spans="1:28">
      <c r="A187" s="43"/>
      <c r="B187" s="113" t="s">
        <v>96</v>
      </c>
      <c r="D187" s="172" t="s">
        <v>1191</v>
      </c>
      <c r="E187" s="173"/>
      <c r="F187" s="154">
        <f t="shared" ref="F187:M187" si="164">SUM(F132:F186)</f>
        <v>833916.939999999</v>
      </c>
      <c r="G187" s="154">
        <f t="shared" si="164"/>
        <v>0</v>
      </c>
      <c r="H187" s="154">
        <f t="shared" si="164"/>
        <v>2501750.82</v>
      </c>
      <c r="I187" s="154">
        <f t="shared" si="164"/>
        <v>62543.7705</v>
      </c>
      <c r="J187" s="154">
        <f t="shared" si="164"/>
        <v>280855.33</v>
      </c>
      <c r="K187" s="154">
        <f t="shared" si="164"/>
        <v>416958.47</v>
      </c>
      <c r="L187" s="154">
        <f t="shared" si="164"/>
        <v>2918709.29</v>
      </c>
      <c r="M187" s="154">
        <f t="shared" si="164"/>
        <v>833916.939999999</v>
      </c>
      <c r="N187" s="148"/>
      <c r="O187" s="148">
        <f>SUM(O132:O186)</f>
        <v>2300000</v>
      </c>
      <c r="P187" s="154">
        <f>SUM(P132:P186)</f>
        <v>83391.694</v>
      </c>
      <c r="Q187" s="154">
        <f>SUM(Q132:Q186)</f>
        <v>505000</v>
      </c>
      <c r="R187" s="154">
        <f>SUM(R132:R186)</f>
        <v>211000</v>
      </c>
      <c r="S187" s="154">
        <f>SUM(S132:S186)</f>
        <v>10948043.2545</v>
      </c>
      <c r="T187" s="154">
        <v>10834146.823</v>
      </c>
      <c r="U187" s="154">
        <f>SUM(U132:U186)</f>
        <v>105835.73525</v>
      </c>
      <c r="V187" s="154"/>
      <c r="W187" s="154">
        <f t="shared" ref="W187" si="165">SUM(W132:W186)</f>
        <v>234382.48</v>
      </c>
      <c r="X187" s="154">
        <v>234382.48</v>
      </c>
      <c r="Y187" s="154">
        <f t="shared" ref="Y187" si="166">SUM(Y132:Y186)</f>
        <v>0</v>
      </c>
      <c r="Z187" s="154"/>
      <c r="AA187" s="154"/>
      <c r="AB187" s="154"/>
    </row>
    <row r="188" customHeight="1" spans="1:28">
      <c r="A188" s="43"/>
      <c r="B188" s="174" t="s">
        <v>336</v>
      </c>
      <c r="C188" s="174"/>
      <c r="D188" s="175">
        <f>D39+D43+D56+D61+D76+D86+D99+D106+D117+D129+D187</f>
        <v>148</v>
      </c>
      <c r="E188" s="176"/>
      <c r="F188" s="177">
        <f t="shared" ref="F188:U188" si="167">F39+F43+F56+F61+F76+F86+F99+F106+F117+F129+F187</f>
        <v>3775265.35</v>
      </c>
      <c r="G188" s="177">
        <f t="shared" si="167"/>
        <v>0</v>
      </c>
      <c r="H188" s="177">
        <f t="shared" si="167"/>
        <v>11165307.3</v>
      </c>
      <c r="I188" s="177">
        <f t="shared" si="167"/>
        <v>319254.875</v>
      </c>
      <c r="J188" s="177">
        <f t="shared" si="167"/>
        <v>2311503.69</v>
      </c>
      <c r="K188" s="177">
        <f t="shared" si="167"/>
        <v>1879608.24</v>
      </c>
      <c r="L188" s="177">
        <f t="shared" si="167"/>
        <v>12651718.1</v>
      </c>
      <c r="M188" s="177">
        <f t="shared" si="167"/>
        <v>3735143.17</v>
      </c>
      <c r="N188" s="177">
        <f t="shared" si="167"/>
        <v>7680000</v>
      </c>
      <c r="O188" s="177">
        <f t="shared" si="167"/>
        <v>5010000</v>
      </c>
      <c r="P188" s="177">
        <f t="shared" si="167"/>
        <v>377526.54</v>
      </c>
      <c r="Q188" s="177">
        <f t="shared" si="167"/>
        <v>2020000</v>
      </c>
      <c r="R188" s="177" t="e">
        <f t="shared" si="167"/>
        <v>#REF!</v>
      </c>
      <c r="S188" s="177" t="e">
        <f t="shared" si="167"/>
        <v>#REF!</v>
      </c>
      <c r="T188" s="177">
        <f t="shared" si="167"/>
        <v>51639317.2888</v>
      </c>
      <c r="U188" s="177" t="e">
        <f t="shared" si="167"/>
        <v>#REF!</v>
      </c>
      <c r="V188" s="177"/>
      <c r="W188" s="177">
        <f>W39+W43+W56+W61+W76+W86+W99+W106+W117+W129+W187</f>
        <v>1514721.3</v>
      </c>
      <c r="X188" s="177">
        <v>1514721.3</v>
      </c>
      <c r="Y188" s="177">
        <f>Y39+Y43+Y56+Y61+Y76+Y86+Y99+Y106+Y117+Y129+Y187</f>
        <v>0</v>
      </c>
      <c r="Z188" s="177"/>
      <c r="AA188" s="177"/>
      <c r="AB188" s="177"/>
    </row>
    <row r="189" customHeight="1" spans="1:28">
      <c r="A189" s="43"/>
      <c r="B189" s="178"/>
      <c r="C189" s="178"/>
      <c r="D189" s="174"/>
      <c r="E189" s="178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customHeight="1" spans="1:28">
      <c r="A190" s="43"/>
      <c r="B190" s="178"/>
      <c r="C190" s="178"/>
      <c r="D190" s="180" t="s">
        <v>1258</v>
      </c>
      <c r="E190" s="180"/>
      <c r="F190" s="180"/>
      <c r="G190" s="180"/>
      <c r="H190" s="180"/>
      <c r="I190" s="180"/>
      <c r="J190" s="180"/>
      <c r="K190" s="176" t="s">
        <v>1282</v>
      </c>
      <c r="L190" s="176"/>
      <c r="M190" s="176"/>
      <c r="N190" s="176"/>
      <c r="O190" s="176"/>
      <c r="P190" s="176" t="s">
        <v>1283</v>
      </c>
      <c r="Q190" s="176"/>
      <c r="R190" s="176"/>
      <c r="S190" s="176"/>
      <c r="T190" s="176"/>
      <c r="U190" s="176"/>
      <c r="V190" s="176"/>
      <c r="W190" s="176"/>
      <c r="X190" s="176"/>
      <c r="Y190" s="179"/>
      <c r="Z190" s="179"/>
      <c r="AA190" s="179"/>
      <c r="AB190" s="179"/>
    </row>
    <row r="191" customHeight="1" spans="1:28">
      <c r="A191" s="43"/>
      <c r="B191" s="178"/>
      <c r="C191" s="178"/>
      <c r="D191" s="180"/>
      <c r="E191" s="180"/>
      <c r="F191" s="180"/>
      <c r="G191" s="180"/>
      <c r="H191" s="180"/>
      <c r="I191" s="180"/>
      <c r="J191" s="180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9"/>
      <c r="Z191" s="179"/>
      <c r="AA191" s="179"/>
      <c r="AB191" s="179"/>
    </row>
    <row r="192" customHeight="1" spans="2:28"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</row>
    <row r="193" customHeight="1" spans="2:28"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</row>
    <row r="194" customHeight="1" spans="3:28"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</row>
  </sheetData>
  <mergeCells count="151">
    <mergeCell ref="B3:E3"/>
    <mergeCell ref="B5:C5"/>
    <mergeCell ref="U5:Z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91:C191"/>
    <mergeCell ref="D190:D191"/>
    <mergeCell ref="K190:K191"/>
    <mergeCell ref="P190:P191"/>
    <mergeCell ref="E190:J191"/>
    <mergeCell ref="L190:M191"/>
    <mergeCell ref="Q190:S191"/>
  </mergeCells>
  <pageMargins left="0.984251968503937" right="0.984251968503937" top="0.984251968503937" bottom="0.984251968503937" header="0.511811023622047" footer="0.511811023622047"/>
  <pageSetup paperSize="9" scale="70" orientation="portrait" horizontalDpi="1200" verticalDpi="1200"/>
  <headerFooter alignWithMargins="0"/>
  <rowBreaks count="3" manualBreakCount="3">
    <brk id="44" max="26" man="1"/>
    <brk id="86" max="26" man="1"/>
    <brk id="129" max="26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workbookViewId="0">
      <pane xSplit="2" ySplit="6" topLeftCell="C187" activePane="bottomRight" state="frozen"/>
      <selection/>
      <selection pane="topRight"/>
      <selection pane="bottomLeft"/>
      <selection pane="bottomRight" activeCell="J189" sqref="J189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1284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500</v>
      </c>
      <c r="F4" s="80" t="s">
        <v>1007</v>
      </c>
      <c r="G4" s="80" t="s">
        <v>1008</v>
      </c>
    </row>
    <row r="5" customHeight="1" spans="1:7">
      <c r="A5" s="9" t="s">
        <v>20</v>
      </c>
      <c r="B5" s="8" t="s">
        <v>21</v>
      </c>
      <c r="C5" s="81"/>
      <c r="D5" s="8"/>
      <c r="E5" s="82" t="s">
        <v>19</v>
      </c>
      <c r="F5" s="82" t="s">
        <v>19</v>
      </c>
      <c r="G5" s="82" t="s">
        <v>19</v>
      </c>
    </row>
    <row r="6" customHeight="1" spans="1:7">
      <c r="A6" s="10">
        <v>1</v>
      </c>
      <c r="B6" s="11" t="s">
        <v>22</v>
      </c>
      <c r="C6" s="83" t="s">
        <v>23</v>
      </c>
      <c r="D6" s="12" t="s">
        <v>24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1085</v>
      </c>
      <c r="C7" s="86" t="s">
        <v>1175</v>
      </c>
      <c r="D7" s="10" t="s">
        <v>189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1176</v>
      </c>
      <c r="C8" s="86" t="s">
        <v>1177</v>
      </c>
      <c r="D8" s="10" t="s">
        <v>110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25</v>
      </c>
      <c r="C9" s="83" t="s">
        <v>26</v>
      </c>
      <c r="D9" s="10" t="s">
        <v>1226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28</v>
      </c>
      <c r="C10" s="86" t="s">
        <v>29</v>
      </c>
      <c r="D10" s="15" t="s">
        <v>1015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173</v>
      </c>
      <c r="C11" s="86" t="s">
        <v>1087</v>
      </c>
      <c r="D11" s="16" t="s">
        <v>1015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30</v>
      </c>
      <c r="C12" s="87" t="s">
        <v>31</v>
      </c>
      <c r="D12" s="16" t="s">
        <v>1015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32</v>
      </c>
      <c r="C13" s="86" t="s">
        <v>33</v>
      </c>
      <c r="D13" s="16" t="s">
        <v>1015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34</v>
      </c>
      <c r="C14" s="83" t="s">
        <v>35</v>
      </c>
      <c r="D14" s="15" t="s">
        <v>36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521</v>
      </c>
      <c r="C15" s="83" t="s">
        <v>574</v>
      </c>
      <c r="D15" s="10" t="s">
        <v>1021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1178</v>
      </c>
      <c r="C16" s="86" t="s">
        <v>1179</v>
      </c>
      <c r="D16" s="16" t="s">
        <v>148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1088</v>
      </c>
      <c r="C17" s="86" t="s">
        <v>41</v>
      </c>
      <c r="D17" s="10" t="s">
        <v>148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1180</v>
      </c>
      <c r="C18" s="86" t="s">
        <v>1181</v>
      </c>
      <c r="D18" s="10" t="s">
        <v>148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40</v>
      </c>
      <c r="C19" s="86" t="s">
        <v>41</v>
      </c>
      <c r="D19" s="15" t="s">
        <v>148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50</v>
      </c>
      <c r="C20" s="83" t="s">
        <v>51</v>
      </c>
      <c r="D20" s="15" t="s">
        <v>1231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53</v>
      </c>
      <c r="C21" s="86" t="s">
        <v>54</v>
      </c>
      <c r="D21" s="15" t="s">
        <v>58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204</v>
      </c>
      <c r="C22" s="83" t="s">
        <v>581</v>
      </c>
      <c r="D22" s="15" t="s">
        <v>135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60</v>
      </c>
      <c r="C23" s="83" t="s">
        <v>61</v>
      </c>
      <c r="D23" s="15" t="s">
        <v>65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202</v>
      </c>
      <c r="C24" s="86" t="s">
        <v>203</v>
      </c>
      <c r="D24" s="15" t="s">
        <v>65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254</v>
      </c>
      <c r="C25" s="86" t="s">
        <v>1197</v>
      </c>
      <c r="D25" s="15" t="s">
        <v>265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1182</v>
      </c>
      <c r="C26" s="83" t="s">
        <v>91</v>
      </c>
      <c r="D26" s="15" t="s">
        <v>104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73</v>
      </c>
      <c r="C27" s="86" t="s">
        <v>74</v>
      </c>
      <c r="D27" s="10" t="s">
        <v>83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76</v>
      </c>
      <c r="C28" s="83" t="s">
        <v>74</v>
      </c>
      <c r="D28" s="15" t="s">
        <v>83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1089</v>
      </c>
      <c r="C29" s="83" t="s">
        <v>1090</v>
      </c>
      <c r="D29" s="15" t="s">
        <v>83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78</v>
      </c>
      <c r="C30" s="83" t="s">
        <v>1036</v>
      </c>
      <c r="D30" s="15" t="s">
        <v>1233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182</v>
      </c>
      <c r="C31" s="87" t="s">
        <v>1199</v>
      </c>
      <c r="D31" s="15" t="s">
        <v>171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81</v>
      </c>
      <c r="C32" s="86" t="s">
        <v>1091</v>
      </c>
      <c r="D32" s="10" t="s">
        <v>171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85</v>
      </c>
      <c r="C33" s="87" t="s">
        <v>86</v>
      </c>
      <c r="D33" s="15" t="s">
        <v>83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1285</v>
      </c>
      <c r="C34" s="87" t="s">
        <v>86</v>
      </c>
      <c r="D34" s="15" t="s">
        <v>95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88</v>
      </c>
      <c r="C35" s="86" t="s">
        <v>1200</v>
      </c>
      <c r="D35" s="10" t="s">
        <v>95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1009</v>
      </c>
      <c r="C36" s="83" t="s">
        <v>91</v>
      </c>
      <c r="D36" s="15" t="s">
        <v>95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1183</v>
      </c>
      <c r="C37" s="83" t="s">
        <v>91</v>
      </c>
      <c r="D37" s="15" t="s">
        <v>95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96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97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98</v>
      </c>
      <c r="C41" s="86" t="s">
        <v>99</v>
      </c>
      <c r="D41" s="10" t="s">
        <v>1235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101</v>
      </c>
      <c r="C42" s="86" t="s">
        <v>615</v>
      </c>
      <c r="D42" s="10" t="s">
        <v>95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107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501</v>
      </c>
      <c r="C46" s="86" t="s">
        <v>502</v>
      </c>
      <c r="D46" s="10" t="s">
        <v>100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491</v>
      </c>
      <c r="C47" s="86" t="s">
        <v>44</v>
      </c>
      <c r="D47" s="10" t="s">
        <v>36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108</v>
      </c>
      <c r="C48" s="86" t="s">
        <v>112</v>
      </c>
      <c r="D48" s="10" t="s">
        <v>36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111</v>
      </c>
      <c r="C49" s="86" t="s">
        <v>112</v>
      </c>
      <c r="D49" s="10" t="s">
        <v>131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113</v>
      </c>
      <c r="C50" s="86" t="s">
        <v>112</v>
      </c>
      <c r="D50" s="10" t="s">
        <v>39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114</v>
      </c>
      <c r="C51" s="86" t="s">
        <v>46</v>
      </c>
      <c r="D51" s="10" t="s">
        <v>148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115</v>
      </c>
      <c r="C52" s="86" t="s">
        <v>133</v>
      </c>
      <c r="D52" s="16" t="s">
        <v>148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1094</v>
      </c>
      <c r="C53" s="86" t="s">
        <v>133</v>
      </c>
      <c r="D53" s="10" t="s">
        <v>47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45</v>
      </c>
      <c r="C54" s="86" t="s">
        <v>483</v>
      </c>
      <c r="D54" s="10" t="s">
        <v>1019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118</v>
      </c>
      <c r="C55" s="86" t="s">
        <v>117</v>
      </c>
      <c r="D55" s="10" t="s">
        <v>83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580</v>
      </c>
      <c r="C56" s="86" t="s">
        <v>117</v>
      </c>
      <c r="D56" s="10" t="s">
        <v>83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119</v>
      </c>
      <c r="C57" s="86" t="s">
        <v>117</v>
      </c>
      <c r="D57" s="10" t="s">
        <v>83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96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120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503</v>
      </c>
      <c r="C61" s="83" t="s">
        <v>122</v>
      </c>
      <c r="D61" s="15" t="s">
        <v>100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96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126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127</v>
      </c>
      <c r="C65" s="87" t="s">
        <v>128</v>
      </c>
      <c r="D65" s="10" t="s">
        <v>100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129</v>
      </c>
      <c r="C66" s="87" t="s">
        <v>130</v>
      </c>
      <c r="D66" s="15" t="s">
        <v>1021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132</v>
      </c>
      <c r="C67" s="86" t="s">
        <v>165</v>
      </c>
      <c r="D67" s="10" t="s">
        <v>1019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486</v>
      </c>
      <c r="C68" s="87" t="s">
        <v>165</v>
      </c>
      <c r="D68" s="15" t="s">
        <v>1231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519</v>
      </c>
      <c r="C69" s="87" t="s">
        <v>133</v>
      </c>
      <c r="D69" s="15" t="s">
        <v>148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134</v>
      </c>
      <c r="C70" s="86" t="s">
        <v>117</v>
      </c>
      <c r="D70" s="10" t="s">
        <v>1237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1102</v>
      </c>
      <c r="C71" s="87" t="s">
        <v>67</v>
      </c>
      <c r="D71" s="15" t="s">
        <v>135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136</v>
      </c>
      <c r="C72" s="87" t="s">
        <v>67</v>
      </c>
      <c r="D72" s="15" t="s">
        <v>65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137</v>
      </c>
      <c r="C73" s="87" t="s">
        <v>67</v>
      </c>
      <c r="D73" s="15" t="s">
        <v>65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138</v>
      </c>
      <c r="C74" s="86" t="s">
        <v>139</v>
      </c>
      <c r="D74" s="10" t="s">
        <v>65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1184</v>
      </c>
      <c r="C75" s="87" t="s">
        <v>117</v>
      </c>
      <c r="D75" s="10" t="s">
        <v>70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77</v>
      </c>
      <c r="C76" s="87" t="s">
        <v>64</v>
      </c>
      <c r="D76" s="10" t="s">
        <v>83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63</v>
      </c>
      <c r="C77" s="87" t="s">
        <v>64</v>
      </c>
      <c r="D77" s="10" t="s">
        <v>95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96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141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142</v>
      </c>
      <c r="C81" s="86" t="s">
        <v>143</v>
      </c>
      <c r="D81" s="10" t="s">
        <v>100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520</v>
      </c>
      <c r="C82" s="86" t="s">
        <v>572</v>
      </c>
      <c r="D82" s="15" t="s">
        <v>1021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1185</v>
      </c>
      <c r="C83" s="86" t="s">
        <v>1186</v>
      </c>
      <c r="D83" s="15" t="s">
        <v>1021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146</v>
      </c>
      <c r="C84" s="86" t="s">
        <v>1037</v>
      </c>
      <c r="D84" s="15" t="s">
        <v>1019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149</v>
      </c>
      <c r="C85" s="86" t="s">
        <v>152</v>
      </c>
      <c r="D85" s="10" t="s">
        <v>70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96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155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1240</v>
      </c>
      <c r="C89" s="86" t="s">
        <v>1203</v>
      </c>
      <c r="D89" s="10" t="s">
        <v>110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156</v>
      </c>
      <c r="C90" s="86" t="s">
        <v>112</v>
      </c>
      <c r="D90" s="10" t="s">
        <v>36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157</v>
      </c>
      <c r="C91" s="86" t="s">
        <v>112</v>
      </c>
      <c r="D91" s="10" t="s">
        <v>36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201</v>
      </c>
      <c r="C92" s="86" t="s">
        <v>133</v>
      </c>
      <c r="D92" s="10" t="s">
        <v>222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158</v>
      </c>
      <c r="C93" s="86" t="s">
        <v>46</v>
      </c>
      <c r="D93" s="10" t="s">
        <v>148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159</v>
      </c>
      <c r="C94" s="86" t="s">
        <v>483</v>
      </c>
      <c r="D94" s="15" t="s">
        <v>1019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160</v>
      </c>
      <c r="C95" s="83" t="s">
        <v>165</v>
      </c>
      <c r="D95" s="15" t="s">
        <v>1231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161</v>
      </c>
      <c r="C96" s="83" t="s">
        <v>165</v>
      </c>
      <c r="D96" s="15" t="s">
        <v>1231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163</v>
      </c>
      <c r="C97" s="87" t="s">
        <v>67</v>
      </c>
      <c r="D97" s="15" t="s">
        <v>65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167</v>
      </c>
      <c r="C98" s="86" t="s">
        <v>168</v>
      </c>
      <c r="D98" s="10" t="s">
        <v>70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169</v>
      </c>
      <c r="C99" s="87" t="s">
        <v>170</v>
      </c>
      <c r="D99" s="15" t="s">
        <v>95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96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1286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576</v>
      </c>
      <c r="C103" s="95" t="s">
        <v>577</v>
      </c>
      <c r="D103" s="15" t="s">
        <v>110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37</v>
      </c>
      <c r="C104" s="86" t="s">
        <v>177</v>
      </c>
      <c r="D104" s="10" t="s">
        <v>148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1204</v>
      </c>
      <c r="C105" s="86" t="s">
        <v>1205</v>
      </c>
      <c r="D105" s="15" t="s">
        <v>1231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180</v>
      </c>
      <c r="C106" s="86" t="s">
        <v>181</v>
      </c>
      <c r="D106" s="15" t="s">
        <v>65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96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184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185</v>
      </c>
      <c r="C110" s="83" t="s">
        <v>186</v>
      </c>
      <c r="D110" s="15" t="s">
        <v>100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187</v>
      </c>
      <c r="C111" s="86" t="s">
        <v>188</v>
      </c>
      <c r="D111" s="16" t="s">
        <v>1015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190</v>
      </c>
      <c r="C112" s="86" t="s">
        <v>191</v>
      </c>
      <c r="D112" s="10" t="s">
        <v>192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193</v>
      </c>
      <c r="C113" s="86" t="s">
        <v>191</v>
      </c>
      <c r="D113" s="10" t="s">
        <v>52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194</v>
      </c>
      <c r="C114" s="86" t="s">
        <v>195</v>
      </c>
      <c r="D114" s="15" t="s">
        <v>1014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197</v>
      </c>
      <c r="C115" s="86" t="s">
        <v>195</v>
      </c>
      <c r="D115" s="10" t="s">
        <v>171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199</v>
      </c>
      <c r="C116" s="86" t="s">
        <v>195</v>
      </c>
      <c r="D116" s="15" t="s">
        <v>95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96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213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214</v>
      </c>
      <c r="C120" s="83" t="s">
        <v>215</v>
      </c>
      <c r="D120" s="15" t="s">
        <v>100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1207</v>
      </c>
      <c r="C121" s="83" t="s">
        <v>1208</v>
      </c>
      <c r="D121" s="15" t="s">
        <v>189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216</v>
      </c>
      <c r="C122" s="83" t="s">
        <v>219</v>
      </c>
      <c r="D122" s="15" t="s">
        <v>36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218</v>
      </c>
      <c r="C123" s="83" t="s">
        <v>219</v>
      </c>
      <c r="D123" s="15" t="s">
        <v>36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523</v>
      </c>
      <c r="C124" s="83" t="s">
        <v>219</v>
      </c>
      <c r="D124" s="15" t="s">
        <v>39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220</v>
      </c>
      <c r="C125" s="83" t="s">
        <v>221</v>
      </c>
      <c r="D125" s="15" t="s">
        <v>47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223</v>
      </c>
      <c r="C126" s="83" t="s">
        <v>224</v>
      </c>
      <c r="D126" s="15" t="s">
        <v>1019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225</v>
      </c>
      <c r="C127" s="83" t="s">
        <v>1039</v>
      </c>
      <c r="D127" s="15" t="s">
        <v>1019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1209</v>
      </c>
      <c r="C128" s="83" t="s">
        <v>1210</v>
      </c>
      <c r="D128" s="15" t="s">
        <v>1020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226</v>
      </c>
      <c r="C129" s="83" t="s">
        <v>227</v>
      </c>
      <c r="D129" s="10" t="s">
        <v>83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228</v>
      </c>
      <c r="C130" s="83" t="s">
        <v>229</v>
      </c>
      <c r="D130" s="15" t="s">
        <v>95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96</v>
      </c>
      <c r="C131" s="99" t="s">
        <v>1211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234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235</v>
      </c>
      <c r="C134" s="83" t="s">
        <v>1287</v>
      </c>
      <c r="D134" s="15" t="s">
        <v>100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524</v>
      </c>
      <c r="C135" s="83" t="s">
        <v>575</v>
      </c>
      <c r="D135" s="15" t="s">
        <v>189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237</v>
      </c>
      <c r="C136" s="86" t="s">
        <v>238</v>
      </c>
      <c r="D136" s="16" t="s">
        <v>1015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239</v>
      </c>
      <c r="C137" s="83" t="s">
        <v>582</v>
      </c>
      <c r="D137" s="15" t="s">
        <v>148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241</v>
      </c>
      <c r="C138" s="86" t="s">
        <v>583</v>
      </c>
      <c r="D138" s="15" t="s">
        <v>148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176</v>
      </c>
      <c r="C139" s="86" t="s">
        <v>585</v>
      </c>
      <c r="D139" s="15" t="s">
        <v>1019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178</v>
      </c>
      <c r="C140" s="83" t="s">
        <v>584</v>
      </c>
      <c r="D140" s="15" t="s">
        <v>135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244</v>
      </c>
      <c r="C141" s="83" t="s">
        <v>584</v>
      </c>
      <c r="D141" s="15" t="s">
        <v>135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245</v>
      </c>
      <c r="C142" s="86" t="s">
        <v>585</v>
      </c>
      <c r="D142" s="15" t="s">
        <v>135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247</v>
      </c>
      <c r="C143" s="83" t="s">
        <v>252</v>
      </c>
      <c r="D143" s="15" t="s">
        <v>65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249</v>
      </c>
      <c r="C144" s="83" t="s">
        <v>1041</v>
      </c>
      <c r="D144" s="15" t="s">
        <v>265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251</v>
      </c>
      <c r="C145" s="83" t="s">
        <v>252</v>
      </c>
      <c r="D145" s="15" t="s">
        <v>65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256</v>
      </c>
      <c r="C146" s="86" t="s">
        <v>586</v>
      </c>
      <c r="D146" s="15" t="s">
        <v>104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257</v>
      </c>
      <c r="C147" s="86" t="s">
        <v>586</v>
      </c>
      <c r="D147" s="15" t="s">
        <v>104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258</v>
      </c>
      <c r="C148" s="86" t="s">
        <v>586</v>
      </c>
      <c r="D148" s="15" t="s">
        <v>104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259</v>
      </c>
      <c r="C149" s="83" t="s">
        <v>260</v>
      </c>
      <c r="D149" s="15" t="s">
        <v>70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1022</v>
      </c>
      <c r="C150" s="83" t="s">
        <v>262</v>
      </c>
      <c r="D150" s="10" t="s">
        <v>83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263</v>
      </c>
      <c r="C151" s="83" t="s">
        <v>264</v>
      </c>
      <c r="D151" s="15" t="s">
        <v>70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266</v>
      </c>
      <c r="C152" s="83" t="s">
        <v>267</v>
      </c>
      <c r="D152" s="15" t="s">
        <v>83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268</v>
      </c>
      <c r="C153" s="83" t="s">
        <v>269</v>
      </c>
      <c r="D153" s="15" t="s">
        <v>70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270</v>
      </c>
      <c r="C154" s="83" t="s">
        <v>271</v>
      </c>
      <c r="D154" s="15" t="s">
        <v>83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272</v>
      </c>
      <c r="C155" s="83" t="s">
        <v>278</v>
      </c>
      <c r="D155" s="15" t="s">
        <v>1233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1212</v>
      </c>
      <c r="C156" s="83" t="s">
        <v>276</v>
      </c>
      <c r="D156" s="15" t="s">
        <v>95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275</v>
      </c>
      <c r="C157" s="83" t="s">
        <v>276</v>
      </c>
      <c r="D157" s="15" t="s">
        <v>95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277</v>
      </c>
      <c r="C158" s="83" t="s">
        <v>278</v>
      </c>
      <c r="D158" s="15" t="s">
        <v>95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279</v>
      </c>
      <c r="C159" s="83" t="s">
        <v>280</v>
      </c>
      <c r="D159" s="15" t="s">
        <v>95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281</v>
      </c>
      <c r="C160" s="83" t="s">
        <v>282</v>
      </c>
      <c r="D160" s="15" t="s">
        <v>95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287</v>
      </c>
      <c r="C161" s="83" t="s">
        <v>288</v>
      </c>
      <c r="D161" s="15" t="s">
        <v>306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290</v>
      </c>
      <c r="C162" s="83" t="s">
        <v>288</v>
      </c>
      <c r="D162" s="15" t="s">
        <v>306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291</v>
      </c>
      <c r="C163" s="83" t="s">
        <v>288</v>
      </c>
      <c r="D163" s="15" t="s">
        <v>306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741</v>
      </c>
      <c r="C164" s="83" t="s">
        <v>288</v>
      </c>
      <c r="D164" s="15" t="s">
        <v>306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739</v>
      </c>
      <c r="C165" s="83" t="s">
        <v>288</v>
      </c>
      <c r="D165" s="15" t="s">
        <v>306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292</v>
      </c>
      <c r="C166" s="83" t="s">
        <v>288</v>
      </c>
      <c r="D166" s="15" t="s">
        <v>306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293</v>
      </c>
      <c r="C167" s="83" t="s">
        <v>288</v>
      </c>
      <c r="D167" s="15" t="s">
        <v>306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294</v>
      </c>
      <c r="C168" s="83" t="s">
        <v>288</v>
      </c>
      <c r="D168" s="15" t="s">
        <v>303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296</v>
      </c>
      <c r="C169" s="83" t="s">
        <v>288</v>
      </c>
      <c r="D169" s="15" t="s">
        <v>303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1190</v>
      </c>
      <c r="C170" s="83" t="s">
        <v>288</v>
      </c>
      <c r="D170" s="15" t="s">
        <v>303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297</v>
      </c>
      <c r="C171" s="83" t="s">
        <v>288</v>
      </c>
      <c r="D171" s="15" t="s">
        <v>303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298</v>
      </c>
      <c r="C172" s="83" t="s">
        <v>288</v>
      </c>
      <c r="D172" s="15" t="s">
        <v>303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299</v>
      </c>
      <c r="C173" s="83" t="s">
        <v>288</v>
      </c>
      <c r="D173" s="15" t="s">
        <v>303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300</v>
      </c>
      <c r="C174" s="83" t="s">
        <v>288</v>
      </c>
      <c r="D174" s="15" t="s">
        <v>303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301</v>
      </c>
      <c r="C175" s="83" t="s">
        <v>308</v>
      </c>
      <c r="D175" s="15" t="s">
        <v>1023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304</v>
      </c>
      <c r="C176" s="83" t="s">
        <v>308</v>
      </c>
      <c r="D176" s="15" t="s">
        <v>1023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305</v>
      </c>
      <c r="C177" s="83" t="s">
        <v>308</v>
      </c>
      <c r="D177" s="15" t="s">
        <v>588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307</v>
      </c>
      <c r="C178" s="83" t="s">
        <v>308</v>
      </c>
      <c r="D178" s="15" t="s">
        <v>322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309</v>
      </c>
      <c r="C179" s="83" t="s">
        <v>310</v>
      </c>
      <c r="D179" s="15" t="s">
        <v>1256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312</v>
      </c>
      <c r="C180" s="83" t="s">
        <v>310</v>
      </c>
      <c r="D180" s="15" t="s">
        <v>1256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313</v>
      </c>
      <c r="C181" s="83" t="s">
        <v>310</v>
      </c>
      <c r="D181" s="15" t="s">
        <v>1256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314</v>
      </c>
      <c r="C182" s="83" t="s">
        <v>310</v>
      </c>
      <c r="D182" s="15" t="s">
        <v>1256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315</v>
      </c>
      <c r="C183" s="83" t="s">
        <v>310</v>
      </c>
      <c r="D183" s="15" t="s">
        <v>1256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316</v>
      </c>
      <c r="C184" s="83" t="s">
        <v>310</v>
      </c>
      <c r="D184" s="15" t="s">
        <v>333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317</v>
      </c>
      <c r="C185" s="83" t="s">
        <v>310</v>
      </c>
      <c r="D185" s="15" t="s">
        <v>333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318</v>
      </c>
      <c r="C186" s="83" t="s">
        <v>308</v>
      </c>
      <c r="D186" s="15" t="s">
        <v>333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319</v>
      </c>
      <c r="C187" s="83" t="s">
        <v>308</v>
      </c>
      <c r="D187" s="15" t="s">
        <v>333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320</v>
      </c>
      <c r="C188" s="83" t="s">
        <v>310</v>
      </c>
      <c r="D188" s="15" t="s">
        <v>589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325</v>
      </c>
      <c r="C189" s="83" t="s">
        <v>310</v>
      </c>
      <c r="D189" s="15" t="s">
        <v>328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96</v>
      </c>
      <c r="C190" s="100" t="s">
        <v>1288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336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3"/>
  <sheetViews>
    <sheetView view="pageBreakPreview" zoomScaleNormal="100" workbookViewId="0">
      <pane xSplit="2" ySplit="6" topLeftCell="C187" activePane="bottomRight" state="frozen"/>
      <selection/>
      <selection pane="topRight"/>
      <selection pane="bottomLeft"/>
      <selection pane="bottomRight" activeCell="K15" sqref="K15"/>
    </sheetView>
  </sheetViews>
  <sheetFormatPr defaultColWidth="9.13636363636364" defaultRowHeight="20.1" customHeight="1" outlineLevelCol="6"/>
  <cols>
    <col min="1" max="1" width="5.42727272727273" style="1" customWidth="1"/>
    <col min="2" max="2" width="43.8545454545455" style="1" customWidth="1"/>
    <col min="3" max="3" width="32.4272727272727" style="1" customWidth="1"/>
    <col min="4" max="4" width="9.13636363636364" style="1" customWidth="1"/>
    <col min="5" max="5" width="13.8545454545455" style="1" customWidth="1"/>
    <col min="6" max="6" width="14.7090909090909" style="1" customWidth="1"/>
    <col min="7" max="7" width="14" style="1" customWidth="1"/>
    <col min="8" max="16384" width="9.13636363636364" style="1"/>
  </cols>
  <sheetData>
    <row r="1" ht="27" customHeight="1" spans="1:5">
      <c r="A1" s="75" t="s">
        <v>0</v>
      </c>
      <c r="B1" s="75"/>
      <c r="C1" s="75"/>
      <c r="D1" s="75"/>
      <c r="E1" s="75"/>
    </row>
    <row r="2" ht="33.75" customHeight="1" spans="1:5">
      <c r="A2" s="76" t="s">
        <v>1284</v>
      </c>
      <c r="B2" s="77"/>
      <c r="C2" s="77"/>
      <c r="D2" s="76"/>
      <c r="E2" s="78"/>
    </row>
    <row r="3" ht="9.75" customHeight="1"/>
    <row r="4" ht="61.5" customHeight="1" spans="1:7">
      <c r="A4" s="4"/>
      <c r="B4" s="5" t="s">
        <v>2</v>
      </c>
      <c r="C4" s="6" t="s">
        <v>3</v>
      </c>
      <c r="D4" s="79" t="s">
        <v>4</v>
      </c>
      <c r="E4" s="80" t="s">
        <v>500</v>
      </c>
      <c r="F4" s="80" t="s">
        <v>1007</v>
      </c>
      <c r="G4" s="80" t="s">
        <v>1008</v>
      </c>
    </row>
    <row r="5" customHeight="1" spans="1:7">
      <c r="A5" s="9" t="s">
        <v>20</v>
      </c>
      <c r="B5" s="8" t="s">
        <v>21</v>
      </c>
      <c r="C5" s="81"/>
      <c r="D5" s="8"/>
      <c r="E5" s="82" t="s">
        <v>19</v>
      </c>
      <c r="F5" s="82" t="s">
        <v>19</v>
      </c>
      <c r="G5" s="82" t="s">
        <v>19</v>
      </c>
    </row>
    <row r="6" customHeight="1" spans="1:7">
      <c r="A6" s="10">
        <v>1</v>
      </c>
      <c r="B6" s="11" t="s">
        <v>22</v>
      </c>
      <c r="C6" s="83" t="s">
        <v>23</v>
      </c>
      <c r="D6" s="12" t="s">
        <v>24</v>
      </c>
      <c r="E6" s="84">
        <v>2000000</v>
      </c>
      <c r="F6" s="85">
        <v>0</v>
      </c>
      <c r="G6" s="84">
        <v>2000000</v>
      </c>
    </row>
    <row r="7" customHeight="1" spans="1:7">
      <c r="A7" s="10">
        <v>2</v>
      </c>
      <c r="B7" s="11" t="s">
        <v>1085</v>
      </c>
      <c r="C7" s="86" t="s">
        <v>1175</v>
      </c>
      <c r="D7" s="10" t="s">
        <v>189</v>
      </c>
      <c r="E7" s="84">
        <v>700000</v>
      </c>
      <c r="F7" s="85">
        <v>0</v>
      </c>
      <c r="G7" s="84">
        <v>700000</v>
      </c>
    </row>
    <row r="8" customHeight="1" spans="1:7">
      <c r="A8" s="10">
        <v>3</v>
      </c>
      <c r="B8" s="14" t="s">
        <v>1176</v>
      </c>
      <c r="C8" s="86" t="s">
        <v>1177</v>
      </c>
      <c r="D8" s="10" t="s">
        <v>110</v>
      </c>
      <c r="E8" s="84">
        <f>700000/2</f>
        <v>350000</v>
      </c>
      <c r="F8" s="85">
        <v>0</v>
      </c>
      <c r="G8" s="84">
        <f t="shared" ref="G8:G9" si="0">700000/2</f>
        <v>350000</v>
      </c>
    </row>
    <row r="9" customHeight="1" spans="1:7">
      <c r="A9" s="10">
        <v>4</v>
      </c>
      <c r="B9" s="11" t="s">
        <v>25</v>
      </c>
      <c r="C9" s="83" t="s">
        <v>26</v>
      </c>
      <c r="D9" s="10" t="s">
        <v>1226</v>
      </c>
      <c r="E9" s="84">
        <f>700000/2</f>
        <v>350000</v>
      </c>
      <c r="F9" s="85">
        <v>0</v>
      </c>
      <c r="G9" s="84">
        <f t="shared" si="0"/>
        <v>350000</v>
      </c>
    </row>
    <row r="10" customHeight="1" spans="1:7">
      <c r="A10" s="10">
        <v>5</v>
      </c>
      <c r="B10" s="14" t="s">
        <v>28</v>
      </c>
      <c r="C10" s="86" t="s">
        <v>29</v>
      </c>
      <c r="D10" s="15" t="s">
        <v>1015</v>
      </c>
      <c r="E10" s="84">
        <v>700000</v>
      </c>
      <c r="F10" s="85">
        <v>0</v>
      </c>
      <c r="G10" s="84">
        <v>700000</v>
      </c>
    </row>
    <row r="11" customHeight="1" spans="1:7">
      <c r="A11" s="10">
        <v>6</v>
      </c>
      <c r="B11" s="14" t="s">
        <v>173</v>
      </c>
      <c r="C11" s="86" t="s">
        <v>1087</v>
      </c>
      <c r="D11" s="16" t="s">
        <v>1015</v>
      </c>
      <c r="E11" s="84">
        <v>700000</v>
      </c>
      <c r="F11" s="85">
        <v>0</v>
      </c>
      <c r="G11" s="84">
        <v>700000</v>
      </c>
    </row>
    <row r="12" customHeight="1" spans="1:7">
      <c r="A12" s="10">
        <v>7</v>
      </c>
      <c r="B12" s="11" t="s">
        <v>30</v>
      </c>
      <c r="C12" s="87" t="s">
        <v>31</v>
      </c>
      <c r="D12" s="16" t="s">
        <v>1015</v>
      </c>
      <c r="E12" s="84">
        <v>700000</v>
      </c>
      <c r="F12" s="85">
        <v>0</v>
      </c>
      <c r="G12" s="84">
        <v>700000</v>
      </c>
    </row>
    <row r="13" customHeight="1" spans="1:7">
      <c r="A13" s="10">
        <v>8</v>
      </c>
      <c r="B13" s="14" t="s">
        <v>32</v>
      </c>
      <c r="C13" s="86" t="s">
        <v>33</v>
      </c>
      <c r="D13" s="16" t="s">
        <v>1015</v>
      </c>
      <c r="E13" s="84">
        <v>700000</v>
      </c>
      <c r="F13" s="85">
        <v>0</v>
      </c>
      <c r="G13" s="84">
        <v>700000</v>
      </c>
    </row>
    <row r="14" customHeight="1" spans="1:7">
      <c r="A14" s="10">
        <v>9</v>
      </c>
      <c r="B14" s="11" t="s">
        <v>34</v>
      </c>
      <c r="C14" s="83" t="s">
        <v>35</v>
      </c>
      <c r="D14" s="15" t="s">
        <v>36</v>
      </c>
      <c r="E14" s="84">
        <v>700000</v>
      </c>
      <c r="F14" s="85">
        <v>0</v>
      </c>
      <c r="G14" s="84">
        <v>700000</v>
      </c>
    </row>
    <row r="15" customHeight="1" spans="1:7">
      <c r="A15" s="10">
        <v>10</v>
      </c>
      <c r="B15" s="18" t="s">
        <v>521</v>
      </c>
      <c r="C15" s="83" t="s">
        <v>574</v>
      </c>
      <c r="D15" s="10" t="s">
        <v>1021</v>
      </c>
      <c r="E15" s="84">
        <v>700000</v>
      </c>
      <c r="F15" s="85">
        <v>0</v>
      </c>
      <c r="G15" s="84">
        <v>700000</v>
      </c>
    </row>
    <row r="16" customHeight="1" spans="1:7">
      <c r="A16" s="10">
        <v>11</v>
      </c>
      <c r="B16" s="19" t="s">
        <v>1178</v>
      </c>
      <c r="C16" s="86" t="s">
        <v>1179</v>
      </c>
      <c r="D16" s="16" t="s">
        <v>148</v>
      </c>
      <c r="E16" s="84">
        <v>500000</v>
      </c>
      <c r="F16" s="85">
        <v>0</v>
      </c>
      <c r="G16" s="84">
        <v>500000</v>
      </c>
    </row>
    <row r="17" ht="19.5" customHeight="1" spans="1:7">
      <c r="A17" s="10">
        <v>12</v>
      </c>
      <c r="B17" s="14" t="s">
        <v>1088</v>
      </c>
      <c r="C17" s="86" t="s">
        <v>41</v>
      </c>
      <c r="D17" s="10" t="s">
        <v>148</v>
      </c>
      <c r="E17" s="84">
        <v>500000</v>
      </c>
      <c r="F17" s="85">
        <v>0</v>
      </c>
      <c r="G17" s="84">
        <v>500000</v>
      </c>
    </row>
    <row r="18" ht="19.5" customHeight="1" spans="1:7">
      <c r="A18" s="10">
        <v>13</v>
      </c>
      <c r="B18" s="14" t="s">
        <v>1180</v>
      </c>
      <c r="C18" s="86" t="s">
        <v>1181</v>
      </c>
      <c r="D18" s="10" t="s">
        <v>148</v>
      </c>
      <c r="E18" s="84">
        <v>500000</v>
      </c>
      <c r="F18" s="85">
        <v>0</v>
      </c>
      <c r="G18" s="84">
        <v>500000</v>
      </c>
    </row>
    <row r="19" customHeight="1" spans="1:7">
      <c r="A19" s="10">
        <v>14</v>
      </c>
      <c r="B19" s="11" t="s">
        <v>40</v>
      </c>
      <c r="C19" s="86" t="s">
        <v>41</v>
      </c>
      <c r="D19" s="15" t="s">
        <v>148</v>
      </c>
      <c r="E19" s="84">
        <v>500000</v>
      </c>
      <c r="F19" s="85">
        <v>0</v>
      </c>
      <c r="G19" s="84">
        <v>500000</v>
      </c>
    </row>
    <row r="20" customHeight="1" spans="1:7">
      <c r="A20" s="10">
        <v>15</v>
      </c>
      <c r="B20" s="11" t="s">
        <v>50</v>
      </c>
      <c r="C20" s="83" t="s">
        <v>51</v>
      </c>
      <c r="D20" s="15" t="s">
        <v>1231</v>
      </c>
      <c r="E20" s="84">
        <v>500000</v>
      </c>
      <c r="F20" s="84">
        <v>500000</v>
      </c>
      <c r="G20" s="85">
        <v>0</v>
      </c>
    </row>
    <row r="21" customHeight="1" spans="1:7">
      <c r="A21" s="10">
        <v>16</v>
      </c>
      <c r="B21" s="18" t="s">
        <v>53</v>
      </c>
      <c r="C21" s="86" t="s">
        <v>54</v>
      </c>
      <c r="D21" s="15" t="s">
        <v>58</v>
      </c>
      <c r="E21" s="84">
        <v>500000</v>
      </c>
      <c r="F21" s="84">
        <v>500000</v>
      </c>
      <c r="G21" s="85">
        <v>0</v>
      </c>
    </row>
    <row r="22" customHeight="1" spans="1:7">
      <c r="A22" s="10">
        <v>17</v>
      </c>
      <c r="B22" s="11" t="s">
        <v>204</v>
      </c>
      <c r="C22" s="83" t="s">
        <v>581</v>
      </c>
      <c r="D22" s="15" t="s">
        <v>135</v>
      </c>
      <c r="E22" s="84">
        <v>400000</v>
      </c>
      <c r="F22" s="84">
        <v>400000</v>
      </c>
      <c r="G22" s="85">
        <v>0</v>
      </c>
    </row>
    <row r="23" ht="18.75" customHeight="1" spans="1:7">
      <c r="A23" s="10">
        <v>18</v>
      </c>
      <c r="B23" s="11" t="s">
        <v>60</v>
      </c>
      <c r="C23" s="83" t="s">
        <v>61</v>
      </c>
      <c r="D23" s="15" t="s">
        <v>65</v>
      </c>
      <c r="E23" s="84">
        <v>400000</v>
      </c>
      <c r="F23" s="84">
        <v>400000</v>
      </c>
      <c r="G23" s="85">
        <v>0</v>
      </c>
    </row>
    <row r="24" ht="18.75" customHeight="1" spans="1:7">
      <c r="A24" s="10">
        <v>19</v>
      </c>
      <c r="B24" s="11" t="s">
        <v>202</v>
      </c>
      <c r="C24" s="86" t="s">
        <v>203</v>
      </c>
      <c r="D24" s="15" t="s">
        <v>65</v>
      </c>
      <c r="E24" s="84">
        <v>400000</v>
      </c>
      <c r="F24" s="84">
        <v>400000</v>
      </c>
      <c r="G24" s="85">
        <v>0</v>
      </c>
    </row>
    <row r="25" ht="18.75" customHeight="1" spans="1:7">
      <c r="A25" s="10">
        <v>20</v>
      </c>
      <c r="B25" s="18" t="s">
        <v>254</v>
      </c>
      <c r="C25" s="86" t="s">
        <v>1197</v>
      </c>
      <c r="D25" s="15" t="s">
        <v>265</v>
      </c>
      <c r="E25" s="84">
        <v>300000</v>
      </c>
      <c r="F25" s="84">
        <v>300000</v>
      </c>
      <c r="G25" s="85">
        <v>0</v>
      </c>
    </row>
    <row r="26" ht="18.75" customHeight="1" spans="1:7">
      <c r="A26" s="10">
        <v>21</v>
      </c>
      <c r="B26" s="18" t="s">
        <v>1182</v>
      </c>
      <c r="C26" s="83" t="s">
        <v>91</v>
      </c>
      <c r="D26" s="15" t="s">
        <v>104</v>
      </c>
      <c r="E26" s="84">
        <v>300000</v>
      </c>
      <c r="F26" s="84">
        <v>300000</v>
      </c>
      <c r="G26" s="85">
        <v>0</v>
      </c>
    </row>
    <row r="27" ht="18.75" customHeight="1" spans="1:7">
      <c r="A27" s="10">
        <v>22</v>
      </c>
      <c r="B27" s="4" t="s">
        <v>73</v>
      </c>
      <c r="C27" s="86" t="s">
        <v>74</v>
      </c>
      <c r="D27" s="10" t="s">
        <v>83</v>
      </c>
      <c r="E27" s="84">
        <v>300000</v>
      </c>
      <c r="F27" s="84">
        <v>300000</v>
      </c>
      <c r="G27" s="85">
        <v>0</v>
      </c>
    </row>
    <row r="28" ht="18.75" customHeight="1" spans="1:7">
      <c r="A28" s="10">
        <v>23</v>
      </c>
      <c r="B28" s="18" t="s">
        <v>76</v>
      </c>
      <c r="C28" s="83" t="s">
        <v>74</v>
      </c>
      <c r="D28" s="15" t="s">
        <v>83</v>
      </c>
      <c r="E28" s="84">
        <v>300000</v>
      </c>
      <c r="F28" s="84">
        <v>300000</v>
      </c>
      <c r="G28" s="85">
        <v>0</v>
      </c>
    </row>
    <row r="29" ht="18.75" customHeight="1" spans="1:7">
      <c r="A29" s="10">
        <v>24</v>
      </c>
      <c r="B29" s="11" t="s">
        <v>1089</v>
      </c>
      <c r="C29" s="83" t="s">
        <v>1090</v>
      </c>
      <c r="D29" s="15" t="s">
        <v>83</v>
      </c>
      <c r="E29" s="84">
        <v>300000</v>
      </c>
      <c r="F29" s="84">
        <v>300000</v>
      </c>
      <c r="G29" s="85">
        <v>0</v>
      </c>
    </row>
    <row r="30" ht="18.75" customHeight="1" spans="1:7">
      <c r="A30" s="10">
        <v>25</v>
      </c>
      <c r="B30" s="18" t="s">
        <v>78</v>
      </c>
      <c r="C30" s="83" t="s">
        <v>1036</v>
      </c>
      <c r="D30" s="15" t="s">
        <v>1233</v>
      </c>
      <c r="E30" s="84">
        <v>300000</v>
      </c>
      <c r="F30" s="84">
        <v>300000</v>
      </c>
      <c r="G30" s="85">
        <v>0</v>
      </c>
    </row>
    <row r="31" ht="18.75" customHeight="1" spans="1:7">
      <c r="A31" s="10">
        <v>26</v>
      </c>
      <c r="B31" s="11" t="s">
        <v>182</v>
      </c>
      <c r="C31" s="87" t="s">
        <v>1199</v>
      </c>
      <c r="D31" s="15" t="s">
        <v>171</v>
      </c>
      <c r="E31" s="84">
        <v>300000</v>
      </c>
      <c r="F31" s="84">
        <v>300000</v>
      </c>
      <c r="G31" s="85">
        <v>0</v>
      </c>
    </row>
    <row r="32" ht="18.75" customHeight="1" spans="1:7">
      <c r="A32" s="10">
        <v>27</v>
      </c>
      <c r="B32" s="18" t="s">
        <v>81</v>
      </c>
      <c r="C32" s="86" t="s">
        <v>1091</v>
      </c>
      <c r="D32" s="10" t="s">
        <v>171</v>
      </c>
      <c r="E32" s="84">
        <v>300000</v>
      </c>
      <c r="F32" s="84">
        <v>300000</v>
      </c>
      <c r="G32" s="85">
        <v>0</v>
      </c>
    </row>
    <row r="33" ht="18.75" customHeight="1" spans="1:7">
      <c r="A33" s="10">
        <v>28</v>
      </c>
      <c r="B33" s="18" t="s">
        <v>85</v>
      </c>
      <c r="C33" s="87" t="s">
        <v>86</v>
      </c>
      <c r="D33" s="15" t="s">
        <v>83</v>
      </c>
      <c r="E33" s="84">
        <v>300000</v>
      </c>
      <c r="F33" s="84">
        <v>300000</v>
      </c>
      <c r="G33" s="85">
        <v>0</v>
      </c>
    </row>
    <row r="34" ht="18.75" customHeight="1" spans="1:7">
      <c r="A34" s="10">
        <v>29</v>
      </c>
      <c r="B34" s="18" t="s">
        <v>1285</v>
      </c>
      <c r="C34" s="87" t="s">
        <v>86</v>
      </c>
      <c r="D34" s="15" t="s">
        <v>95</v>
      </c>
      <c r="E34" s="84">
        <v>300000</v>
      </c>
      <c r="F34" s="84">
        <v>300000</v>
      </c>
      <c r="G34" s="85">
        <v>0</v>
      </c>
    </row>
    <row r="35" ht="18.75" customHeight="1" spans="1:7">
      <c r="A35" s="10">
        <v>30</v>
      </c>
      <c r="B35" s="18" t="s">
        <v>88</v>
      </c>
      <c r="C35" s="86" t="s">
        <v>1200</v>
      </c>
      <c r="D35" s="10" t="s">
        <v>95</v>
      </c>
      <c r="E35" s="84">
        <v>300000</v>
      </c>
      <c r="F35" s="84">
        <v>300000</v>
      </c>
      <c r="G35" s="85">
        <v>0</v>
      </c>
    </row>
    <row r="36" ht="18.75" customHeight="1" spans="1:7">
      <c r="A36" s="10">
        <v>31</v>
      </c>
      <c r="B36" s="18" t="s">
        <v>1009</v>
      </c>
      <c r="C36" s="83" t="s">
        <v>91</v>
      </c>
      <c r="D36" s="15" t="s">
        <v>95</v>
      </c>
      <c r="E36" s="84">
        <v>300000</v>
      </c>
      <c r="F36" s="84">
        <v>300000</v>
      </c>
      <c r="G36" s="85">
        <v>0</v>
      </c>
    </row>
    <row r="37" ht="18.75" customHeight="1" spans="1:7">
      <c r="A37" s="10">
        <v>32</v>
      </c>
      <c r="B37" s="18" t="s">
        <v>1183</v>
      </c>
      <c r="C37" s="83" t="s">
        <v>91</v>
      </c>
      <c r="D37" s="15" t="s">
        <v>95</v>
      </c>
      <c r="E37" s="84">
        <v>300000</v>
      </c>
      <c r="F37" s="84">
        <v>300000</v>
      </c>
      <c r="G37" s="85">
        <v>0</v>
      </c>
    </row>
    <row r="38" ht="26.25" customHeight="1" spans="1:7">
      <c r="A38" s="10"/>
      <c r="B38" s="20" t="s">
        <v>96</v>
      </c>
      <c r="C38" s="88">
        <v>29</v>
      </c>
      <c r="D38" s="15"/>
      <c r="E38" s="89">
        <f>SUM(E6:E37)</f>
        <v>15700000</v>
      </c>
      <c r="F38" s="89">
        <f>SUM(F6:F37)</f>
        <v>6100000</v>
      </c>
      <c r="G38" s="89">
        <f t="shared" ref="G38" si="1">SUM(G6:G37)</f>
        <v>9600000</v>
      </c>
    </row>
    <row r="39" ht="18.75" customHeight="1" spans="1:7">
      <c r="A39" s="10"/>
      <c r="B39" s="22"/>
      <c r="C39" s="86"/>
      <c r="D39" s="15"/>
      <c r="E39" s="89"/>
      <c r="F39" s="84"/>
      <c r="G39" s="89"/>
    </row>
    <row r="40" ht="18.75" customHeight="1" spans="1:7">
      <c r="A40" s="10"/>
      <c r="B40" s="20" t="s">
        <v>97</v>
      </c>
      <c r="C40" s="86"/>
      <c r="D40" s="15"/>
      <c r="E40" s="84"/>
      <c r="F40" s="84"/>
      <c r="G40" s="84"/>
    </row>
    <row r="41" ht="18.75" customHeight="1" spans="1:7">
      <c r="A41" s="10">
        <v>1</v>
      </c>
      <c r="B41" s="18" t="s">
        <v>98</v>
      </c>
      <c r="C41" s="86" t="s">
        <v>99</v>
      </c>
      <c r="D41" s="10" t="s">
        <v>1235</v>
      </c>
      <c r="E41" s="84">
        <v>1000000</v>
      </c>
      <c r="F41" s="85">
        <v>0</v>
      </c>
      <c r="G41" s="84">
        <v>1000000</v>
      </c>
    </row>
    <row r="42" ht="18.75" customHeight="1" spans="1:7">
      <c r="A42" s="10">
        <v>2</v>
      </c>
      <c r="B42" s="18" t="s">
        <v>101</v>
      </c>
      <c r="C42" s="86" t="s">
        <v>615</v>
      </c>
      <c r="D42" s="10" t="s">
        <v>95</v>
      </c>
      <c r="E42" s="84">
        <v>300000</v>
      </c>
      <c r="F42" s="84">
        <v>300000</v>
      </c>
      <c r="G42" s="85">
        <v>0</v>
      </c>
    </row>
    <row r="43" ht="19.5" customHeight="1" spans="1:7">
      <c r="A43" s="10"/>
      <c r="B43" s="14"/>
      <c r="C43" s="88">
        <v>2</v>
      </c>
      <c r="D43" s="10"/>
      <c r="E43" s="89">
        <f>SUM(E41:E42)</f>
        <v>1300000</v>
      </c>
      <c r="F43" s="89">
        <f t="shared" ref="F43:G43" si="2">SUM(F41:F42)</f>
        <v>300000</v>
      </c>
      <c r="G43" s="89">
        <f t="shared" si="2"/>
        <v>1000000</v>
      </c>
    </row>
    <row r="44" customHeight="1" spans="1:7">
      <c r="A44" s="10"/>
      <c r="B44" s="14"/>
      <c r="C44" s="86"/>
      <c r="D44" s="10"/>
      <c r="E44" s="84"/>
      <c r="F44" s="84"/>
      <c r="G44" s="84"/>
    </row>
    <row r="45" customHeight="1" spans="1:7">
      <c r="A45" s="10"/>
      <c r="B45" s="23" t="s">
        <v>107</v>
      </c>
      <c r="C45" s="90"/>
      <c r="D45" s="24"/>
      <c r="E45" s="84"/>
      <c r="F45" s="84"/>
      <c r="G45" s="84"/>
    </row>
    <row r="46" customHeight="1" spans="1:7">
      <c r="A46" s="10">
        <v>1</v>
      </c>
      <c r="B46" s="11" t="s">
        <v>501</v>
      </c>
      <c r="C46" s="86" t="s">
        <v>502</v>
      </c>
      <c r="D46" s="10" t="s">
        <v>100</v>
      </c>
      <c r="E46" s="84">
        <v>1000000</v>
      </c>
      <c r="F46" s="85">
        <v>0</v>
      </c>
      <c r="G46" s="84">
        <v>1000000</v>
      </c>
    </row>
    <row r="47" customHeight="1" spans="1:7">
      <c r="A47" s="10">
        <v>2</v>
      </c>
      <c r="B47" s="11" t="s">
        <v>491</v>
      </c>
      <c r="C47" s="86" t="s">
        <v>44</v>
      </c>
      <c r="D47" s="10" t="s">
        <v>36</v>
      </c>
      <c r="E47" s="84">
        <v>700000</v>
      </c>
      <c r="F47" s="85">
        <v>0</v>
      </c>
      <c r="G47" s="84">
        <v>700000</v>
      </c>
    </row>
    <row r="48" customHeight="1" spans="1:7">
      <c r="A48" s="10">
        <v>3</v>
      </c>
      <c r="B48" s="11" t="s">
        <v>108</v>
      </c>
      <c r="C48" s="86" t="s">
        <v>112</v>
      </c>
      <c r="D48" s="10" t="s">
        <v>36</v>
      </c>
      <c r="E48" s="84">
        <v>700000</v>
      </c>
      <c r="F48" s="85">
        <v>0</v>
      </c>
      <c r="G48" s="84">
        <v>700000</v>
      </c>
    </row>
    <row r="49" customHeight="1" spans="1:7">
      <c r="A49" s="10">
        <v>4</v>
      </c>
      <c r="B49" s="11" t="s">
        <v>111</v>
      </c>
      <c r="C49" s="86" t="s">
        <v>112</v>
      </c>
      <c r="D49" s="10" t="s">
        <v>131</v>
      </c>
      <c r="E49" s="84">
        <v>700000</v>
      </c>
      <c r="F49" s="85">
        <v>0</v>
      </c>
      <c r="G49" s="84">
        <v>700000</v>
      </c>
    </row>
    <row r="50" customHeight="1" spans="1:7">
      <c r="A50" s="10">
        <v>5</v>
      </c>
      <c r="B50" s="11" t="s">
        <v>113</v>
      </c>
      <c r="C50" s="86" t="s">
        <v>112</v>
      </c>
      <c r="D50" s="10" t="s">
        <v>39</v>
      </c>
      <c r="E50" s="84">
        <v>700000</v>
      </c>
      <c r="F50" s="85">
        <v>0</v>
      </c>
      <c r="G50" s="84">
        <v>700000</v>
      </c>
    </row>
    <row r="51" customHeight="1" spans="1:7">
      <c r="A51" s="10">
        <v>6</v>
      </c>
      <c r="B51" s="11" t="s">
        <v>114</v>
      </c>
      <c r="C51" s="86" t="s">
        <v>46</v>
      </c>
      <c r="D51" s="10" t="s">
        <v>148</v>
      </c>
      <c r="E51" s="84">
        <v>500000</v>
      </c>
      <c r="F51" s="85">
        <v>0</v>
      </c>
      <c r="G51" s="84">
        <v>500000</v>
      </c>
    </row>
    <row r="52" customHeight="1" spans="1:7">
      <c r="A52" s="10">
        <v>7</v>
      </c>
      <c r="B52" s="14" t="s">
        <v>115</v>
      </c>
      <c r="C52" s="86" t="s">
        <v>133</v>
      </c>
      <c r="D52" s="16" t="s">
        <v>148</v>
      </c>
      <c r="E52" s="84">
        <v>500000</v>
      </c>
      <c r="F52" s="85">
        <v>0</v>
      </c>
      <c r="G52" s="84">
        <v>500000</v>
      </c>
    </row>
    <row r="53" customHeight="1" spans="1:7">
      <c r="A53" s="10">
        <v>8</v>
      </c>
      <c r="B53" s="11" t="s">
        <v>1094</v>
      </c>
      <c r="C53" s="86" t="s">
        <v>133</v>
      </c>
      <c r="D53" s="10" t="s">
        <v>47</v>
      </c>
      <c r="E53" s="84">
        <v>500000</v>
      </c>
      <c r="F53" s="85">
        <v>0</v>
      </c>
      <c r="G53" s="84">
        <v>500000</v>
      </c>
    </row>
    <row r="54" customHeight="1" spans="1:7">
      <c r="A54" s="10">
        <v>9</v>
      </c>
      <c r="B54" s="11" t="s">
        <v>45</v>
      </c>
      <c r="C54" s="86" t="s">
        <v>483</v>
      </c>
      <c r="D54" s="10" t="s">
        <v>1019</v>
      </c>
      <c r="E54" s="84">
        <v>500000</v>
      </c>
      <c r="F54" s="84">
        <v>500000</v>
      </c>
      <c r="G54" s="85">
        <v>0</v>
      </c>
    </row>
    <row r="55" customHeight="1" spans="1:7">
      <c r="A55" s="10">
        <v>10</v>
      </c>
      <c r="B55" s="11" t="s">
        <v>118</v>
      </c>
      <c r="C55" s="86" t="s">
        <v>117</v>
      </c>
      <c r="D55" s="10" t="s">
        <v>83</v>
      </c>
      <c r="E55" s="84">
        <v>300000</v>
      </c>
      <c r="F55" s="84">
        <v>300000</v>
      </c>
      <c r="G55" s="85">
        <v>0</v>
      </c>
    </row>
    <row r="56" customHeight="1" spans="1:7">
      <c r="A56" s="10">
        <v>11</v>
      </c>
      <c r="B56" s="11" t="s">
        <v>580</v>
      </c>
      <c r="C56" s="86" t="s">
        <v>117</v>
      </c>
      <c r="D56" s="10" t="s">
        <v>83</v>
      </c>
      <c r="E56" s="84">
        <v>300000</v>
      </c>
      <c r="F56" s="84">
        <v>300000</v>
      </c>
      <c r="G56" s="85">
        <v>0</v>
      </c>
    </row>
    <row r="57" customHeight="1" spans="1:7">
      <c r="A57" s="10">
        <v>12</v>
      </c>
      <c r="B57" s="11" t="s">
        <v>119</v>
      </c>
      <c r="C57" s="86" t="s">
        <v>117</v>
      </c>
      <c r="D57" s="10" t="s">
        <v>83</v>
      </c>
      <c r="E57" s="84">
        <v>300000</v>
      </c>
      <c r="F57" s="84">
        <v>300000</v>
      </c>
      <c r="G57" s="85">
        <v>0</v>
      </c>
    </row>
    <row r="58" ht="25.5" customHeight="1" spans="1:7">
      <c r="A58" s="10"/>
      <c r="B58" s="20" t="s">
        <v>96</v>
      </c>
      <c r="C58" s="88">
        <v>11</v>
      </c>
      <c r="D58" s="21"/>
      <c r="E58" s="91">
        <f>SUM(E46:E57)</f>
        <v>6700000</v>
      </c>
      <c r="F58" s="91">
        <f t="shared" ref="F58:G58" si="3">SUM(F46:F57)</f>
        <v>1400000</v>
      </c>
      <c r="G58" s="91">
        <f t="shared" si="3"/>
        <v>5300000</v>
      </c>
    </row>
    <row r="59" customHeight="1" spans="1:7">
      <c r="A59" s="10"/>
      <c r="B59" s="22"/>
      <c r="C59" s="88"/>
      <c r="D59" s="21"/>
      <c r="E59" s="92"/>
      <c r="F59" s="92"/>
      <c r="G59" s="92"/>
    </row>
    <row r="60" customHeight="1" spans="1:7">
      <c r="A60" s="10"/>
      <c r="B60" s="20" t="s">
        <v>120</v>
      </c>
      <c r="C60" s="88"/>
      <c r="D60" s="21"/>
      <c r="E60" s="92"/>
      <c r="F60" s="92"/>
      <c r="G60" s="92"/>
    </row>
    <row r="61" customHeight="1" spans="1:7">
      <c r="A61" s="10">
        <v>1</v>
      </c>
      <c r="B61" s="11" t="s">
        <v>503</v>
      </c>
      <c r="C61" s="83" t="s">
        <v>122</v>
      </c>
      <c r="D61" s="15" t="s">
        <v>100</v>
      </c>
      <c r="E61" s="84">
        <f>1000000/2</f>
        <v>500000</v>
      </c>
      <c r="F61" s="85">
        <v>0</v>
      </c>
      <c r="G61" s="84">
        <f t="shared" ref="G61" si="4">1000000/2</f>
        <v>500000</v>
      </c>
    </row>
    <row r="62" customHeight="1" spans="1:7">
      <c r="A62" s="10"/>
      <c r="B62" s="20" t="s">
        <v>96</v>
      </c>
      <c r="C62" s="88">
        <v>2</v>
      </c>
      <c r="D62" s="21"/>
      <c r="E62" s="91">
        <f>SUM(E61)</f>
        <v>500000</v>
      </c>
      <c r="F62" s="93">
        <f t="shared" ref="F62:G62" si="5">SUM(F61)</f>
        <v>0</v>
      </c>
      <c r="G62" s="91">
        <f t="shared" si="5"/>
        <v>500000</v>
      </c>
    </row>
    <row r="63" customHeight="1" spans="1:7">
      <c r="A63" s="10"/>
      <c r="B63" s="20"/>
      <c r="C63" s="88"/>
      <c r="D63" s="21"/>
      <c r="E63" s="92"/>
      <c r="F63" s="92"/>
      <c r="G63" s="92"/>
    </row>
    <row r="64" customHeight="1" spans="1:7">
      <c r="A64" s="10"/>
      <c r="B64" s="20" t="s">
        <v>126</v>
      </c>
      <c r="C64" s="88"/>
      <c r="D64" s="21"/>
      <c r="E64" s="92"/>
      <c r="F64" s="92"/>
      <c r="G64" s="92"/>
    </row>
    <row r="65" customHeight="1" spans="1:7">
      <c r="A65" s="10">
        <v>1</v>
      </c>
      <c r="B65" s="11" t="s">
        <v>127</v>
      </c>
      <c r="C65" s="87" t="s">
        <v>128</v>
      </c>
      <c r="D65" s="10" t="s">
        <v>100</v>
      </c>
      <c r="E65" s="84">
        <f>1000000/2</f>
        <v>500000</v>
      </c>
      <c r="F65" s="85">
        <v>0</v>
      </c>
      <c r="G65" s="84">
        <f t="shared" ref="G65" si="6">1000000/2</f>
        <v>500000</v>
      </c>
    </row>
    <row r="66" customHeight="1" spans="1:7">
      <c r="A66" s="10">
        <v>2</v>
      </c>
      <c r="B66" s="18" t="s">
        <v>129</v>
      </c>
      <c r="C66" s="87" t="s">
        <v>130</v>
      </c>
      <c r="D66" s="15" t="s">
        <v>1021</v>
      </c>
      <c r="E66" s="84">
        <f>700000/2</f>
        <v>350000</v>
      </c>
      <c r="F66" s="85">
        <v>0</v>
      </c>
      <c r="G66" s="84">
        <f t="shared" ref="G66" si="7">700000/2</f>
        <v>350000</v>
      </c>
    </row>
    <row r="67" customHeight="1" spans="1:7">
      <c r="A67" s="10">
        <v>3</v>
      </c>
      <c r="B67" s="11" t="s">
        <v>132</v>
      </c>
      <c r="C67" s="86" t="s">
        <v>165</v>
      </c>
      <c r="D67" s="10" t="s">
        <v>1019</v>
      </c>
      <c r="E67" s="84">
        <v>500000</v>
      </c>
      <c r="F67" s="84">
        <v>500000</v>
      </c>
      <c r="G67" s="85">
        <v>0</v>
      </c>
    </row>
    <row r="68" customHeight="1" spans="1:7">
      <c r="A68" s="10">
        <v>4</v>
      </c>
      <c r="B68" s="18" t="s">
        <v>486</v>
      </c>
      <c r="C68" s="87" t="s">
        <v>165</v>
      </c>
      <c r="D68" s="15" t="s">
        <v>1231</v>
      </c>
      <c r="E68" s="84">
        <v>500000</v>
      </c>
      <c r="F68" s="84">
        <v>500000</v>
      </c>
      <c r="G68" s="85">
        <v>0</v>
      </c>
    </row>
    <row r="69" customHeight="1" spans="1:7">
      <c r="A69" s="10">
        <v>5</v>
      </c>
      <c r="B69" s="14" t="s">
        <v>519</v>
      </c>
      <c r="C69" s="87" t="s">
        <v>133</v>
      </c>
      <c r="D69" s="15" t="s">
        <v>148</v>
      </c>
      <c r="E69" s="84">
        <v>500000</v>
      </c>
      <c r="F69" s="85">
        <v>0</v>
      </c>
      <c r="G69" s="84">
        <v>500000</v>
      </c>
    </row>
    <row r="70" customHeight="1" spans="1:7">
      <c r="A70" s="10">
        <v>6</v>
      </c>
      <c r="B70" s="11" t="s">
        <v>134</v>
      </c>
      <c r="C70" s="86" t="s">
        <v>117</v>
      </c>
      <c r="D70" s="10" t="s">
        <v>1237</v>
      </c>
      <c r="E70" s="84">
        <v>300000</v>
      </c>
      <c r="F70" s="84">
        <v>300000</v>
      </c>
      <c r="G70" s="85">
        <v>0</v>
      </c>
    </row>
    <row r="71" customHeight="1" spans="1:7">
      <c r="A71" s="10">
        <v>7</v>
      </c>
      <c r="B71" s="11" t="s">
        <v>1102</v>
      </c>
      <c r="C71" s="87" t="s">
        <v>67</v>
      </c>
      <c r="D71" s="15" t="s">
        <v>135</v>
      </c>
      <c r="E71" s="84">
        <v>400000</v>
      </c>
      <c r="F71" s="84">
        <v>400000</v>
      </c>
      <c r="G71" s="85">
        <v>0</v>
      </c>
    </row>
    <row r="72" customHeight="1" spans="1:7">
      <c r="A72" s="10">
        <v>8</v>
      </c>
      <c r="B72" s="11" t="s">
        <v>136</v>
      </c>
      <c r="C72" s="87" t="s">
        <v>67</v>
      </c>
      <c r="D72" s="15" t="s">
        <v>65</v>
      </c>
      <c r="E72" s="84">
        <v>400000</v>
      </c>
      <c r="F72" s="84">
        <v>400000</v>
      </c>
      <c r="G72" s="85">
        <v>0</v>
      </c>
    </row>
    <row r="73" customHeight="1" spans="1:7">
      <c r="A73" s="10">
        <v>9</v>
      </c>
      <c r="B73" s="11" t="s">
        <v>137</v>
      </c>
      <c r="C73" s="87" t="s">
        <v>67</v>
      </c>
      <c r="D73" s="15" t="s">
        <v>65</v>
      </c>
      <c r="E73" s="84">
        <v>400000</v>
      </c>
      <c r="F73" s="84">
        <v>400000</v>
      </c>
      <c r="G73" s="85">
        <v>0</v>
      </c>
    </row>
    <row r="74" customHeight="1" spans="1:7">
      <c r="A74" s="10">
        <v>10</v>
      </c>
      <c r="B74" s="11" t="s">
        <v>138</v>
      </c>
      <c r="C74" s="86" t="s">
        <v>139</v>
      </c>
      <c r="D74" s="10" t="s">
        <v>65</v>
      </c>
      <c r="E74" s="84">
        <v>400000</v>
      </c>
      <c r="F74" s="84">
        <v>400000</v>
      </c>
      <c r="G74" s="85">
        <v>0</v>
      </c>
    </row>
    <row r="75" customHeight="1" spans="1:7">
      <c r="A75" s="10">
        <v>11</v>
      </c>
      <c r="B75" s="11" t="s">
        <v>1184</v>
      </c>
      <c r="C75" s="87" t="s">
        <v>117</v>
      </c>
      <c r="D75" s="10" t="s">
        <v>70</v>
      </c>
      <c r="E75" s="84">
        <v>300000</v>
      </c>
      <c r="F75" s="84">
        <v>300000</v>
      </c>
      <c r="G75" s="85">
        <v>0</v>
      </c>
    </row>
    <row r="76" customHeight="1" spans="1:7">
      <c r="A76" s="10">
        <v>12</v>
      </c>
      <c r="B76" s="11" t="s">
        <v>77</v>
      </c>
      <c r="C76" s="87" t="s">
        <v>64</v>
      </c>
      <c r="D76" s="10" t="s">
        <v>83</v>
      </c>
      <c r="E76" s="84">
        <v>300000</v>
      </c>
      <c r="F76" s="84">
        <v>300000</v>
      </c>
      <c r="G76" s="85">
        <v>0</v>
      </c>
    </row>
    <row r="77" customHeight="1" spans="1:7">
      <c r="A77" s="10">
        <v>13</v>
      </c>
      <c r="B77" s="14" t="s">
        <v>63</v>
      </c>
      <c r="C77" s="87" t="s">
        <v>64</v>
      </c>
      <c r="D77" s="10" t="s">
        <v>95</v>
      </c>
      <c r="E77" s="84">
        <v>300000</v>
      </c>
      <c r="F77" s="84">
        <v>300000</v>
      </c>
      <c r="G77" s="85">
        <v>0</v>
      </c>
    </row>
    <row r="78" customHeight="1" spans="1:7">
      <c r="A78" s="10"/>
      <c r="B78" s="20" t="s">
        <v>96</v>
      </c>
      <c r="C78" s="88">
        <v>13</v>
      </c>
      <c r="D78" s="21"/>
      <c r="E78" s="91">
        <f>SUM(E65:E77)</f>
        <v>5150000</v>
      </c>
      <c r="F78" s="91">
        <f t="shared" ref="F78:G78" si="8">SUM(F65:F77)</f>
        <v>3800000</v>
      </c>
      <c r="G78" s="91">
        <f t="shared" si="8"/>
        <v>1350000</v>
      </c>
    </row>
    <row r="79" customHeight="1" spans="1:7">
      <c r="A79" s="10"/>
      <c r="B79" s="22"/>
      <c r="C79" s="88"/>
      <c r="D79" s="21"/>
      <c r="E79" s="92"/>
      <c r="F79" s="92"/>
      <c r="G79" s="92"/>
    </row>
    <row r="80" customHeight="1" spans="1:7">
      <c r="A80" s="10"/>
      <c r="B80" s="20" t="s">
        <v>141</v>
      </c>
      <c r="C80" s="88"/>
      <c r="D80" s="21"/>
      <c r="E80" s="92"/>
      <c r="F80" s="92"/>
      <c r="G80" s="92"/>
    </row>
    <row r="81" customHeight="1" spans="1:7">
      <c r="A81" s="10">
        <v>1</v>
      </c>
      <c r="B81" s="11" t="s">
        <v>142</v>
      </c>
      <c r="C81" s="86" t="s">
        <v>143</v>
      </c>
      <c r="D81" s="10" t="s">
        <v>100</v>
      </c>
      <c r="E81" s="84">
        <v>1000000</v>
      </c>
      <c r="F81" s="85">
        <v>0</v>
      </c>
      <c r="G81" s="84">
        <v>1000000</v>
      </c>
    </row>
    <row r="82" customHeight="1" spans="1:7">
      <c r="A82" s="10">
        <v>2</v>
      </c>
      <c r="B82" s="14" t="s">
        <v>520</v>
      </c>
      <c r="C82" s="86" t="s">
        <v>572</v>
      </c>
      <c r="D82" s="15" t="s">
        <v>1021</v>
      </c>
      <c r="E82" s="84">
        <v>700000</v>
      </c>
      <c r="F82" s="85">
        <v>0</v>
      </c>
      <c r="G82" s="84">
        <v>700000</v>
      </c>
    </row>
    <row r="83" customHeight="1" spans="1:7">
      <c r="A83" s="10">
        <v>3</v>
      </c>
      <c r="B83" s="14" t="s">
        <v>1185</v>
      </c>
      <c r="C83" s="86" t="s">
        <v>1186</v>
      </c>
      <c r="D83" s="15" t="s">
        <v>1021</v>
      </c>
      <c r="E83" s="84">
        <f>700000/2</f>
        <v>350000</v>
      </c>
      <c r="F83" s="85">
        <v>0</v>
      </c>
      <c r="G83" s="84">
        <f t="shared" ref="G83" si="9">700000/2</f>
        <v>350000</v>
      </c>
    </row>
    <row r="84" customHeight="1" spans="1:7">
      <c r="A84" s="10">
        <v>4</v>
      </c>
      <c r="B84" s="11" t="s">
        <v>146</v>
      </c>
      <c r="C84" s="86" t="s">
        <v>1037</v>
      </c>
      <c r="D84" s="15" t="s">
        <v>1019</v>
      </c>
      <c r="E84" s="84">
        <v>500000</v>
      </c>
      <c r="F84" s="84">
        <v>500000</v>
      </c>
      <c r="G84" s="85">
        <v>0</v>
      </c>
    </row>
    <row r="85" customHeight="1" spans="1:7">
      <c r="A85" s="10">
        <v>5</v>
      </c>
      <c r="B85" s="11" t="s">
        <v>149</v>
      </c>
      <c r="C85" s="86" t="s">
        <v>152</v>
      </c>
      <c r="D85" s="10" t="s">
        <v>70</v>
      </c>
      <c r="E85" s="84">
        <v>300000</v>
      </c>
      <c r="F85" s="84">
        <v>300000</v>
      </c>
      <c r="G85" s="85">
        <v>0</v>
      </c>
    </row>
    <row r="86" customHeight="1" spans="1:7">
      <c r="A86" s="10"/>
      <c r="B86" s="20" t="s">
        <v>96</v>
      </c>
      <c r="C86" s="88">
        <v>5</v>
      </c>
      <c r="D86" s="21"/>
      <c r="E86" s="91">
        <f>SUM(E81:E85)</f>
        <v>2850000</v>
      </c>
      <c r="F86" s="91">
        <f>SUM(F81:F85)</f>
        <v>800000</v>
      </c>
      <c r="G86" s="91">
        <f t="shared" ref="G86" si="10">SUM(G81:G85)</f>
        <v>2050000</v>
      </c>
    </row>
    <row r="87" customHeight="1" spans="1:7">
      <c r="A87" s="10"/>
      <c r="B87" s="20"/>
      <c r="C87" s="88"/>
      <c r="D87" s="21"/>
      <c r="E87" s="84"/>
      <c r="F87" s="84"/>
      <c r="G87" s="84"/>
    </row>
    <row r="88" customHeight="1" spans="1:7">
      <c r="A88" s="10"/>
      <c r="B88" s="20" t="s">
        <v>155</v>
      </c>
      <c r="C88" s="94"/>
      <c r="D88" s="21"/>
      <c r="E88" s="84"/>
      <c r="F88" s="84"/>
      <c r="G88" s="84"/>
    </row>
    <row r="89" customHeight="1" spans="1:7">
      <c r="A89" s="10">
        <v>1</v>
      </c>
      <c r="B89" s="11" t="s">
        <v>1240</v>
      </c>
      <c r="C89" s="86" t="s">
        <v>1203</v>
      </c>
      <c r="D89" s="10" t="s">
        <v>110</v>
      </c>
      <c r="E89" s="84">
        <v>700000</v>
      </c>
      <c r="F89" s="85">
        <v>0</v>
      </c>
      <c r="G89" s="84">
        <v>700000</v>
      </c>
    </row>
    <row r="90" customHeight="1" spans="1:7">
      <c r="A90" s="10">
        <v>2</v>
      </c>
      <c r="B90" s="11" t="s">
        <v>156</v>
      </c>
      <c r="C90" s="86" t="s">
        <v>112</v>
      </c>
      <c r="D90" s="10" t="s">
        <v>36</v>
      </c>
      <c r="E90" s="84">
        <v>700000</v>
      </c>
      <c r="F90" s="85">
        <v>0</v>
      </c>
      <c r="G90" s="84">
        <v>700000</v>
      </c>
    </row>
    <row r="91" customHeight="1" spans="1:7">
      <c r="A91" s="10">
        <v>3</v>
      </c>
      <c r="B91" s="11" t="s">
        <v>157</v>
      </c>
      <c r="C91" s="86" t="s">
        <v>112</v>
      </c>
      <c r="D91" s="10" t="s">
        <v>36</v>
      </c>
      <c r="E91" s="84">
        <v>700000</v>
      </c>
      <c r="F91" s="85">
        <v>0</v>
      </c>
      <c r="G91" s="84">
        <v>700000</v>
      </c>
    </row>
    <row r="92" customHeight="1" spans="1:7">
      <c r="A92" s="10">
        <v>4</v>
      </c>
      <c r="B92" s="14" t="s">
        <v>201</v>
      </c>
      <c r="C92" s="86" t="s">
        <v>133</v>
      </c>
      <c r="D92" s="10" t="s">
        <v>222</v>
      </c>
      <c r="E92" s="84">
        <v>500000</v>
      </c>
      <c r="F92" s="85">
        <v>0</v>
      </c>
      <c r="G92" s="84">
        <v>500000</v>
      </c>
    </row>
    <row r="93" customHeight="1" spans="1:7">
      <c r="A93" s="10">
        <v>5</v>
      </c>
      <c r="B93" s="11" t="s">
        <v>158</v>
      </c>
      <c r="C93" s="86" t="s">
        <v>46</v>
      </c>
      <c r="D93" s="10" t="s">
        <v>148</v>
      </c>
      <c r="E93" s="84">
        <v>500000</v>
      </c>
      <c r="F93" s="85">
        <v>0</v>
      </c>
      <c r="G93" s="84">
        <v>500000</v>
      </c>
    </row>
    <row r="94" ht="21.6" customHeight="1" spans="1:7">
      <c r="A94" s="10">
        <v>6</v>
      </c>
      <c r="B94" s="11" t="s">
        <v>159</v>
      </c>
      <c r="C94" s="86" t="s">
        <v>483</v>
      </c>
      <c r="D94" s="15" t="s">
        <v>1019</v>
      </c>
      <c r="E94" s="84">
        <v>500000</v>
      </c>
      <c r="F94" s="84">
        <v>500000</v>
      </c>
      <c r="G94" s="85">
        <v>0</v>
      </c>
    </row>
    <row r="95" ht="21.6" customHeight="1" spans="1:7">
      <c r="A95" s="10">
        <v>7</v>
      </c>
      <c r="B95" s="11" t="s">
        <v>160</v>
      </c>
      <c r="C95" s="83" t="s">
        <v>165</v>
      </c>
      <c r="D95" s="15" t="s">
        <v>1231</v>
      </c>
      <c r="E95" s="84">
        <v>500000</v>
      </c>
      <c r="F95" s="84">
        <v>500000</v>
      </c>
      <c r="G95" s="85">
        <v>0</v>
      </c>
    </row>
    <row r="96" ht="21.6" customHeight="1" spans="1:7">
      <c r="A96" s="10">
        <v>8</v>
      </c>
      <c r="B96" s="11" t="s">
        <v>161</v>
      </c>
      <c r="C96" s="83" t="s">
        <v>165</v>
      </c>
      <c r="D96" s="15" t="s">
        <v>1231</v>
      </c>
      <c r="E96" s="84">
        <f>500000/2</f>
        <v>250000</v>
      </c>
      <c r="F96" s="84">
        <f>500000/2</f>
        <v>250000</v>
      </c>
      <c r="G96" s="85">
        <v>0</v>
      </c>
    </row>
    <row r="97" ht="21.6" customHeight="1" spans="1:7">
      <c r="A97" s="10">
        <v>9</v>
      </c>
      <c r="B97" s="11" t="s">
        <v>163</v>
      </c>
      <c r="C97" s="87" t="s">
        <v>67</v>
      </c>
      <c r="D97" s="15" t="s">
        <v>65</v>
      </c>
      <c r="E97" s="84">
        <v>400000</v>
      </c>
      <c r="F97" s="84">
        <v>400000</v>
      </c>
      <c r="G97" s="85">
        <v>0</v>
      </c>
    </row>
    <row r="98" ht="21.6" customHeight="1" spans="1:7">
      <c r="A98" s="10">
        <v>10</v>
      </c>
      <c r="B98" s="11" t="s">
        <v>167</v>
      </c>
      <c r="C98" s="86" t="s">
        <v>168</v>
      </c>
      <c r="D98" s="10" t="s">
        <v>70</v>
      </c>
      <c r="E98" s="84">
        <v>300000</v>
      </c>
      <c r="F98" s="84">
        <v>300000</v>
      </c>
      <c r="G98" s="85">
        <v>0</v>
      </c>
    </row>
    <row r="99" ht="21.6" customHeight="1" spans="1:7">
      <c r="A99" s="10">
        <v>11</v>
      </c>
      <c r="B99" s="11" t="s">
        <v>169</v>
      </c>
      <c r="C99" s="87" t="s">
        <v>170</v>
      </c>
      <c r="D99" s="15" t="s">
        <v>95</v>
      </c>
      <c r="E99" s="84">
        <v>300000</v>
      </c>
      <c r="F99" s="84">
        <v>300000</v>
      </c>
      <c r="G99" s="85">
        <v>0</v>
      </c>
    </row>
    <row r="100" customHeight="1" spans="1:7">
      <c r="A100" s="10"/>
      <c r="B100" s="20" t="s">
        <v>96</v>
      </c>
      <c r="C100" s="88">
        <v>10</v>
      </c>
      <c r="D100" s="21"/>
      <c r="E100" s="91">
        <f>SUM(E89:E99)</f>
        <v>5350000</v>
      </c>
      <c r="F100" s="91">
        <f t="shared" ref="F100:G100" si="11">SUM(F89:F99)</f>
        <v>2250000</v>
      </c>
      <c r="G100" s="91">
        <f t="shared" si="11"/>
        <v>3100000</v>
      </c>
    </row>
    <row r="101" customHeight="1" spans="1:7">
      <c r="A101" s="10"/>
      <c r="B101" s="22"/>
      <c r="C101" s="88"/>
      <c r="D101" s="21"/>
      <c r="E101" s="92"/>
      <c r="F101" s="92"/>
      <c r="G101" s="92"/>
    </row>
    <row r="102" customHeight="1" spans="1:7">
      <c r="A102" s="10"/>
      <c r="B102" s="20" t="s">
        <v>1286</v>
      </c>
      <c r="C102" s="88"/>
      <c r="D102" s="21"/>
      <c r="E102" s="92"/>
      <c r="F102" s="92"/>
      <c r="G102" s="92"/>
    </row>
    <row r="103" customHeight="1" spans="1:7">
      <c r="A103" s="10">
        <v>1</v>
      </c>
      <c r="B103" s="18" t="s">
        <v>576</v>
      </c>
      <c r="C103" s="95" t="s">
        <v>577</v>
      </c>
      <c r="D103" s="15" t="s">
        <v>110</v>
      </c>
      <c r="E103" s="84">
        <v>700000</v>
      </c>
      <c r="F103" s="85">
        <v>0</v>
      </c>
      <c r="G103" s="84">
        <v>700000</v>
      </c>
    </row>
    <row r="104" customHeight="1" spans="1:7">
      <c r="A104" s="10">
        <v>2</v>
      </c>
      <c r="B104" s="11" t="s">
        <v>37</v>
      </c>
      <c r="C104" s="86" t="s">
        <v>177</v>
      </c>
      <c r="D104" s="10" t="s">
        <v>148</v>
      </c>
      <c r="E104" s="84">
        <v>500000</v>
      </c>
      <c r="F104" s="85">
        <v>0</v>
      </c>
      <c r="G104" s="84">
        <v>500000</v>
      </c>
    </row>
    <row r="105" customHeight="1" spans="1:7">
      <c r="A105" s="10">
        <v>3</v>
      </c>
      <c r="B105" s="18" t="s">
        <v>1204</v>
      </c>
      <c r="C105" s="86" t="s">
        <v>1205</v>
      </c>
      <c r="D105" s="15" t="s">
        <v>1231</v>
      </c>
      <c r="E105" s="84">
        <v>500000</v>
      </c>
      <c r="F105" s="84">
        <v>500000</v>
      </c>
      <c r="G105" s="85">
        <v>0</v>
      </c>
    </row>
    <row r="106" customHeight="1" spans="1:7">
      <c r="A106" s="10">
        <v>4</v>
      </c>
      <c r="B106" s="11" t="s">
        <v>180</v>
      </c>
      <c r="C106" s="86" t="s">
        <v>181</v>
      </c>
      <c r="D106" s="15" t="s">
        <v>65</v>
      </c>
      <c r="E106" s="84">
        <v>400000</v>
      </c>
      <c r="F106" s="84">
        <v>400000</v>
      </c>
      <c r="G106" s="85">
        <v>0</v>
      </c>
    </row>
    <row r="107" customHeight="1" spans="1:7">
      <c r="A107" s="4"/>
      <c r="B107" s="20" t="s">
        <v>96</v>
      </c>
      <c r="C107" s="88">
        <v>4</v>
      </c>
      <c r="D107" s="26"/>
      <c r="E107" s="91">
        <f>SUM(E103:E106)</f>
        <v>2100000</v>
      </c>
      <c r="F107" s="91">
        <f t="shared" ref="F107:G107" si="12">SUM(F103:F106)</f>
        <v>900000</v>
      </c>
      <c r="G107" s="91">
        <f t="shared" si="12"/>
        <v>1200000</v>
      </c>
    </row>
    <row r="108" customHeight="1" spans="1:7">
      <c r="A108" s="4"/>
      <c r="B108" s="22"/>
      <c r="C108" s="88"/>
      <c r="D108" s="26"/>
      <c r="E108" s="92"/>
      <c r="F108" s="92"/>
      <c r="G108" s="92"/>
    </row>
    <row r="109" customHeight="1" spans="1:7">
      <c r="A109" s="4"/>
      <c r="B109" s="20" t="s">
        <v>184</v>
      </c>
      <c r="C109" s="86"/>
      <c r="D109" s="4"/>
      <c r="E109" s="96"/>
      <c r="F109" s="96"/>
      <c r="G109" s="96"/>
    </row>
    <row r="110" customHeight="1" spans="1:7">
      <c r="A110" s="4">
        <v>1</v>
      </c>
      <c r="B110" s="11" t="s">
        <v>185</v>
      </c>
      <c r="C110" s="83" t="s">
        <v>186</v>
      </c>
      <c r="D110" s="15" t="s">
        <v>100</v>
      </c>
      <c r="E110" s="84">
        <v>1000000</v>
      </c>
      <c r="F110" s="85">
        <v>0</v>
      </c>
      <c r="G110" s="84">
        <v>1000000</v>
      </c>
    </row>
    <row r="111" customHeight="1" spans="1:7">
      <c r="A111" s="4">
        <v>2</v>
      </c>
      <c r="B111" s="11" t="s">
        <v>187</v>
      </c>
      <c r="C111" s="86" t="s">
        <v>188</v>
      </c>
      <c r="D111" s="16" t="s">
        <v>1015</v>
      </c>
      <c r="E111" s="84">
        <v>700000</v>
      </c>
      <c r="F111" s="85">
        <v>0</v>
      </c>
      <c r="G111" s="84">
        <v>700000</v>
      </c>
    </row>
    <row r="112" customHeight="1" spans="1:7">
      <c r="A112" s="4">
        <v>3</v>
      </c>
      <c r="B112" s="11" t="s">
        <v>190</v>
      </c>
      <c r="C112" s="86" t="s">
        <v>191</v>
      </c>
      <c r="D112" s="10" t="s">
        <v>192</v>
      </c>
      <c r="E112" s="84">
        <v>500000</v>
      </c>
      <c r="F112" s="84">
        <v>500000</v>
      </c>
      <c r="G112" s="85">
        <v>0</v>
      </c>
    </row>
    <row r="113" customHeight="1" spans="1:7">
      <c r="A113" s="4">
        <v>4</v>
      </c>
      <c r="B113" s="11" t="s">
        <v>193</v>
      </c>
      <c r="C113" s="86" t="s">
        <v>191</v>
      </c>
      <c r="D113" s="10" t="s">
        <v>52</v>
      </c>
      <c r="E113" s="84">
        <v>500000</v>
      </c>
      <c r="F113" s="84">
        <v>500000</v>
      </c>
      <c r="G113" s="85">
        <v>0</v>
      </c>
    </row>
    <row r="114" customHeight="1" spans="1:7">
      <c r="A114" s="4">
        <v>5</v>
      </c>
      <c r="B114" s="11" t="s">
        <v>194</v>
      </c>
      <c r="C114" s="86" t="s">
        <v>195</v>
      </c>
      <c r="D114" s="15" t="s">
        <v>1014</v>
      </c>
      <c r="E114" s="84">
        <v>300000</v>
      </c>
      <c r="F114" s="84">
        <v>300000</v>
      </c>
      <c r="G114" s="85">
        <v>0</v>
      </c>
    </row>
    <row r="115" customHeight="1" spans="1:7">
      <c r="A115" s="4">
        <v>6</v>
      </c>
      <c r="B115" s="18" t="s">
        <v>197</v>
      </c>
      <c r="C115" s="86" t="s">
        <v>195</v>
      </c>
      <c r="D115" s="10" t="s">
        <v>171</v>
      </c>
      <c r="E115" s="84">
        <v>300000</v>
      </c>
      <c r="F115" s="84">
        <v>300000</v>
      </c>
      <c r="G115" s="85">
        <v>0</v>
      </c>
    </row>
    <row r="116" customHeight="1" spans="1:7">
      <c r="A116" s="4">
        <v>7</v>
      </c>
      <c r="B116" s="18" t="s">
        <v>199</v>
      </c>
      <c r="C116" s="86" t="s">
        <v>195</v>
      </c>
      <c r="D116" s="15" t="s">
        <v>95</v>
      </c>
      <c r="E116" s="84">
        <v>300000</v>
      </c>
      <c r="F116" s="84">
        <v>300000</v>
      </c>
      <c r="G116" s="85">
        <v>0</v>
      </c>
    </row>
    <row r="117" customHeight="1" spans="1:7">
      <c r="A117" s="4"/>
      <c r="B117" s="20" t="s">
        <v>96</v>
      </c>
      <c r="C117" s="88">
        <v>7</v>
      </c>
      <c r="D117" s="4"/>
      <c r="E117" s="97">
        <f>SUM(E110:E116)</f>
        <v>3600000</v>
      </c>
      <c r="F117" s="97">
        <f t="shared" ref="F117:G117" si="13">SUM(F110:F116)</f>
        <v>1900000</v>
      </c>
      <c r="G117" s="97">
        <f t="shared" si="13"/>
        <v>1700000</v>
      </c>
    </row>
    <row r="118" customHeight="1" spans="1:7">
      <c r="A118" s="4"/>
      <c r="B118" s="22"/>
      <c r="C118" s="95"/>
      <c r="D118" s="4"/>
      <c r="E118" s="98"/>
      <c r="F118" s="98"/>
      <c r="G118" s="98"/>
    </row>
    <row r="119" customHeight="1" spans="1:7">
      <c r="A119" s="4"/>
      <c r="B119" s="20" t="s">
        <v>213</v>
      </c>
      <c r="C119" s="88"/>
      <c r="D119" s="21"/>
      <c r="E119" s="84"/>
      <c r="F119" s="84"/>
      <c r="G119" s="84"/>
    </row>
    <row r="120" customHeight="1" spans="1:7">
      <c r="A120" s="4">
        <v>1</v>
      </c>
      <c r="B120" s="11" t="s">
        <v>214</v>
      </c>
      <c r="C120" s="83" t="s">
        <v>215</v>
      </c>
      <c r="D120" s="15" t="s">
        <v>100</v>
      </c>
      <c r="E120" s="84">
        <v>1000000</v>
      </c>
      <c r="F120" s="85">
        <v>0</v>
      </c>
      <c r="G120" s="84">
        <v>1000000</v>
      </c>
    </row>
    <row r="121" customHeight="1" spans="1:7">
      <c r="A121" s="4">
        <v>2</v>
      </c>
      <c r="B121" s="11" t="s">
        <v>1207</v>
      </c>
      <c r="C121" s="83" t="s">
        <v>1208</v>
      </c>
      <c r="D121" s="15" t="s">
        <v>189</v>
      </c>
      <c r="E121" s="84">
        <v>700000</v>
      </c>
      <c r="F121" s="85">
        <v>0</v>
      </c>
      <c r="G121" s="84">
        <v>700000</v>
      </c>
    </row>
    <row r="122" customHeight="1" spans="1:7">
      <c r="A122" s="4">
        <v>3</v>
      </c>
      <c r="B122" s="11" t="s">
        <v>216</v>
      </c>
      <c r="C122" s="83" t="s">
        <v>219</v>
      </c>
      <c r="D122" s="15" t="s">
        <v>36</v>
      </c>
      <c r="E122" s="84">
        <v>700000</v>
      </c>
      <c r="F122" s="85">
        <v>0</v>
      </c>
      <c r="G122" s="84">
        <v>700000</v>
      </c>
    </row>
    <row r="123" customHeight="1" spans="1:7">
      <c r="A123" s="4">
        <v>4</v>
      </c>
      <c r="B123" s="14" t="s">
        <v>218</v>
      </c>
      <c r="C123" s="83" t="s">
        <v>219</v>
      </c>
      <c r="D123" s="15" t="s">
        <v>36</v>
      </c>
      <c r="E123" s="84">
        <v>700000</v>
      </c>
      <c r="F123" s="85">
        <v>0</v>
      </c>
      <c r="G123" s="84">
        <v>700000</v>
      </c>
    </row>
    <row r="124" customHeight="1" spans="1:7">
      <c r="A124" s="4">
        <v>5</v>
      </c>
      <c r="B124" s="14" t="s">
        <v>523</v>
      </c>
      <c r="C124" s="83" t="s">
        <v>219</v>
      </c>
      <c r="D124" s="15" t="s">
        <v>39</v>
      </c>
      <c r="E124" s="84">
        <v>700000</v>
      </c>
      <c r="F124" s="85">
        <v>0</v>
      </c>
      <c r="G124" s="84">
        <v>700000</v>
      </c>
    </row>
    <row r="125" customHeight="1" spans="1:7">
      <c r="A125" s="4">
        <v>6</v>
      </c>
      <c r="B125" s="11" t="s">
        <v>220</v>
      </c>
      <c r="C125" s="83" t="s">
        <v>221</v>
      </c>
      <c r="D125" s="15" t="s">
        <v>47</v>
      </c>
      <c r="E125" s="84">
        <v>500000</v>
      </c>
      <c r="F125" s="85">
        <v>0</v>
      </c>
      <c r="G125" s="84">
        <v>500000</v>
      </c>
    </row>
    <row r="126" customHeight="1" spans="1:7">
      <c r="A126" s="4">
        <v>7</v>
      </c>
      <c r="B126" s="11" t="s">
        <v>223</v>
      </c>
      <c r="C126" s="83" t="s">
        <v>224</v>
      </c>
      <c r="D126" s="15" t="s">
        <v>1019</v>
      </c>
      <c r="E126" s="84">
        <v>500000</v>
      </c>
      <c r="F126" s="84">
        <v>500000</v>
      </c>
      <c r="G126" s="85">
        <v>0</v>
      </c>
    </row>
    <row r="127" customHeight="1" spans="1:7">
      <c r="A127" s="4">
        <v>8</v>
      </c>
      <c r="B127" s="11" t="s">
        <v>225</v>
      </c>
      <c r="C127" s="83" t="s">
        <v>1039</v>
      </c>
      <c r="D127" s="15" t="s">
        <v>1019</v>
      </c>
      <c r="E127" s="84">
        <v>500000</v>
      </c>
      <c r="F127" s="84">
        <v>500000</v>
      </c>
      <c r="G127" s="85">
        <v>0</v>
      </c>
    </row>
    <row r="128" customHeight="1" spans="1:7">
      <c r="A128" s="4">
        <v>9</v>
      </c>
      <c r="B128" s="18" t="s">
        <v>1209</v>
      </c>
      <c r="C128" s="83" t="s">
        <v>1210</v>
      </c>
      <c r="D128" s="15" t="s">
        <v>1020</v>
      </c>
      <c r="E128" s="84">
        <v>500000</v>
      </c>
      <c r="F128" s="84">
        <v>500000</v>
      </c>
      <c r="G128" s="85">
        <v>0</v>
      </c>
    </row>
    <row r="129" customHeight="1" spans="1:7">
      <c r="A129" s="4">
        <v>10</v>
      </c>
      <c r="B129" s="11" t="s">
        <v>226</v>
      </c>
      <c r="C129" s="83" t="s">
        <v>227</v>
      </c>
      <c r="D129" s="10" t="s">
        <v>83</v>
      </c>
      <c r="E129" s="84">
        <v>300000</v>
      </c>
      <c r="F129" s="84">
        <v>300000</v>
      </c>
      <c r="G129" s="85">
        <v>0</v>
      </c>
    </row>
    <row r="130" customHeight="1" spans="1:7">
      <c r="A130" s="4">
        <v>11</v>
      </c>
      <c r="B130" s="18" t="s">
        <v>228</v>
      </c>
      <c r="C130" s="83" t="s">
        <v>229</v>
      </c>
      <c r="D130" s="15" t="s">
        <v>95</v>
      </c>
      <c r="E130" s="84">
        <v>300000</v>
      </c>
      <c r="F130" s="84">
        <v>300000</v>
      </c>
      <c r="G130" s="85">
        <v>0</v>
      </c>
    </row>
    <row r="131" customHeight="1" spans="1:7">
      <c r="A131" s="4"/>
      <c r="B131" s="20" t="s">
        <v>96</v>
      </c>
      <c r="C131" s="99" t="s">
        <v>1211</v>
      </c>
      <c r="D131" s="15"/>
      <c r="E131" s="91">
        <f>SUM(E120:E130)</f>
        <v>6400000</v>
      </c>
      <c r="F131" s="91">
        <f t="shared" ref="F131:G131" si="14">SUM(F120:F130)</f>
        <v>2100000</v>
      </c>
      <c r="G131" s="91">
        <f t="shared" si="14"/>
        <v>4300000</v>
      </c>
    </row>
    <row r="132" customHeight="1" spans="1:7">
      <c r="A132" s="4"/>
      <c r="B132" s="22"/>
      <c r="C132" s="99"/>
      <c r="D132" s="15"/>
      <c r="E132" s="92"/>
      <c r="F132" s="92"/>
      <c r="G132" s="92"/>
    </row>
    <row r="133" customHeight="1" spans="1:7">
      <c r="A133" s="4"/>
      <c r="B133" s="20" t="s">
        <v>234</v>
      </c>
      <c r="C133" s="83"/>
      <c r="D133" s="15"/>
      <c r="E133" s="84"/>
      <c r="F133" s="84"/>
      <c r="G133" s="84"/>
    </row>
    <row r="134" customHeight="1" spans="1:7">
      <c r="A134" s="27">
        <v>1</v>
      </c>
      <c r="B134" s="11" t="s">
        <v>235</v>
      </c>
      <c r="C134" s="83" t="s">
        <v>1287</v>
      </c>
      <c r="D134" s="15" t="s">
        <v>100</v>
      </c>
      <c r="E134" s="84">
        <f>1000000/2</f>
        <v>500000</v>
      </c>
      <c r="F134" s="85">
        <v>0</v>
      </c>
      <c r="G134" s="84">
        <f t="shared" ref="G134" si="15">1000000/2</f>
        <v>500000</v>
      </c>
    </row>
    <row r="135" customHeight="1" spans="1:7">
      <c r="A135" s="27">
        <v>2</v>
      </c>
      <c r="B135" s="11" t="s">
        <v>524</v>
      </c>
      <c r="C135" s="83" t="s">
        <v>575</v>
      </c>
      <c r="D135" s="15" t="s">
        <v>189</v>
      </c>
      <c r="E135" s="84">
        <f>700000/2</f>
        <v>350000</v>
      </c>
      <c r="F135" s="85">
        <v>0</v>
      </c>
      <c r="G135" s="84">
        <f t="shared" ref="G135" si="16">700000/2</f>
        <v>350000</v>
      </c>
    </row>
    <row r="136" customHeight="1" spans="1:7">
      <c r="A136" s="27">
        <v>3</v>
      </c>
      <c r="B136" s="14" t="s">
        <v>237</v>
      </c>
      <c r="C136" s="86" t="s">
        <v>238</v>
      </c>
      <c r="D136" s="16" t="s">
        <v>1015</v>
      </c>
      <c r="E136" s="84">
        <v>700000</v>
      </c>
      <c r="F136" s="85">
        <v>0</v>
      </c>
      <c r="G136" s="84">
        <v>700000</v>
      </c>
    </row>
    <row r="137" customHeight="1" spans="1:7">
      <c r="A137" s="27">
        <v>4</v>
      </c>
      <c r="B137" s="11" t="s">
        <v>239</v>
      </c>
      <c r="C137" s="83" t="s">
        <v>582</v>
      </c>
      <c r="D137" s="15" t="s">
        <v>148</v>
      </c>
      <c r="E137" s="84">
        <v>500000</v>
      </c>
      <c r="F137" s="85">
        <v>0</v>
      </c>
      <c r="G137" s="84">
        <v>500000</v>
      </c>
    </row>
    <row r="138" customHeight="1" spans="1:7">
      <c r="A138" s="27">
        <v>5</v>
      </c>
      <c r="B138" s="11" t="s">
        <v>241</v>
      </c>
      <c r="C138" s="86" t="s">
        <v>583</v>
      </c>
      <c r="D138" s="15" t="s">
        <v>148</v>
      </c>
      <c r="E138" s="84">
        <v>500000</v>
      </c>
      <c r="F138" s="85">
        <v>0</v>
      </c>
      <c r="G138" s="84">
        <v>500000</v>
      </c>
    </row>
    <row r="139" customHeight="1" spans="1:7">
      <c r="A139" s="27">
        <v>6</v>
      </c>
      <c r="B139" s="11" t="s">
        <v>176</v>
      </c>
      <c r="C139" s="86" t="s">
        <v>585</v>
      </c>
      <c r="D139" s="15" t="s">
        <v>1019</v>
      </c>
      <c r="E139" s="84">
        <v>500000</v>
      </c>
      <c r="F139" s="84">
        <v>500000</v>
      </c>
      <c r="G139" s="85">
        <v>0</v>
      </c>
    </row>
    <row r="140" customHeight="1" spans="1:7">
      <c r="A140" s="27">
        <v>7</v>
      </c>
      <c r="B140" s="11" t="s">
        <v>178</v>
      </c>
      <c r="C140" s="83" t="s">
        <v>584</v>
      </c>
      <c r="D140" s="15" t="s">
        <v>135</v>
      </c>
      <c r="E140" s="84">
        <v>400000</v>
      </c>
      <c r="F140" s="84">
        <v>400000</v>
      </c>
      <c r="G140" s="85">
        <v>0</v>
      </c>
    </row>
    <row r="141" customHeight="1" spans="1:7">
      <c r="A141" s="27">
        <v>8</v>
      </c>
      <c r="B141" s="11" t="s">
        <v>244</v>
      </c>
      <c r="C141" s="83" t="s">
        <v>584</v>
      </c>
      <c r="D141" s="15" t="s">
        <v>135</v>
      </c>
      <c r="E141" s="84">
        <v>400000</v>
      </c>
      <c r="F141" s="84">
        <v>400000</v>
      </c>
      <c r="G141" s="85">
        <v>0</v>
      </c>
    </row>
    <row r="142" customHeight="1" spans="1:7">
      <c r="A142" s="27">
        <v>9</v>
      </c>
      <c r="B142" s="11" t="s">
        <v>245</v>
      </c>
      <c r="C142" s="86" t="s">
        <v>585</v>
      </c>
      <c r="D142" s="15" t="s">
        <v>135</v>
      </c>
      <c r="E142" s="84">
        <v>400000</v>
      </c>
      <c r="F142" s="84">
        <v>400000</v>
      </c>
      <c r="G142" s="85">
        <v>0</v>
      </c>
    </row>
    <row r="143" customHeight="1" spans="1:7">
      <c r="A143" s="27">
        <v>10</v>
      </c>
      <c r="B143" s="11" t="s">
        <v>247</v>
      </c>
      <c r="C143" s="83" t="s">
        <v>252</v>
      </c>
      <c r="D143" s="15" t="s">
        <v>65</v>
      </c>
      <c r="E143" s="84">
        <v>400000</v>
      </c>
      <c r="F143" s="84">
        <v>400000</v>
      </c>
      <c r="G143" s="85">
        <v>0</v>
      </c>
    </row>
    <row r="144" customHeight="1" spans="1:7">
      <c r="A144" s="27">
        <v>11</v>
      </c>
      <c r="B144" s="11" t="s">
        <v>249</v>
      </c>
      <c r="C144" s="83" t="s">
        <v>1041</v>
      </c>
      <c r="D144" s="15" t="s">
        <v>265</v>
      </c>
      <c r="E144" s="84">
        <v>300000</v>
      </c>
      <c r="F144" s="84">
        <v>300000</v>
      </c>
      <c r="G144" s="85">
        <v>0</v>
      </c>
    </row>
    <row r="145" customHeight="1" spans="1:7">
      <c r="A145" s="27">
        <v>12</v>
      </c>
      <c r="B145" s="11" t="s">
        <v>251</v>
      </c>
      <c r="C145" s="83" t="s">
        <v>252</v>
      </c>
      <c r="D145" s="15" t="s">
        <v>65</v>
      </c>
      <c r="E145" s="84">
        <v>400000</v>
      </c>
      <c r="F145" s="84">
        <v>400000</v>
      </c>
      <c r="G145" s="85">
        <v>0</v>
      </c>
    </row>
    <row r="146" customHeight="1" spans="1:7">
      <c r="A146" s="27">
        <v>13</v>
      </c>
      <c r="B146" s="11" t="s">
        <v>256</v>
      </c>
      <c r="C146" s="86" t="s">
        <v>586</v>
      </c>
      <c r="D146" s="15" t="s">
        <v>104</v>
      </c>
      <c r="E146" s="84">
        <v>300000</v>
      </c>
      <c r="F146" s="84">
        <v>300000</v>
      </c>
      <c r="G146" s="85">
        <v>0</v>
      </c>
    </row>
    <row r="147" customHeight="1" spans="1:7">
      <c r="A147" s="27">
        <v>14</v>
      </c>
      <c r="B147" s="11" t="s">
        <v>257</v>
      </c>
      <c r="C147" s="86" t="s">
        <v>586</v>
      </c>
      <c r="D147" s="15" t="s">
        <v>104</v>
      </c>
      <c r="E147" s="84">
        <v>300000</v>
      </c>
      <c r="F147" s="84">
        <v>300000</v>
      </c>
      <c r="G147" s="85">
        <v>0</v>
      </c>
    </row>
    <row r="148" customHeight="1" spans="1:7">
      <c r="A148" s="27">
        <v>15</v>
      </c>
      <c r="B148" s="11" t="s">
        <v>258</v>
      </c>
      <c r="C148" s="86" t="s">
        <v>586</v>
      </c>
      <c r="D148" s="15" t="s">
        <v>104</v>
      </c>
      <c r="E148" s="84">
        <v>300000</v>
      </c>
      <c r="F148" s="84">
        <v>300000</v>
      </c>
      <c r="G148" s="85">
        <v>0</v>
      </c>
    </row>
    <row r="149" customHeight="1" spans="1:7">
      <c r="A149" s="27">
        <v>16</v>
      </c>
      <c r="B149" s="11" t="s">
        <v>259</v>
      </c>
      <c r="C149" s="83" t="s">
        <v>260</v>
      </c>
      <c r="D149" s="15" t="s">
        <v>70</v>
      </c>
      <c r="E149" s="84">
        <v>300000</v>
      </c>
      <c r="F149" s="84">
        <v>300000</v>
      </c>
      <c r="G149" s="85">
        <v>0</v>
      </c>
    </row>
    <row r="150" customHeight="1" spans="1:7">
      <c r="A150" s="27">
        <v>17</v>
      </c>
      <c r="B150" s="11" t="s">
        <v>1022</v>
      </c>
      <c r="C150" s="83" t="s">
        <v>262</v>
      </c>
      <c r="D150" s="10" t="s">
        <v>83</v>
      </c>
      <c r="E150" s="84">
        <v>300000</v>
      </c>
      <c r="F150" s="84">
        <v>300000</v>
      </c>
      <c r="G150" s="85">
        <v>0</v>
      </c>
    </row>
    <row r="151" customHeight="1" spans="1:7">
      <c r="A151" s="27">
        <v>18</v>
      </c>
      <c r="B151" s="11" t="s">
        <v>263</v>
      </c>
      <c r="C151" s="83" t="s">
        <v>264</v>
      </c>
      <c r="D151" s="15" t="s">
        <v>70</v>
      </c>
      <c r="E151" s="84">
        <v>300000</v>
      </c>
      <c r="F151" s="84">
        <v>300000</v>
      </c>
      <c r="G151" s="85">
        <v>0</v>
      </c>
    </row>
    <row r="152" customHeight="1" spans="1:7">
      <c r="A152" s="27">
        <v>19</v>
      </c>
      <c r="B152" s="11" t="s">
        <v>266</v>
      </c>
      <c r="C152" s="83" t="s">
        <v>267</v>
      </c>
      <c r="D152" s="15" t="s">
        <v>83</v>
      </c>
      <c r="E152" s="84">
        <v>300000</v>
      </c>
      <c r="F152" s="84">
        <v>300000</v>
      </c>
      <c r="G152" s="85">
        <v>0</v>
      </c>
    </row>
    <row r="153" customHeight="1" spans="1:7">
      <c r="A153" s="27">
        <v>20</v>
      </c>
      <c r="B153" s="11" t="s">
        <v>268</v>
      </c>
      <c r="C153" s="83" t="s">
        <v>269</v>
      </c>
      <c r="D153" s="15" t="s">
        <v>70</v>
      </c>
      <c r="E153" s="84">
        <v>300000</v>
      </c>
      <c r="F153" s="84">
        <v>300000</v>
      </c>
      <c r="G153" s="85">
        <v>0</v>
      </c>
    </row>
    <row r="154" customHeight="1" spans="1:7">
      <c r="A154" s="27">
        <v>21</v>
      </c>
      <c r="B154" s="11" t="s">
        <v>270</v>
      </c>
      <c r="C154" s="83" t="s">
        <v>271</v>
      </c>
      <c r="D154" s="15" t="s">
        <v>83</v>
      </c>
      <c r="E154" s="84">
        <v>300000</v>
      </c>
      <c r="F154" s="84">
        <v>300000</v>
      </c>
      <c r="G154" s="85">
        <v>0</v>
      </c>
    </row>
    <row r="155" customHeight="1" spans="1:7">
      <c r="A155" s="27">
        <v>22</v>
      </c>
      <c r="B155" s="18" t="s">
        <v>272</v>
      </c>
      <c r="C155" s="83" t="s">
        <v>278</v>
      </c>
      <c r="D155" s="15" t="s">
        <v>1233</v>
      </c>
      <c r="E155" s="84">
        <v>300000</v>
      </c>
      <c r="F155" s="84">
        <v>300000</v>
      </c>
      <c r="G155" s="85">
        <v>0</v>
      </c>
    </row>
    <row r="156" customHeight="1" spans="1:7">
      <c r="A156" s="27">
        <v>23</v>
      </c>
      <c r="B156" s="18" t="s">
        <v>1212</v>
      </c>
      <c r="C156" s="83" t="s">
        <v>276</v>
      </c>
      <c r="D156" s="15" t="s">
        <v>95</v>
      </c>
      <c r="E156" s="84">
        <v>300000</v>
      </c>
      <c r="F156" s="84">
        <v>300000</v>
      </c>
      <c r="G156" s="85">
        <v>0</v>
      </c>
    </row>
    <row r="157" customHeight="1" spans="1:7">
      <c r="A157" s="27">
        <v>24</v>
      </c>
      <c r="B157" s="18" t="s">
        <v>275</v>
      </c>
      <c r="C157" s="83" t="s">
        <v>276</v>
      </c>
      <c r="D157" s="15" t="s">
        <v>95</v>
      </c>
      <c r="E157" s="84">
        <v>300000</v>
      </c>
      <c r="F157" s="84">
        <v>300000</v>
      </c>
      <c r="G157" s="85">
        <v>0</v>
      </c>
    </row>
    <row r="158" customHeight="1" spans="1:7">
      <c r="A158" s="27">
        <v>25</v>
      </c>
      <c r="B158" s="18" t="s">
        <v>277</v>
      </c>
      <c r="C158" s="83" t="s">
        <v>278</v>
      </c>
      <c r="D158" s="15" t="s">
        <v>95</v>
      </c>
      <c r="E158" s="84">
        <v>300000</v>
      </c>
      <c r="F158" s="84">
        <v>300000</v>
      </c>
      <c r="G158" s="85">
        <v>0</v>
      </c>
    </row>
    <row r="159" customHeight="1" spans="1:7">
      <c r="A159" s="27">
        <v>26</v>
      </c>
      <c r="B159" s="18" t="s">
        <v>279</v>
      </c>
      <c r="C159" s="83" t="s">
        <v>280</v>
      </c>
      <c r="D159" s="15" t="s">
        <v>95</v>
      </c>
      <c r="E159" s="84">
        <v>300000</v>
      </c>
      <c r="F159" s="84">
        <v>300000</v>
      </c>
      <c r="G159" s="85">
        <v>0</v>
      </c>
    </row>
    <row r="160" customHeight="1" spans="1:7">
      <c r="A160" s="27">
        <v>27</v>
      </c>
      <c r="B160" s="18" t="s">
        <v>281</v>
      </c>
      <c r="C160" s="83" t="s">
        <v>282</v>
      </c>
      <c r="D160" s="15" t="s">
        <v>95</v>
      </c>
      <c r="E160" s="84">
        <v>300000</v>
      </c>
      <c r="F160" s="84">
        <v>300000</v>
      </c>
      <c r="G160" s="85">
        <v>0</v>
      </c>
    </row>
    <row r="161" customHeight="1" spans="1:7">
      <c r="A161" s="27">
        <v>28</v>
      </c>
      <c r="B161" s="11" t="s">
        <v>287</v>
      </c>
      <c r="C161" s="83" t="s">
        <v>288</v>
      </c>
      <c r="D161" s="15" t="s">
        <v>306</v>
      </c>
      <c r="E161" s="84">
        <v>100000</v>
      </c>
      <c r="F161" s="84">
        <v>100000</v>
      </c>
      <c r="G161" s="85">
        <v>0</v>
      </c>
    </row>
    <row r="162" customHeight="1" spans="1:7">
      <c r="A162" s="27">
        <v>29</v>
      </c>
      <c r="B162" s="11" t="s">
        <v>290</v>
      </c>
      <c r="C162" s="83" t="s">
        <v>288</v>
      </c>
      <c r="D162" s="15" t="s">
        <v>306</v>
      </c>
      <c r="E162" s="84">
        <v>100000</v>
      </c>
      <c r="F162" s="84">
        <v>100000</v>
      </c>
      <c r="G162" s="85">
        <v>0</v>
      </c>
    </row>
    <row r="163" customHeight="1" spans="1:7">
      <c r="A163" s="27">
        <v>30</v>
      </c>
      <c r="B163" s="11" t="s">
        <v>291</v>
      </c>
      <c r="C163" s="83" t="s">
        <v>288</v>
      </c>
      <c r="D163" s="15" t="s">
        <v>306</v>
      </c>
      <c r="E163" s="84">
        <v>100000</v>
      </c>
      <c r="F163" s="84">
        <v>100000</v>
      </c>
      <c r="G163" s="85">
        <v>0</v>
      </c>
    </row>
    <row r="164" customHeight="1" spans="1:7">
      <c r="A164" s="27">
        <v>31</v>
      </c>
      <c r="B164" s="11" t="s">
        <v>741</v>
      </c>
      <c r="C164" s="83" t="s">
        <v>288</v>
      </c>
      <c r="D164" s="15" t="s">
        <v>306</v>
      </c>
      <c r="E164" s="84">
        <v>100000</v>
      </c>
      <c r="F164" s="84">
        <v>100000</v>
      </c>
      <c r="G164" s="85">
        <v>0</v>
      </c>
    </row>
    <row r="165" customHeight="1" spans="1:7">
      <c r="A165" s="27">
        <v>32</v>
      </c>
      <c r="B165" s="11" t="s">
        <v>739</v>
      </c>
      <c r="C165" s="83" t="s">
        <v>288</v>
      </c>
      <c r="D165" s="15" t="s">
        <v>306</v>
      </c>
      <c r="E165" s="84">
        <v>100000</v>
      </c>
      <c r="F165" s="84">
        <v>100000</v>
      </c>
      <c r="G165" s="85">
        <v>0</v>
      </c>
    </row>
    <row r="166" customHeight="1" spans="1:7">
      <c r="A166" s="27">
        <v>33</v>
      </c>
      <c r="B166" s="11" t="s">
        <v>292</v>
      </c>
      <c r="C166" s="83" t="s">
        <v>288</v>
      </c>
      <c r="D166" s="15" t="s">
        <v>306</v>
      </c>
      <c r="E166" s="84">
        <v>100000</v>
      </c>
      <c r="F166" s="84">
        <v>100000</v>
      </c>
      <c r="G166" s="85">
        <v>0</v>
      </c>
    </row>
    <row r="167" customHeight="1" spans="1:7">
      <c r="A167" s="27">
        <v>34</v>
      </c>
      <c r="B167" s="11" t="s">
        <v>293</v>
      </c>
      <c r="C167" s="83" t="s">
        <v>288</v>
      </c>
      <c r="D167" s="15" t="s">
        <v>306</v>
      </c>
      <c r="E167" s="84">
        <v>100000</v>
      </c>
      <c r="F167" s="84">
        <v>100000</v>
      </c>
      <c r="G167" s="85">
        <v>0</v>
      </c>
    </row>
    <row r="168" customHeight="1" spans="1:7">
      <c r="A168" s="27">
        <v>35</v>
      </c>
      <c r="B168" s="11" t="s">
        <v>294</v>
      </c>
      <c r="C168" s="83" t="s">
        <v>288</v>
      </c>
      <c r="D168" s="15" t="s">
        <v>303</v>
      </c>
      <c r="E168" s="84">
        <v>100000</v>
      </c>
      <c r="F168" s="84">
        <v>100000</v>
      </c>
      <c r="G168" s="85">
        <v>0</v>
      </c>
    </row>
    <row r="169" customHeight="1" spans="1:7">
      <c r="A169" s="27">
        <v>36</v>
      </c>
      <c r="B169" s="11" t="s">
        <v>296</v>
      </c>
      <c r="C169" s="83" t="s">
        <v>288</v>
      </c>
      <c r="D169" s="15" t="s">
        <v>303</v>
      </c>
      <c r="E169" s="84">
        <v>100000</v>
      </c>
      <c r="F169" s="84">
        <v>100000</v>
      </c>
      <c r="G169" s="85">
        <v>0</v>
      </c>
    </row>
    <row r="170" customHeight="1" spans="1:7">
      <c r="A170" s="27">
        <v>37</v>
      </c>
      <c r="B170" s="11" t="s">
        <v>1190</v>
      </c>
      <c r="C170" s="83" t="s">
        <v>288</v>
      </c>
      <c r="D170" s="15" t="s">
        <v>303</v>
      </c>
      <c r="E170" s="84">
        <v>100000</v>
      </c>
      <c r="F170" s="84">
        <v>100000</v>
      </c>
      <c r="G170" s="85">
        <v>0</v>
      </c>
    </row>
    <row r="171" customHeight="1" spans="1:7">
      <c r="A171" s="27">
        <v>38</v>
      </c>
      <c r="B171" s="14" t="s">
        <v>297</v>
      </c>
      <c r="C171" s="83" t="s">
        <v>288</v>
      </c>
      <c r="D171" s="15" t="s">
        <v>303</v>
      </c>
      <c r="E171" s="84">
        <v>100000</v>
      </c>
      <c r="F171" s="84">
        <v>100000</v>
      </c>
      <c r="G171" s="85">
        <v>0</v>
      </c>
    </row>
    <row r="172" customHeight="1" spans="1:7">
      <c r="A172" s="27">
        <v>39</v>
      </c>
      <c r="B172" s="11" t="s">
        <v>298</v>
      </c>
      <c r="C172" s="83" t="s">
        <v>288</v>
      </c>
      <c r="D172" s="15" t="s">
        <v>303</v>
      </c>
      <c r="E172" s="84">
        <v>100000</v>
      </c>
      <c r="F172" s="84">
        <v>100000</v>
      </c>
      <c r="G172" s="85">
        <v>0</v>
      </c>
    </row>
    <row r="173" customHeight="1" spans="1:7">
      <c r="A173" s="27">
        <v>40</v>
      </c>
      <c r="B173" s="18" t="s">
        <v>299</v>
      </c>
      <c r="C173" s="83" t="s">
        <v>288</v>
      </c>
      <c r="D173" s="15" t="s">
        <v>303</v>
      </c>
      <c r="E173" s="84">
        <v>100000</v>
      </c>
      <c r="F173" s="84">
        <v>100000</v>
      </c>
      <c r="G173" s="85">
        <v>0</v>
      </c>
    </row>
    <row r="174" customHeight="1" spans="1:7">
      <c r="A174" s="27">
        <v>41</v>
      </c>
      <c r="B174" s="18" t="s">
        <v>300</v>
      </c>
      <c r="C174" s="83" t="s">
        <v>288</v>
      </c>
      <c r="D174" s="15" t="s">
        <v>303</v>
      </c>
      <c r="E174" s="84">
        <v>100000</v>
      </c>
      <c r="F174" s="84">
        <v>100000</v>
      </c>
      <c r="G174" s="85">
        <v>0</v>
      </c>
    </row>
    <row r="175" customHeight="1" spans="1:7">
      <c r="A175" s="27">
        <v>42</v>
      </c>
      <c r="B175" s="11" t="s">
        <v>301</v>
      </c>
      <c r="C175" s="83" t="s">
        <v>308</v>
      </c>
      <c r="D175" s="15" t="s">
        <v>1023</v>
      </c>
      <c r="E175" s="84">
        <v>100000</v>
      </c>
      <c r="F175" s="84">
        <v>100000</v>
      </c>
      <c r="G175" s="85">
        <v>0</v>
      </c>
    </row>
    <row r="176" customHeight="1" spans="1:7">
      <c r="A176" s="27">
        <v>43</v>
      </c>
      <c r="B176" s="11" t="s">
        <v>304</v>
      </c>
      <c r="C176" s="83" t="s">
        <v>308</v>
      </c>
      <c r="D176" s="15" t="s">
        <v>1023</v>
      </c>
      <c r="E176" s="84">
        <v>100000</v>
      </c>
      <c r="F176" s="84">
        <v>100000</v>
      </c>
      <c r="G176" s="85">
        <v>0</v>
      </c>
    </row>
    <row r="177" customHeight="1" spans="1:7">
      <c r="A177" s="27">
        <v>44</v>
      </c>
      <c r="B177" s="18" t="s">
        <v>305</v>
      </c>
      <c r="C177" s="83" t="s">
        <v>308</v>
      </c>
      <c r="D177" s="15" t="s">
        <v>588</v>
      </c>
      <c r="E177" s="84">
        <v>100000</v>
      </c>
      <c r="F177" s="84">
        <v>100000</v>
      </c>
      <c r="G177" s="85">
        <v>0</v>
      </c>
    </row>
    <row r="178" customHeight="1" spans="1:7">
      <c r="A178" s="27">
        <v>45</v>
      </c>
      <c r="B178" s="11" t="s">
        <v>307</v>
      </c>
      <c r="C178" s="83" t="s">
        <v>308</v>
      </c>
      <c r="D178" s="15" t="s">
        <v>322</v>
      </c>
      <c r="E178" s="84">
        <v>100000</v>
      </c>
      <c r="F178" s="84">
        <v>100000</v>
      </c>
      <c r="G178" s="85">
        <v>0</v>
      </c>
    </row>
    <row r="179" customHeight="1" spans="1:7">
      <c r="A179" s="27">
        <v>46</v>
      </c>
      <c r="B179" s="11" t="s">
        <v>309</v>
      </c>
      <c r="C179" s="83" t="s">
        <v>310</v>
      </c>
      <c r="D179" s="15" t="s">
        <v>1256</v>
      </c>
      <c r="E179" s="84">
        <v>100000</v>
      </c>
      <c r="F179" s="84">
        <v>100000</v>
      </c>
      <c r="G179" s="85">
        <v>0</v>
      </c>
    </row>
    <row r="180" customHeight="1" spans="1:7">
      <c r="A180" s="27">
        <v>47</v>
      </c>
      <c r="B180" s="11" t="s">
        <v>312</v>
      </c>
      <c r="C180" s="83" t="s">
        <v>310</v>
      </c>
      <c r="D180" s="15" t="s">
        <v>1256</v>
      </c>
      <c r="E180" s="84">
        <v>100000</v>
      </c>
      <c r="F180" s="84">
        <v>100000</v>
      </c>
      <c r="G180" s="85">
        <v>0</v>
      </c>
    </row>
    <row r="181" customHeight="1" spans="1:7">
      <c r="A181" s="27">
        <v>48</v>
      </c>
      <c r="B181" s="11" t="s">
        <v>313</v>
      </c>
      <c r="C181" s="83" t="s">
        <v>310</v>
      </c>
      <c r="D181" s="15" t="s">
        <v>1256</v>
      </c>
      <c r="E181" s="84">
        <v>100000</v>
      </c>
      <c r="F181" s="84">
        <v>100000</v>
      </c>
      <c r="G181" s="85">
        <v>0</v>
      </c>
    </row>
    <row r="182" customHeight="1" spans="1:7">
      <c r="A182" s="27">
        <v>49</v>
      </c>
      <c r="B182" s="11" t="s">
        <v>314</v>
      </c>
      <c r="C182" s="83" t="s">
        <v>310</v>
      </c>
      <c r="D182" s="15" t="s">
        <v>1256</v>
      </c>
      <c r="E182" s="84">
        <v>100000</v>
      </c>
      <c r="F182" s="84">
        <v>100000</v>
      </c>
      <c r="G182" s="85">
        <v>0</v>
      </c>
    </row>
    <row r="183" customHeight="1" spans="1:7">
      <c r="A183" s="27">
        <v>50</v>
      </c>
      <c r="B183" s="11" t="s">
        <v>315</v>
      </c>
      <c r="C183" s="83" t="s">
        <v>310</v>
      </c>
      <c r="D183" s="15" t="s">
        <v>1256</v>
      </c>
      <c r="E183" s="84">
        <v>100000</v>
      </c>
      <c r="F183" s="84">
        <v>100000</v>
      </c>
      <c r="G183" s="85">
        <v>0</v>
      </c>
    </row>
    <row r="184" customHeight="1" spans="1:7">
      <c r="A184" s="27">
        <v>51</v>
      </c>
      <c r="B184" s="18" t="s">
        <v>316</v>
      </c>
      <c r="C184" s="83" t="s">
        <v>310</v>
      </c>
      <c r="D184" s="15" t="s">
        <v>333</v>
      </c>
      <c r="E184" s="84">
        <v>100000</v>
      </c>
      <c r="F184" s="84">
        <v>100000</v>
      </c>
      <c r="G184" s="85">
        <v>0</v>
      </c>
    </row>
    <row r="185" customHeight="1" spans="1:7">
      <c r="A185" s="27">
        <v>52</v>
      </c>
      <c r="B185" s="18" t="s">
        <v>317</v>
      </c>
      <c r="C185" s="83" t="s">
        <v>310</v>
      </c>
      <c r="D185" s="15" t="s">
        <v>333</v>
      </c>
      <c r="E185" s="84">
        <v>100000</v>
      </c>
      <c r="F185" s="84">
        <v>100000</v>
      </c>
      <c r="G185" s="85">
        <v>0</v>
      </c>
    </row>
    <row r="186" customHeight="1" spans="1:7">
      <c r="A186" s="27">
        <v>53</v>
      </c>
      <c r="B186" s="11" t="s">
        <v>318</v>
      </c>
      <c r="C186" s="83" t="s">
        <v>308</v>
      </c>
      <c r="D186" s="15" t="s">
        <v>333</v>
      </c>
      <c r="E186" s="84">
        <v>100000</v>
      </c>
      <c r="F186" s="84">
        <v>100000</v>
      </c>
      <c r="G186" s="85">
        <v>0</v>
      </c>
    </row>
    <row r="187" customHeight="1" spans="1:7">
      <c r="A187" s="27">
        <v>54</v>
      </c>
      <c r="B187" s="11" t="s">
        <v>319</v>
      </c>
      <c r="C187" s="83" t="s">
        <v>308</v>
      </c>
      <c r="D187" s="15" t="s">
        <v>333</v>
      </c>
      <c r="E187" s="84">
        <v>100000</v>
      </c>
      <c r="F187" s="84">
        <v>100000</v>
      </c>
      <c r="G187" s="85">
        <v>0</v>
      </c>
    </row>
    <row r="188" customHeight="1" spans="1:7">
      <c r="A188" s="27">
        <v>55</v>
      </c>
      <c r="B188" s="18" t="s">
        <v>320</v>
      </c>
      <c r="C188" s="83" t="s">
        <v>310</v>
      </c>
      <c r="D188" s="15" t="s">
        <v>589</v>
      </c>
      <c r="E188" s="84">
        <v>100000</v>
      </c>
      <c r="F188" s="84">
        <v>100000</v>
      </c>
      <c r="G188" s="85">
        <v>0</v>
      </c>
    </row>
    <row r="189" customHeight="1" spans="1:7">
      <c r="A189" s="27">
        <v>56</v>
      </c>
      <c r="B189" s="18" t="s">
        <v>325</v>
      </c>
      <c r="C189" s="83" t="s">
        <v>310</v>
      </c>
      <c r="D189" s="15" t="s">
        <v>328</v>
      </c>
      <c r="E189" s="84">
        <v>100000</v>
      </c>
      <c r="F189" s="84">
        <v>100000</v>
      </c>
      <c r="G189" s="85">
        <v>0</v>
      </c>
    </row>
    <row r="190" customHeight="1" spans="1:7">
      <c r="A190" s="27"/>
      <c r="B190" s="8" t="s">
        <v>96</v>
      </c>
      <c r="C190" s="100" t="s">
        <v>1288</v>
      </c>
      <c r="D190" s="29"/>
      <c r="E190" s="91">
        <f>SUM(E134:E189)</f>
        <v>12750000</v>
      </c>
      <c r="F190" s="91">
        <f t="shared" ref="F190:G190" si="17">SUM(F134:F189)</f>
        <v>10200000</v>
      </c>
      <c r="G190" s="91">
        <f t="shared" si="17"/>
        <v>2550000</v>
      </c>
    </row>
    <row r="191" customHeight="1" spans="1:7">
      <c r="A191" s="4"/>
      <c r="B191" s="30" t="s">
        <v>336</v>
      </c>
      <c r="C191" s="101">
        <f>C38+C43+C58+C62+C78+C86+C100+C107+C117+C131+C190+2</f>
        <v>152</v>
      </c>
      <c r="D191" s="32"/>
      <c r="E191" s="102">
        <f>E190+E131+E117+E107+E100+E86+E78+E62+E58+E43+E38</f>
        <v>62400000</v>
      </c>
      <c r="F191" s="102">
        <f>F190+F131+F117+F107+F100+F86+F78+F62+F58+F43+F38</f>
        <v>29750000</v>
      </c>
      <c r="G191" s="102">
        <f t="shared" ref="G191" si="18">G190+G131+G117+G107+G100+G86+G78+G62+G58+G43+G38</f>
        <v>32650000</v>
      </c>
    </row>
    <row r="192" customHeight="1" spans="2:7">
      <c r="B192" s="33"/>
      <c r="C192" s="33"/>
      <c r="D192" s="34"/>
      <c r="E192" s="103"/>
      <c r="F192" s="104"/>
      <c r="G192" s="104"/>
    </row>
    <row r="193" ht="28.5" customHeight="1" spans="2:5">
      <c r="B193" s="33"/>
      <c r="C193" s="33"/>
      <c r="D193" s="34"/>
      <c r="E193" s="105"/>
    </row>
  </sheetData>
  <mergeCells count="1">
    <mergeCell ref="A1:E1"/>
  </mergeCells>
  <pageMargins left="0.236220472440945" right="0.236220472440945" top="0.984251968503937" bottom="0.984251968503937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6" sqref="G6"/>
    </sheetView>
  </sheetViews>
  <sheetFormatPr defaultColWidth="9" defaultRowHeight="12.5" outlineLevelCol="5"/>
  <cols>
    <col min="3" max="3" width="11.8545454545455" customWidth="1"/>
    <col min="4" max="5" width="28.1363636363636" customWidth="1"/>
  </cols>
  <sheetData>
    <row r="1" ht="17.5" spans="1:6">
      <c r="A1" s="74" t="s">
        <v>1289</v>
      </c>
      <c r="B1" s="74"/>
      <c r="C1" s="74"/>
      <c r="D1" s="74"/>
      <c r="E1" s="74"/>
      <c r="F1" s="74"/>
    </row>
    <row r="2" ht="17.5" spans="1:6">
      <c r="A2" s="41" t="s">
        <v>1290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1291</v>
      </c>
      <c r="E3" s="49" t="s">
        <v>1292</v>
      </c>
      <c r="F3" s="50"/>
    </row>
    <row r="4" ht="18" spans="1:6">
      <c r="A4" s="48" t="s">
        <v>1293</v>
      </c>
      <c r="B4" s="48"/>
      <c r="C4" s="48"/>
      <c r="D4" s="51">
        <f>E4*12</f>
        <v>948475.68</v>
      </c>
      <c r="E4" s="51">
        <f>SUMMARY!F3</f>
        <v>79039.64</v>
      </c>
      <c r="F4" s="46"/>
    </row>
    <row r="5" ht="18" spans="1:6">
      <c r="A5" s="48" t="s">
        <v>1294</v>
      </c>
      <c r="B5" s="48"/>
      <c r="C5" s="48"/>
      <c r="D5" s="51">
        <f t="shared" ref="D5:D14" si="0">E5*12</f>
        <v>2845427.04</v>
      </c>
      <c r="E5" s="51">
        <f>SUMMARY!H3</f>
        <v>237118.92</v>
      </c>
      <c r="F5" s="46"/>
    </row>
    <row r="6" ht="18" spans="1:6">
      <c r="A6" s="48" t="s">
        <v>1295</v>
      </c>
      <c r="B6" s="48"/>
      <c r="C6" s="48"/>
      <c r="D6" s="51">
        <f t="shared" si="0"/>
        <v>71135.676</v>
      </c>
      <c r="E6" s="51">
        <f>SUMMARY!I3</f>
        <v>5927.973</v>
      </c>
      <c r="F6" s="46"/>
    </row>
    <row r="7" ht="18" spans="1:6">
      <c r="A7" s="48" t="s">
        <v>1296</v>
      </c>
      <c r="B7" s="48"/>
      <c r="C7" s="48"/>
      <c r="D7" s="51">
        <f t="shared" si="0"/>
        <v>962932.56</v>
      </c>
      <c r="E7" s="51">
        <f>SUMMARY!J3</f>
        <v>80244.38</v>
      </c>
      <c r="F7" s="46"/>
    </row>
    <row r="8" ht="18" spans="1:6">
      <c r="A8" s="48" t="s">
        <v>1297</v>
      </c>
      <c r="B8" s="48"/>
      <c r="C8" s="48"/>
      <c r="D8" s="51">
        <f t="shared" si="0"/>
        <v>474237.84</v>
      </c>
      <c r="E8" s="51">
        <f>SUMMARY!K3</f>
        <v>39519.82</v>
      </c>
      <c r="F8" s="46"/>
    </row>
    <row r="9" ht="18" spans="1:6">
      <c r="A9" s="48" t="s">
        <v>1298</v>
      </c>
      <c r="B9" s="48"/>
      <c r="C9" s="48"/>
      <c r="D9" s="51">
        <f t="shared" si="0"/>
        <v>3319664.88</v>
      </c>
      <c r="E9" s="51">
        <f>SUMMARY!L3</f>
        <v>276638.74</v>
      </c>
      <c r="F9" s="46"/>
    </row>
    <row r="10" ht="18" spans="1:6">
      <c r="A10" s="52" t="s">
        <v>1299</v>
      </c>
      <c r="B10" s="53"/>
      <c r="C10" s="54"/>
      <c r="D10" s="51">
        <f t="shared" si="0"/>
        <v>0</v>
      </c>
      <c r="E10" s="51"/>
      <c r="F10" s="46"/>
    </row>
    <row r="11" ht="18" spans="1:6">
      <c r="A11" s="48" t="s">
        <v>1300</v>
      </c>
      <c r="B11" s="48"/>
      <c r="C11" s="48"/>
      <c r="D11" s="51">
        <f t="shared" si="0"/>
        <v>948475.68</v>
      </c>
      <c r="E11" s="51">
        <f>SUMMARY!N3</f>
        <v>79039.64</v>
      </c>
      <c r="F11" s="46"/>
    </row>
    <row r="12" ht="18" spans="1:6">
      <c r="A12" s="48" t="s">
        <v>1301</v>
      </c>
      <c r="B12" s="48"/>
      <c r="C12" s="48"/>
      <c r="D12" s="51">
        <f t="shared" si="0"/>
        <v>94847.568</v>
      </c>
      <c r="E12" s="51">
        <f>SUMMARY!O3</f>
        <v>7903.964</v>
      </c>
      <c r="F12" s="46"/>
    </row>
    <row r="13" ht="18" spans="1:6">
      <c r="A13" s="48" t="s">
        <v>1302</v>
      </c>
      <c r="B13" s="48"/>
      <c r="C13" s="48"/>
      <c r="D13" s="51">
        <f t="shared" si="0"/>
        <v>240000</v>
      </c>
      <c r="E13" s="51">
        <f>SUMMARY!P3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9905196.924</v>
      </c>
      <c r="E14" s="56">
        <f>SUM(E4:E13)</f>
        <v>825433.077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1.14" bottom="0.75" header="0.3" footer="0.3"/>
  <pageSetup paperSize="1" orientation="portrait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1.5727272727273" customWidth="1"/>
    <col min="4" max="4" width="25.4272727272727" customWidth="1"/>
    <col min="5" max="5" width="25.8545454545455" customWidth="1"/>
  </cols>
  <sheetData>
    <row r="1" ht="17.5" spans="1:6">
      <c r="A1" s="47" t="s">
        <v>1303</v>
      </c>
      <c r="B1" s="47"/>
      <c r="C1" s="47"/>
      <c r="D1" s="47"/>
      <c r="E1" s="47"/>
      <c r="F1" s="47"/>
    </row>
    <row r="2" ht="17.5" spans="1:6">
      <c r="A2" s="41" t="s">
        <v>1304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1291</v>
      </c>
      <c r="E3" s="49" t="s">
        <v>1292</v>
      </c>
      <c r="F3" s="50"/>
    </row>
    <row r="4" ht="18" spans="1:6">
      <c r="A4" s="48" t="s">
        <v>1293</v>
      </c>
      <c r="B4" s="48"/>
      <c r="C4" s="48"/>
      <c r="D4" s="51" t="e">
        <f>E4*12</f>
        <v>#REF!</v>
      </c>
      <c r="E4" s="51" t="e">
        <f>'MARCH 2025'!#REF!</f>
        <v>#REF!</v>
      </c>
      <c r="F4" s="46"/>
    </row>
    <row r="5" ht="18" spans="1:6">
      <c r="A5" s="48" t="s">
        <v>1294</v>
      </c>
      <c r="B5" s="48"/>
      <c r="C5" s="48"/>
      <c r="D5" s="51" t="e">
        <f t="shared" ref="D5:D13" si="0">E5*12</f>
        <v>#REF!</v>
      </c>
      <c r="E5" s="51" t="e">
        <f>'MARCH 2025'!#REF!</f>
        <v>#REF!</v>
      </c>
      <c r="F5" s="46"/>
    </row>
    <row r="6" ht="18" spans="1:6">
      <c r="A6" s="48" t="s">
        <v>1295</v>
      </c>
      <c r="B6" s="48"/>
      <c r="C6" s="48"/>
      <c r="D6" s="51" t="e">
        <f t="shared" si="0"/>
        <v>#REF!</v>
      </c>
      <c r="E6" s="51" t="e">
        <f>'MARCH 2025'!#REF!</f>
        <v>#REF!</v>
      </c>
      <c r="F6" s="46"/>
    </row>
    <row r="7" ht="18" spans="1:6">
      <c r="A7" s="48" t="s">
        <v>1296</v>
      </c>
      <c r="B7" s="48"/>
      <c r="C7" s="48"/>
      <c r="D7" s="51" t="e">
        <f t="shared" si="0"/>
        <v>#REF!</v>
      </c>
      <c r="E7" s="51" t="e">
        <f>'MARCH 2025'!#REF!</f>
        <v>#REF!</v>
      </c>
      <c r="F7" s="46"/>
    </row>
    <row r="8" ht="18" spans="1:6">
      <c r="A8" s="48" t="s">
        <v>1297</v>
      </c>
      <c r="B8" s="48"/>
      <c r="C8" s="48"/>
      <c r="D8" s="51" t="e">
        <f t="shared" si="0"/>
        <v>#REF!</v>
      </c>
      <c r="E8" s="51" t="e">
        <f>'MARCH 2025'!#REF!</f>
        <v>#REF!</v>
      </c>
      <c r="F8" s="46"/>
    </row>
    <row r="9" ht="18" spans="1:6">
      <c r="A9" s="48" t="s">
        <v>1298</v>
      </c>
      <c r="B9" s="48"/>
      <c r="C9" s="48"/>
      <c r="D9" s="51" t="e">
        <f t="shared" si="0"/>
        <v>#REF!</v>
      </c>
      <c r="E9" s="51" t="e">
        <f>'MARCH 2025'!#REF!</f>
        <v>#REF!</v>
      </c>
      <c r="F9" s="46"/>
    </row>
    <row r="10" ht="18" spans="1:6">
      <c r="A10" s="48" t="s">
        <v>1300</v>
      </c>
      <c r="B10" s="48"/>
      <c r="C10" s="48"/>
      <c r="D10" s="51" t="e">
        <f t="shared" si="0"/>
        <v>#REF!</v>
      </c>
      <c r="E10" s="51" t="e">
        <f>'MARCH 2025'!#REF!</f>
        <v>#REF!</v>
      </c>
      <c r="F10" s="46"/>
    </row>
    <row r="11" ht="18" spans="1:6">
      <c r="A11" s="52" t="s">
        <v>1305</v>
      </c>
      <c r="B11" s="53"/>
      <c r="C11" s="54"/>
      <c r="D11" s="51">
        <f t="shared" si="0"/>
        <v>1200000</v>
      </c>
      <c r="E11" s="51">
        <v>100000</v>
      </c>
      <c r="F11" s="46"/>
    </row>
    <row r="12" ht="18" spans="1:6">
      <c r="A12" s="48" t="s">
        <v>1301</v>
      </c>
      <c r="B12" s="48"/>
      <c r="C12" s="48"/>
      <c r="D12" s="51" t="e">
        <f t="shared" si="0"/>
        <v>#REF!</v>
      </c>
      <c r="E12" s="51" t="e">
        <f>'MARCH 2025'!#REF!</f>
        <v>#REF!</v>
      </c>
      <c r="F12" s="46"/>
    </row>
    <row r="13" ht="18" spans="1:6">
      <c r="A13" s="48" t="s">
        <v>1302</v>
      </c>
      <c r="B13" s="48"/>
      <c r="C13" s="48"/>
      <c r="D13" s="51" t="e">
        <f t="shared" si="0"/>
        <v>#REF!</v>
      </c>
      <c r="E13" s="51" t="e">
        <f>'MARCH 2025'!#REF!</f>
        <v>#REF!</v>
      </c>
      <c r="F13" s="46"/>
    </row>
    <row r="14" ht="18" spans="1:6">
      <c r="A14" s="55" t="s">
        <v>9</v>
      </c>
      <c r="B14" s="55"/>
      <c r="C14" s="55"/>
      <c r="D14" s="56" t="e">
        <f>SUM(D4:D13)</f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0.7" right="0.7" top="0.75" bottom="0.75" header="0.3" footer="0.3"/>
  <pageSetup paperSize="1" orientation="portrait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G9" sqref="G9"/>
    </sheetView>
  </sheetViews>
  <sheetFormatPr defaultColWidth="9" defaultRowHeight="12.5" outlineLevelCol="5"/>
  <cols>
    <col min="3" max="3" width="11.2818181818182" customWidth="1"/>
    <col min="4" max="4" width="19" customWidth="1"/>
    <col min="5" max="5" width="19.1363636363636" customWidth="1"/>
  </cols>
  <sheetData>
    <row r="1" ht="17.5" spans="1:6">
      <c r="A1" s="47" t="s">
        <v>1306</v>
      </c>
      <c r="B1" s="47"/>
      <c r="C1" s="47"/>
      <c r="D1" s="47"/>
      <c r="E1" s="47"/>
      <c r="F1" s="47"/>
    </row>
    <row r="2" ht="17.5" spans="1:6">
      <c r="A2" s="41" t="s">
        <v>1307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1291</v>
      </c>
      <c r="E3" s="49" t="s">
        <v>1292</v>
      </c>
      <c r="F3" s="50"/>
    </row>
    <row r="4" ht="18" spans="1:6">
      <c r="A4" s="48" t="s">
        <v>1293</v>
      </c>
      <c r="B4" s="48"/>
      <c r="C4" s="48"/>
      <c r="D4" s="51">
        <f>E4*12</f>
        <v>16224512</v>
      </c>
      <c r="E4" s="51">
        <f>'MARCH 2025'!E97</f>
        <v>1352042.66666667</v>
      </c>
      <c r="F4" s="46"/>
    </row>
    <row r="5" ht="18" spans="1:6">
      <c r="A5" s="48" t="s">
        <v>1294</v>
      </c>
      <c r="B5" s="48"/>
      <c r="C5" s="48"/>
      <c r="D5" s="51" t="e">
        <f t="shared" ref="D5:D14" si="0">E5*12</f>
        <v>#REF!</v>
      </c>
      <c r="E5" s="51" t="e">
        <f>'MARCH 2025'!#REF!</f>
        <v>#REF!</v>
      </c>
      <c r="F5" s="46"/>
    </row>
    <row r="6" ht="18" spans="1:6">
      <c r="A6" s="48" t="s">
        <v>1295</v>
      </c>
      <c r="B6" s="48"/>
      <c r="C6" s="48"/>
      <c r="D6" s="51" t="e">
        <f t="shared" si="0"/>
        <v>#REF!</v>
      </c>
      <c r="E6" s="51" t="e">
        <f>'MARCH 2025'!#REF!</f>
        <v>#REF!</v>
      </c>
      <c r="F6" s="46"/>
    </row>
    <row r="7" ht="18" spans="1:6">
      <c r="A7" s="48" t="s">
        <v>1296</v>
      </c>
      <c r="B7" s="48"/>
      <c r="C7" s="48"/>
      <c r="D7" s="51" t="e">
        <f t="shared" si="0"/>
        <v>#REF!</v>
      </c>
      <c r="E7" s="51" t="e">
        <f>'MARCH 2025'!#REF!</f>
        <v>#REF!</v>
      </c>
      <c r="F7" s="46"/>
    </row>
    <row r="8" ht="18" spans="1:6">
      <c r="A8" s="48" t="s">
        <v>1297</v>
      </c>
      <c r="B8" s="48"/>
      <c r="C8" s="48"/>
      <c r="D8" s="51" t="e">
        <f t="shared" si="0"/>
        <v>#REF!</v>
      </c>
      <c r="E8" s="51" t="e">
        <f>'MARCH 2025'!#REF!</f>
        <v>#REF!</v>
      </c>
      <c r="F8" s="46"/>
    </row>
    <row r="9" ht="18" spans="1:6">
      <c r="A9" s="48" t="s">
        <v>1298</v>
      </c>
      <c r="B9" s="48"/>
      <c r="C9" s="48"/>
      <c r="D9" s="51" t="e">
        <f t="shared" si="0"/>
        <v>#REF!</v>
      </c>
      <c r="E9" s="51" t="e">
        <f>'MARCH 2025'!#REF!</f>
        <v>#REF!</v>
      </c>
      <c r="F9" s="46"/>
    </row>
    <row r="10" ht="18" spans="1:6">
      <c r="A10" s="48" t="s">
        <v>1300</v>
      </c>
      <c r="B10" s="48"/>
      <c r="C10" s="48"/>
      <c r="D10" s="51" t="e">
        <f t="shared" si="0"/>
        <v>#REF!</v>
      </c>
      <c r="E10" s="51" t="e">
        <f>'MARCH 2025'!#REF!</f>
        <v>#REF!</v>
      </c>
      <c r="F10" s="46"/>
    </row>
    <row r="11" ht="18" spans="1:6">
      <c r="A11" s="52" t="s">
        <v>1299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1301</v>
      </c>
      <c r="B12" s="48"/>
      <c r="C12" s="48"/>
      <c r="D12" s="51" t="e">
        <f t="shared" si="0"/>
        <v>#REF!</v>
      </c>
      <c r="E12" s="51" t="e">
        <f>'MARCH 2025'!#REF!</f>
        <v>#REF!</v>
      </c>
      <c r="F12" s="46"/>
    </row>
    <row r="13" ht="18" spans="1:6">
      <c r="A13" s="48" t="s">
        <v>1302</v>
      </c>
      <c r="B13" s="48"/>
      <c r="C13" s="48"/>
      <c r="D13" s="51">
        <f t="shared" si="0"/>
        <v>240000</v>
      </c>
      <c r="E13" s="51">
        <v>20000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21" right="0.7" top="0.75" bottom="0.75" header="0.3" footer="0.3"/>
  <pageSetup paperSize="1" orientation="portrait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2" sqref="A2:F2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9.1363636363636" customWidth="1"/>
  </cols>
  <sheetData>
    <row r="1" ht="17.5" spans="1:6">
      <c r="A1" s="47" t="s">
        <v>1308</v>
      </c>
      <c r="B1" s="47"/>
      <c r="C1" s="47"/>
      <c r="D1" s="47"/>
      <c r="E1" s="47"/>
      <c r="F1" s="47"/>
    </row>
    <row r="2" ht="17.5" spans="1:6">
      <c r="A2" s="41" t="s">
        <v>1309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1291</v>
      </c>
      <c r="E3" s="49" t="s">
        <v>1292</v>
      </c>
      <c r="F3" s="50"/>
    </row>
    <row r="4" ht="18" spans="1:6">
      <c r="A4" s="48" t="s">
        <v>1293</v>
      </c>
      <c r="B4" s="48"/>
      <c r="C4" s="48"/>
      <c r="D4" s="51" t="e">
        <f>E4*12</f>
        <v>#REF!</v>
      </c>
      <c r="E4" s="51" t="e">
        <f>'MARCH 2025'!#REF!</f>
        <v>#REF!</v>
      </c>
      <c r="F4" s="46"/>
    </row>
    <row r="5" ht="18" spans="1:6">
      <c r="A5" s="48" t="s">
        <v>1294</v>
      </c>
      <c r="B5" s="48"/>
      <c r="C5" s="48"/>
      <c r="D5" s="51" t="e">
        <f t="shared" ref="D5:D14" si="0">E5*12</f>
        <v>#REF!</v>
      </c>
      <c r="E5" s="51" t="e">
        <f>'MARCH 2025'!#REF!</f>
        <v>#REF!</v>
      </c>
      <c r="F5" s="46"/>
    </row>
    <row r="6" ht="18" spans="1:6">
      <c r="A6" s="48" t="s">
        <v>1295</v>
      </c>
      <c r="B6" s="48"/>
      <c r="C6" s="48"/>
      <c r="D6" s="51" t="e">
        <f t="shared" si="0"/>
        <v>#REF!</v>
      </c>
      <c r="E6" s="51" t="e">
        <f>'MARCH 2025'!#REF!</f>
        <v>#REF!</v>
      </c>
      <c r="F6" s="46"/>
    </row>
    <row r="7" ht="18" spans="1:6">
      <c r="A7" s="48" t="s">
        <v>1296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1297</v>
      </c>
      <c r="B8" s="48"/>
      <c r="C8" s="48"/>
      <c r="D8" s="51" t="e">
        <f t="shared" si="0"/>
        <v>#REF!</v>
      </c>
      <c r="E8" s="51" t="e">
        <f>'MARCH 2025'!#REF!</f>
        <v>#REF!</v>
      </c>
      <c r="F8" s="46"/>
    </row>
    <row r="9" ht="18" spans="1:6">
      <c r="A9" s="48" t="s">
        <v>1298</v>
      </c>
      <c r="B9" s="48"/>
      <c r="C9" s="48"/>
      <c r="D9" s="51" t="e">
        <f t="shared" si="0"/>
        <v>#REF!</v>
      </c>
      <c r="E9" s="51" t="e">
        <f>'MARCH 2025'!#REF!</f>
        <v>#REF!</v>
      </c>
      <c r="F9" s="46"/>
    </row>
    <row r="10" ht="18" spans="1:6">
      <c r="A10" s="48" t="s">
        <v>1300</v>
      </c>
      <c r="B10" s="48"/>
      <c r="C10" s="48"/>
      <c r="D10" s="51" t="e">
        <f t="shared" si="0"/>
        <v>#REF!</v>
      </c>
      <c r="E10" s="51" t="e">
        <f>'MARCH 2025'!#REF!</f>
        <v>#REF!</v>
      </c>
      <c r="F10" s="46"/>
    </row>
    <row r="11" ht="18" spans="1:6">
      <c r="A11" s="52" t="s">
        <v>1299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1301</v>
      </c>
      <c r="B12" s="48"/>
      <c r="C12" s="48"/>
      <c r="D12" s="51" t="e">
        <f t="shared" si="0"/>
        <v>#REF!</v>
      </c>
      <c r="E12" s="51" t="e">
        <f>'MARCH 2025'!#REF!</f>
        <v>#REF!</v>
      </c>
      <c r="F12" s="46"/>
    </row>
    <row r="13" ht="18" spans="1:6">
      <c r="A13" s="48" t="s">
        <v>1302</v>
      </c>
      <c r="B13" s="48"/>
      <c r="C13" s="48"/>
      <c r="D13" s="51" t="e">
        <f t="shared" si="0"/>
        <v>#REF!</v>
      </c>
      <c r="E13" s="51" t="e">
        <f>'MARCH 2025'!#REF!</f>
        <v>#REF!</v>
      </c>
      <c r="F13" s="46"/>
    </row>
    <row r="14" ht="18" spans="1:6">
      <c r="A14" s="55" t="s">
        <v>9</v>
      </c>
      <c r="B14" s="55"/>
      <c r="C14" s="55"/>
      <c r="D14" s="56" t="e">
        <f t="shared" si="0"/>
        <v>#REF!</v>
      </c>
      <c r="E14" s="56" t="e">
        <f>SUM(E4:E13)</f>
        <v>#REF!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5" right="0.7" top="0.75" bottom="0.75" header="0.17" footer="0.3"/>
  <pageSetup paperSize="1" orientation="portrait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B37" sqref="B37"/>
    </sheetView>
  </sheetViews>
  <sheetFormatPr defaultColWidth="9" defaultRowHeight="12.5" outlineLevelCol="5"/>
  <cols>
    <col min="3" max="3" width="11.1363636363636" customWidth="1"/>
    <col min="4" max="4" width="19.2818181818182" customWidth="1"/>
    <col min="5" max="5" width="18.7090909090909" customWidth="1"/>
  </cols>
  <sheetData>
    <row r="1" ht="17.5" spans="1:6">
      <c r="A1" s="47"/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1291</v>
      </c>
      <c r="E3" s="49" t="s">
        <v>1292</v>
      </c>
      <c r="F3" s="50"/>
    </row>
    <row r="4" ht="18" spans="1:6">
      <c r="A4" s="48" t="s">
        <v>1293</v>
      </c>
      <c r="B4" s="48"/>
      <c r="C4" s="48"/>
      <c r="D4" s="51">
        <f>E4*12</f>
        <v>255527.52</v>
      </c>
      <c r="E4" s="51">
        <f>SUMMARY!F7</f>
        <v>21293.96</v>
      </c>
      <c r="F4" s="46"/>
    </row>
    <row r="5" ht="18" spans="1:6">
      <c r="A5" s="48" t="s">
        <v>1294</v>
      </c>
      <c r="B5" s="48"/>
      <c r="C5" s="48"/>
      <c r="D5" s="51">
        <f t="shared" ref="D5:D13" si="0">E5*12</f>
        <v>766582.56</v>
      </c>
      <c r="E5" s="51">
        <f>SUMMARY!H7</f>
        <v>63881.88</v>
      </c>
      <c r="F5" s="46"/>
    </row>
    <row r="6" ht="18" spans="1:6">
      <c r="A6" s="48" t="s">
        <v>1295</v>
      </c>
      <c r="B6" s="48"/>
      <c r="C6" s="48"/>
      <c r="D6" s="51">
        <f t="shared" si="0"/>
        <v>19164.564</v>
      </c>
      <c r="E6" s="51">
        <f>SUMMARY!I7</f>
        <v>1597.047</v>
      </c>
      <c r="F6" s="46"/>
    </row>
    <row r="7" ht="18" spans="1:6">
      <c r="A7" s="48" t="s">
        <v>1296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1297</v>
      </c>
      <c r="B8" s="48"/>
      <c r="C8" s="48"/>
      <c r="D8" s="51">
        <f t="shared" si="0"/>
        <v>127763.76</v>
      </c>
      <c r="E8" s="51">
        <f>SUMMARY!K7</f>
        <v>10646.98</v>
      </c>
      <c r="F8" s="46"/>
    </row>
    <row r="9" ht="18" spans="1:6">
      <c r="A9" s="48" t="s">
        <v>1298</v>
      </c>
      <c r="B9" s="48"/>
      <c r="C9" s="48"/>
      <c r="D9" s="51">
        <f t="shared" si="0"/>
        <v>894346.32</v>
      </c>
      <c r="E9" s="51">
        <f>SUMMARY!L7</f>
        <v>74528.86</v>
      </c>
      <c r="F9" s="46"/>
    </row>
    <row r="10" ht="18" spans="1:6">
      <c r="A10" s="48" t="s">
        <v>1300</v>
      </c>
      <c r="B10" s="48"/>
      <c r="C10" s="48"/>
      <c r="D10" s="51">
        <f t="shared" si="0"/>
        <v>255527.52</v>
      </c>
      <c r="E10" s="51">
        <f>SUMMARY!N7</f>
        <v>21293.96</v>
      </c>
      <c r="F10" s="46"/>
    </row>
    <row r="11" ht="18" spans="1:6">
      <c r="A11" s="48" t="s">
        <v>1301</v>
      </c>
      <c r="B11" s="48"/>
      <c r="C11" s="48"/>
      <c r="D11" s="51">
        <f t="shared" si="0"/>
        <v>25552.752</v>
      </c>
      <c r="E11" s="51">
        <f>SUMMARY!O7</f>
        <v>2129.396</v>
      </c>
      <c r="F11" s="46"/>
    </row>
    <row r="12" ht="18" spans="1:6">
      <c r="A12" s="48" t="s">
        <v>1302</v>
      </c>
      <c r="B12" s="48"/>
      <c r="C12" s="48"/>
      <c r="D12" s="51">
        <f t="shared" si="0"/>
        <v>120000</v>
      </c>
      <c r="E12" s="51">
        <f>SUMMARY!P7</f>
        <v>10000</v>
      </c>
      <c r="F12" s="46"/>
    </row>
    <row r="13" ht="18" spans="1:6">
      <c r="A13" s="55" t="s">
        <v>9</v>
      </c>
      <c r="B13" s="55"/>
      <c r="C13" s="55"/>
      <c r="D13" s="56">
        <f t="shared" si="0"/>
        <v>2464464.996</v>
      </c>
      <c r="E13" s="56">
        <f>SUM(E4:E12)</f>
        <v>205372.083</v>
      </c>
      <c r="F13" s="46"/>
    </row>
  </sheetData>
  <mergeCells count="13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</mergeCells>
  <pageMargins left="0.7" right="0.7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34" sqref="D34"/>
    </sheetView>
  </sheetViews>
  <sheetFormatPr defaultColWidth="9" defaultRowHeight="12.5" outlineLevelCol="5"/>
  <cols>
    <col min="3" max="3" width="11.7090909090909" customWidth="1"/>
    <col min="4" max="4" width="19.4272727272727" customWidth="1"/>
    <col min="5" max="5" width="18.8545454545455" customWidth="1"/>
  </cols>
  <sheetData>
    <row r="1" ht="17.5" spans="1:6">
      <c r="A1" s="47" t="s">
        <v>1310</v>
      </c>
      <c r="B1" s="47"/>
      <c r="C1" s="47"/>
      <c r="D1" s="47"/>
      <c r="E1" s="47"/>
      <c r="F1" s="47"/>
    </row>
    <row r="2" ht="17.5" spans="1:6">
      <c r="A2" s="41" t="s">
        <v>1311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1291</v>
      </c>
      <c r="E3" s="49" t="s">
        <v>1292</v>
      </c>
      <c r="F3" s="50"/>
    </row>
    <row r="4" ht="18" spans="1:6">
      <c r="A4" s="48" t="s">
        <v>1293</v>
      </c>
      <c r="B4" s="48"/>
      <c r="C4" s="48"/>
      <c r="D4" s="51">
        <f>E4*12</f>
        <v>207435.96</v>
      </c>
      <c r="E4" s="51">
        <f>SUMMARY!F8</f>
        <v>17286.33</v>
      </c>
      <c r="F4" s="46"/>
    </row>
    <row r="5" ht="18" spans="1:6">
      <c r="A5" s="48" t="s">
        <v>1294</v>
      </c>
      <c r="B5" s="48"/>
      <c r="C5" s="48"/>
      <c r="D5" s="51">
        <f t="shared" ref="D5:D14" si="0">E5*12</f>
        <v>622307.88</v>
      </c>
      <c r="E5" s="51">
        <f>SUMMARY!H8</f>
        <v>51858.99</v>
      </c>
      <c r="F5" s="46"/>
    </row>
    <row r="6" ht="18" spans="1:6">
      <c r="A6" s="48" t="s">
        <v>1295</v>
      </c>
      <c r="B6" s="48"/>
      <c r="C6" s="48"/>
      <c r="D6" s="51">
        <f t="shared" si="0"/>
        <v>15557.697</v>
      </c>
      <c r="E6" s="51">
        <f>SUMMARY!I8</f>
        <v>1296.47475</v>
      </c>
      <c r="F6" s="46"/>
    </row>
    <row r="7" ht="18" spans="1:6">
      <c r="A7" s="48" t="s">
        <v>1296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1297</v>
      </c>
      <c r="B8" s="48"/>
      <c r="C8" s="48"/>
      <c r="D8" s="51">
        <f t="shared" si="0"/>
        <v>103717.98</v>
      </c>
      <c r="E8" s="51">
        <f>SUMMARY!K8</f>
        <v>8643.165</v>
      </c>
      <c r="F8" s="46"/>
    </row>
    <row r="9" ht="18" spans="1:6">
      <c r="A9" s="48" t="s">
        <v>1298</v>
      </c>
      <c r="B9" s="48"/>
      <c r="C9" s="48"/>
      <c r="D9" s="51">
        <f t="shared" si="0"/>
        <v>726025.86</v>
      </c>
      <c r="E9" s="51">
        <f>SUMMARY!L8</f>
        <v>60502.155</v>
      </c>
      <c r="F9" s="46"/>
    </row>
    <row r="10" ht="18" spans="1:6">
      <c r="A10" s="48" t="s">
        <v>1300</v>
      </c>
      <c r="B10" s="48"/>
      <c r="C10" s="48"/>
      <c r="D10" s="51">
        <f t="shared" si="0"/>
        <v>207435.96</v>
      </c>
      <c r="E10" s="51">
        <f>SUMMARY!N8</f>
        <v>17286.33</v>
      </c>
      <c r="F10" s="46"/>
    </row>
    <row r="11" ht="18" spans="1:6">
      <c r="A11" s="52" t="s">
        <v>1299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1301</v>
      </c>
      <c r="B12" s="48"/>
      <c r="C12" s="48"/>
      <c r="D12" s="51">
        <f t="shared" si="0"/>
        <v>20743.596</v>
      </c>
      <c r="E12" s="51">
        <f>SUMMARY!O8</f>
        <v>1728.633</v>
      </c>
      <c r="F12" s="46"/>
    </row>
    <row r="13" ht="18" spans="1:6">
      <c r="A13" s="48" t="s">
        <v>1302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2503224.933</v>
      </c>
      <c r="E14" s="56">
        <f>SUM(E4:E13)</f>
        <v>208602.07775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2" right="0.7" top="0.75" bottom="0.75" header="0.3" footer="0.3"/>
  <pageSetup paperSize="1" orientation="portrait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D18" sqref="D18"/>
    </sheetView>
  </sheetViews>
  <sheetFormatPr defaultColWidth="9" defaultRowHeight="12.5" outlineLevelCol="5"/>
  <cols>
    <col min="3" max="3" width="11.1363636363636" customWidth="1"/>
    <col min="4" max="4" width="19" customWidth="1"/>
    <col min="5" max="5" width="18.8545454545455" customWidth="1"/>
  </cols>
  <sheetData>
    <row r="1" ht="17.5" spans="1:6">
      <c r="A1" s="47" t="s">
        <v>1312</v>
      </c>
      <c r="B1" s="47"/>
      <c r="C1" s="47"/>
      <c r="D1" s="47"/>
      <c r="E1" s="47"/>
      <c r="F1" s="47"/>
    </row>
    <row r="2" ht="17.5" spans="1:6">
      <c r="A2" s="41" t="s">
        <v>1313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1291</v>
      </c>
      <c r="E3" s="49" t="s">
        <v>1292</v>
      </c>
      <c r="F3" s="50"/>
    </row>
    <row r="4" ht="18" spans="1:6">
      <c r="A4" s="48" t="s">
        <v>1293</v>
      </c>
      <c r="B4" s="48"/>
      <c r="C4" s="48"/>
      <c r="D4" s="51">
        <f>E4*12</f>
        <v>176833.68</v>
      </c>
      <c r="E4" s="51">
        <f>SUMMARY!F9</f>
        <v>14736.14</v>
      </c>
      <c r="F4" s="46"/>
    </row>
    <row r="5" ht="18" spans="1:6">
      <c r="A5" s="48" t="s">
        <v>1294</v>
      </c>
      <c r="B5" s="48"/>
      <c r="C5" s="48"/>
      <c r="D5" s="51">
        <f t="shared" ref="D5:D14" si="0">E5*12</f>
        <v>530501.04</v>
      </c>
      <c r="E5" s="51">
        <f>SUMMARY!H9</f>
        <v>44208.42</v>
      </c>
      <c r="F5" s="46"/>
    </row>
    <row r="6" ht="18" spans="1:6">
      <c r="A6" s="48" t="s">
        <v>1295</v>
      </c>
      <c r="B6" s="48"/>
      <c r="C6" s="48"/>
      <c r="D6" s="51">
        <f t="shared" si="0"/>
        <v>13262.526</v>
      </c>
      <c r="E6" s="51">
        <f>SUMMARY!I9</f>
        <v>1105.2105</v>
      </c>
      <c r="F6" s="46"/>
    </row>
    <row r="7" ht="18" spans="1:6">
      <c r="A7" s="48" t="s">
        <v>1296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1297</v>
      </c>
      <c r="B8" s="48"/>
      <c r="C8" s="48"/>
      <c r="D8" s="51">
        <f t="shared" si="0"/>
        <v>88416.84</v>
      </c>
      <c r="E8" s="51">
        <f>SUMMARY!K9</f>
        <v>7368.07</v>
      </c>
      <c r="F8" s="46"/>
    </row>
    <row r="9" ht="18" spans="1:6">
      <c r="A9" s="48" t="s">
        <v>1298</v>
      </c>
      <c r="B9" s="48"/>
      <c r="C9" s="48"/>
      <c r="D9" s="51">
        <f t="shared" si="0"/>
        <v>618917.88</v>
      </c>
      <c r="E9" s="51">
        <f>SUMMARY!L9</f>
        <v>51576.49</v>
      </c>
      <c r="F9" s="46"/>
    </row>
    <row r="10" ht="18" spans="1:6">
      <c r="A10" s="48" t="s">
        <v>1300</v>
      </c>
      <c r="B10" s="48"/>
      <c r="C10" s="48"/>
      <c r="D10" s="51">
        <f t="shared" si="0"/>
        <v>176833.68</v>
      </c>
      <c r="E10" s="51">
        <f>SUMMARY!N9</f>
        <v>14736.14</v>
      </c>
      <c r="F10" s="46"/>
    </row>
    <row r="11" ht="18" spans="1:6">
      <c r="A11" s="52" t="s">
        <v>1314</v>
      </c>
      <c r="B11" s="53"/>
      <c r="C11" s="54"/>
      <c r="D11" s="51">
        <f t="shared" si="0"/>
        <v>480000</v>
      </c>
      <c r="E11" s="51">
        <v>40000</v>
      </c>
      <c r="F11" s="46"/>
    </row>
    <row r="12" ht="18" spans="1:6">
      <c r="A12" s="48" t="s">
        <v>1301</v>
      </c>
      <c r="B12" s="48"/>
      <c r="C12" s="48"/>
      <c r="D12" s="51">
        <f t="shared" si="0"/>
        <v>17683.368</v>
      </c>
      <c r="E12" s="51">
        <f>SUMMARY!O9</f>
        <v>1473.614</v>
      </c>
      <c r="F12" s="46"/>
    </row>
    <row r="13" ht="18" spans="1:6">
      <c r="A13" s="48" t="s">
        <v>1302</v>
      </c>
      <c r="B13" s="48"/>
      <c r="C13" s="48"/>
      <c r="D13" s="51">
        <f t="shared" si="0"/>
        <v>120000</v>
      </c>
      <c r="E13" s="51">
        <f>SUMMARY!P7</f>
        <v>10000</v>
      </c>
      <c r="F13" s="46"/>
    </row>
    <row r="14" ht="18" spans="1:6">
      <c r="A14" s="55" t="s">
        <v>9</v>
      </c>
      <c r="B14" s="55"/>
      <c r="C14" s="55"/>
      <c r="D14" s="56">
        <f t="shared" si="0"/>
        <v>2222449.014</v>
      </c>
      <c r="E14" s="56">
        <f>SUM(E4:E13)</f>
        <v>185204.0845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14" right="0.7" top="0.75" bottom="0.75" header="0.3" footer="0.3"/>
  <pageSetup paperSize="1" orientation="portrait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O5" sqref="O5"/>
    </sheetView>
  </sheetViews>
  <sheetFormatPr defaultColWidth="9" defaultRowHeight="12.5" outlineLevelCol="5"/>
  <cols>
    <col min="3" max="3" width="11.4272727272727" customWidth="1"/>
    <col min="4" max="4" width="22.1363636363636" customWidth="1"/>
    <col min="5" max="5" width="22.2818181818182" customWidth="1"/>
  </cols>
  <sheetData>
    <row r="1" ht="17.5" spans="1:6">
      <c r="A1" s="47" t="s">
        <v>1315</v>
      </c>
      <c r="B1" s="47"/>
      <c r="C1" s="47"/>
      <c r="D1" s="47"/>
      <c r="E1" s="47"/>
      <c r="F1" s="47"/>
    </row>
    <row r="2" ht="17.5" spans="1:6">
      <c r="A2" s="41"/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1291</v>
      </c>
      <c r="E3" s="49" t="s">
        <v>1292</v>
      </c>
      <c r="F3" s="50"/>
    </row>
    <row r="4" ht="18" spans="1:6">
      <c r="A4" s="48" t="s">
        <v>1293</v>
      </c>
      <c r="B4" s="48"/>
      <c r="C4" s="48"/>
      <c r="D4" s="51">
        <f>E4*12</f>
        <v>5479467</v>
      </c>
      <c r="E4" s="51">
        <f>'MARCH 2025'!E77</f>
        <v>456622.25</v>
      </c>
      <c r="F4" s="46"/>
    </row>
    <row r="5" ht="18" spans="1:6">
      <c r="A5" s="48" t="s">
        <v>1294</v>
      </c>
      <c r="B5" s="48"/>
      <c r="C5" s="48"/>
      <c r="D5" s="51" t="e">
        <f t="shared" ref="D5:D12" si="0">E5*12</f>
        <v>#REF!</v>
      </c>
      <c r="E5" s="51" t="e">
        <f>'MARCH 2025'!#REF!</f>
        <v>#REF!</v>
      </c>
      <c r="F5" s="46"/>
    </row>
    <row r="6" ht="18" spans="1:6">
      <c r="A6" s="48" t="s">
        <v>1295</v>
      </c>
      <c r="B6" s="48"/>
      <c r="C6" s="48"/>
      <c r="D6" s="51" t="e">
        <f t="shared" si="0"/>
        <v>#REF!</v>
      </c>
      <c r="E6" s="51" t="e">
        <f>'MARCH 2025'!#REF!</f>
        <v>#REF!</v>
      </c>
      <c r="F6" s="46"/>
    </row>
    <row r="7" ht="18" spans="1:6">
      <c r="A7" s="48" t="s">
        <v>1297</v>
      </c>
      <c r="B7" s="48"/>
      <c r="C7" s="48"/>
      <c r="D7" s="51" t="e">
        <f t="shared" si="0"/>
        <v>#REF!</v>
      </c>
      <c r="E7" s="51" t="e">
        <f>'MARCH 2025'!#REF!</f>
        <v>#REF!</v>
      </c>
      <c r="F7" s="46"/>
    </row>
    <row r="8" ht="18" spans="1:6">
      <c r="A8" s="48" t="s">
        <v>1298</v>
      </c>
      <c r="B8" s="48"/>
      <c r="C8" s="48"/>
      <c r="D8" s="51" t="e">
        <f t="shared" si="0"/>
        <v>#REF!</v>
      </c>
      <c r="E8" s="51" t="e">
        <f>'MARCH 2025'!#REF!</f>
        <v>#REF!</v>
      </c>
      <c r="F8" s="46"/>
    </row>
    <row r="9" ht="18" spans="1:6">
      <c r="A9" s="48" t="s">
        <v>1300</v>
      </c>
      <c r="B9" s="48"/>
      <c r="C9" s="48"/>
      <c r="D9" s="51" t="e">
        <f t="shared" si="0"/>
        <v>#REF!</v>
      </c>
      <c r="E9" s="51" t="e">
        <f>'MARCH 2025'!#REF!</f>
        <v>#REF!</v>
      </c>
      <c r="F9" s="46"/>
    </row>
    <row r="10" ht="18" spans="1:6">
      <c r="A10" s="48" t="s">
        <v>1301</v>
      </c>
      <c r="B10" s="48"/>
      <c r="C10" s="48"/>
      <c r="D10" s="51" t="e">
        <f t="shared" si="0"/>
        <v>#REF!</v>
      </c>
      <c r="E10" s="51" t="e">
        <f>'MARCH 2025'!#REF!</f>
        <v>#REF!</v>
      </c>
      <c r="F10" s="46"/>
    </row>
    <row r="11" ht="18" spans="1:6">
      <c r="A11" s="48" t="s">
        <v>1302</v>
      </c>
      <c r="B11" s="48"/>
      <c r="C11" s="48"/>
      <c r="D11" s="51" t="e">
        <f t="shared" si="0"/>
        <v>#REF!</v>
      </c>
      <c r="E11" s="51" t="e">
        <f>'MARCH 2025'!#REF!</f>
        <v>#REF!</v>
      </c>
      <c r="F11" s="46"/>
    </row>
    <row r="12" ht="18" spans="1:6">
      <c r="A12" s="55" t="s">
        <v>9</v>
      </c>
      <c r="B12" s="55"/>
      <c r="C12" s="55"/>
      <c r="D12" s="56" t="e">
        <f t="shared" si="0"/>
        <v>#REF!</v>
      </c>
      <c r="E12" s="56" t="e">
        <f>SUM(E4:E11)</f>
        <v>#REF!</v>
      </c>
      <c r="F12" s="46"/>
    </row>
  </sheetData>
  <mergeCells count="12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  <pageSetup paperSize="1" orientation="portrait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"/>
  <sheetViews>
    <sheetView workbookViewId="0">
      <selection activeCell="F3" sqref="F3"/>
    </sheetView>
  </sheetViews>
  <sheetFormatPr defaultColWidth="9" defaultRowHeight="12.5"/>
  <cols>
    <col min="3" max="3" width="11.7090909090909" customWidth="1"/>
    <col min="6" max="6" width="13.5727272727273" customWidth="1"/>
    <col min="7" max="7" width="11" customWidth="1"/>
    <col min="8" max="8" width="14.5727272727273" customWidth="1"/>
    <col min="9" max="9" width="12.4272727272727" customWidth="1"/>
    <col min="10" max="10" width="13.2818181818182" customWidth="1"/>
    <col min="11" max="11" width="13.1363636363636" customWidth="1"/>
    <col min="12" max="12" width="14.4272727272727" customWidth="1"/>
    <col min="14" max="14" width="13.1363636363636" customWidth="1"/>
    <col min="15" max="15" width="16.1363636363636" customWidth="1"/>
    <col min="16" max="16" width="13.4272727272727" customWidth="1"/>
    <col min="17" max="17" width="13.5727272727273" customWidth="1"/>
    <col min="18" max="18" width="14.8545454545455" customWidth="1"/>
    <col min="19" max="19" width="16.2818181818182" customWidth="1"/>
    <col min="21" max="21" width="17.2818181818182" customWidth="1"/>
  </cols>
  <sheetData>
    <row r="1" ht="17.5" spans="6:22">
      <c r="F1" s="57" t="s">
        <v>1260</v>
      </c>
      <c r="G1" s="57" t="s">
        <v>1316</v>
      </c>
      <c r="H1" s="57"/>
      <c r="I1" s="57"/>
      <c r="J1" s="57"/>
      <c r="K1" s="57"/>
      <c r="L1" s="57"/>
      <c r="M1" s="57" t="s">
        <v>1317</v>
      </c>
      <c r="N1" s="57" t="s">
        <v>1261</v>
      </c>
      <c r="O1" s="57" t="s">
        <v>1262</v>
      </c>
      <c r="P1" s="57" t="s">
        <v>1264</v>
      </c>
      <c r="Q1" s="57" t="s">
        <v>1265</v>
      </c>
      <c r="R1" s="57" t="s">
        <v>1266</v>
      </c>
      <c r="S1" s="57" t="s">
        <v>1318</v>
      </c>
      <c r="T1" s="68"/>
      <c r="U1" s="69" t="s">
        <v>1319</v>
      </c>
      <c r="V1" s="70" t="s">
        <v>1320</v>
      </c>
    </row>
    <row r="2" ht="17.5" spans="6:22">
      <c r="F2" s="57" t="s">
        <v>546</v>
      </c>
      <c r="G2" s="57" t="s">
        <v>1321</v>
      </c>
      <c r="H2" s="57" t="s">
        <v>643</v>
      </c>
      <c r="I2" s="57" t="s">
        <v>644</v>
      </c>
      <c r="J2" s="57" t="s">
        <v>645</v>
      </c>
      <c r="K2" s="57" t="s">
        <v>646</v>
      </c>
      <c r="L2" s="57" t="s">
        <v>647</v>
      </c>
      <c r="M2" s="57" t="s">
        <v>1322</v>
      </c>
      <c r="N2" s="57" t="s">
        <v>648</v>
      </c>
      <c r="O2" s="57" t="s">
        <v>7</v>
      </c>
      <c r="P2" s="57" t="s">
        <v>649</v>
      </c>
      <c r="Q2" s="57" t="s">
        <v>649</v>
      </c>
      <c r="R2" s="57" t="s">
        <v>8</v>
      </c>
      <c r="S2" s="57" t="s">
        <v>546</v>
      </c>
      <c r="T2" s="57" t="s">
        <v>14</v>
      </c>
      <c r="U2" s="69"/>
      <c r="V2" s="70"/>
    </row>
    <row r="3" ht="18" spans="1:21">
      <c r="A3" s="58" t="s">
        <v>1323</v>
      </c>
      <c r="B3" s="59"/>
      <c r="C3" s="60"/>
      <c r="D3" s="61"/>
      <c r="E3" s="61" t="s">
        <v>1324</v>
      </c>
      <c r="F3" s="62">
        <v>79039.64</v>
      </c>
      <c r="G3" s="62"/>
      <c r="H3" s="62">
        <f t="shared" ref="H3:H10" si="0">F3*300%</f>
        <v>237118.92</v>
      </c>
      <c r="I3" s="62">
        <f t="shared" ref="I3:I10" si="1">F3*7.5%</f>
        <v>5927.973</v>
      </c>
      <c r="J3" s="62">
        <v>80244.38</v>
      </c>
      <c r="K3" s="62">
        <f t="shared" ref="K3:K10" si="2">F3*50%</f>
        <v>39519.82</v>
      </c>
      <c r="L3" s="62">
        <f t="shared" ref="L3:L10" si="3">F3*350%</f>
        <v>276638.74</v>
      </c>
      <c r="M3" s="62">
        <v>0</v>
      </c>
      <c r="N3" s="62">
        <f t="shared" ref="N3:N10" si="4">F3*100%</f>
        <v>79039.64</v>
      </c>
      <c r="O3" s="62">
        <f t="shared" ref="O3:O10" si="5">F3*10%</f>
        <v>7903.964</v>
      </c>
      <c r="P3" s="62">
        <v>20000</v>
      </c>
      <c r="Q3" s="62">
        <v>0</v>
      </c>
      <c r="R3" s="62">
        <f t="shared" ref="R3:R10" si="6">SUM(F3:Q3)</f>
        <v>825433.077</v>
      </c>
      <c r="S3" s="62"/>
      <c r="T3" s="71"/>
      <c r="U3" s="72"/>
    </row>
    <row r="4" ht="18" spans="1:21">
      <c r="A4" s="58" t="s">
        <v>1325</v>
      </c>
      <c r="B4" s="59"/>
      <c r="C4" s="60"/>
      <c r="D4" s="61"/>
      <c r="E4" s="61" t="s">
        <v>1326</v>
      </c>
      <c r="F4" s="62">
        <v>36784.71</v>
      </c>
      <c r="G4" s="62"/>
      <c r="H4" s="62">
        <f t="shared" si="0"/>
        <v>110354.13</v>
      </c>
      <c r="I4" s="62">
        <f t="shared" si="1"/>
        <v>2758.85325</v>
      </c>
      <c r="J4" s="62">
        <v>80244.38</v>
      </c>
      <c r="K4" s="62">
        <f t="shared" si="2"/>
        <v>18392.355</v>
      </c>
      <c r="L4" s="62">
        <f t="shared" si="3"/>
        <v>128746.485</v>
      </c>
      <c r="M4" s="62"/>
      <c r="N4" s="62">
        <f t="shared" si="4"/>
        <v>36784.71</v>
      </c>
      <c r="O4" s="62">
        <f t="shared" si="5"/>
        <v>3678.471</v>
      </c>
      <c r="P4" s="62">
        <v>20000</v>
      </c>
      <c r="Q4" s="62">
        <v>0</v>
      </c>
      <c r="R4" s="62">
        <f t="shared" si="6"/>
        <v>437744.09425</v>
      </c>
      <c r="S4" s="62"/>
      <c r="T4" s="71"/>
      <c r="U4" s="72"/>
    </row>
    <row r="5" ht="18" spans="1:22">
      <c r="A5" s="63" t="s">
        <v>46</v>
      </c>
      <c r="B5" s="64"/>
      <c r="C5" s="65"/>
      <c r="D5" s="66"/>
      <c r="E5" s="67" t="s">
        <v>162</v>
      </c>
      <c r="F5" s="62">
        <v>24975.81</v>
      </c>
      <c r="G5" s="62">
        <v>0</v>
      </c>
      <c r="H5" s="62">
        <f t="shared" si="0"/>
        <v>74927.43</v>
      </c>
      <c r="I5" s="62">
        <f t="shared" si="1"/>
        <v>1873.18575</v>
      </c>
      <c r="J5" s="62">
        <v>0</v>
      </c>
      <c r="K5" s="62">
        <f t="shared" si="2"/>
        <v>12487.905</v>
      </c>
      <c r="L5" s="62">
        <f t="shared" si="3"/>
        <v>87415.335</v>
      </c>
      <c r="M5" s="62">
        <v>0</v>
      </c>
      <c r="N5" s="62">
        <f t="shared" si="4"/>
        <v>24975.81</v>
      </c>
      <c r="O5" s="62">
        <v>100000</v>
      </c>
      <c r="P5" s="62">
        <f>F5*10%</f>
        <v>2497.581</v>
      </c>
      <c r="Q5" s="62">
        <v>20000</v>
      </c>
      <c r="R5" s="62">
        <v>0</v>
      </c>
      <c r="S5" s="62">
        <f>SUM(F5:R5)</f>
        <v>349153.05675</v>
      </c>
      <c r="T5" s="62">
        <v>0</v>
      </c>
      <c r="U5" s="73">
        <f>S5-T5</f>
        <v>349153.05675</v>
      </c>
      <c r="V5" s="62">
        <v>344720.6</v>
      </c>
    </row>
    <row r="6" ht="18" spans="1:21">
      <c r="A6" s="58" t="s">
        <v>483</v>
      </c>
      <c r="B6" s="59"/>
      <c r="C6" s="60"/>
      <c r="D6" s="61"/>
      <c r="E6" s="61" t="s">
        <v>427</v>
      </c>
      <c r="F6" s="62">
        <v>23891.12</v>
      </c>
      <c r="G6" s="62"/>
      <c r="H6" s="62">
        <f t="shared" si="0"/>
        <v>71673.36</v>
      </c>
      <c r="I6" s="62">
        <f t="shared" si="1"/>
        <v>1791.834</v>
      </c>
      <c r="J6" s="62">
        <v>0</v>
      </c>
      <c r="K6" s="62">
        <f t="shared" si="2"/>
        <v>11945.56</v>
      </c>
      <c r="L6" s="62">
        <f t="shared" si="3"/>
        <v>83618.92</v>
      </c>
      <c r="M6" s="62">
        <v>0</v>
      </c>
      <c r="N6" s="62">
        <f t="shared" si="4"/>
        <v>23891.12</v>
      </c>
      <c r="O6" s="62">
        <f t="shared" si="5"/>
        <v>2389.112</v>
      </c>
      <c r="P6" s="62">
        <v>15000</v>
      </c>
      <c r="Q6" s="62">
        <v>0</v>
      </c>
      <c r="R6" s="62">
        <f t="shared" si="6"/>
        <v>234201.026</v>
      </c>
      <c r="S6" s="62"/>
      <c r="T6" s="71"/>
      <c r="U6" s="72"/>
    </row>
    <row r="7" ht="18" spans="1:21">
      <c r="A7" s="58" t="s">
        <v>1327</v>
      </c>
      <c r="B7" s="59"/>
      <c r="C7" s="60"/>
      <c r="D7" s="61"/>
      <c r="E7" s="61" t="s">
        <v>422</v>
      </c>
      <c r="F7" s="62">
        <v>21293.96</v>
      </c>
      <c r="G7" s="62"/>
      <c r="H7" s="62">
        <f t="shared" si="0"/>
        <v>63881.88</v>
      </c>
      <c r="I7" s="62">
        <f t="shared" si="1"/>
        <v>1597.047</v>
      </c>
      <c r="J7" s="62">
        <v>0</v>
      </c>
      <c r="K7" s="62">
        <f t="shared" si="2"/>
        <v>10646.98</v>
      </c>
      <c r="L7" s="62">
        <f t="shared" si="3"/>
        <v>74528.86</v>
      </c>
      <c r="M7" s="62">
        <v>0</v>
      </c>
      <c r="N7" s="62">
        <f t="shared" si="4"/>
        <v>21293.96</v>
      </c>
      <c r="O7" s="62">
        <f t="shared" si="5"/>
        <v>2129.396</v>
      </c>
      <c r="P7" s="62">
        <v>10000</v>
      </c>
      <c r="Q7" s="62">
        <v>0</v>
      </c>
      <c r="R7" s="62">
        <f t="shared" si="6"/>
        <v>205372.083</v>
      </c>
      <c r="S7" s="62"/>
      <c r="T7" s="71"/>
      <c r="U7" s="72"/>
    </row>
    <row r="8" ht="18" spans="1:21">
      <c r="A8" s="58" t="s">
        <v>117</v>
      </c>
      <c r="B8" s="59"/>
      <c r="C8" s="60"/>
      <c r="D8" s="61"/>
      <c r="E8" s="61" t="s">
        <v>1328</v>
      </c>
      <c r="F8" s="62">
        <v>17286.33</v>
      </c>
      <c r="G8" s="62"/>
      <c r="H8" s="62">
        <f t="shared" si="0"/>
        <v>51858.99</v>
      </c>
      <c r="I8" s="62">
        <f t="shared" si="1"/>
        <v>1296.47475</v>
      </c>
      <c r="J8" s="62">
        <v>0</v>
      </c>
      <c r="K8" s="62">
        <f t="shared" si="2"/>
        <v>8643.165</v>
      </c>
      <c r="L8" s="62">
        <f t="shared" si="3"/>
        <v>60502.155</v>
      </c>
      <c r="M8" s="62">
        <v>0</v>
      </c>
      <c r="N8" s="62">
        <f t="shared" si="4"/>
        <v>17286.33</v>
      </c>
      <c r="O8" s="62">
        <f t="shared" si="5"/>
        <v>1728.633</v>
      </c>
      <c r="P8" s="62">
        <v>10000</v>
      </c>
      <c r="Q8" s="62">
        <v>0</v>
      </c>
      <c r="R8" s="62">
        <f t="shared" si="6"/>
        <v>168602.07775</v>
      </c>
      <c r="S8" s="62"/>
      <c r="T8" s="71"/>
      <c r="U8" s="72"/>
    </row>
    <row r="9" ht="18" spans="1:21">
      <c r="A9" s="58" t="s">
        <v>1329</v>
      </c>
      <c r="B9" s="59"/>
      <c r="C9" s="60"/>
      <c r="D9" s="61"/>
      <c r="E9" s="61" t="s">
        <v>1330</v>
      </c>
      <c r="F9" s="62">
        <v>14736.14</v>
      </c>
      <c r="G9" s="62"/>
      <c r="H9" s="62">
        <f t="shared" si="0"/>
        <v>44208.42</v>
      </c>
      <c r="I9" s="62">
        <f t="shared" si="1"/>
        <v>1105.2105</v>
      </c>
      <c r="J9" s="62">
        <v>0</v>
      </c>
      <c r="K9" s="62">
        <f t="shared" si="2"/>
        <v>7368.07</v>
      </c>
      <c r="L9" s="62">
        <f t="shared" si="3"/>
        <v>51576.49</v>
      </c>
      <c r="M9" s="62">
        <v>0</v>
      </c>
      <c r="N9" s="62">
        <f t="shared" si="4"/>
        <v>14736.14</v>
      </c>
      <c r="O9" s="62">
        <f t="shared" si="5"/>
        <v>1473.614</v>
      </c>
      <c r="P9" s="62">
        <v>10000</v>
      </c>
      <c r="Q9" s="62">
        <v>0</v>
      </c>
      <c r="R9" s="62">
        <f t="shared" si="6"/>
        <v>145204.0845</v>
      </c>
      <c r="S9" s="62"/>
      <c r="T9" s="71"/>
      <c r="U9" s="72"/>
    </row>
    <row r="10" ht="18" spans="1:21">
      <c r="A10" s="58"/>
      <c r="B10" s="59"/>
      <c r="C10" s="60"/>
      <c r="D10" s="61"/>
      <c r="E10" s="61" t="s">
        <v>1331</v>
      </c>
      <c r="F10" s="62">
        <v>12351.94</v>
      </c>
      <c r="G10" s="62"/>
      <c r="H10" s="62">
        <f t="shared" si="0"/>
        <v>37055.82</v>
      </c>
      <c r="I10" s="62">
        <f t="shared" si="1"/>
        <v>926.3955</v>
      </c>
      <c r="J10" s="62">
        <v>0</v>
      </c>
      <c r="K10" s="62">
        <f t="shared" si="2"/>
        <v>6175.97</v>
      </c>
      <c r="L10" s="62">
        <f t="shared" si="3"/>
        <v>43231.79</v>
      </c>
      <c r="M10" s="62">
        <v>0</v>
      </c>
      <c r="N10" s="62">
        <f t="shared" si="4"/>
        <v>12351.94</v>
      </c>
      <c r="O10" s="62">
        <f t="shared" si="5"/>
        <v>1235.194</v>
      </c>
      <c r="P10" s="62">
        <v>10000</v>
      </c>
      <c r="Q10" s="62">
        <v>0</v>
      </c>
      <c r="R10" s="62">
        <f t="shared" si="6"/>
        <v>123329.0495</v>
      </c>
      <c r="S10" s="62"/>
      <c r="T10" s="71"/>
      <c r="U10" s="72"/>
    </row>
  </sheetData>
  <mergeCells count="8">
    <mergeCell ref="A3:C3"/>
    <mergeCell ref="A4:C4"/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E4" sqref="E4"/>
    </sheetView>
  </sheetViews>
  <sheetFormatPr defaultColWidth="9" defaultRowHeight="12.5" outlineLevelCol="5"/>
  <cols>
    <col min="3" max="3" width="15.2818181818182" customWidth="1"/>
    <col min="4" max="4" width="18.7090909090909" customWidth="1"/>
    <col min="5" max="5" width="18.8545454545455" customWidth="1"/>
  </cols>
  <sheetData>
    <row r="1" ht="17.5" spans="1:6">
      <c r="A1" s="47" t="s">
        <v>1332</v>
      </c>
      <c r="B1" s="47"/>
      <c r="C1" s="47"/>
      <c r="D1" s="47"/>
      <c r="E1" s="47"/>
      <c r="F1" s="47"/>
    </row>
    <row r="2" ht="17.5" spans="1:6">
      <c r="A2" s="41" t="s">
        <v>1333</v>
      </c>
      <c r="B2" s="41"/>
      <c r="C2" s="41"/>
      <c r="D2" s="41"/>
      <c r="E2" s="41"/>
      <c r="F2" s="41"/>
    </row>
    <row r="3" ht="18" spans="1:6">
      <c r="A3" s="48"/>
      <c r="B3" s="48"/>
      <c r="C3" s="48"/>
      <c r="D3" s="49" t="s">
        <v>1291</v>
      </c>
      <c r="E3" s="49" t="s">
        <v>1292</v>
      </c>
      <c r="F3" s="50"/>
    </row>
    <row r="4" ht="18" spans="1:6">
      <c r="A4" s="48" t="s">
        <v>1293</v>
      </c>
      <c r="B4" s="48"/>
      <c r="C4" s="48"/>
      <c r="D4" s="51">
        <f>E4*12</f>
        <v>299709.72</v>
      </c>
      <c r="E4" s="51">
        <f>SUMMARY!F5</f>
        <v>24975.81</v>
      </c>
      <c r="F4" s="46"/>
    </row>
    <row r="5" ht="18" spans="1:6">
      <c r="A5" s="48" t="s">
        <v>1294</v>
      </c>
      <c r="B5" s="48"/>
      <c r="C5" s="48"/>
      <c r="D5" s="51">
        <f t="shared" ref="D5:D14" si="0">E5*12</f>
        <v>899129.16</v>
      </c>
      <c r="E5" s="51">
        <f>SUMMARY!H5</f>
        <v>74927.43</v>
      </c>
      <c r="F5" s="46"/>
    </row>
    <row r="6" ht="18" spans="1:6">
      <c r="A6" s="48" t="s">
        <v>1295</v>
      </c>
      <c r="B6" s="48"/>
      <c r="C6" s="48"/>
      <c r="D6" s="51">
        <f t="shared" si="0"/>
        <v>22478.229</v>
      </c>
      <c r="E6" s="51">
        <f>SUMMARY!I5</f>
        <v>1873.18575</v>
      </c>
      <c r="F6" s="46"/>
    </row>
    <row r="7" ht="18" spans="1:6">
      <c r="A7" s="48" t="s">
        <v>1296</v>
      </c>
      <c r="B7" s="48"/>
      <c r="C7" s="48"/>
      <c r="D7" s="51">
        <f t="shared" si="0"/>
        <v>0</v>
      </c>
      <c r="E7" s="51">
        <f>SUMMARY!J6</f>
        <v>0</v>
      </c>
      <c r="F7" s="46"/>
    </row>
    <row r="8" ht="18" spans="1:6">
      <c r="A8" s="48" t="s">
        <v>1297</v>
      </c>
      <c r="B8" s="48"/>
      <c r="C8" s="48"/>
      <c r="D8" s="51">
        <f t="shared" si="0"/>
        <v>149854.86</v>
      </c>
      <c r="E8" s="51">
        <f>SUMMARY!K5</f>
        <v>12487.905</v>
      </c>
      <c r="F8" s="46"/>
    </row>
    <row r="9" ht="18" spans="1:6">
      <c r="A9" s="48" t="s">
        <v>1298</v>
      </c>
      <c r="B9" s="48"/>
      <c r="C9" s="48"/>
      <c r="D9" s="51">
        <f t="shared" si="0"/>
        <v>1048984.02</v>
      </c>
      <c r="E9" s="51">
        <f>SUMMARY!L5</f>
        <v>87415.335</v>
      </c>
      <c r="F9" s="46"/>
    </row>
    <row r="10" ht="18" spans="1:6">
      <c r="A10" s="48" t="s">
        <v>1300</v>
      </c>
      <c r="B10" s="48"/>
      <c r="C10" s="48"/>
      <c r="D10" s="51">
        <f t="shared" si="0"/>
        <v>299709.72</v>
      </c>
      <c r="E10" s="51">
        <f>SUMMARY!N5</f>
        <v>24975.81</v>
      </c>
      <c r="F10" s="46"/>
    </row>
    <row r="11" ht="18" spans="1:6">
      <c r="A11" s="52" t="s">
        <v>1299</v>
      </c>
      <c r="B11" s="53"/>
      <c r="C11" s="54"/>
      <c r="D11" s="51">
        <f t="shared" si="0"/>
        <v>0</v>
      </c>
      <c r="E11" s="51">
        <v>0</v>
      </c>
      <c r="F11" s="46"/>
    </row>
    <row r="12" ht="18" spans="1:6">
      <c r="A12" s="48" t="s">
        <v>1301</v>
      </c>
      <c r="B12" s="48"/>
      <c r="C12" s="48"/>
      <c r="D12" s="51">
        <f t="shared" si="0"/>
        <v>29970.972</v>
      </c>
      <c r="E12" s="51">
        <f>SUMMARY!P5</f>
        <v>2497.581</v>
      </c>
      <c r="F12" s="46"/>
    </row>
    <row r="13" ht="18" spans="1:6">
      <c r="A13" s="48" t="s">
        <v>1302</v>
      </c>
      <c r="B13" s="48"/>
      <c r="C13" s="48"/>
      <c r="D13" s="51">
        <f t="shared" si="0"/>
        <v>240000</v>
      </c>
      <c r="E13" s="51">
        <f>SUMMARY!Q5</f>
        <v>20000</v>
      </c>
      <c r="F13" s="46"/>
    </row>
    <row r="14" ht="18" spans="1:6">
      <c r="A14" s="55" t="s">
        <v>9</v>
      </c>
      <c r="B14" s="55"/>
      <c r="C14" s="55"/>
      <c r="D14" s="56">
        <f t="shared" si="0"/>
        <v>2989836.681</v>
      </c>
      <c r="E14" s="56">
        <f>SUM(E4:E13)</f>
        <v>249153.05675</v>
      </c>
      <c r="F14" s="46"/>
    </row>
  </sheetData>
  <mergeCells count="14">
    <mergeCell ref="A1:F1"/>
    <mergeCell ref="A2:F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ageMargins left="1.06" right="0.7" top="0.75" bottom="0.75" header="0.3" footer="0.3"/>
  <pageSetup paperSize="1" orientation="portrait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H14" sqref="H14"/>
    </sheetView>
  </sheetViews>
  <sheetFormatPr defaultColWidth="9" defaultRowHeight="12.5" outlineLevelCol="2"/>
  <cols>
    <col min="1" max="1" width="32.1363636363636" customWidth="1"/>
    <col min="2" max="2" width="22.4272727272727" customWidth="1"/>
    <col min="3" max="3" width="25" customWidth="1"/>
  </cols>
  <sheetData>
    <row r="1" ht="17.5" spans="1:3">
      <c r="A1" s="41" t="s">
        <v>1334</v>
      </c>
      <c r="B1" s="41"/>
      <c r="C1" s="41"/>
    </row>
    <row r="2" ht="17.5" spans="1:3">
      <c r="A2" s="41" t="s">
        <v>1307</v>
      </c>
      <c r="B2" s="41"/>
      <c r="C2" s="41"/>
    </row>
    <row r="3" ht="17.5" spans="1:3">
      <c r="A3" s="42"/>
      <c r="B3" s="42" t="s">
        <v>1291</v>
      </c>
      <c r="C3" s="42" t="s">
        <v>1292</v>
      </c>
    </row>
    <row r="4" ht="18" spans="1:3">
      <c r="A4" s="43" t="s">
        <v>1293</v>
      </c>
      <c r="B4" s="44">
        <f>C4*12</f>
        <v>475947</v>
      </c>
      <c r="C4" s="44">
        <v>39662.25</v>
      </c>
    </row>
    <row r="5" ht="18" spans="1:3">
      <c r="A5" s="43" t="s">
        <v>1294</v>
      </c>
      <c r="B5" s="44">
        <f t="shared" ref="B5:B13" si="0">C5*12</f>
        <v>1427841</v>
      </c>
      <c r="C5" s="44">
        <v>118986.75</v>
      </c>
    </row>
    <row r="6" ht="18" spans="1:3">
      <c r="A6" s="43" t="s">
        <v>1295</v>
      </c>
      <c r="B6" s="44">
        <f t="shared" si="0"/>
        <v>35696.04</v>
      </c>
      <c r="C6" s="44">
        <v>2974.67</v>
      </c>
    </row>
    <row r="7" ht="18" spans="1:3">
      <c r="A7" s="43" t="s">
        <v>1296</v>
      </c>
      <c r="B7" s="44" t="e">
        <f t="shared" si="0"/>
        <v>#REF!</v>
      </c>
      <c r="C7" s="44" t="e">
        <f>'MARCH 2025'!#REF!</f>
        <v>#REF!</v>
      </c>
    </row>
    <row r="8" ht="18" spans="1:3">
      <c r="A8" s="43" t="s">
        <v>1297</v>
      </c>
      <c r="B8" s="44">
        <f t="shared" si="0"/>
        <v>237973.56</v>
      </c>
      <c r="C8" s="44">
        <v>19831.13</v>
      </c>
    </row>
    <row r="9" ht="18" spans="1:3">
      <c r="A9" s="43" t="s">
        <v>1298</v>
      </c>
      <c r="B9" s="44">
        <f t="shared" si="0"/>
        <v>1665814.56</v>
      </c>
      <c r="C9" s="44">
        <v>138817.88</v>
      </c>
    </row>
    <row r="10" ht="18" spans="1:3">
      <c r="A10" s="43" t="s">
        <v>1300</v>
      </c>
      <c r="B10" s="44">
        <f t="shared" si="0"/>
        <v>475947</v>
      </c>
      <c r="C10" s="44">
        <v>39662.25</v>
      </c>
    </row>
    <row r="11" ht="18" spans="1:3">
      <c r="A11" s="43" t="s">
        <v>1299</v>
      </c>
      <c r="B11" s="44">
        <f t="shared" si="0"/>
        <v>0</v>
      </c>
      <c r="C11" s="44">
        <v>0</v>
      </c>
    </row>
    <row r="12" ht="18" spans="1:3">
      <c r="A12" s="43" t="s">
        <v>1301</v>
      </c>
      <c r="B12" s="44">
        <f t="shared" si="0"/>
        <v>47594.76</v>
      </c>
      <c r="C12" s="44">
        <v>3966.23</v>
      </c>
    </row>
    <row r="13" ht="18" spans="1:3">
      <c r="A13" s="43" t="s">
        <v>1302</v>
      </c>
      <c r="B13" s="44" t="e">
        <f t="shared" si="0"/>
        <v>#REF!</v>
      </c>
      <c r="C13" s="44" t="e">
        <f>'MARCH 2025'!#REF!</f>
        <v>#REF!</v>
      </c>
    </row>
    <row r="14" ht="17.5" spans="1:3">
      <c r="A14" s="42" t="s">
        <v>9</v>
      </c>
      <c r="B14" s="45" t="e">
        <f>SUM(B4:B13)</f>
        <v>#REF!</v>
      </c>
      <c r="C14" s="45" t="e">
        <f>SUM(C4:C13)</f>
        <v>#REF!</v>
      </c>
    </row>
    <row r="15" ht="18" spans="1:3">
      <c r="A15" s="46"/>
      <c r="B15" s="46"/>
      <c r="C15" s="46"/>
    </row>
  </sheetData>
  <mergeCells count="2">
    <mergeCell ref="A1:C1"/>
    <mergeCell ref="A2:C2"/>
  </mergeCells>
  <pageMargins left="0.7" right="0.7" top="0.75" bottom="0.75" header="0.3" footer="0.3"/>
  <pageSetup paperSize="1" fitToWidth="2" orientation="portrait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0"/>
  <sheetViews>
    <sheetView topLeftCell="A38" workbookViewId="0">
      <selection activeCell="L51" sqref="L51"/>
    </sheetView>
  </sheetViews>
  <sheetFormatPr defaultColWidth="9" defaultRowHeight="12.5" outlineLevelCol="3"/>
  <cols>
    <col min="1" max="1" width="4.57272727272727" customWidth="1"/>
    <col min="2" max="2" width="15.8545454545455" customWidth="1"/>
    <col min="3" max="3" width="15" customWidth="1"/>
    <col min="4" max="4" width="16.8545454545455" customWidth="1"/>
  </cols>
  <sheetData>
    <row r="2" ht="15" spans="1:4">
      <c r="A2" s="36"/>
      <c r="B2" s="36" t="s">
        <v>5</v>
      </c>
      <c r="C2" s="36"/>
      <c r="D2" s="36"/>
    </row>
    <row r="3" ht="15" spans="1:4">
      <c r="A3" s="36" t="s">
        <v>20</v>
      </c>
      <c r="B3" s="36" t="s">
        <v>4</v>
      </c>
      <c r="C3" s="36" t="s">
        <v>1335</v>
      </c>
      <c r="D3" s="37" t="s">
        <v>19</v>
      </c>
    </row>
    <row r="4" ht="15" spans="1:4">
      <c r="A4" s="38">
        <v>1</v>
      </c>
      <c r="B4" s="38">
        <v>17</v>
      </c>
      <c r="C4" s="38">
        <v>9</v>
      </c>
      <c r="D4" s="39">
        <v>81740.02</v>
      </c>
    </row>
    <row r="5" ht="15" spans="1:4">
      <c r="A5" s="38">
        <v>2</v>
      </c>
      <c r="B5" s="38">
        <v>17</v>
      </c>
      <c r="C5" s="38">
        <v>8</v>
      </c>
      <c r="D5" s="39">
        <f>79039.64</f>
        <v>79039.64</v>
      </c>
    </row>
    <row r="6" ht="15" spans="1:4">
      <c r="A6" s="38">
        <v>3</v>
      </c>
      <c r="B6" s="38">
        <v>17</v>
      </c>
      <c r="C6" s="38">
        <v>7</v>
      </c>
      <c r="D6" s="39">
        <f>76339.3</f>
        <v>76339.3</v>
      </c>
    </row>
    <row r="7" ht="15" spans="1:4">
      <c r="A7" s="38">
        <v>4</v>
      </c>
      <c r="B7" s="38">
        <v>16</v>
      </c>
      <c r="C7" s="38">
        <v>9</v>
      </c>
      <c r="D7" s="39">
        <f>42653.17</f>
        <v>42653.17</v>
      </c>
    </row>
    <row r="8" ht="15" spans="1:4">
      <c r="A8" s="38">
        <v>5</v>
      </c>
      <c r="B8" s="38">
        <f>16</f>
        <v>16</v>
      </c>
      <c r="C8" s="38">
        <v>8</v>
      </c>
      <c r="D8" s="39">
        <v>41157.69</v>
      </c>
    </row>
    <row r="9" ht="15" spans="1:4">
      <c r="A9" s="38">
        <v>6</v>
      </c>
      <c r="B9" s="38">
        <v>16</v>
      </c>
      <c r="C9" s="38">
        <v>7</v>
      </c>
      <c r="D9" s="39">
        <v>39662.25</v>
      </c>
    </row>
    <row r="10" ht="15" spans="1:4">
      <c r="A10" s="38">
        <v>7</v>
      </c>
      <c r="B10" s="38">
        <v>15</v>
      </c>
      <c r="C10" s="38">
        <v>9</v>
      </c>
      <c r="D10" s="39">
        <v>33507.5</v>
      </c>
    </row>
    <row r="11" ht="15" spans="1:4">
      <c r="A11" s="38">
        <v>8</v>
      </c>
      <c r="B11" s="38">
        <v>15</v>
      </c>
      <c r="C11" s="38">
        <v>8</v>
      </c>
      <c r="D11" s="39">
        <v>32263.2</v>
      </c>
    </row>
    <row r="12" ht="15" spans="1:4">
      <c r="A12" s="38">
        <v>9</v>
      </c>
      <c r="B12" s="38">
        <v>15</v>
      </c>
      <c r="C12" s="38">
        <v>7</v>
      </c>
      <c r="D12" s="39">
        <v>31018.84</v>
      </c>
    </row>
    <row r="13" ht="15" spans="1:4">
      <c r="A13" s="38">
        <v>10</v>
      </c>
      <c r="B13" s="38">
        <v>14</v>
      </c>
      <c r="C13" s="38">
        <v>11</v>
      </c>
      <c r="D13" s="39">
        <v>28489.81</v>
      </c>
    </row>
    <row r="14" ht="15" spans="1:4">
      <c r="A14" s="38">
        <v>11</v>
      </c>
      <c r="B14" s="38">
        <v>14</v>
      </c>
      <c r="C14" s="38">
        <v>10</v>
      </c>
      <c r="D14" s="39">
        <v>27611.23</v>
      </c>
    </row>
    <row r="15" ht="15" spans="1:4">
      <c r="A15" s="38">
        <v>12</v>
      </c>
      <c r="B15" s="38">
        <v>14</v>
      </c>
      <c r="C15" s="38">
        <v>9</v>
      </c>
      <c r="D15" s="39">
        <v>26732.65</v>
      </c>
    </row>
    <row r="16" ht="15" spans="1:4">
      <c r="A16" s="38">
        <v>13</v>
      </c>
      <c r="B16" s="38">
        <v>14</v>
      </c>
      <c r="C16" s="38">
        <v>8</v>
      </c>
      <c r="D16" s="39">
        <v>25854.1</v>
      </c>
    </row>
    <row r="17" ht="15" spans="1:4">
      <c r="A17" s="38">
        <v>14</v>
      </c>
      <c r="B17" s="38">
        <v>14</v>
      </c>
      <c r="C17" s="38">
        <v>7</v>
      </c>
      <c r="D17" s="39">
        <v>24975.81</v>
      </c>
    </row>
    <row r="18" ht="15" spans="1:4">
      <c r="A18" s="38">
        <v>15</v>
      </c>
      <c r="B18" s="38">
        <v>13</v>
      </c>
      <c r="C18" s="38">
        <v>11</v>
      </c>
      <c r="D18" s="39">
        <v>26339.3</v>
      </c>
    </row>
    <row r="19" ht="15" spans="1:4">
      <c r="A19" s="38">
        <v>16</v>
      </c>
      <c r="B19" s="38">
        <v>13</v>
      </c>
      <c r="C19" s="38">
        <v>10</v>
      </c>
      <c r="D19" s="39">
        <v>25523.45</v>
      </c>
    </row>
    <row r="20" ht="15" spans="1:4">
      <c r="A20" s="38">
        <v>17</v>
      </c>
      <c r="B20" s="38">
        <v>13</v>
      </c>
      <c r="C20" s="38">
        <v>9</v>
      </c>
      <c r="D20" s="39">
        <v>24741.26</v>
      </c>
    </row>
    <row r="21" ht="15" spans="1:4">
      <c r="A21" s="38">
        <v>18</v>
      </c>
      <c r="B21" s="38">
        <v>13</v>
      </c>
      <c r="C21" s="38">
        <v>8</v>
      </c>
      <c r="D21" s="39">
        <v>23891.12</v>
      </c>
    </row>
    <row r="22" ht="15" spans="1:4">
      <c r="A22" s="38">
        <v>19</v>
      </c>
      <c r="B22" s="38">
        <v>13</v>
      </c>
      <c r="C22" s="38">
        <v>7</v>
      </c>
      <c r="D22" s="39">
        <v>23074.99</v>
      </c>
    </row>
    <row r="23" ht="15" spans="1:4">
      <c r="A23" s="38">
        <v>20</v>
      </c>
      <c r="B23" s="38">
        <v>12</v>
      </c>
      <c r="C23" s="38">
        <v>12</v>
      </c>
      <c r="D23" s="39"/>
    </row>
    <row r="24" ht="15" spans="1:4">
      <c r="A24" s="38">
        <v>21</v>
      </c>
      <c r="B24" s="38">
        <v>12</v>
      </c>
      <c r="C24" s="38">
        <v>11</v>
      </c>
      <c r="D24" s="39"/>
    </row>
    <row r="25" ht="15" spans="1:4">
      <c r="A25" s="38">
        <v>22</v>
      </c>
      <c r="B25" s="38">
        <v>12</v>
      </c>
      <c r="C25" s="38">
        <v>10</v>
      </c>
      <c r="D25" s="39"/>
    </row>
    <row r="26" ht="15" spans="1:4">
      <c r="A26" s="38">
        <v>23</v>
      </c>
      <c r="B26" s="38">
        <v>12</v>
      </c>
      <c r="C26" s="38">
        <v>9</v>
      </c>
      <c r="D26" s="39"/>
    </row>
    <row r="27" ht="15" spans="1:4">
      <c r="A27" s="38">
        <v>24</v>
      </c>
      <c r="B27" s="38">
        <v>12</v>
      </c>
      <c r="C27" s="38">
        <v>8</v>
      </c>
      <c r="D27" s="39">
        <f>21520.88</f>
        <v>21520.88</v>
      </c>
    </row>
    <row r="28" ht="15" spans="1:4">
      <c r="A28" s="38">
        <v>25</v>
      </c>
      <c r="B28" s="38">
        <v>12</v>
      </c>
      <c r="C28" s="38">
        <v>7</v>
      </c>
      <c r="D28" s="39">
        <f>20749</f>
        <v>20749</v>
      </c>
    </row>
    <row r="29" ht="15" spans="1:4">
      <c r="A29" s="38">
        <v>26</v>
      </c>
      <c r="B29" s="38">
        <v>10</v>
      </c>
      <c r="C29" s="38">
        <v>13</v>
      </c>
      <c r="D29" s="39"/>
    </row>
    <row r="30" ht="15" spans="1:4">
      <c r="A30" s="38">
        <v>27</v>
      </c>
      <c r="B30" s="38">
        <v>10</v>
      </c>
      <c r="C30" s="38">
        <v>12</v>
      </c>
      <c r="D30" s="39">
        <v>19774.62</v>
      </c>
    </row>
    <row r="31" ht="15" spans="1:4">
      <c r="A31" s="38">
        <v>28</v>
      </c>
      <c r="B31" s="38">
        <v>10</v>
      </c>
      <c r="C31" s="38">
        <v>11</v>
      </c>
      <c r="D31" s="39">
        <v>19276.95</v>
      </c>
    </row>
    <row r="32" ht="15" spans="1:4">
      <c r="A32" s="38">
        <v>29</v>
      </c>
      <c r="B32" s="38">
        <v>10</v>
      </c>
      <c r="C32" s="38">
        <v>10</v>
      </c>
      <c r="D32" s="39">
        <v>18779.3</v>
      </c>
    </row>
    <row r="33" ht="15" spans="1:4">
      <c r="A33" s="38">
        <v>30</v>
      </c>
      <c r="B33" s="38">
        <v>10</v>
      </c>
      <c r="C33" s="38">
        <v>9</v>
      </c>
      <c r="D33" s="39">
        <v>18281.64</v>
      </c>
    </row>
    <row r="34" ht="15" spans="1:4">
      <c r="A34" s="38">
        <v>31</v>
      </c>
      <c r="B34" s="38">
        <v>10</v>
      </c>
      <c r="C34" s="38">
        <v>8</v>
      </c>
      <c r="D34" s="39">
        <v>17784.1</v>
      </c>
    </row>
    <row r="35" ht="15" spans="1:4">
      <c r="A35" s="38">
        <v>32</v>
      </c>
      <c r="B35" s="38">
        <v>10</v>
      </c>
      <c r="C35" s="38">
        <v>7</v>
      </c>
      <c r="D35" s="39">
        <v>17286.33</v>
      </c>
    </row>
    <row r="36" ht="15" spans="1:4">
      <c r="A36" s="38">
        <v>33</v>
      </c>
      <c r="B36" s="38">
        <v>9</v>
      </c>
      <c r="C36" s="38">
        <v>10</v>
      </c>
      <c r="D36" s="39">
        <v>16093.74</v>
      </c>
    </row>
    <row r="37" ht="15.5" spans="1:4">
      <c r="A37" s="38">
        <v>34</v>
      </c>
      <c r="B37" s="38">
        <v>9</v>
      </c>
      <c r="C37" s="38">
        <v>9</v>
      </c>
      <c r="D37" s="40">
        <f>15641.2</f>
        <v>15641.2</v>
      </c>
    </row>
    <row r="38" ht="15.5" spans="1:4">
      <c r="A38" s="38">
        <v>35</v>
      </c>
      <c r="B38" s="38">
        <v>9</v>
      </c>
      <c r="C38" s="38">
        <v>8</v>
      </c>
      <c r="D38" s="40">
        <f>15188.68</f>
        <v>15188.68</v>
      </c>
    </row>
    <row r="39" ht="15.5" spans="1:4">
      <c r="A39" s="38">
        <v>36</v>
      </c>
      <c r="B39" s="38">
        <v>9</v>
      </c>
      <c r="C39">
        <v>7</v>
      </c>
      <c r="D39" s="40">
        <f>14736.14</f>
        <v>14736.14</v>
      </c>
    </row>
    <row r="40" ht="15" spans="1:4">
      <c r="A40" s="38">
        <v>37</v>
      </c>
      <c r="B40" s="38">
        <v>8</v>
      </c>
      <c r="C40" s="38">
        <v>10</v>
      </c>
      <c r="D40" s="39">
        <v>13492.21</v>
      </c>
    </row>
    <row r="41" ht="15" spans="1:4">
      <c r="A41" s="38">
        <v>38</v>
      </c>
      <c r="B41" s="38">
        <v>8</v>
      </c>
      <c r="C41" s="38">
        <v>9</v>
      </c>
      <c r="D41" s="39">
        <v>13112.16</v>
      </c>
    </row>
    <row r="42" ht="15" spans="1:4">
      <c r="A42" s="38">
        <v>39</v>
      </c>
      <c r="B42" s="38">
        <v>8</v>
      </c>
      <c r="C42" s="38">
        <v>8</v>
      </c>
      <c r="D42" s="39">
        <v>12732</v>
      </c>
    </row>
    <row r="43" ht="15" spans="1:4">
      <c r="A43" s="38">
        <v>40</v>
      </c>
      <c r="B43" s="38">
        <v>8</v>
      </c>
      <c r="C43" s="38">
        <v>7</v>
      </c>
      <c r="D43" s="39">
        <v>12351.94</v>
      </c>
    </row>
    <row r="44" ht="15" spans="1:3">
      <c r="A44" s="38">
        <v>41</v>
      </c>
      <c r="B44" s="38">
        <v>7</v>
      </c>
      <c r="C44" s="38">
        <v>10</v>
      </c>
    </row>
    <row r="45" ht="15" spans="1:3">
      <c r="A45" s="38">
        <v>42</v>
      </c>
      <c r="B45" s="38">
        <v>7</v>
      </c>
      <c r="C45" s="38">
        <v>9</v>
      </c>
    </row>
    <row r="46" ht="15" spans="1:4">
      <c r="A46" s="38">
        <v>43</v>
      </c>
      <c r="B46" s="38">
        <v>7</v>
      </c>
      <c r="C46" s="38">
        <v>8</v>
      </c>
      <c r="D46" s="39"/>
    </row>
    <row r="47" ht="15" spans="1:4">
      <c r="A47" s="38">
        <v>44</v>
      </c>
      <c r="B47" s="38">
        <v>7</v>
      </c>
      <c r="C47" s="38">
        <v>6</v>
      </c>
      <c r="D47" s="39"/>
    </row>
    <row r="48" ht="15" spans="1:4">
      <c r="A48" s="38">
        <v>45</v>
      </c>
      <c r="B48" s="38">
        <v>7</v>
      </c>
      <c r="C48" s="38">
        <v>5</v>
      </c>
      <c r="D48" s="39"/>
    </row>
    <row r="49" ht="15" spans="1:4">
      <c r="A49" s="38">
        <v>46</v>
      </c>
      <c r="B49" s="38">
        <v>7</v>
      </c>
      <c r="C49" s="38">
        <v>4</v>
      </c>
      <c r="D49" s="39">
        <f>9050.14</f>
        <v>9050.14</v>
      </c>
    </row>
    <row r="50" ht="15" spans="1:4">
      <c r="A50" s="38">
        <v>47</v>
      </c>
      <c r="B50" s="38">
        <v>7</v>
      </c>
      <c r="C50" s="38">
        <v>3</v>
      </c>
      <c r="D50" s="39">
        <f>8730.79</f>
        <v>8730.79</v>
      </c>
    </row>
    <row r="51" ht="15" spans="1:4">
      <c r="A51" s="38">
        <v>48</v>
      </c>
      <c r="B51" s="38">
        <v>5</v>
      </c>
      <c r="C51" s="38">
        <v>13</v>
      </c>
      <c r="D51" s="39">
        <v>5769.6</v>
      </c>
    </row>
    <row r="52" ht="15" spans="1:4">
      <c r="A52" s="38">
        <v>49</v>
      </c>
      <c r="B52" s="38">
        <v>5</v>
      </c>
      <c r="C52" s="38">
        <v>12</v>
      </c>
      <c r="D52" s="39">
        <v>5598.92</v>
      </c>
    </row>
    <row r="53" ht="15" spans="1:4">
      <c r="A53" s="38">
        <v>50</v>
      </c>
      <c r="B53" s="38">
        <v>5</v>
      </c>
      <c r="C53" s="38">
        <v>11</v>
      </c>
      <c r="D53" s="39">
        <v>5428.12</v>
      </c>
    </row>
    <row r="54" ht="15" spans="1:4">
      <c r="A54" s="38">
        <v>51</v>
      </c>
      <c r="B54" s="38">
        <v>5</v>
      </c>
      <c r="C54" s="38">
        <v>10</v>
      </c>
      <c r="D54" s="39">
        <v>5257.44</v>
      </c>
    </row>
    <row r="55" ht="15" spans="1:4">
      <c r="A55" s="38">
        <v>52</v>
      </c>
      <c r="B55" s="38">
        <v>5</v>
      </c>
      <c r="C55" s="38">
        <v>9</v>
      </c>
      <c r="D55" s="39">
        <v>5086.76</v>
      </c>
    </row>
    <row r="56" ht="15" spans="1:4">
      <c r="A56" s="38">
        <v>53</v>
      </c>
      <c r="B56" s="38">
        <v>5</v>
      </c>
      <c r="C56" s="38">
        <v>8</v>
      </c>
      <c r="D56" s="39">
        <v>4915.94</v>
      </c>
    </row>
    <row r="57" ht="15" spans="1:4">
      <c r="A57" s="38"/>
      <c r="B57" s="38">
        <v>5</v>
      </c>
      <c r="C57" s="38">
        <v>7</v>
      </c>
      <c r="D57" s="39">
        <v>4745.29</v>
      </c>
    </row>
    <row r="58" ht="15" spans="2:4">
      <c r="B58" s="38">
        <v>4</v>
      </c>
      <c r="C58" s="38">
        <v>11</v>
      </c>
      <c r="D58" s="39">
        <v>4836.3</v>
      </c>
    </row>
    <row r="59" ht="15" spans="2:4">
      <c r="B59" s="38">
        <v>4</v>
      </c>
      <c r="C59" s="38">
        <v>8</v>
      </c>
      <c r="D59" s="39">
        <v>4248.51</v>
      </c>
    </row>
    <row r="60" ht="15" spans="2:4">
      <c r="B60" s="38">
        <v>4</v>
      </c>
      <c r="C60" s="38">
        <v>7</v>
      </c>
      <c r="D60" s="39">
        <v>4101.58</v>
      </c>
    </row>
  </sheetData>
  <pageMargins left="0.7" right="0.7" top="0.75" bottom="0.75" header="0.3" footer="0.3"/>
  <pageSetup paperSize="9" orientation="portrait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2"/>
  <sheetViews>
    <sheetView view="pageBreakPreview" zoomScaleNormal="69" workbookViewId="0">
      <pane xSplit="3" ySplit="7" topLeftCell="D153" activePane="bottomRight" state="frozen"/>
      <selection/>
      <selection pane="topRight"/>
      <selection pane="bottomLeft"/>
      <selection pane="bottomRight" activeCell="C6" sqref="C6"/>
    </sheetView>
  </sheetViews>
  <sheetFormatPr defaultColWidth="9.13636363636364" defaultRowHeight="20.1" customHeight="1" outlineLevelCol="4"/>
  <cols>
    <col min="1" max="1" width="4.57272727272727" style="1" customWidth="1"/>
    <col min="2" max="2" width="42.4272727272727" style="1" customWidth="1"/>
    <col min="3" max="3" width="40.4272727272727" style="1" customWidth="1"/>
    <col min="4" max="4" width="11.5727272727273" style="1" customWidth="1"/>
    <col min="5" max="5" width="21.7090909090909" style="1" customWidth="1"/>
    <col min="6" max="16384" width="9.13636363636364" style="1"/>
  </cols>
  <sheetData>
    <row r="1" ht="27" customHeight="1" spans="1:4">
      <c r="A1" s="2" t="s">
        <v>0</v>
      </c>
      <c r="B1" s="2"/>
      <c r="C1" s="2"/>
      <c r="D1" s="2"/>
    </row>
    <row r="2" ht="33.75" customHeight="1" spans="1:4">
      <c r="A2" s="3" t="s">
        <v>1336</v>
      </c>
      <c r="B2" s="3"/>
      <c r="C2" s="3"/>
      <c r="D2" s="3"/>
    </row>
    <row r="3" ht="9.75" customHeight="1"/>
    <row r="4" ht="33" customHeight="1" spans="1:4">
      <c r="A4" s="4"/>
      <c r="B4" s="5" t="s">
        <v>2</v>
      </c>
      <c r="C4" s="6" t="s">
        <v>3</v>
      </c>
      <c r="D4" s="7" t="s">
        <v>4</v>
      </c>
    </row>
    <row r="5" ht="17.25" customHeight="1" spans="3:4">
      <c r="C5" s="8"/>
      <c r="D5" s="8"/>
    </row>
    <row r="6" customHeight="1" spans="1:4">
      <c r="A6" s="9" t="s">
        <v>20</v>
      </c>
      <c r="B6" s="8" t="s">
        <v>21</v>
      </c>
      <c r="C6" s="8"/>
      <c r="D6" s="8"/>
    </row>
    <row r="7" customHeight="1" spans="1:5">
      <c r="A7" s="10">
        <v>1</v>
      </c>
      <c r="B7" s="11" t="s">
        <v>22</v>
      </c>
      <c r="C7" s="12" t="s">
        <v>23</v>
      </c>
      <c r="D7" s="12" t="s">
        <v>24</v>
      </c>
      <c r="E7" s="13"/>
    </row>
    <row r="8" customHeight="1" spans="1:5">
      <c r="A8" s="10">
        <v>2</v>
      </c>
      <c r="B8" s="11" t="s">
        <v>1085</v>
      </c>
      <c r="C8" s="4" t="s">
        <v>1086</v>
      </c>
      <c r="D8" s="10" t="s">
        <v>189</v>
      </c>
      <c r="E8" s="13"/>
    </row>
    <row r="9" customHeight="1" spans="1:5">
      <c r="A9" s="10">
        <v>3</v>
      </c>
      <c r="B9" s="11" t="s">
        <v>25</v>
      </c>
      <c r="C9" s="12" t="s">
        <v>26</v>
      </c>
      <c r="D9" s="10" t="s">
        <v>27</v>
      </c>
      <c r="E9" s="13"/>
    </row>
    <row r="10" customHeight="1" spans="1:5">
      <c r="A10" s="10">
        <v>4</v>
      </c>
      <c r="B10" s="14" t="s">
        <v>28</v>
      </c>
      <c r="C10" s="4" t="s">
        <v>29</v>
      </c>
      <c r="D10" s="15" t="s">
        <v>110</v>
      </c>
      <c r="E10" s="13"/>
    </row>
    <row r="11" customHeight="1" spans="1:5">
      <c r="A11" s="10">
        <v>5</v>
      </c>
      <c r="B11" s="14" t="s">
        <v>173</v>
      </c>
      <c r="C11" s="4" t="s">
        <v>1087</v>
      </c>
      <c r="D11" s="16" t="s">
        <v>110</v>
      </c>
      <c r="E11" s="13"/>
    </row>
    <row r="12" customHeight="1" spans="1:5">
      <c r="A12" s="10">
        <v>6</v>
      </c>
      <c r="B12" s="11" t="s">
        <v>30</v>
      </c>
      <c r="C12" s="17" t="s">
        <v>31</v>
      </c>
      <c r="D12" s="16" t="s">
        <v>110</v>
      </c>
      <c r="E12" s="13"/>
    </row>
    <row r="13" customHeight="1" spans="1:5">
      <c r="A13" s="10">
        <v>7</v>
      </c>
      <c r="B13" s="14" t="s">
        <v>32</v>
      </c>
      <c r="C13" s="4" t="s">
        <v>33</v>
      </c>
      <c r="D13" s="16" t="s">
        <v>110</v>
      </c>
      <c r="E13" s="13"/>
    </row>
    <row r="14" customHeight="1" spans="1:5">
      <c r="A14" s="10">
        <v>8</v>
      </c>
      <c r="B14" s="11" t="s">
        <v>34</v>
      </c>
      <c r="C14" s="12" t="s">
        <v>35</v>
      </c>
      <c r="D14" s="15" t="s">
        <v>36</v>
      </c>
      <c r="E14" s="13"/>
    </row>
    <row r="15" customHeight="1" spans="1:5">
      <c r="A15" s="10">
        <v>9</v>
      </c>
      <c r="B15" s="18" t="s">
        <v>521</v>
      </c>
      <c r="C15" s="12" t="s">
        <v>574</v>
      </c>
      <c r="D15" s="10" t="s">
        <v>573</v>
      </c>
      <c r="E15" s="13"/>
    </row>
    <row r="16" customHeight="1" spans="1:5">
      <c r="A16" s="10">
        <v>10</v>
      </c>
      <c r="B16" s="19" t="s">
        <v>1178</v>
      </c>
      <c r="C16" s="4" t="s">
        <v>1179</v>
      </c>
      <c r="D16" s="16" t="s">
        <v>222</v>
      </c>
      <c r="E16" s="13"/>
    </row>
    <row r="17" ht="19.5" customHeight="1" spans="1:5">
      <c r="A17" s="10">
        <v>11</v>
      </c>
      <c r="B17" s="14" t="s">
        <v>1088</v>
      </c>
      <c r="C17" s="4" t="s">
        <v>41</v>
      </c>
      <c r="D17" s="10" t="s">
        <v>222</v>
      </c>
      <c r="E17" s="13"/>
    </row>
    <row r="18" ht="19.5" customHeight="1" spans="1:5">
      <c r="A18" s="10">
        <v>12</v>
      </c>
      <c r="B18" s="14" t="s">
        <v>1180</v>
      </c>
      <c r="C18" s="4" t="s">
        <v>1181</v>
      </c>
      <c r="D18" s="10" t="s">
        <v>222</v>
      </c>
      <c r="E18" s="13"/>
    </row>
    <row r="19" customHeight="1" spans="1:5">
      <c r="A19" s="10">
        <v>13</v>
      </c>
      <c r="B19" s="11" t="s">
        <v>40</v>
      </c>
      <c r="C19" s="4" t="s">
        <v>41</v>
      </c>
      <c r="D19" s="15" t="s">
        <v>222</v>
      </c>
      <c r="E19" s="13"/>
    </row>
    <row r="20" customHeight="1" spans="1:5">
      <c r="A20" s="10">
        <v>14</v>
      </c>
      <c r="B20" s="11" t="s">
        <v>50</v>
      </c>
      <c r="C20" s="12" t="s">
        <v>51</v>
      </c>
      <c r="D20" s="15" t="s">
        <v>1019</v>
      </c>
      <c r="E20" s="13"/>
    </row>
    <row r="21" customHeight="1" spans="1:5">
      <c r="A21" s="10">
        <v>15</v>
      </c>
      <c r="B21" s="18" t="s">
        <v>53</v>
      </c>
      <c r="C21" s="4" t="s">
        <v>54</v>
      </c>
      <c r="D21" s="15" t="s">
        <v>1020</v>
      </c>
      <c r="E21" s="13"/>
    </row>
    <row r="22" customHeight="1" spans="1:5">
      <c r="A22" s="10">
        <v>16</v>
      </c>
      <c r="B22" s="11" t="s">
        <v>204</v>
      </c>
      <c r="C22" s="12" t="s">
        <v>581</v>
      </c>
      <c r="D22" s="15" t="s">
        <v>62</v>
      </c>
      <c r="E22" s="13"/>
    </row>
    <row r="23" ht="18.75" customHeight="1" spans="1:5">
      <c r="A23" s="10">
        <v>17</v>
      </c>
      <c r="B23" s="11" t="s">
        <v>60</v>
      </c>
      <c r="C23" s="12" t="s">
        <v>61</v>
      </c>
      <c r="D23" s="15" t="s">
        <v>135</v>
      </c>
      <c r="E23" s="13"/>
    </row>
    <row r="24" ht="18.75" customHeight="1" spans="1:5">
      <c r="A24" s="10">
        <v>18</v>
      </c>
      <c r="B24" s="18" t="s">
        <v>1182</v>
      </c>
      <c r="C24" s="12" t="s">
        <v>91</v>
      </c>
      <c r="D24" s="15" t="s">
        <v>265</v>
      </c>
      <c r="E24" s="13"/>
    </row>
    <row r="25" ht="18.75" customHeight="1" spans="1:5">
      <c r="A25" s="10">
        <v>19</v>
      </c>
      <c r="B25" s="4" t="s">
        <v>73</v>
      </c>
      <c r="C25" s="4" t="s">
        <v>74</v>
      </c>
      <c r="D25" s="10" t="s">
        <v>80</v>
      </c>
      <c r="E25" s="13"/>
    </row>
    <row r="26" ht="18.75" customHeight="1" spans="1:5">
      <c r="A26" s="10">
        <v>20</v>
      </c>
      <c r="B26" s="18" t="s">
        <v>76</v>
      </c>
      <c r="C26" s="12" t="s">
        <v>74</v>
      </c>
      <c r="D26" s="15" t="s">
        <v>80</v>
      </c>
      <c r="E26" s="13"/>
    </row>
    <row r="27" ht="18.75" customHeight="1" spans="1:5">
      <c r="A27" s="10">
        <v>21</v>
      </c>
      <c r="B27" s="11" t="s">
        <v>1089</v>
      </c>
      <c r="C27" s="12" t="s">
        <v>1090</v>
      </c>
      <c r="D27" s="15" t="s">
        <v>80</v>
      </c>
      <c r="E27" s="13"/>
    </row>
    <row r="28" ht="18.75" customHeight="1" spans="1:5">
      <c r="A28" s="10">
        <v>22</v>
      </c>
      <c r="B28" s="18" t="s">
        <v>78</v>
      </c>
      <c r="C28" s="12" t="s">
        <v>1036</v>
      </c>
      <c r="D28" s="15" t="s">
        <v>1014</v>
      </c>
      <c r="E28" s="13"/>
    </row>
    <row r="29" ht="18.75" customHeight="1" spans="1:5">
      <c r="A29" s="10">
        <v>23</v>
      </c>
      <c r="B29" s="18" t="s">
        <v>81</v>
      </c>
      <c r="C29" s="4" t="s">
        <v>1091</v>
      </c>
      <c r="D29" s="10" t="s">
        <v>1014</v>
      </c>
      <c r="E29" s="13"/>
    </row>
    <row r="30" ht="18.75" customHeight="1" spans="1:5">
      <c r="A30" s="10">
        <v>24</v>
      </c>
      <c r="B30" s="18" t="s">
        <v>85</v>
      </c>
      <c r="C30" s="17" t="s">
        <v>86</v>
      </c>
      <c r="D30" s="15" t="s">
        <v>80</v>
      </c>
      <c r="E30" s="13"/>
    </row>
    <row r="31" ht="18.75" customHeight="1" spans="1:5">
      <c r="A31" s="10">
        <v>25</v>
      </c>
      <c r="B31" s="18" t="s">
        <v>88</v>
      </c>
      <c r="C31" s="4" t="s">
        <v>89</v>
      </c>
      <c r="D31" s="10" t="s">
        <v>92</v>
      </c>
      <c r="E31" s="13"/>
    </row>
    <row r="32" ht="18.75" customHeight="1" spans="1:5">
      <c r="A32" s="10">
        <v>26</v>
      </c>
      <c r="B32" s="18" t="s">
        <v>1009</v>
      </c>
      <c r="C32" s="12" t="s">
        <v>91</v>
      </c>
      <c r="D32" s="15" t="s">
        <v>92</v>
      </c>
      <c r="E32" s="13"/>
    </row>
    <row r="33" ht="18.75" customHeight="1" spans="1:5">
      <c r="A33" s="10">
        <v>27</v>
      </c>
      <c r="B33" s="18" t="s">
        <v>1183</v>
      </c>
      <c r="C33" s="12" t="s">
        <v>91</v>
      </c>
      <c r="D33" s="15" t="s">
        <v>92</v>
      </c>
      <c r="E33" s="13"/>
    </row>
    <row r="34" ht="18.75" customHeight="1" spans="1:5">
      <c r="A34" s="10">
        <v>28</v>
      </c>
      <c r="B34" s="18" t="s">
        <v>230</v>
      </c>
      <c r="C34" s="12" t="s">
        <v>231</v>
      </c>
      <c r="D34" s="15" t="s">
        <v>95</v>
      </c>
      <c r="E34" s="13"/>
    </row>
    <row r="35" ht="20.25" customHeight="1" spans="1:5">
      <c r="A35" s="10"/>
      <c r="B35" s="20" t="s">
        <v>96</v>
      </c>
      <c r="C35" s="21">
        <v>28</v>
      </c>
      <c r="D35" s="15"/>
      <c r="E35" s="13"/>
    </row>
    <row r="36" ht="18.75" customHeight="1" spans="1:5">
      <c r="A36" s="10"/>
      <c r="B36" s="22"/>
      <c r="C36" s="4"/>
      <c r="D36" s="15"/>
      <c r="E36" s="13"/>
    </row>
    <row r="37" ht="18.75" customHeight="1" spans="1:5">
      <c r="A37" s="10"/>
      <c r="B37" s="20" t="s">
        <v>97</v>
      </c>
      <c r="C37" s="4"/>
      <c r="D37" s="15"/>
      <c r="E37" s="13"/>
    </row>
    <row r="38" ht="18.75" customHeight="1" spans="1:5">
      <c r="A38" s="10">
        <v>1</v>
      </c>
      <c r="B38" s="18" t="s">
        <v>98</v>
      </c>
      <c r="C38" s="4" t="s">
        <v>99</v>
      </c>
      <c r="D38" s="10" t="s">
        <v>100</v>
      </c>
      <c r="E38" s="13"/>
    </row>
    <row r="39" ht="18.75" customHeight="1" spans="1:5">
      <c r="A39" s="10">
        <v>2</v>
      </c>
      <c r="B39" s="18" t="s">
        <v>101</v>
      </c>
      <c r="C39" s="4" t="s">
        <v>615</v>
      </c>
      <c r="D39" s="10" t="s">
        <v>95</v>
      </c>
      <c r="E39" s="13"/>
    </row>
    <row r="40" ht="19.5" customHeight="1" spans="1:5">
      <c r="A40" s="10"/>
      <c r="B40" s="14"/>
      <c r="C40" s="21">
        <v>2</v>
      </c>
      <c r="D40" s="10"/>
      <c r="E40" s="13"/>
    </row>
    <row r="41" customHeight="1" spans="1:5">
      <c r="A41" s="10"/>
      <c r="B41" s="14"/>
      <c r="C41" s="4"/>
      <c r="D41" s="10"/>
      <c r="E41" s="13"/>
    </row>
    <row r="42" customHeight="1" spans="1:5">
      <c r="A42" s="10"/>
      <c r="B42" s="23" t="s">
        <v>107</v>
      </c>
      <c r="C42" s="5"/>
      <c r="D42" s="24"/>
      <c r="E42" s="13"/>
    </row>
    <row r="43" customHeight="1" spans="1:5">
      <c r="A43" s="10">
        <v>1</v>
      </c>
      <c r="B43" s="11" t="s">
        <v>501</v>
      </c>
      <c r="C43" s="4" t="s">
        <v>502</v>
      </c>
      <c r="D43" s="10" t="s">
        <v>100</v>
      </c>
      <c r="E43" s="13"/>
    </row>
    <row r="44" customHeight="1" spans="1:5">
      <c r="A44" s="10">
        <v>2</v>
      </c>
      <c r="B44" s="11" t="s">
        <v>491</v>
      </c>
      <c r="C44" s="4" t="s">
        <v>44</v>
      </c>
      <c r="D44" s="10" t="s">
        <v>36</v>
      </c>
      <c r="E44" s="13"/>
    </row>
    <row r="45" customHeight="1" spans="1:5">
      <c r="A45" s="10">
        <v>3</v>
      </c>
      <c r="B45" s="11" t="s">
        <v>108</v>
      </c>
      <c r="C45" s="4" t="s">
        <v>112</v>
      </c>
      <c r="D45" s="10" t="s">
        <v>36</v>
      </c>
      <c r="E45" s="13"/>
    </row>
    <row r="46" customHeight="1" spans="1:5">
      <c r="A46" s="10">
        <v>4</v>
      </c>
      <c r="B46" s="11" t="s">
        <v>111</v>
      </c>
      <c r="C46" s="4" t="s">
        <v>112</v>
      </c>
      <c r="D46" s="10" t="s">
        <v>36</v>
      </c>
      <c r="E46" s="13"/>
    </row>
    <row r="47" customHeight="1" spans="1:5">
      <c r="A47" s="10">
        <v>5</v>
      </c>
      <c r="B47" s="11" t="s">
        <v>113</v>
      </c>
      <c r="C47" s="4" t="s">
        <v>112</v>
      </c>
      <c r="D47" s="10" t="s">
        <v>131</v>
      </c>
      <c r="E47" s="13"/>
    </row>
    <row r="48" customHeight="1" spans="1:5">
      <c r="A48" s="10">
        <v>6</v>
      </c>
      <c r="B48" s="11" t="s">
        <v>114</v>
      </c>
      <c r="C48" s="4" t="s">
        <v>46</v>
      </c>
      <c r="D48" s="10" t="s">
        <v>222</v>
      </c>
      <c r="E48" s="13"/>
    </row>
    <row r="49" customHeight="1" spans="1:5">
      <c r="A49" s="10">
        <v>7</v>
      </c>
      <c r="B49" s="14" t="s">
        <v>115</v>
      </c>
      <c r="C49" s="4" t="s">
        <v>133</v>
      </c>
      <c r="D49" s="16" t="s">
        <v>222</v>
      </c>
      <c r="E49" s="13"/>
    </row>
    <row r="50" customHeight="1" spans="1:5">
      <c r="A50" s="10">
        <v>8</v>
      </c>
      <c r="B50" s="11" t="s">
        <v>1094</v>
      </c>
      <c r="C50" s="4" t="s">
        <v>133</v>
      </c>
      <c r="D50" s="10" t="s">
        <v>148</v>
      </c>
      <c r="E50" s="13"/>
    </row>
    <row r="51" customHeight="1" spans="1:5">
      <c r="A51" s="10">
        <v>9</v>
      </c>
      <c r="B51" s="11" t="s">
        <v>45</v>
      </c>
      <c r="C51" s="4" t="s">
        <v>483</v>
      </c>
      <c r="D51" s="10" t="s">
        <v>52</v>
      </c>
      <c r="E51" s="13"/>
    </row>
    <row r="52" customHeight="1" spans="1:5">
      <c r="A52" s="10">
        <v>10</v>
      </c>
      <c r="B52" s="11" t="s">
        <v>118</v>
      </c>
      <c r="C52" s="4" t="s">
        <v>117</v>
      </c>
      <c r="D52" s="10" t="s">
        <v>83</v>
      </c>
      <c r="E52" s="13"/>
    </row>
    <row r="53" customHeight="1" spans="1:5">
      <c r="A53" s="10">
        <v>11</v>
      </c>
      <c r="B53" s="11" t="s">
        <v>580</v>
      </c>
      <c r="C53" s="4" t="s">
        <v>117</v>
      </c>
      <c r="D53" s="10" t="s">
        <v>83</v>
      </c>
      <c r="E53" s="13"/>
    </row>
    <row r="54" customHeight="1" spans="1:5">
      <c r="A54" s="10">
        <v>12</v>
      </c>
      <c r="B54" s="11" t="s">
        <v>119</v>
      </c>
      <c r="C54" s="4" t="s">
        <v>117</v>
      </c>
      <c r="D54" s="10" t="s">
        <v>83</v>
      </c>
      <c r="E54" s="13"/>
    </row>
    <row r="55" ht="25.5" customHeight="1" spans="1:5">
      <c r="A55" s="10"/>
      <c r="B55" s="20" t="s">
        <v>96</v>
      </c>
      <c r="C55" s="21">
        <v>12</v>
      </c>
      <c r="D55" s="21"/>
      <c r="E55" s="13"/>
    </row>
    <row r="56" customHeight="1" spans="1:5">
      <c r="A56" s="10"/>
      <c r="B56" s="22"/>
      <c r="C56" s="21"/>
      <c r="D56" s="21"/>
      <c r="E56" s="13"/>
    </row>
    <row r="57" customHeight="1" spans="1:5">
      <c r="A57" s="10"/>
      <c r="B57" s="20" t="s">
        <v>120</v>
      </c>
      <c r="C57" s="21"/>
      <c r="D57" s="21"/>
      <c r="E57" s="13"/>
    </row>
    <row r="58" customHeight="1" spans="1:5">
      <c r="A58" s="10">
        <v>1</v>
      </c>
      <c r="B58" s="11" t="s">
        <v>503</v>
      </c>
      <c r="C58" s="12" t="s">
        <v>122</v>
      </c>
      <c r="D58" s="15" t="s">
        <v>100</v>
      </c>
      <c r="E58" s="13"/>
    </row>
    <row r="59" customHeight="1" spans="1:5">
      <c r="A59" s="10">
        <v>2</v>
      </c>
      <c r="B59" s="11" t="s">
        <v>123</v>
      </c>
      <c r="C59" s="12" t="s">
        <v>124</v>
      </c>
      <c r="D59" s="15" t="s">
        <v>573</v>
      </c>
      <c r="E59" s="13"/>
    </row>
    <row r="60" customHeight="1" spans="1:5">
      <c r="A60" s="10"/>
      <c r="B60" s="20" t="s">
        <v>96</v>
      </c>
      <c r="C60" s="21">
        <v>2</v>
      </c>
      <c r="D60" s="21"/>
      <c r="E60" s="13"/>
    </row>
    <row r="61" customHeight="1" spans="1:5">
      <c r="A61" s="10"/>
      <c r="B61" s="20"/>
      <c r="C61" s="21"/>
      <c r="D61" s="21"/>
      <c r="E61" s="13"/>
    </row>
    <row r="62" customHeight="1" spans="1:5">
      <c r="A62" s="10"/>
      <c r="B62" s="20" t="s">
        <v>126</v>
      </c>
      <c r="C62" s="21"/>
      <c r="D62" s="21"/>
      <c r="E62" s="13"/>
    </row>
    <row r="63" customHeight="1" spans="1:5">
      <c r="A63" s="10">
        <v>1</v>
      </c>
      <c r="B63" s="11" t="s">
        <v>127</v>
      </c>
      <c r="C63" s="17" t="s">
        <v>128</v>
      </c>
      <c r="D63" s="10" t="s">
        <v>100</v>
      </c>
      <c r="E63" s="13"/>
    </row>
    <row r="64" customHeight="1" spans="1:5">
      <c r="A64" s="10">
        <v>2</v>
      </c>
      <c r="B64" s="18" t="s">
        <v>129</v>
      </c>
      <c r="C64" s="17" t="s">
        <v>130</v>
      </c>
      <c r="D64" s="15" t="s">
        <v>1021</v>
      </c>
      <c r="E64" s="13"/>
    </row>
    <row r="65" customHeight="1" spans="1:5">
      <c r="A65" s="10">
        <v>3</v>
      </c>
      <c r="B65" s="11" t="s">
        <v>132</v>
      </c>
      <c r="C65" s="4" t="s">
        <v>165</v>
      </c>
      <c r="D65" s="10" t="s">
        <v>52</v>
      </c>
      <c r="E65" s="13"/>
    </row>
    <row r="66" customHeight="1" spans="1:5">
      <c r="A66" s="10">
        <v>4</v>
      </c>
      <c r="B66" s="18" t="s">
        <v>486</v>
      </c>
      <c r="C66" s="17" t="s">
        <v>165</v>
      </c>
      <c r="D66" s="15" t="s">
        <v>1019</v>
      </c>
      <c r="E66" s="13"/>
    </row>
    <row r="67" customHeight="1" spans="1:5">
      <c r="A67" s="10">
        <v>5</v>
      </c>
      <c r="B67" s="14" t="s">
        <v>519</v>
      </c>
      <c r="C67" s="17" t="s">
        <v>133</v>
      </c>
      <c r="D67" s="15" t="s">
        <v>222</v>
      </c>
      <c r="E67" s="13"/>
    </row>
    <row r="68" customHeight="1" spans="1:5">
      <c r="A68" s="10">
        <v>6</v>
      </c>
      <c r="B68" s="14" t="s">
        <v>43</v>
      </c>
      <c r="C68" s="17" t="s">
        <v>133</v>
      </c>
      <c r="D68" s="15" t="s">
        <v>148</v>
      </c>
      <c r="E68" s="13"/>
    </row>
    <row r="69" customHeight="1" spans="1:5">
      <c r="A69" s="10">
        <v>7</v>
      </c>
      <c r="B69" s="11" t="s">
        <v>134</v>
      </c>
      <c r="C69" s="4" t="s">
        <v>117</v>
      </c>
      <c r="D69" s="10" t="s">
        <v>65</v>
      </c>
      <c r="E69" s="13"/>
    </row>
    <row r="70" customHeight="1" spans="1:5">
      <c r="A70" s="10">
        <v>8</v>
      </c>
      <c r="B70" s="11" t="s">
        <v>136</v>
      </c>
      <c r="C70" s="17" t="s">
        <v>67</v>
      </c>
      <c r="D70" s="15" t="s">
        <v>65</v>
      </c>
      <c r="E70" s="13"/>
    </row>
    <row r="71" customHeight="1" spans="1:5">
      <c r="A71" s="10">
        <v>9</v>
      </c>
      <c r="B71" s="11" t="s">
        <v>137</v>
      </c>
      <c r="C71" s="17" t="s">
        <v>67</v>
      </c>
      <c r="D71" s="15" t="s">
        <v>65</v>
      </c>
      <c r="E71" s="13"/>
    </row>
    <row r="72" customHeight="1" spans="1:5">
      <c r="A72" s="10">
        <v>10</v>
      </c>
      <c r="B72" s="11" t="s">
        <v>138</v>
      </c>
      <c r="C72" s="4" t="s">
        <v>139</v>
      </c>
      <c r="D72" s="10" t="s">
        <v>135</v>
      </c>
      <c r="E72" s="13"/>
    </row>
    <row r="73" customHeight="1" spans="1:5">
      <c r="A73" s="10">
        <v>11</v>
      </c>
      <c r="B73" s="11" t="s">
        <v>1184</v>
      </c>
      <c r="C73" s="17" t="s">
        <v>117</v>
      </c>
      <c r="D73" s="10" t="s">
        <v>104</v>
      </c>
      <c r="E73" s="13"/>
    </row>
    <row r="74" customHeight="1" spans="1:5">
      <c r="A74" s="10">
        <v>12</v>
      </c>
      <c r="B74" s="11" t="s">
        <v>77</v>
      </c>
      <c r="C74" s="17" t="s">
        <v>64</v>
      </c>
      <c r="D74" s="10" t="s">
        <v>80</v>
      </c>
      <c r="E74" s="13"/>
    </row>
    <row r="75" customHeight="1" spans="1:5">
      <c r="A75" s="10">
        <v>13</v>
      </c>
      <c r="B75" s="14" t="s">
        <v>63</v>
      </c>
      <c r="C75" s="17" t="s">
        <v>64</v>
      </c>
      <c r="D75" s="10" t="s">
        <v>92</v>
      </c>
      <c r="E75" s="13"/>
    </row>
    <row r="76" customHeight="1" spans="1:5">
      <c r="A76" s="10"/>
      <c r="B76" s="20" t="s">
        <v>96</v>
      </c>
      <c r="C76" s="21">
        <v>13</v>
      </c>
      <c r="D76" s="21"/>
      <c r="E76" s="13"/>
    </row>
    <row r="77" customHeight="1" spans="1:5">
      <c r="A77" s="10"/>
      <c r="B77" s="22"/>
      <c r="C77" s="21"/>
      <c r="D77" s="21"/>
      <c r="E77" s="13"/>
    </row>
    <row r="78" customHeight="1" spans="1:5">
      <c r="A78" s="10"/>
      <c r="B78" s="20" t="s">
        <v>141</v>
      </c>
      <c r="C78" s="21"/>
      <c r="D78" s="21"/>
      <c r="E78" s="13"/>
    </row>
    <row r="79" customHeight="1" spans="1:5">
      <c r="A79" s="10">
        <v>1</v>
      </c>
      <c r="B79" s="11" t="s">
        <v>142</v>
      </c>
      <c r="C79" s="4" t="s">
        <v>143</v>
      </c>
      <c r="D79" s="10" t="s">
        <v>100</v>
      </c>
      <c r="E79" s="13"/>
    </row>
    <row r="80" customHeight="1" spans="1:5">
      <c r="A80" s="10">
        <v>2</v>
      </c>
      <c r="B80" s="14" t="s">
        <v>520</v>
      </c>
      <c r="C80" s="4" t="s">
        <v>572</v>
      </c>
      <c r="D80" s="15" t="s">
        <v>1021</v>
      </c>
      <c r="E80" s="13"/>
    </row>
    <row r="81" customHeight="1" spans="1:5">
      <c r="A81" s="10">
        <v>3</v>
      </c>
      <c r="B81" s="14" t="s">
        <v>1185</v>
      </c>
      <c r="C81" s="4" t="s">
        <v>1186</v>
      </c>
      <c r="D81" s="15" t="s">
        <v>1021</v>
      </c>
      <c r="E81" s="13"/>
    </row>
    <row r="82" customHeight="1" spans="1:5">
      <c r="A82" s="10">
        <v>4</v>
      </c>
      <c r="B82" s="11" t="s">
        <v>146</v>
      </c>
      <c r="C82" s="4" t="s">
        <v>1037</v>
      </c>
      <c r="D82" s="15" t="s">
        <v>52</v>
      </c>
      <c r="E82" s="13"/>
    </row>
    <row r="83" customHeight="1" spans="1:5">
      <c r="A83" s="10">
        <v>5</v>
      </c>
      <c r="B83" s="11" t="s">
        <v>149</v>
      </c>
      <c r="C83" s="4" t="s">
        <v>152</v>
      </c>
      <c r="D83" s="10" t="s">
        <v>104</v>
      </c>
      <c r="E83" s="13"/>
    </row>
    <row r="84" customHeight="1" spans="1:5">
      <c r="A84" s="10"/>
      <c r="B84" s="20" t="s">
        <v>96</v>
      </c>
      <c r="C84" s="21">
        <v>5</v>
      </c>
      <c r="D84" s="21"/>
      <c r="E84" s="13"/>
    </row>
    <row r="85" customHeight="1" spans="1:5">
      <c r="A85" s="10"/>
      <c r="B85" s="20"/>
      <c r="C85" s="21"/>
      <c r="D85" s="21"/>
      <c r="E85" s="13"/>
    </row>
    <row r="86" customHeight="1" spans="1:5">
      <c r="A86" s="10"/>
      <c r="B86" s="20" t="s">
        <v>155</v>
      </c>
      <c r="C86" s="25"/>
      <c r="D86" s="21"/>
      <c r="E86" s="13"/>
    </row>
    <row r="87" customHeight="1" spans="1:5">
      <c r="A87" s="10">
        <v>1</v>
      </c>
      <c r="B87" s="11" t="s">
        <v>156</v>
      </c>
      <c r="C87" s="4" t="s">
        <v>112</v>
      </c>
      <c r="D87" s="10" t="s">
        <v>36</v>
      </c>
      <c r="E87" s="13"/>
    </row>
    <row r="88" customHeight="1" spans="1:5">
      <c r="A88" s="10">
        <v>2</v>
      </c>
      <c r="B88" s="11" t="s">
        <v>157</v>
      </c>
      <c r="C88" s="4" t="s">
        <v>112</v>
      </c>
      <c r="D88" s="10" t="s">
        <v>36</v>
      </c>
      <c r="E88" s="13"/>
    </row>
    <row r="89" customHeight="1" spans="1:5">
      <c r="A89" s="10">
        <v>3</v>
      </c>
      <c r="B89" s="14" t="s">
        <v>201</v>
      </c>
      <c r="C89" s="4" t="s">
        <v>133</v>
      </c>
      <c r="D89" s="10" t="s">
        <v>42</v>
      </c>
      <c r="E89" s="13"/>
    </row>
    <row r="90" customHeight="1" spans="1:5">
      <c r="A90" s="10">
        <v>4</v>
      </c>
      <c r="B90" s="11" t="s">
        <v>158</v>
      </c>
      <c r="C90" s="4" t="s">
        <v>46</v>
      </c>
      <c r="D90" s="10" t="s">
        <v>222</v>
      </c>
      <c r="E90" s="13"/>
    </row>
    <row r="91" ht="21.6" customHeight="1" spans="1:5">
      <c r="A91" s="10">
        <v>5</v>
      </c>
      <c r="B91" s="11" t="s">
        <v>159</v>
      </c>
      <c r="C91" s="4" t="s">
        <v>483</v>
      </c>
      <c r="D91" s="15" t="s">
        <v>52</v>
      </c>
      <c r="E91" s="13"/>
    </row>
    <row r="92" ht="21.6" customHeight="1" spans="1:5">
      <c r="A92" s="10">
        <v>6</v>
      </c>
      <c r="B92" s="11" t="s">
        <v>160</v>
      </c>
      <c r="C92" s="12" t="s">
        <v>165</v>
      </c>
      <c r="D92" s="15" t="s">
        <v>1019</v>
      </c>
      <c r="E92" s="13"/>
    </row>
    <row r="93" ht="21.6" customHeight="1" spans="1:5">
      <c r="A93" s="10">
        <v>7</v>
      </c>
      <c r="B93" s="11" t="s">
        <v>161</v>
      </c>
      <c r="C93" s="12" t="s">
        <v>165</v>
      </c>
      <c r="D93" s="15" t="s">
        <v>1019</v>
      </c>
      <c r="E93" s="13"/>
    </row>
    <row r="94" ht="21.6" customHeight="1" spans="1:5">
      <c r="A94" s="10">
        <v>8</v>
      </c>
      <c r="B94" s="11" t="s">
        <v>163</v>
      </c>
      <c r="C94" s="17" t="s">
        <v>67</v>
      </c>
      <c r="D94" s="15" t="s">
        <v>65</v>
      </c>
      <c r="E94" s="13"/>
    </row>
    <row r="95" ht="21.6" customHeight="1" spans="1:5">
      <c r="A95" s="10">
        <v>9</v>
      </c>
      <c r="B95" s="11" t="s">
        <v>167</v>
      </c>
      <c r="C95" s="4" t="s">
        <v>168</v>
      </c>
      <c r="D95" s="10" t="s">
        <v>70</v>
      </c>
      <c r="E95" s="13"/>
    </row>
    <row r="96" ht="21.6" customHeight="1" spans="1:5">
      <c r="A96" s="10">
        <v>10</v>
      </c>
      <c r="B96" s="11" t="s">
        <v>169</v>
      </c>
      <c r="C96" s="17" t="s">
        <v>170</v>
      </c>
      <c r="D96" s="15" t="s">
        <v>92</v>
      </c>
      <c r="E96" s="13"/>
    </row>
    <row r="97" customHeight="1" spans="1:5">
      <c r="A97" s="10"/>
      <c r="B97" s="20" t="s">
        <v>96</v>
      </c>
      <c r="C97" s="21">
        <v>10</v>
      </c>
      <c r="D97" s="21"/>
      <c r="E97" s="13"/>
    </row>
    <row r="98" customHeight="1" spans="1:5">
      <c r="A98" s="10"/>
      <c r="B98" s="22"/>
      <c r="C98" s="21"/>
      <c r="D98" s="21"/>
      <c r="E98" s="13"/>
    </row>
    <row r="99" customHeight="1" spans="1:5">
      <c r="A99" s="10"/>
      <c r="B99" s="20" t="s">
        <v>172</v>
      </c>
      <c r="C99" s="21"/>
      <c r="D99" s="21"/>
      <c r="E99" s="13"/>
    </row>
    <row r="100" customHeight="1" spans="1:5">
      <c r="A100" s="10">
        <v>1</v>
      </c>
      <c r="B100" s="18" t="s">
        <v>576</v>
      </c>
      <c r="C100" s="10" t="s">
        <v>577</v>
      </c>
      <c r="D100" s="15" t="s">
        <v>110</v>
      </c>
      <c r="E100" s="13"/>
    </row>
    <row r="101" customHeight="1" spans="1:5">
      <c r="A101" s="10">
        <v>2</v>
      </c>
      <c r="B101" s="11" t="s">
        <v>37</v>
      </c>
      <c r="C101" s="4" t="s">
        <v>177</v>
      </c>
      <c r="D101" s="10" t="s">
        <v>222</v>
      </c>
      <c r="E101" s="13"/>
    </row>
    <row r="102" customHeight="1" spans="1:5">
      <c r="A102" s="10">
        <v>3</v>
      </c>
      <c r="B102" s="11" t="s">
        <v>180</v>
      </c>
      <c r="C102" s="4" t="s">
        <v>181</v>
      </c>
      <c r="D102" s="15" t="s">
        <v>135</v>
      </c>
      <c r="E102" s="13"/>
    </row>
    <row r="103" customHeight="1" spans="1:5">
      <c r="A103" s="10">
        <v>4</v>
      </c>
      <c r="B103" s="11" t="s">
        <v>182</v>
      </c>
      <c r="C103" s="4" t="s">
        <v>1038</v>
      </c>
      <c r="D103" s="15" t="s">
        <v>1014</v>
      </c>
      <c r="E103" s="13"/>
    </row>
    <row r="104" customHeight="1" spans="1:5">
      <c r="A104" s="4"/>
      <c r="B104" s="20" t="s">
        <v>96</v>
      </c>
      <c r="C104" s="21">
        <v>4</v>
      </c>
      <c r="D104" s="26"/>
      <c r="E104" s="13"/>
    </row>
    <row r="105" customHeight="1" spans="1:5">
      <c r="A105" s="4"/>
      <c r="B105" s="22"/>
      <c r="C105" s="21"/>
      <c r="D105" s="26"/>
      <c r="E105" s="13"/>
    </row>
    <row r="106" customHeight="1" spans="1:5">
      <c r="A106" s="4"/>
      <c r="B106" s="20" t="s">
        <v>184</v>
      </c>
      <c r="C106" s="4"/>
      <c r="D106" s="4"/>
      <c r="E106" s="13"/>
    </row>
    <row r="107" customHeight="1" spans="1:5">
      <c r="A107" s="4">
        <v>1</v>
      </c>
      <c r="B107" s="11" t="s">
        <v>185</v>
      </c>
      <c r="C107" s="12" t="s">
        <v>186</v>
      </c>
      <c r="D107" s="15" t="s">
        <v>100</v>
      </c>
      <c r="E107" s="13"/>
    </row>
    <row r="108" customHeight="1" spans="1:5">
      <c r="A108" s="4">
        <v>2</v>
      </c>
      <c r="B108" s="11" t="s">
        <v>187</v>
      </c>
      <c r="C108" s="4" t="s">
        <v>188</v>
      </c>
      <c r="D108" s="16" t="s">
        <v>110</v>
      </c>
      <c r="E108" s="13"/>
    </row>
    <row r="109" customHeight="1" spans="1:5">
      <c r="A109" s="4">
        <v>3</v>
      </c>
      <c r="B109" s="11" t="s">
        <v>190</v>
      </c>
      <c r="C109" s="4" t="s">
        <v>191</v>
      </c>
      <c r="D109" s="10" t="s">
        <v>192</v>
      </c>
      <c r="E109" s="13"/>
    </row>
    <row r="110" customHeight="1" spans="1:5">
      <c r="A110" s="4">
        <v>4</v>
      </c>
      <c r="B110" s="11" t="s">
        <v>193</v>
      </c>
      <c r="C110" s="4" t="s">
        <v>191</v>
      </c>
      <c r="D110" s="10" t="s">
        <v>192</v>
      </c>
      <c r="E110" s="13"/>
    </row>
    <row r="111" customHeight="1" spans="1:5">
      <c r="A111" s="4">
        <v>5</v>
      </c>
      <c r="B111" s="11" t="s">
        <v>194</v>
      </c>
      <c r="C111" s="4" t="s">
        <v>195</v>
      </c>
      <c r="D111" s="15" t="s">
        <v>198</v>
      </c>
      <c r="E111" s="13"/>
    </row>
    <row r="112" customHeight="1" spans="1:5">
      <c r="A112" s="4">
        <v>6</v>
      </c>
      <c r="B112" s="18" t="s">
        <v>197</v>
      </c>
      <c r="C112" s="4" t="s">
        <v>195</v>
      </c>
      <c r="D112" s="10" t="s">
        <v>1014</v>
      </c>
      <c r="E112" s="13"/>
    </row>
    <row r="113" customHeight="1" spans="1:5">
      <c r="A113" s="4">
        <v>7</v>
      </c>
      <c r="B113" s="18" t="s">
        <v>199</v>
      </c>
      <c r="C113" s="4" t="s">
        <v>195</v>
      </c>
      <c r="D113" s="15" t="s">
        <v>92</v>
      </c>
      <c r="E113" s="13"/>
    </row>
    <row r="114" ht="25.5" customHeight="1" spans="1:5">
      <c r="A114" s="4"/>
      <c r="B114" s="20" t="s">
        <v>96</v>
      </c>
      <c r="C114" s="21">
        <v>7</v>
      </c>
      <c r="D114" s="4"/>
      <c r="E114" s="13"/>
    </row>
    <row r="115" customHeight="1" spans="1:5">
      <c r="A115" s="4"/>
      <c r="B115" s="20"/>
      <c r="C115" s="21"/>
      <c r="D115" s="4"/>
      <c r="E115" s="13"/>
    </row>
    <row r="116" customHeight="1" spans="1:5">
      <c r="A116" s="10"/>
      <c r="B116" s="20" t="s">
        <v>200</v>
      </c>
      <c r="C116" s="21"/>
      <c r="D116" s="21"/>
      <c r="E116" s="13"/>
    </row>
    <row r="117" customHeight="1" spans="1:5">
      <c r="A117" s="10">
        <v>1</v>
      </c>
      <c r="B117" s="11" t="s">
        <v>1102</v>
      </c>
      <c r="C117" s="17" t="s">
        <v>67</v>
      </c>
      <c r="D117" s="15" t="s">
        <v>62</v>
      </c>
      <c r="E117" s="13"/>
    </row>
    <row r="118" ht="18.75" customHeight="1" spans="1:5">
      <c r="A118" s="10">
        <v>2</v>
      </c>
      <c r="B118" s="11" t="s">
        <v>202</v>
      </c>
      <c r="C118" s="4" t="s">
        <v>203</v>
      </c>
      <c r="D118" s="15" t="s">
        <v>135</v>
      </c>
      <c r="E118" s="13"/>
    </row>
    <row r="119" ht="24.75" customHeight="1" spans="1:5">
      <c r="A119" s="4"/>
      <c r="B119" s="20" t="s">
        <v>96</v>
      </c>
      <c r="C119" s="21">
        <v>2</v>
      </c>
      <c r="D119" s="26"/>
      <c r="E119" s="13"/>
    </row>
    <row r="120" customHeight="1" spans="1:5">
      <c r="A120" s="4"/>
      <c r="B120" s="20"/>
      <c r="C120" s="21"/>
      <c r="D120" s="4"/>
      <c r="E120" s="13"/>
    </row>
    <row r="121" customHeight="1" spans="1:5">
      <c r="A121" s="4"/>
      <c r="B121" s="20" t="s">
        <v>213</v>
      </c>
      <c r="C121" s="21"/>
      <c r="D121" s="21"/>
      <c r="E121" s="13"/>
    </row>
    <row r="122" customHeight="1" spans="1:5">
      <c r="A122" s="4">
        <v>1</v>
      </c>
      <c r="B122" s="11" t="s">
        <v>214</v>
      </c>
      <c r="C122" s="12" t="s">
        <v>215</v>
      </c>
      <c r="D122" s="15" t="s">
        <v>100</v>
      </c>
      <c r="E122" s="13"/>
    </row>
    <row r="123" customHeight="1" spans="1:5">
      <c r="A123" s="4">
        <v>2</v>
      </c>
      <c r="B123" s="11" t="s">
        <v>1207</v>
      </c>
      <c r="C123" s="12" t="s">
        <v>1208</v>
      </c>
      <c r="D123" s="15" t="s">
        <v>189</v>
      </c>
      <c r="E123" s="13"/>
    </row>
    <row r="124" customHeight="1" spans="1:5">
      <c r="A124" s="4">
        <v>3</v>
      </c>
      <c r="B124" s="11" t="s">
        <v>216</v>
      </c>
      <c r="C124" s="12" t="s">
        <v>219</v>
      </c>
      <c r="D124" s="15" t="s">
        <v>36</v>
      </c>
      <c r="E124" s="13"/>
    </row>
    <row r="125" customHeight="1" spans="1:5">
      <c r="A125" s="4">
        <v>4</v>
      </c>
      <c r="B125" s="14" t="s">
        <v>218</v>
      </c>
      <c r="C125" s="12" t="s">
        <v>219</v>
      </c>
      <c r="D125" s="15" t="s">
        <v>36</v>
      </c>
      <c r="E125" s="13"/>
    </row>
    <row r="126" customHeight="1" spans="1:5">
      <c r="A126" s="4">
        <v>5</v>
      </c>
      <c r="B126" s="14" t="s">
        <v>523</v>
      </c>
      <c r="C126" s="12" t="s">
        <v>219</v>
      </c>
      <c r="D126" s="15" t="s">
        <v>39</v>
      </c>
      <c r="E126" s="13"/>
    </row>
    <row r="127" customHeight="1" spans="1:5">
      <c r="A127" s="4">
        <v>6</v>
      </c>
      <c r="B127" s="11" t="s">
        <v>220</v>
      </c>
      <c r="C127" s="12" t="s">
        <v>221</v>
      </c>
      <c r="D127" s="15" t="s">
        <v>148</v>
      </c>
      <c r="E127" s="13"/>
    </row>
    <row r="128" customHeight="1" spans="1:5">
      <c r="A128" s="4">
        <v>7</v>
      </c>
      <c r="B128" s="11" t="s">
        <v>223</v>
      </c>
      <c r="C128" s="12" t="s">
        <v>224</v>
      </c>
      <c r="D128" s="15" t="s">
        <v>52</v>
      </c>
      <c r="E128" s="13"/>
    </row>
    <row r="129" customHeight="1" spans="1:5">
      <c r="A129" s="4">
        <v>8</v>
      </c>
      <c r="B129" s="11" t="s">
        <v>225</v>
      </c>
      <c r="C129" s="12" t="s">
        <v>1039</v>
      </c>
      <c r="D129" s="15" t="s">
        <v>52</v>
      </c>
      <c r="E129" s="13"/>
    </row>
    <row r="130" customHeight="1" spans="1:5">
      <c r="A130" s="4">
        <v>9</v>
      </c>
      <c r="B130" s="11" t="s">
        <v>226</v>
      </c>
      <c r="C130" s="12" t="s">
        <v>227</v>
      </c>
      <c r="D130" s="10" t="s">
        <v>80</v>
      </c>
      <c r="E130" s="13"/>
    </row>
    <row r="131" customHeight="1" spans="1:5">
      <c r="A131" s="4">
        <v>10</v>
      </c>
      <c r="B131" s="18" t="s">
        <v>228</v>
      </c>
      <c r="C131" s="12" t="s">
        <v>229</v>
      </c>
      <c r="D131" s="15" t="s">
        <v>95</v>
      </c>
      <c r="E131" s="13"/>
    </row>
    <row r="132" customHeight="1" spans="1:5">
      <c r="A132" s="4"/>
      <c r="B132" s="20" t="s">
        <v>96</v>
      </c>
      <c r="C132" s="26" t="s">
        <v>233</v>
      </c>
      <c r="D132" s="15"/>
      <c r="E132" s="13"/>
    </row>
    <row r="133" customHeight="1" spans="1:5">
      <c r="A133" s="4"/>
      <c r="B133" s="22"/>
      <c r="C133" s="26"/>
      <c r="D133" s="15"/>
      <c r="E133" s="13"/>
    </row>
    <row r="134" customHeight="1" spans="1:5">
      <c r="A134" s="4"/>
      <c r="B134" s="20" t="s">
        <v>234</v>
      </c>
      <c r="C134" s="12"/>
      <c r="D134" s="15"/>
      <c r="E134" s="13"/>
    </row>
    <row r="135" customHeight="1" spans="1:5">
      <c r="A135" s="27">
        <v>1</v>
      </c>
      <c r="B135" s="11" t="s">
        <v>235</v>
      </c>
      <c r="C135" s="12" t="s">
        <v>236</v>
      </c>
      <c r="D135" s="15" t="s">
        <v>100</v>
      </c>
      <c r="E135" s="13"/>
    </row>
    <row r="136" customHeight="1" spans="1:5">
      <c r="A136" s="27">
        <v>2</v>
      </c>
      <c r="B136" s="11" t="s">
        <v>524</v>
      </c>
      <c r="C136" s="12" t="s">
        <v>575</v>
      </c>
      <c r="D136" s="15" t="s">
        <v>189</v>
      </c>
      <c r="E136" s="13"/>
    </row>
    <row r="137" customHeight="1" spans="1:5">
      <c r="A137" s="27">
        <v>3</v>
      </c>
      <c r="B137" s="14" t="s">
        <v>237</v>
      </c>
      <c r="C137" s="4" t="s">
        <v>238</v>
      </c>
      <c r="D137" s="16" t="s">
        <v>110</v>
      </c>
      <c r="E137" s="13"/>
    </row>
    <row r="138" customHeight="1" spans="1:5">
      <c r="A138" s="27">
        <v>4</v>
      </c>
      <c r="B138" s="11" t="s">
        <v>239</v>
      </c>
      <c r="C138" s="12" t="s">
        <v>582</v>
      </c>
      <c r="D138" s="15" t="s">
        <v>222</v>
      </c>
      <c r="E138" s="13"/>
    </row>
    <row r="139" customHeight="1" spans="1:5">
      <c r="A139" s="27">
        <v>5</v>
      </c>
      <c r="B139" s="11" t="s">
        <v>241</v>
      </c>
      <c r="C139" s="4" t="s">
        <v>583</v>
      </c>
      <c r="D139" s="15" t="s">
        <v>222</v>
      </c>
      <c r="E139" s="13"/>
    </row>
    <row r="140" customHeight="1" spans="1:5">
      <c r="A140" s="27">
        <v>6</v>
      </c>
      <c r="B140" s="11" t="s">
        <v>176</v>
      </c>
      <c r="C140" s="4" t="s">
        <v>585</v>
      </c>
      <c r="D140" s="15" t="s">
        <v>52</v>
      </c>
      <c r="E140" s="13"/>
    </row>
    <row r="141" customHeight="1" spans="1:5">
      <c r="A141" s="27">
        <v>7</v>
      </c>
      <c r="B141" s="11" t="s">
        <v>178</v>
      </c>
      <c r="C141" s="12" t="s">
        <v>584</v>
      </c>
      <c r="D141" s="15" t="s">
        <v>62</v>
      </c>
      <c r="E141" s="13"/>
    </row>
    <row r="142" customHeight="1" spans="1:5">
      <c r="A142" s="27">
        <v>8</v>
      </c>
      <c r="B142" s="11" t="s">
        <v>244</v>
      </c>
      <c r="C142" s="12" t="s">
        <v>584</v>
      </c>
      <c r="D142" s="15" t="s">
        <v>62</v>
      </c>
      <c r="E142" s="13"/>
    </row>
    <row r="143" customHeight="1" spans="1:5">
      <c r="A143" s="27">
        <v>9</v>
      </c>
      <c r="B143" s="11" t="s">
        <v>245</v>
      </c>
      <c r="C143" s="4" t="s">
        <v>585</v>
      </c>
      <c r="D143" s="15" t="s">
        <v>62</v>
      </c>
      <c r="E143" s="13"/>
    </row>
    <row r="144" customHeight="1" spans="1:5">
      <c r="A144" s="27">
        <v>10</v>
      </c>
      <c r="B144" s="11" t="s">
        <v>247</v>
      </c>
      <c r="C144" s="12" t="s">
        <v>248</v>
      </c>
      <c r="D144" s="15" t="s">
        <v>135</v>
      </c>
      <c r="E144" s="13"/>
    </row>
    <row r="145" customHeight="1" spans="1:5">
      <c r="A145" s="27">
        <v>11</v>
      </c>
      <c r="B145" s="11" t="s">
        <v>249</v>
      </c>
      <c r="C145" s="12" t="s">
        <v>1041</v>
      </c>
      <c r="D145" s="15" t="s">
        <v>587</v>
      </c>
      <c r="E145" s="13"/>
    </row>
    <row r="146" customHeight="1" spans="1:5">
      <c r="A146" s="27">
        <v>12</v>
      </c>
      <c r="B146" s="11" t="s">
        <v>251</v>
      </c>
      <c r="C146" s="12" t="s">
        <v>252</v>
      </c>
      <c r="D146" s="15" t="s">
        <v>62</v>
      </c>
      <c r="E146" s="13"/>
    </row>
    <row r="147" customHeight="1" spans="1:5">
      <c r="A147" s="27">
        <v>13</v>
      </c>
      <c r="B147" s="18" t="s">
        <v>254</v>
      </c>
      <c r="C147" s="4" t="s">
        <v>262</v>
      </c>
      <c r="D147" s="15" t="s">
        <v>587</v>
      </c>
      <c r="E147" s="13"/>
    </row>
    <row r="148" customHeight="1" spans="1:5">
      <c r="A148" s="27">
        <v>14</v>
      </c>
      <c r="B148" s="11" t="s">
        <v>256</v>
      </c>
      <c r="C148" s="4" t="s">
        <v>586</v>
      </c>
      <c r="D148" s="15" t="s">
        <v>104</v>
      </c>
      <c r="E148" s="13"/>
    </row>
    <row r="149" customHeight="1" spans="1:5">
      <c r="A149" s="27">
        <v>15</v>
      </c>
      <c r="B149" s="11" t="s">
        <v>257</v>
      </c>
      <c r="C149" s="4" t="s">
        <v>586</v>
      </c>
      <c r="D149" s="15" t="s">
        <v>265</v>
      </c>
      <c r="E149" s="13"/>
    </row>
    <row r="150" customHeight="1" spans="1:5">
      <c r="A150" s="27">
        <v>16</v>
      </c>
      <c r="B150" s="11" t="s">
        <v>258</v>
      </c>
      <c r="C150" s="4" t="s">
        <v>586</v>
      </c>
      <c r="D150" s="15" t="s">
        <v>265</v>
      </c>
      <c r="E150" s="13"/>
    </row>
    <row r="151" customHeight="1" spans="1:5">
      <c r="A151" s="27">
        <v>17</v>
      </c>
      <c r="B151" s="11" t="s">
        <v>259</v>
      </c>
      <c r="C151" s="12" t="s">
        <v>260</v>
      </c>
      <c r="D151" s="15" t="s">
        <v>70</v>
      </c>
      <c r="E151" s="13"/>
    </row>
    <row r="152" customHeight="1" spans="1:5">
      <c r="A152" s="27">
        <v>18</v>
      </c>
      <c r="B152" s="11" t="s">
        <v>1022</v>
      </c>
      <c r="C152" s="12" t="s">
        <v>262</v>
      </c>
      <c r="D152" s="10" t="s">
        <v>83</v>
      </c>
      <c r="E152" s="13"/>
    </row>
    <row r="153" customHeight="1" spans="1:5">
      <c r="A153" s="27">
        <v>19</v>
      </c>
      <c r="B153" s="11" t="s">
        <v>263</v>
      </c>
      <c r="C153" s="12" t="s">
        <v>264</v>
      </c>
      <c r="D153" s="15" t="s">
        <v>104</v>
      </c>
      <c r="E153" s="13"/>
    </row>
    <row r="154" customHeight="1" spans="1:5">
      <c r="A154" s="27">
        <v>20</v>
      </c>
      <c r="B154" s="11" t="s">
        <v>266</v>
      </c>
      <c r="C154" s="12" t="s">
        <v>267</v>
      </c>
      <c r="D154" s="15" t="s">
        <v>80</v>
      </c>
      <c r="E154" s="13"/>
    </row>
    <row r="155" customHeight="1" spans="1:5">
      <c r="A155" s="27">
        <v>21</v>
      </c>
      <c r="B155" s="11" t="s">
        <v>268</v>
      </c>
      <c r="C155" s="12" t="s">
        <v>269</v>
      </c>
      <c r="D155" s="15" t="s">
        <v>104</v>
      </c>
      <c r="E155" s="13"/>
    </row>
    <row r="156" customHeight="1" spans="1:5">
      <c r="A156" s="27">
        <v>22</v>
      </c>
      <c r="B156" s="11" t="s">
        <v>270</v>
      </c>
      <c r="C156" s="12" t="s">
        <v>271</v>
      </c>
      <c r="D156" s="15" t="s">
        <v>80</v>
      </c>
      <c r="E156" s="13"/>
    </row>
    <row r="157" customHeight="1" spans="1:5">
      <c r="A157" s="27">
        <v>23</v>
      </c>
      <c r="B157" s="18" t="s">
        <v>272</v>
      </c>
      <c r="C157" s="12" t="s">
        <v>278</v>
      </c>
      <c r="D157" s="15" t="s">
        <v>1014</v>
      </c>
      <c r="E157" s="13"/>
    </row>
    <row r="158" customHeight="1" spans="1:5">
      <c r="A158" s="27">
        <v>24</v>
      </c>
      <c r="B158" s="18" t="s">
        <v>275</v>
      </c>
      <c r="C158" s="12" t="s">
        <v>276</v>
      </c>
      <c r="D158" s="15" t="s">
        <v>95</v>
      </c>
      <c r="E158" s="13"/>
    </row>
    <row r="159" customHeight="1" spans="1:5">
      <c r="A159" s="27">
        <v>25</v>
      </c>
      <c r="B159" s="18" t="s">
        <v>277</v>
      </c>
      <c r="C159" s="12" t="s">
        <v>278</v>
      </c>
      <c r="D159" s="15" t="s">
        <v>95</v>
      </c>
      <c r="E159" s="13"/>
    </row>
    <row r="160" customHeight="1" spans="1:5">
      <c r="A160" s="27">
        <v>26</v>
      </c>
      <c r="B160" s="18" t="s">
        <v>279</v>
      </c>
      <c r="C160" s="12" t="s">
        <v>280</v>
      </c>
      <c r="D160" s="15" t="s">
        <v>92</v>
      </c>
      <c r="E160" s="13"/>
    </row>
    <row r="161" customHeight="1" spans="1:5">
      <c r="A161" s="27">
        <v>27</v>
      </c>
      <c r="B161" s="18" t="s">
        <v>281</v>
      </c>
      <c r="C161" s="12" t="s">
        <v>282</v>
      </c>
      <c r="D161" s="15" t="s">
        <v>92</v>
      </c>
      <c r="E161" s="13"/>
    </row>
    <row r="162" customHeight="1" spans="1:5">
      <c r="A162" s="27">
        <v>28</v>
      </c>
      <c r="B162" s="11" t="s">
        <v>287</v>
      </c>
      <c r="C162" s="12" t="s">
        <v>288</v>
      </c>
      <c r="D162" s="15" t="s">
        <v>295</v>
      </c>
      <c r="E162" s="13"/>
    </row>
    <row r="163" customHeight="1" spans="1:5">
      <c r="A163" s="27">
        <v>29</v>
      </c>
      <c r="B163" s="11" t="s">
        <v>290</v>
      </c>
      <c r="C163" s="12" t="s">
        <v>288</v>
      </c>
      <c r="D163" s="15" t="s">
        <v>295</v>
      </c>
      <c r="E163" s="13"/>
    </row>
    <row r="164" customHeight="1" spans="1:5">
      <c r="A164" s="27">
        <v>30</v>
      </c>
      <c r="B164" s="11" t="s">
        <v>291</v>
      </c>
      <c r="C164" s="12" t="s">
        <v>288</v>
      </c>
      <c r="D164" s="15" t="s">
        <v>295</v>
      </c>
      <c r="E164" s="13"/>
    </row>
    <row r="165" customHeight="1" spans="1:5">
      <c r="A165" s="27">
        <v>31</v>
      </c>
      <c r="B165" s="11" t="s">
        <v>292</v>
      </c>
      <c r="C165" s="12" t="s">
        <v>288</v>
      </c>
      <c r="D165" s="15" t="s">
        <v>295</v>
      </c>
      <c r="E165" s="13"/>
    </row>
    <row r="166" customHeight="1" spans="1:5">
      <c r="A166" s="27">
        <v>32</v>
      </c>
      <c r="B166" s="11" t="s">
        <v>293</v>
      </c>
      <c r="C166" s="12" t="s">
        <v>288</v>
      </c>
      <c r="D166" s="15" t="s">
        <v>295</v>
      </c>
      <c r="E166" s="13"/>
    </row>
    <row r="167" customHeight="1" spans="1:5">
      <c r="A167" s="27">
        <v>33</v>
      </c>
      <c r="B167" s="11" t="s">
        <v>294</v>
      </c>
      <c r="C167" s="12" t="s">
        <v>288</v>
      </c>
      <c r="D167" s="15" t="s">
        <v>306</v>
      </c>
      <c r="E167" s="13"/>
    </row>
    <row r="168" customHeight="1" spans="1:5">
      <c r="A168" s="27">
        <v>34</v>
      </c>
      <c r="B168" s="11" t="s">
        <v>296</v>
      </c>
      <c r="C168" s="12" t="s">
        <v>288</v>
      </c>
      <c r="D168" s="15" t="s">
        <v>306</v>
      </c>
      <c r="E168" s="13"/>
    </row>
    <row r="169" customHeight="1" spans="1:5">
      <c r="A169" s="27">
        <v>35</v>
      </c>
      <c r="B169" s="11" t="s">
        <v>1190</v>
      </c>
      <c r="C169" s="12" t="s">
        <v>288</v>
      </c>
      <c r="D169" s="15" t="s">
        <v>306</v>
      </c>
      <c r="E169" s="13"/>
    </row>
    <row r="170" customHeight="1" spans="1:5">
      <c r="A170" s="27">
        <v>36</v>
      </c>
      <c r="B170" s="14" t="s">
        <v>297</v>
      </c>
      <c r="C170" s="12" t="s">
        <v>288</v>
      </c>
      <c r="D170" s="15" t="s">
        <v>306</v>
      </c>
      <c r="E170" s="13"/>
    </row>
    <row r="171" customHeight="1" spans="1:5">
      <c r="A171" s="27">
        <v>37</v>
      </c>
      <c r="B171" s="11" t="s">
        <v>298</v>
      </c>
      <c r="C171" s="12" t="s">
        <v>288</v>
      </c>
      <c r="D171" s="15" t="s">
        <v>306</v>
      </c>
      <c r="E171" s="13"/>
    </row>
    <row r="172" customHeight="1" spans="1:5">
      <c r="A172" s="27">
        <v>38</v>
      </c>
      <c r="B172" s="18" t="s">
        <v>299</v>
      </c>
      <c r="C172" s="12" t="s">
        <v>288</v>
      </c>
      <c r="D172" s="15" t="s">
        <v>306</v>
      </c>
      <c r="E172" s="13"/>
    </row>
    <row r="173" customHeight="1" spans="1:5">
      <c r="A173" s="27">
        <v>39</v>
      </c>
      <c r="B173" s="18" t="s">
        <v>300</v>
      </c>
      <c r="C173" s="12" t="s">
        <v>288</v>
      </c>
      <c r="D173" s="15" t="s">
        <v>306</v>
      </c>
      <c r="E173" s="13"/>
    </row>
    <row r="174" customHeight="1" spans="1:5">
      <c r="A174" s="27">
        <v>40</v>
      </c>
      <c r="B174" s="11" t="s">
        <v>301</v>
      </c>
      <c r="C174" s="12" t="s">
        <v>308</v>
      </c>
      <c r="D174" s="15" t="s">
        <v>588</v>
      </c>
      <c r="E174" s="13"/>
    </row>
    <row r="175" customHeight="1" spans="1:5">
      <c r="A175" s="27">
        <v>41</v>
      </c>
      <c r="B175" s="11" t="s">
        <v>304</v>
      </c>
      <c r="C175" s="12" t="s">
        <v>308</v>
      </c>
      <c r="D175" s="15" t="s">
        <v>588</v>
      </c>
      <c r="E175" s="13"/>
    </row>
    <row r="176" customHeight="1" spans="1:5">
      <c r="A176" s="27">
        <v>42</v>
      </c>
      <c r="B176" s="18" t="s">
        <v>305</v>
      </c>
      <c r="C176" s="12" t="s">
        <v>308</v>
      </c>
      <c r="D176" s="15" t="s">
        <v>1017</v>
      </c>
      <c r="E176" s="13"/>
    </row>
    <row r="177" customHeight="1" spans="1:5">
      <c r="A177" s="27">
        <v>43</v>
      </c>
      <c r="B177" s="11" t="s">
        <v>307</v>
      </c>
      <c r="C177" s="12" t="s">
        <v>308</v>
      </c>
      <c r="D177" s="15" t="s">
        <v>1023</v>
      </c>
      <c r="E177" s="13"/>
    </row>
    <row r="178" customHeight="1" spans="1:5">
      <c r="A178" s="27">
        <v>44</v>
      </c>
      <c r="B178" s="11" t="s">
        <v>309</v>
      </c>
      <c r="C178" s="12" t="s">
        <v>310</v>
      </c>
      <c r="D178" s="15" t="s">
        <v>1024</v>
      </c>
      <c r="E178" s="13"/>
    </row>
    <row r="179" customHeight="1" spans="1:5">
      <c r="A179" s="27">
        <v>45</v>
      </c>
      <c r="B179" s="11" t="s">
        <v>312</v>
      </c>
      <c r="C179" s="12" t="s">
        <v>310</v>
      </c>
      <c r="D179" s="15" t="s">
        <v>1024</v>
      </c>
      <c r="E179" s="13"/>
    </row>
    <row r="180" customHeight="1" spans="1:5">
      <c r="A180" s="27">
        <v>46</v>
      </c>
      <c r="B180" s="11" t="s">
        <v>313</v>
      </c>
      <c r="C180" s="12" t="s">
        <v>310</v>
      </c>
      <c r="D180" s="15" t="s">
        <v>1024</v>
      </c>
      <c r="E180" s="13"/>
    </row>
    <row r="181" customHeight="1" spans="1:5">
      <c r="A181" s="27">
        <v>47</v>
      </c>
      <c r="B181" s="11" t="s">
        <v>314</v>
      </c>
      <c r="C181" s="12" t="s">
        <v>310</v>
      </c>
      <c r="D181" s="15" t="s">
        <v>1024</v>
      </c>
      <c r="E181" s="13"/>
    </row>
    <row r="182" customHeight="1" spans="1:5">
      <c r="A182" s="27">
        <v>48</v>
      </c>
      <c r="B182" s="11" t="s">
        <v>315</v>
      </c>
      <c r="C182" s="12" t="s">
        <v>310</v>
      </c>
      <c r="D182" s="15" t="s">
        <v>1024</v>
      </c>
      <c r="E182" s="13"/>
    </row>
    <row r="183" customHeight="1" spans="1:5">
      <c r="A183" s="27">
        <v>49</v>
      </c>
      <c r="B183" s="18" t="s">
        <v>316</v>
      </c>
      <c r="C183" s="12" t="s">
        <v>310</v>
      </c>
      <c r="D183" s="15" t="s">
        <v>1024</v>
      </c>
      <c r="E183" s="13"/>
    </row>
    <row r="184" customHeight="1" spans="1:5">
      <c r="A184" s="27">
        <v>50</v>
      </c>
      <c r="B184" s="18" t="s">
        <v>317</v>
      </c>
      <c r="C184" s="12" t="s">
        <v>310</v>
      </c>
      <c r="D184" s="15" t="s">
        <v>1024</v>
      </c>
      <c r="E184" s="13"/>
    </row>
    <row r="185" customHeight="1" spans="1:5">
      <c r="A185" s="27">
        <v>51</v>
      </c>
      <c r="B185" s="11" t="s">
        <v>318</v>
      </c>
      <c r="C185" s="12" t="s">
        <v>308</v>
      </c>
      <c r="D185" s="15" t="s">
        <v>1024</v>
      </c>
      <c r="E185" s="13"/>
    </row>
    <row r="186" customHeight="1" spans="1:5">
      <c r="A186" s="27">
        <v>52</v>
      </c>
      <c r="B186" s="11" t="s">
        <v>319</v>
      </c>
      <c r="C186" s="12" t="s">
        <v>308</v>
      </c>
      <c r="D186" s="15" t="s">
        <v>1024</v>
      </c>
      <c r="E186" s="13"/>
    </row>
    <row r="187" customHeight="1" spans="1:5">
      <c r="A187" s="27">
        <v>53</v>
      </c>
      <c r="B187" s="18" t="s">
        <v>320</v>
      </c>
      <c r="C187" s="12" t="s">
        <v>310</v>
      </c>
      <c r="D187" s="15" t="s">
        <v>1042</v>
      </c>
      <c r="E187" s="13"/>
    </row>
    <row r="188" customHeight="1" spans="1:5">
      <c r="A188" s="27">
        <v>54</v>
      </c>
      <c r="B188" s="18" t="s">
        <v>325</v>
      </c>
      <c r="C188" s="12" t="s">
        <v>310</v>
      </c>
      <c r="D188" s="15" t="s">
        <v>1025</v>
      </c>
      <c r="E188" s="13"/>
    </row>
    <row r="189" customHeight="1" spans="1:5">
      <c r="A189" s="27"/>
      <c r="B189" s="8" t="s">
        <v>96</v>
      </c>
      <c r="C189" s="28" t="s">
        <v>1193</v>
      </c>
      <c r="D189" s="29"/>
      <c r="E189" s="13"/>
    </row>
    <row r="190" ht="32.25" customHeight="1" spans="1:5">
      <c r="A190" s="4"/>
      <c r="B190" s="30" t="s">
        <v>336</v>
      </c>
      <c r="C190" s="31">
        <f>C35+C40+C55+C60+C76+C84+C97+C104+C114+C132+C189</f>
        <v>147</v>
      </c>
      <c r="D190" s="32"/>
      <c r="E190" s="13"/>
    </row>
    <row r="191" customHeight="1" spans="2:5">
      <c r="B191" s="33"/>
      <c r="D191" s="34"/>
      <c r="E191" s="35"/>
    </row>
    <row r="192" ht="65.25" customHeight="1" spans="2:4">
      <c r="B192" s="33"/>
      <c r="C192" s="34"/>
      <c r="D192" s="34"/>
    </row>
  </sheetData>
  <mergeCells count="2">
    <mergeCell ref="A1:D1"/>
    <mergeCell ref="A2:D2"/>
  </mergeCells>
  <pageMargins left="0.236220472440945" right="0.236220472440945" top="0.984251968503937" bottom="0.984251968503937" header="0.511811023622047" footer="0.511811023622047"/>
  <pageSetup paperSize="9" orientation="portrait" horizontalDpi="1200" verticalDpi="1200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Private</Company>
  <Application>Microsoft Excel</Application>
  <HeadingPairs>
    <vt:vector size="2" baseType="variant">
      <vt:variant>
        <vt:lpstr>工作表</vt:lpstr>
      </vt:variant>
      <vt:variant>
        <vt:i4>80</vt:i4>
      </vt:variant>
    </vt:vector>
  </HeadingPairs>
  <TitlesOfParts>
    <vt:vector size="80" baseType="lpstr">
      <vt:lpstr>MARCH 2025</vt:lpstr>
      <vt:lpstr>MEMO</vt:lpstr>
      <vt:lpstr>2024 Promotion Arrears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 N</cp:lastModifiedBy>
  <dcterms:created xsi:type="dcterms:W3CDTF">2008-06-27T10:36:00Z</dcterms:created>
  <cp:lastPrinted>2024-11-05T10:10:00Z</cp:lastPrinted>
  <dcterms:modified xsi:type="dcterms:W3CDTF">2025-03-27T12:13:09Z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F15C1D65B4F14A7FA86D358BF3CB8ABD_13</vt:lpwstr>
  </property>
  <property fmtid="{D5CDD505-2E9C-101B-9397-08002B2CF9AE}" pid="3" name="KSOProductBuildVer">
    <vt:lpwstr>1033-12.2.0.20326</vt:lpwstr>
  </property>
</Properties>
</file>