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DO\Desktop\"/>
    </mc:Choice>
  </mc:AlternateContent>
  <bookViews>
    <workbookView xWindow="0" yWindow="0" windowWidth="28800" windowHeight="11835" activeTab="1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Sheet1!#REF!,Sheet1!$1:$1</definedName>
    <definedName name="QB_COLUMN_28" localSheetId="1" hidden="1">Sheet1!$D$1</definedName>
    <definedName name="QB_COLUMN_29" localSheetId="1" hidden="1">Sheet1!$E$1</definedName>
    <definedName name="QB_COLUMN_31" localSheetId="1" hidden="1">Sheet1!$G$1</definedName>
    <definedName name="QB_COLUMN_4" localSheetId="1" hidden="1">Sheet1!$A$1</definedName>
    <definedName name="QB_COLUMN_7" localSheetId="1" hidden="1">Sheet1!$B$1</definedName>
    <definedName name="QB_COLUMN_8" localSheetId="1" hidden="1">Sheet1!$C$1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4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5" localSheetId="1" hidden="1">Sheet1!$242:$242,Sheet1!$243:$243,Sheet1!$244:$244,Sheet1!$245:$245,Sheet1!$246:$246,Sheet1!$247:$247,Sheet1!$248:$248,Sheet1!$249:$249,Sheet1!$250:$250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FORMULA_0" localSheetId="1" hidden="1">Sheet1!$D$251,Sheet1!$E$251,Sheet1!$G$251,Sheet1!$D$252,Sheet1!$E$252,Sheet1!$G$252,Sheet1!$D$253,Sheet1!$E$253,Sheet1!$G$253,Sheet1!$D$254,Sheet1!$E$254,Sheet1!$G$254</definedName>
    <definedName name="QB_ROW_117010" localSheetId="1" hidden="1">Sheet1!$A$2</definedName>
    <definedName name="QB_ROW_117310" localSheetId="1" hidden="1">Sheet1!$A$253</definedName>
    <definedName name="QB_ROW_119020" localSheetId="1" hidden="1">Sheet1!$A$3</definedName>
    <definedName name="QB_ROW_119320" localSheetId="1" hidden="1">Sheet1!$A$252</definedName>
    <definedName name="QB_ROW_121030" localSheetId="1" hidden="1">Sheet1!$A$4</definedName>
    <definedName name="QB_ROW_121330" localSheetId="1" hidden="1">Sheet1!$A$251</definedName>
    <definedName name="QB_ROW_25301" localSheetId="1" hidden="1">Sheet1!$A$254</definedName>
    <definedName name="QBCANSUPPORTUPDATE" localSheetId="1">TRUE</definedName>
    <definedName name="QBCOMPANYFILENAME" localSheetId="1">"\\192.168.80.6\nilds_qb\national institute for legislative studies,2012 quickbooks2.qbw"</definedName>
    <definedName name="QBENDDATE" localSheetId="1">20240630</definedName>
    <definedName name="QBHEADERSONSCREEN" localSheetId="1">FALSE</definedName>
    <definedName name="QBMETADATASIZE" localSheetId="1">7652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"6cba91f810e746158353228954bc6a5a"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83</definedName>
    <definedName name="QBROWHEADERS" localSheetId="1">4</definedName>
    <definedName name="QBSTARTDATE" localSheetId="1">20240601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" l="1"/>
  <c r="G251" i="1" l="1"/>
  <c r="G252" i="1" s="1"/>
  <c r="G253" i="1" s="1"/>
  <c r="G254" i="1" s="1"/>
  <c r="E251" i="1"/>
  <c r="E252" i="1" s="1"/>
  <c r="E253" i="1" s="1"/>
  <c r="E254" i="1" s="1"/>
  <c r="D251" i="1"/>
  <c r="D252" i="1" s="1"/>
  <c r="D253" i="1" s="1"/>
  <c r="D254" i="1" s="1"/>
</calcChain>
</file>

<file path=xl/sharedStrings.xml><?xml version="1.0" encoding="utf-8"?>
<sst xmlns="http://schemas.openxmlformats.org/spreadsheetml/2006/main" count="502" uniqueCount="328">
  <si>
    <t>Date</t>
  </si>
  <si>
    <t>Name</t>
  </si>
  <si>
    <t>Memo</t>
  </si>
  <si>
    <t>Debit</t>
  </si>
  <si>
    <t>Credit</t>
  </si>
  <si>
    <t>Balance</t>
  </si>
  <si>
    <t>3 · BANK AND CASH ACCOUNTS</t>
  </si>
  <si>
    <t>301 · Local Currency Bank Account</t>
  </si>
  <si>
    <t>3011 · Guaranty Trust Bank Naira C/A</t>
  </si>
  <si>
    <t>Total 3011 · Guaranty Trust Bank Naira C/A</t>
  </si>
  <si>
    <t>Total 301 · Local Currency Bank Account</t>
  </si>
  <si>
    <t>Total 3 · BANK AND CASH ACCOUNTS</t>
  </si>
  <si>
    <t>TOTAL</t>
  </si>
  <si>
    <t>Urban International Services Ltd</t>
  </si>
  <si>
    <t>YAQUB Nuhu Prof.</t>
  </si>
  <si>
    <t>AHMED Kabir Dr.</t>
  </si>
  <si>
    <t>FAJINGBESI Adeyemi Dr.</t>
  </si>
  <si>
    <t>Ugwu C Judith and 25 others</t>
  </si>
  <si>
    <t>Dr. DANWANKA Shuaibu &amp; 4 others</t>
  </si>
  <si>
    <t>OJOGIWA  Abisola</t>
  </si>
  <si>
    <t>Munirat Olaide Jimoh &amp; 2 others</t>
  </si>
  <si>
    <t>Mr. Aminu Dukku &amp; Others</t>
  </si>
  <si>
    <t>NILS Staff M.C.S.L</t>
  </si>
  <si>
    <t>Alex Anangu &amp; Others</t>
  </si>
  <si>
    <t>IFEKUDU Kenneth</t>
  </si>
  <si>
    <t>Travel Fast Services Ltd</t>
  </si>
  <si>
    <t>Wosilat Energy Ltd</t>
  </si>
  <si>
    <t>ABDULLAHI Shehu</t>
  </si>
  <si>
    <t>EDOHO Daniel Nsongurua</t>
  </si>
  <si>
    <t>PAUL Stella</t>
  </si>
  <si>
    <t>ABUBAKAR Sodeeq</t>
  </si>
  <si>
    <t>MOSHOOD M.O.</t>
  </si>
  <si>
    <t>Davola Motors</t>
  </si>
  <si>
    <t>AKINSANMI Joke</t>
  </si>
  <si>
    <t>Gaskiya Security Guards Ltd</t>
  </si>
  <si>
    <t>Rash Global Links Nig. Limited</t>
  </si>
  <si>
    <t>Dalton-Heights Resources Limited</t>
  </si>
  <si>
    <t>Creed Insurance Brokers Ltd</t>
  </si>
  <si>
    <t>GY WAT integrated Resources Ltd</t>
  </si>
  <si>
    <t>GTBank</t>
  </si>
  <si>
    <t>MOGOBON Sheu Dare</t>
  </si>
  <si>
    <t>IBRAHIM A Hassana</t>
  </si>
  <si>
    <t>YAKUBU Salamtu</t>
  </si>
  <si>
    <t>NDANUSA M Munzuma Dr.</t>
  </si>
  <si>
    <t>NILDS CBN Account</t>
  </si>
  <si>
    <t>KOLAPO Abayomi Quadri</t>
  </si>
  <si>
    <t>Youngnet Enterprises Limited</t>
  </si>
  <si>
    <t>ADEREMI Adewale Dr.</t>
  </si>
  <si>
    <t>MUSA Andrawus</t>
  </si>
  <si>
    <t>WAKAWA Simon</t>
  </si>
  <si>
    <t>DANIEL Titilayo</t>
  </si>
  <si>
    <t>ABUBAKAR Kudu Mohammed</t>
  </si>
  <si>
    <t>OMONIGHO Eromosele</t>
  </si>
  <si>
    <t>DAGONA Zubairu Prof.</t>
  </si>
  <si>
    <t>UKOH Christabel</t>
  </si>
  <si>
    <t>JIMOH Adebayo</t>
  </si>
  <si>
    <t>LAYI Ejalonibu Ganiyu</t>
  </si>
  <si>
    <t>Tosin O Kayode and 1Other</t>
  </si>
  <si>
    <t>FIRS</t>
  </si>
  <si>
    <t>ABDULJAJIL Saidu Idris</t>
  </si>
  <si>
    <t>BELLO Mohammed</t>
  </si>
  <si>
    <t>Lizabell Nigeria Limited</t>
  </si>
  <si>
    <t>Rockview Hotels</t>
  </si>
  <si>
    <t>TONDO Iorwuese</t>
  </si>
  <si>
    <t>Haliassan Global Travels &amp; Tour</t>
  </si>
  <si>
    <t>Ndanuza Manzuma</t>
  </si>
  <si>
    <t>FCT-IRS</t>
  </si>
  <si>
    <t>NILS  Staff</t>
  </si>
  <si>
    <t>Total Rescue Mission Enterprises Ltd</t>
  </si>
  <si>
    <t>Jewel Publishers</t>
  </si>
  <si>
    <t>ALABI Shina Dr.</t>
  </si>
  <si>
    <t>Prof. Abubakar Sulaiman &amp; Others</t>
  </si>
  <si>
    <t>OLALERE Moshood M. &amp; Others</t>
  </si>
  <si>
    <t>NILS Consultants</t>
  </si>
  <si>
    <t>SALAMATU Yakubu</t>
  </si>
  <si>
    <t>Najtech Global Concept</t>
  </si>
  <si>
    <t>RAFIU Ayobanji Mustapha Dr.</t>
  </si>
  <si>
    <t>Emmanuel Adedokun Ventures Ltd</t>
  </si>
  <si>
    <t>El-Mavericky Contracting Limited</t>
  </si>
  <si>
    <t>Channels Inc Ltd</t>
  </si>
  <si>
    <t>Nurex Con 24 Printing and Gen Con Ltd</t>
  </si>
  <si>
    <t>SALIHU Rahila</t>
  </si>
  <si>
    <t>Crown Agents, UK</t>
  </si>
  <si>
    <t>AKINSANMI Adejoke &amp; others</t>
  </si>
  <si>
    <t>AJI Babagana Muhammad Dr.</t>
  </si>
  <si>
    <t>401 Horizon Media</t>
  </si>
  <si>
    <t>C80 Consulting Limited</t>
  </si>
  <si>
    <t>Blue Concept Enterprises</t>
  </si>
  <si>
    <t>Ardor &amp; Appeal Investment Services Ltd</t>
  </si>
  <si>
    <t>Sambo Technical Service &amp; Co</t>
  </si>
  <si>
    <t>Thnk Business Services Limited</t>
  </si>
  <si>
    <t>Jowil MultiResources Ltd</t>
  </si>
  <si>
    <t>e-payt for provision of security services to the Institute for May 2024</t>
  </si>
  <si>
    <t>Deposit-May 2024 Overhead  Allocation from NASS</t>
  </si>
  <si>
    <t>e-payt for in house consultancy fee for May 2024</t>
  </si>
  <si>
    <t>e-payt for consultancy fee for the month of May 2024</t>
  </si>
  <si>
    <t>e-payt for allowances of interns on legislative Drafting</t>
  </si>
  <si>
    <t>e-payt for honourarium for resource person for the 3rd batch of  interns on legislative Drafting</t>
  </si>
  <si>
    <t>e-payt for financial support for medical expenses</t>
  </si>
  <si>
    <t>e-payt for training fee, airticket, DTA, local running &amp; contigency to attend training on Budget...</t>
  </si>
  <si>
    <t>e-payt for replenishment of directors refreshment</t>
  </si>
  <si>
    <t>e-payt for coop dcontribution and loan recovery from contract and sabbatical staff for May 2024</t>
  </si>
  <si>
    <t>e-payt for ploice honourarium and other securities for the month of May 2024</t>
  </si>
  <si>
    <t>e-payt for 1 year rent for the official Guest House of the Alt. Chairman of the Governing Council</t>
  </si>
  <si>
    <t>e-payt for return international ticket for staff on residency programme to McGill University</t>
  </si>
  <si>
    <t>e-payt for the supply of 27976 litres of diesel to the Institute permanent site</t>
  </si>
  <si>
    <t>e-payt for purchase advance for Finance &amp; Account</t>
  </si>
  <si>
    <t>e-payt for purchase advance for for replenishment of catering advance</t>
  </si>
  <si>
    <t>e-payt for purchase advance for Dept of Econ. &amp; Social research</t>
  </si>
  <si>
    <t>e-payt for purchase advance for M &amp; E</t>
  </si>
  <si>
    <t>e-payt for out of pocket expenses during the establishment of women caucus in NASS</t>
  </si>
  <si>
    <t>e-payt for replacement of tyres for 2 official vehicles in the office of the DG</t>
  </si>
  <si>
    <t>e-payt for dispatch of letters to state assemblies</t>
  </si>
  <si>
    <t>e-payt for security services for the month of May 2024</t>
  </si>
  <si>
    <t>e-payt for the supply of 400 no. ccustomisd notebooks for the Institute</t>
  </si>
  <si>
    <t>e-payt for the supply of store receipts and issue vouchers to the Institute</t>
  </si>
  <si>
    <t>e-payt for insurance premium for 6 no. vehicles</t>
  </si>
  <si>
    <t>e-payt for purchase of facility maintainance equipment at Centre for security analysis</t>
  </si>
  <si>
    <t>e-payt for tax elements deducted from Cabbos Bruni Nigeria Ltd &amp; Aevin Engineering</t>
  </si>
  <si>
    <t>e-payt for purchase advance for DG's dept</t>
  </si>
  <si>
    <t>e-payt for purchase advance for DLSS dept</t>
  </si>
  <si>
    <t>e-payt for the repair of the Air contioning of the Institute's Coaster Bus</t>
  </si>
  <si>
    <t>Transfer Funds for refund of  the tuition fee of Legislators on International training</t>
  </si>
  <si>
    <t>e-payt for advance for secretariate materials &amp; Contigencies during the Capacity Building Retrea...</t>
  </si>
  <si>
    <t>e-payt for dispatch of letters during the Capacity Building Retreat for National Assembly Commit...</t>
  </si>
  <si>
    <t>e-payt for honourarium of resource persons  during the Capacity Building Retreat for National As...</t>
  </si>
  <si>
    <t>e-payt for catering services during NILDS Democracy Day Lecture</t>
  </si>
  <si>
    <t>e-payt for coordination team, communication and contact during NILDS Democracy Day Lecture</t>
  </si>
  <si>
    <t>e-payt for Procurement unit purchase advance</t>
  </si>
  <si>
    <t>e-payt for Admin./HR purchase advance</t>
  </si>
  <si>
    <t>e-payt for Library &amp; Doc. Dept  purchase advance</t>
  </si>
  <si>
    <t>e-payt for Finance &amp; Accounts Dept  purchase advance</t>
  </si>
  <si>
    <t>e-payt for Democracy Radio  Dept  purchase advance</t>
  </si>
  <si>
    <t>e-payt for Int'l Coop &amp; Training Dept  purchase advance</t>
  </si>
  <si>
    <t>e-payt for Security Centre Dept  purchase advance</t>
  </si>
  <si>
    <t>e-payt for  Internal Audit Dept  purchase advance</t>
  </si>
  <si>
    <t>e-payt for media coverage during NILDS 2024 Democracy Day Lecture</t>
  </si>
  <si>
    <t>e-payt for banners during NILDS 2024 Democracy Day Lecture</t>
  </si>
  <si>
    <t>e-payt for secretariate allowance during NILDS 2024 Democracy Day Lecture</t>
  </si>
  <si>
    <t>e-payt for 7.5% VAT deducted from J &amp; HAB Pat Nig ltd for installation of cameras and CCTV</t>
  </si>
  <si>
    <t>e-payt for 5% WHT deducted from J &amp; HAB Pat Nig ltd for installation of cameras and CCTV</t>
  </si>
  <si>
    <t>e-payt for 1% SD deducted from J &amp; HAB Pat Nig ltd for installation of cameras and CCTV</t>
  </si>
  <si>
    <t>e-payt for 7.5% VAT deducted from Nwannedinamber Frank Ventures for the supply of office station...</t>
  </si>
  <si>
    <t>e-payt for 5% WHT deducted from Nwannedinamber Frank Ventures for the supply of office stationer...</t>
  </si>
  <si>
    <t>e-payt for 1% SD deducted from Nwannedinamber Frank Ventures for the supply of office stationeri...</t>
  </si>
  <si>
    <t>e-payt for 1%  SD  deducted from Nwannedinamber Frank Ventures for the supply of office statione...</t>
  </si>
  <si>
    <t>e-payt for 7.5% VAT deducted from MCDAN Decoration services during annual budget proposal seminar</t>
  </si>
  <si>
    <t>e-payt for 5% WHT deducted from MCDAN Decoration services during annual budget proposal seminar</t>
  </si>
  <si>
    <t>e-payt for 1% SD deducted from MCDAN Decoration services during annual budget proposal seminar</t>
  </si>
  <si>
    <t>e-payt for 5% WHT deducted from Jewel Publishers for the supply of Books to the Institute</t>
  </si>
  <si>
    <t>e-payt for 1% SD deducted from Jewel Publishers for the supply of Books to the Institute</t>
  </si>
  <si>
    <t>e-payt for 7.5% VAT deducted from MB Confectionary &amp; Catering services for catering during 3-Day...</t>
  </si>
  <si>
    <t>e-payt for 5% WHT deducted from MB Confectionary &amp; Catering services for catering during 3-Day t...</t>
  </si>
  <si>
    <t>e-payt for 1% SD deducted from MB Confectionary &amp; Catering services for catering during 3-Day tr...</t>
  </si>
  <si>
    <t>e-payt for 7.5% VAT deducted from Jujeff Nig. Ltd for monitoring &amp; Evaluation of NILDS Capacity ...</t>
  </si>
  <si>
    <t>e-payt for 5% WHT deducted from Jujeff Nig. Ltd for monitoring &amp; Evaluation of NILDS Capacity Bu...</t>
  </si>
  <si>
    <t>e-payt for 1% SD deducted from Jujeff Nig. Ltd for monitoring &amp; Evaluation of NILDS Capacity Bui...</t>
  </si>
  <si>
    <t>e-payt for 7.5% VAT deducted from Dimcatt Ltd for the supply of customised jute bags</t>
  </si>
  <si>
    <t>e-payt for 5% WHT deducted from Dimcatt Ltd for the supply of customised jute bags</t>
  </si>
  <si>
    <t>e-payt for 1% SD deducted from Dimcatt Ltd for the supply of customised jute bags</t>
  </si>
  <si>
    <t>e-payt for 5% WHT deducted from DMI Golden Ventures Ltd for supply of Educational Materials for ...</t>
  </si>
  <si>
    <t>e-payt for 1% SD deducted from DMI Golden Ventures Ltd for supply of Educational Materials for o...</t>
  </si>
  <si>
    <t>e-payt for honourarium to press official during inauguration of the Governing Council</t>
  </si>
  <si>
    <t>Deposit-Deposit for training programme</t>
  </si>
  <si>
    <t>Transfer of tax deducted from DMI Golden Ventures Ltd, Aevin Engineering Ltd &amp; Hill Investment f...</t>
  </si>
  <si>
    <t>e-payt for purchase of 2024 Eld-El-Kabir gift to Institute partners</t>
  </si>
  <si>
    <t>e-payt for purchase of 2024 Eld-El-Kabir gift to Institute Principal Officers</t>
  </si>
  <si>
    <t>e-payt for supply of 25856 litres  of diesel to the Institute permanent</t>
  </si>
  <si>
    <t>e-payt for visa processing for Babagana Muhammed Aji</t>
  </si>
  <si>
    <t>e-payt for protocol purchase advance</t>
  </si>
  <si>
    <t>e-payt for training fee, airticket, DTA, local running during training infor secretaries</t>
  </si>
  <si>
    <t>e-payt for cleaning services for May 2024</t>
  </si>
  <si>
    <t>e-payt for accommodation of guest for April 2024</t>
  </si>
  <si>
    <t>e-payt for out of pocket for the repairs of Desktop computer</t>
  </si>
  <si>
    <t>e-payt for local air tickets for participants during Retreat on Women Caucus in NASS held in Lagos</t>
  </si>
  <si>
    <t>e-payt for repairs &amp; services of NILDS Hilux 41A-21-FL</t>
  </si>
  <si>
    <t>e-payt for staff PAYE for the month of May 2024</t>
  </si>
  <si>
    <t>e-payt for WHT for freelance for the month of May 2024</t>
  </si>
  <si>
    <t>Transfer of Tax deducted from J &amp; Hab Pat Nig. Ltd for onward payment via tax promax</t>
  </si>
  <si>
    <t>e-payt for sallah welfare</t>
  </si>
  <si>
    <t>e-payt for provision of cleaning services for the month of May 2024</t>
  </si>
  <si>
    <t>e-payt for DG purchase advance</t>
  </si>
  <si>
    <t>e-payt for hall decoration, branded flahdrives, production of certificates during Retreat for NA...</t>
  </si>
  <si>
    <t>e-payt for honourariums for secretariat, ushers etc during Retreat for NASS Committee on Labour ...</t>
  </si>
  <si>
    <t>e-payt for catering services etc during Retreat for NASS Committee on Labour and Productivity</t>
  </si>
  <si>
    <t>e-payt for press honourarium during Retreat for NASS Committee on Labour and Productivity</t>
  </si>
  <si>
    <t>e-payt for  honourarium for committee Members during Retreat for NASS Committee on Labour and Pr...</t>
  </si>
  <si>
    <t>e-payt for Admin/HR purchase advance</t>
  </si>
  <si>
    <t>e-payt for ICU purchase advance</t>
  </si>
  <si>
    <t>e-payt for Finance &amp; Accounts purchase advance</t>
  </si>
  <si>
    <t>e-payt for  Security Centre  purchase advance</t>
  </si>
  <si>
    <t>e-payt for procurement  purchase advance</t>
  </si>
  <si>
    <t>e-payt for Democracy Radio purchase advance</t>
  </si>
  <si>
    <t>e-payt for Democracy and Governance Dept  purchase advance</t>
  </si>
  <si>
    <t>e-payt for Internal Audit Dept  purchase advance</t>
  </si>
  <si>
    <t>e-payt for purchase advance of NASS Liaison office</t>
  </si>
  <si>
    <t>e-payt for DG'S  purchase advance</t>
  </si>
  <si>
    <t>e-payt for M&amp;E purchase advance</t>
  </si>
  <si>
    <t>e-payt for Liaison office purchase advance</t>
  </si>
  <si>
    <t>e-payt for 7.5% VAT deducted from Hawea Heritage services Ltd for supply of office stationeries ...</t>
  </si>
  <si>
    <t>e-payt for  5% WHT deducted from Hawea Heritage services Ltd for supply of office stationeries f...</t>
  </si>
  <si>
    <t>e-payt for  1% SD deducted from Hawea Heritage services Ltd for supply of office stationeries fo...</t>
  </si>
  <si>
    <t>e-payt for 10% WHT deducted from Amal Global Investment Ltd for rent at No. 1 River Street</t>
  </si>
  <si>
    <t>e-payt for 1% SD deducted from Amal Global Investment Ltd for rent at No. 1 River Street</t>
  </si>
  <si>
    <t>e-payt for 7.5% VAT deducted from Ardor &amp; Appeal for cleaning services</t>
  </si>
  <si>
    <t>e-payt for 5% WHT deducted from Ardor &amp; Appeal for cleaning services</t>
  </si>
  <si>
    <t>e-payt for 1% deducted from Ardor &amp; Appeal for cleaning services</t>
  </si>
  <si>
    <t>e-payt for 7.5% VAT deducted from Youngnet enterprises during orientation programme for PG students</t>
  </si>
  <si>
    <t>e-payt for 5% WHT deducted from Youngnet enterprises during orientation programme for PG students</t>
  </si>
  <si>
    <t>e-payt for 1% SD deducted from Youngnet enterprises during orientation programme for PG students</t>
  </si>
  <si>
    <t>e-payt for 7.5% VAT deducted from Gaskiya Security Guard for April 2024</t>
  </si>
  <si>
    <t>e-payt for 5% WHT deducted from Gaskiya Security Guard for April 2024</t>
  </si>
  <si>
    <t>e-payt for 1% SD deducted from Gaskiya Security Guard for April 2024</t>
  </si>
  <si>
    <t>e-payt for 7.5% VAT deducted from Ardor &amp; Appeal for cleaning services for April 2024</t>
  </si>
  <si>
    <t>e-payt for 5% WHT deducted from Ardor &amp; Appeal for cleaning services for April 2024</t>
  </si>
  <si>
    <t>e-payt for 1% SD deducted from Ardor &amp; Appeal for cleaning services for April 2024</t>
  </si>
  <si>
    <t>e-payt for 7.5% VAT deducted from Aevin Engineering Ltd  for mobile AC</t>
  </si>
  <si>
    <t>e-payt for 5% WHT deducted from Aevin Engineering Ltd  for mobile AC</t>
  </si>
  <si>
    <t>e-payt for 1% SD deducted from Aevin Engineering Ltd  for mobile AC</t>
  </si>
  <si>
    <t>e-payt for honourarium for members of he Institute's Tenders Board</t>
  </si>
  <si>
    <t>e-payt for honourarium for members of he Institute's adhoc evaluation committee</t>
  </si>
  <si>
    <t>e-payt for coop contribution and loan recovery for the month of June 2024</t>
  </si>
  <si>
    <t>e-payt for consultants salary for the month of June 2024</t>
  </si>
  <si>
    <t>e-payt for casual/sabbatical staff  salary for the month of June 2024</t>
  </si>
  <si>
    <t>e-payt for contract staff  salary for the month of June 2024</t>
  </si>
  <si>
    <t>e-payt for 7.5% VAT deducted from Funzeal Investment Ltd for the printing of letterhead</t>
  </si>
  <si>
    <t>e-payt for 5% WHT deducted from Funzeal Investment Ltd for the printing of letterhead</t>
  </si>
  <si>
    <t>e-payt for 1% SD deducted from Funzeal Investment Ltd for the printing of letterhead</t>
  </si>
  <si>
    <t>e-payt for 7.5% VAT deducted from Aevin Engineering Ltd for the supply of sovernir for the Insti...</t>
  </si>
  <si>
    <t>e-payt for  5% WHT deducted from Aevin Engineering Ltd for the supply of sovernir for the Instit...</t>
  </si>
  <si>
    <t>e-payt for  1% SD deducted from Aevin Engineering Ltd for the supply of sovernir for the Institu...</t>
  </si>
  <si>
    <t>e-payt for 7.5% VAT deducted from Think Business Services Ltd for management of online podcast</t>
  </si>
  <si>
    <t>e-payt for 5% WHT deducted from Think Business Services Ltd for management of online podcast</t>
  </si>
  <si>
    <t>e-payt for 1% SD deducted from Think Business Services Ltd for management of online podcast</t>
  </si>
  <si>
    <t>e-payt for 7.5% VAT deducted from Funzeal Investment Ltd for printing of NILDS students handbook...</t>
  </si>
  <si>
    <t>e-payt for 5% WHT deducted from Funzeal Investment Ltd for printing of NILDS students handbook a...</t>
  </si>
  <si>
    <t>e-payt for 1% SD deducted from Funzeal Investment Ltd for printing of NILDS students handbook an...</t>
  </si>
  <si>
    <t>e-payt for 7.5% VAT deducted from Jowil Multiresources Ltd for provision for cleaning</t>
  </si>
  <si>
    <t>e-payt for 5% WHT deducted from Jowil Multiresources Ltd for provision for cleaning</t>
  </si>
  <si>
    <t>e-payt for 1% SD deducted from Jowil Multiresources Ltd for provision for cleaning</t>
  </si>
  <si>
    <t>e-payt for 7.5% VAT deducted from BAN Avalon Ltd for the supply and consumables</t>
  </si>
  <si>
    <t>e-payt for 5% WHT deducted from BAN Avalon Ltd for the supply and consumables</t>
  </si>
  <si>
    <t>e-payt for 1% SD deducted from BAN Avalon Ltd for the supply and consumables</t>
  </si>
  <si>
    <t>e-payt for 7.5% VAT deducted from Urban Int'l Services Ltd for security services</t>
  </si>
  <si>
    <t>e-payt for 10% WHT deducted from Urban Int'l Services Ltd for security services</t>
  </si>
  <si>
    <t>e-payt for 1% SD deducted from Urban Int'l Services Ltd for security services</t>
  </si>
  <si>
    <t>e-payt for 7.5% VAT deducted from Centrestage Global for sensitization and awareness campaign</t>
  </si>
  <si>
    <t>e-payt for  10% WHT deducted from Centrestage Global for sensitization and awareness campaign</t>
  </si>
  <si>
    <t>e-payt for  1% SD deducted from Centrestage Global for sensitization and awareness campaign</t>
  </si>
  <si>
    <t>e-payt for 7.5% VAT deducted from Youngnet enterprises during development of concept note on cos...</t>
  </si>
  <si>
    <t>e-payt for 5% WHT deducted from Youngnet enterprises during development of concept note on cost ...</t>
  </si>
  <si>
    <t>e-payt for 1% SD deducted from Youngnet enterprises during development of concept note on cost o...</t>
  </si>
  <si>
    <t>e-payt for 7.5% VAT deducted from Hyehima Investment Ltd for the supply of customised Pens</t>
  </si>
  <si>
    <t>e-payt for 5% WHT deducted from Hyehima Investment Ltd for the supply of customised Pens</t>
  </si>
  <si>
    <t>e-payt for 1% SD deducted from Hyehima Investment Ltd for the supply of customised Pens</t>
  </si>
  <si>
    <t>e-payt for 7.5% VAT deducted from Afri-Med Nig. Ltd for the purchase of 100ams Battery for Perki...</t>
  </si>
  <si>
    <t>e-payt for 5% WHT deducted from Afri-Med Nig. Ltd for the purchase of 100ams Battery for Perkin ...</t>
  </si>
  <si>
    <t>e-payt for 1% SD deducted from Afri-Med Nig. Ltd for the purchase of 100ams Battery for Perkin G...</t>
  </si>
  <si>
    <t>e-payt for 7.5% VAT deducted from Ardor &amp;  Appeal Investment Services for cleaning services</t>
  </si>
  <si>
    <t>e-payt for 5% WHT deducted from Ardor &amp;  Appeal Investment Services for cleaning services</t>
  </si>
  <si>
    <t>e-payt for 1% SD deducted from Ardor &amp;  Appeal Investment Services for cleaning services</t>
  </si>
  <si>
    <t>e-payt for 7.5% VAT deducted from Dasotem Global Resources Ltd for the customised writing pads f...</t>
  </si>
  <si>
    <t>e-payt for 5% WHT deducted from Dasotem Global Resources Ltd for the customised writing pads for...</t>
  </si>
  <si>
    <t>e-payt for 1% SD deducted from Dasotem Global Resources Ltd for the customised writing pads for ...</t>
  </si>
  <si>
    <t>e-payt for 7.5% VAT deducted from 401 Horizon Media for documentatory during Senate Retreat</t>
  </si>
  <si>
    <t>e-payt for 10% WHT deducted from 401 Horizon Media for documentatory during Senate Retreat</t>
  </si>
  <si>
    <t>e-payt for 1% SD deducted from 401 Horizon Media for documentatory during Senate Retreat</t>
  </si>
  <si>
    <t>e-payt for Finance &amp; Account  purchase advance</t>
  </si>
  <si>
    <t>e-payt for DLSS purchase advance</t>
  </si>
  <si>
    <t>e-payt for electricity units at security centre and democracy radio</t>
  </si>
  <si>
    <t>e-payt for electricity units</t>
  </si>
  <si>
    <t>e-payt for renewal of subscription for cloud server hosting for the Institute Library</t>
  </si>
  <si>
    <t>e-payt for Institute financial support during father's burial</t>
  </si>
  <si>
    <t>e-payt for newspapers and magazines for the month of May 2024</t>
  </si>
  <si>
    <t>e-payt for the supply of books to the Institute</t>
  </si>
  <si>
    <t>e-payt for reimbursement of official travel expenses for DG official to Kwara</t>
  </si>
  <si>
    <t>e-payt for reimbursement of official  travel expenses to Lagos</t>
  </si>
  <si>
    <t>e-payt for balance of insurance premium on vehicle</t>
  </si>
  <si>
    <t>e-payt for production of staff ID Card production materials and consumables</t>
  </si>
  <si>
    <t>e-payt for adverts during National Dialogue for State Police System in Nigeria</t>
  </si>
  <si>
    <t>e-payt for production and design of flex banners during National Dialogue for State Police Syste...</t>
  </si>
  <si>
    <t>e-payt for communication and contact during National Dialogue for State Police System in Nigeria</t>
  </si>
  <si>
    <t>e-payt for voicing and production of audio visual promo during National Dialogue for State Polic...</t>
  </si>
  <si>
    <t>e-payt for press honourarium during National Dialogue for State Police System in Nigeria</t>
  </si>
  <si>
    <t>e-payt for secretariate and Rapportuers during National Dialogue for State Police System in Nigeria</t>
  </si>
  <si>
    <t>e-payt for honourarium for organizing committee during National Dialogue for State Police System...</t>
  </si>
  <si>
    <t>e-payt for catering services during National Dialogue for State Police System in Nigeria</t>
  </si>
  <si>
    <t>e-payt for honourarium for chief host, Chairman of session discussants &amp; other resource persons ...</t>
  </si>
  <si>
    <t>e-payt for contigencies during National Dialogue for State Police System in Nigeria</t>
  </si>
  <si>
    <t>e-payt for Library purchase advance</t>
  </si>
  <si>
    <t>e-payt for Democracy &amp; Governance Dept  purchase advance</t>
  </si>
  <si>
    <t>e-payt for Admin/HR Dept  purchase advance</t>
  </si>
  <si>
    <t>Deposit-June 2024 Overhead  Allocation from NASS</t>
  </si>
  <si>
    <t>e-payt for advance for airtime of the DG and Fuelling of vehicles</t>
  </si>
  <si>
    <t>e-payt for programme fee for Babagana Muhammed Aji to executive leadership in action in UK-Crown...</t>
  </si>
  <si>
    <t>e-payt for return ticket for  Babagana Muhammed Aji to executive leadership in action in UK-Crow...</t>
  </si>
  <si>
    <t>e-payt for estacode for 2 NILDS best staff of 2023 to attend int'l training prog in UK organised...</t>
  </si>
  <si>
    <t>e-payt for estacode to attend leadership in action programme organised by crown agent uk</t>
  </si>
  <si>
    <t>e-payt for documentary for the 9th Senate Retreat</t>
  </si>
  <si>
    <t>e-payt for ICT Consultancy fees for the month of June 2024</t>
  </si>
  <si>
    <t>e-payt for the supply of 26,642 litres of diesel to the Institute office for Mach 2024</t>
  </si>
  <si>
    <t>e-payt for the supply of customised bags during capacity building on the administrative structur...</t>
  </si>
  <si>
    <t>e-payt for cleaning services for the month of June 2024</t>
  </si>
  <si>
    <t>e-payt for the supply of electric kettles, 5 no.  rain coat security, 5 no. LED  touch light etc</t>
  </si>
  <si>
    <t>e-payt for consultancy fee as in-house consultant for June 2024</t>
  </si>
  <si>
    <t>e-payt for coop &amp; loan deuction form Dr. Kabir Ahmed</t>
  </si>
  <si>
    <t>e-payt for management of video &amp; online podcast for june 2024</t>
  </si>
  <si>
    <t>e-payt for 7.5% VAT of GY WAT Integrated Resources Ltd for replacement of vandalized 95mm armour...</t>
  </si>
  <si>
    <t>e-payt for 5% WHTdeducted from GY WAT Integrated Resources Ltd for replacement of vandalized 95m...</t>
  </si>
  <si>
    <t>e-payt for 1% SD deducted from GY WAT Integrated Resources Ltd for replacement of vandalized 95m...</t>
  </si>
  <si>
    <t>e-payt for 7.5% VAT deducted from 401 Horizon Media for the supply of Ach Liver files</t>
  </si>
  <si>
    <t>e-payt for 5% WHT deducted from 401 Horizon Media for the supply of Ach Liver files</t>
  </si>
  <si>
    <t>e-payt for 1% SD deducted from 401 Horizon Media for the supply of Ach Liver files</t>
  </si>
  <si>
    <t>e-payt for 7.5% VAT deducted from Helium Innovations for Biometrics attendance capture for May 2024</t>
  </si>
  <si>
    <t>e-payt for 5% WHT deducted from Helium Innovations for Biometrics attendance capture for May 2024</t>
  </si>
  <si>
    <t>e-payt for 1% SDdeducted from Helium Innovations for Biometrics attendance capture for May 2024</t>
  </si>
  <si>
    <t>e-payt for 7.5% VAT deducted from C80 limited for ICT Consultancy services for May 2024</t>
  </si>
  <si>
    <t>e-payt for 5% WHT deducted from C80 limited for ICT Consultancy services for May 2024</t>
  </si>
  <si>
    <t>e-payt for 1% SD deducted from C80 limited for ICT Consultancy services for May 2024</t>
  </si>
  <si>
    <t>e-payt for 7.5% VAT deducted from Urban Int'l Services Ltd for security services for May 2024</t>
  </si>
  <si>
    <t>e-payt for 10% WHT deducted from Urban Int'l Services Ltd for security services for May 2024</t>
  </si>
  <si>
    <t>e-payt for 1% SD deducted from Urban Int'l Services Ltd for security services for May 2024</t>
  </si>
  <si>
    <t>e-payt for 7.5% VAT deducted from 401 Horizon media for corporate identity</t>
  </si>
  <si>
    <t>e-payt for 10% WHT deducted from 401 Horizon media for corporate identity</t>
  </si>
  <si>
    <t>e-payt for 1% SD deducted from 401 Horizon media for corporate identity</t>
  </si>
  <si>
    <t>e-payt for 7.5% VAT deducted from Havid Cleaning services for May 2024</t>
  </si>
  <si>
    <t>e-payt for 5% WHT deducted from Havid Cleaning services for May 2024</t>
  </si>
  <si>
    <t>e-payt for 1% SD deducted from Havid Cleaning services for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</si>
</sst>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.00;\-#,##0.00"/>
    <numFmt numFmtId="165" formatCode="mm/dd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Border="1"/>
    <xf numFmtId="164" fontId="3" fillId="0" borderId="2" xfId="0" applyNumberFormat="1" applyFont="1" applyBorder="1"/>
    <xf numFmtId="164" fontId="2" fillId="0" borderId="3" xfId="0" applyNumberFormat="1" applyFont="1" applyBorder="1"/>
    <xf numFmtId="0" fontId="2" fillId="0" borderId="0" xfId="0" applyFont="1"/>
    <xf numFmtId="49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5" fillId="0" borderId="0" xfId="2" applyFont="1" applyBorder="1"/>
    <xf numFmtId="0" fontId="5" fillId="0" borderId="0" xfId="2" applyFont="1" applyFill="1" applyBorder="1"/>
    <xf numFmtId="0" fontId="6" fillId="0" borderId="0" xfId="2" applyFont="1" applyBorder="1"/>
    <xf numFmtId="43" fontId="0" fillId="0" borderId="0" xfId="1" applyFo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333375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333375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"/>
  <sheetViews>
    <sheetView showGridLines="0" zoomScale="84" zoomScaleNormal="84" workbookViewId="0"/>
  </sheetViews>
  <sheetFormatPr defaultColWidth="8.85546875" defaultRowHeight="15" x14ac:dyDescent="0.25"/>
  <cols>
    <col min="1" max="1" width="3" style="14" customWidth="1"/>
    <col min="2" max="2" width="4.140625" style="14" customWidth="1"/>
    <col min="3" max="3" width="54" style="14" customWidth="1"/>
    <col min="4" max="4" width="3.7109375" style="14" customWidth="1"/>
    <col min="5" max="5" width="90.28515625" style="14" customWidth="1"/>
    <col min="6" max="7" width="8.85546875" style="14"/>
    <col min="8" max="8" width="15.42578125" style="14" customWidth="1"/>
    <col min="9" max="9" width="5.140625" style="14" customWidth="1"/>
    <col min="10" max="11" width="8.85546875" style="14"/>
    <col min="12" max="12" width="3" style="14" customWidth="1"/>
    <col min="13" max="15" width="8.85546875" style="14"/>
    <col min="16" max="16" width="7" style="14" customWidth="1"/>
    <col min="17" max="256" width="8.85546875" style="14"/>
    <col min="257" max="257" width="3" style="14" customWidth="1"/>
    <col min="258" max="258" width="4.140625" style="14" customWidth="1"/>
    <col min="259" max="259" width="54" style="14" customWidth="1"/>
    <col min="260" max="260" width="3.7109375" style="14" customWidth="1"/>
    <col min="261" max="261" width="90.28515625" style="14" customWidth="1"/>
    <col min="262" max="263" width="8.85546875" style="14"/>
    <col min="264" max="264" width="15.42578125" style="14" customWidth="1"/>
    <col min="265" max="265" width="5.140625" style="14" customWidth="1"/>
    <col min="266" max="267" width="8.85546875" style="14"/>
    <col min="268" max="268" width="3" style="14" customWidth="1"/>
    <col min="269" max="271" width="8.85546875" style="14"/>
    <col min="272" max="272" width="7" style="14" customWidth="1"/>
    <col min="273" max="512" width="8.85546875" style="14"/>
    <col min="513" max="513" width="3" style="14" customWidth="1"/>
    <col min="514" max="514" width="4.140625" style="14" customWidth="1"/>
    <col min="515" max="515" width="54" style="14" customWidth="1"/>
    <col min="516" max="516" width="3.7109375" style="14" customWidth="1"/>
    <col min="517" max="517" width="90.28515625" style="14" customWidth="1"/>
    <col min="518" max="519" width="8.85546875" style="14"/>
    <col min="520" max="520" width="15.42578125" style="14" customWidth="1"/>
    <col min="521" max="521" width="5.140625" style="14" customWidth="1"/>
    <col min="522" max="523" width="8.85546875" style="14"/>
    <col min="524" max="524" width="3" style="14" customWidth="1"/>
    <col min="525" max="527" width="8.85546875" style="14"/>
    <col min="528" max="528" width="7" style="14" customWidth="1"/>
    <col min="529" max="768" width="8.85546875" style="14"/>
    <col min="769" max="769" width="3" style="14" customWidth="1"/>
    <col min="770" max="770" width="4.140625" style="14" customWidth="1"/>
    <col min="771" max="771" width="54" style="14" customWidth="1"/>
    <col min="772" max="772" width="3.7109375" style="14" customWidth="1"/>
    <col min="773" max="773" width="90.28515625" style="14" customWidth="1"/>
    <col min="774" max="775" width="8.85546875" style="14"/>
    <col min="776" max="776" width="15.42578125" style="14" customWidth="1"/>
    <col min="777" max="777" width="5.140625" style="14" customWidth="1"/>
    <col min="778" max="779" width="8.85546875" style="14"/>
    <col min="780" max="780" width="3" style="14" customWidth="1"/>
    <col min="781" max="783" width="8.85546875" style="14"/>
    <col min="784" max="784" width="7" style="14" customWidth="1"/>
    <col min="785" max="1024" width="8.85546875" style="14"/>
    <col min="1025" max="1025" width="3" style="14" customWidth="1"/>
    <col min="1026" max="1026" width="4.140625" style="14" customWidth="1"/>
    <col min="1027" max="1027" width="54" style="14" customWidth="1"/>
    <col min="1028" max="1028" width="3.7109375" style="14" customWidth="1"/>
    <col min="1029" max="1029" width="90.28515625" style="14" customWidth="1"/>
    <col min="1030" max="1031" width="8.85546875" style="14"/>
    <col min="1032" max="1032" width="15.42578125" style="14" customWidth="1"/>
    <col min="1033" max="1033" width="5.140625" style="14" customWidth="1"/>
    <col min="1034" max="1035" width="8.85546875" style="14"/>
    <col min="1036" max="1036" width="3" style="14" customWidth="1"/>
    <col min="1037" max="1039" width="8.85546875" style="14"/>
    <col min="1040" max="1040" width="7" style="14" customWidth="1"/>
    <col min="1041" max="1280" width="8.85546875" style="14"/>
    <col min="1281" max="1281" width="3" style="14" customWidth="1"/>
    <col min="1282" max="1282" width="4.140625" style="14" customWidth="1"/>
    <col min="1283" max="1283" width="54" style="14" customWidth="1"/>
    <col min="1284" max="1284" width="3.7109375" style="14" customWidth="1"/>
    <col min="1285" max="1285" width="90.28515625" style="14" customWidth="1"/>
    <col min="1286" max="1287" width="8.85546875" style="14"/>
    <col min="1288" max="1288" width="15.42578125" style="14" customWidth="1"/>
    <col min="1289" max="1289" width="5.140625" style="14" customWidth="1"/>
    <col min="1290" max="1291" width="8.85546875" style="14"/>
    <col min="1292" max="1292" width="3" style="14" customWidth="1"/>
    <col min="1293" max="1295" width="8.85546875" style="14"/>
    <col min="1296" max="1296" width="7" style="14" customWidth="1"/>
    <col min="1297" max="1536" width="8.85546875" style="14"/>
    <col min="1537" max="1537" width="3" style="14" customWidth="1"/>
    <col min="1538" max="1538" width="4.140625" style="14" customWidth="1"/>
    <col min="1539" max="1539" width="54" style="14" customWidth="1"/>
    <col min="1540" max="1540" width="3.7109375" style="14" customWidth="1"/>
    <col min="1541" max="1541" width="90.28515625" style="14" customWidth="1"/>
    <col min="1542" max="1543" width="8.85546875" style="14"/>
    <col min="1544" max="1544" width="15.42578125" style="14" customWidth="1"/>
    <col min="1545" max="1545" width="5.140625" style="14" customWidth="1"/>
    <col min="1546" max="1547" width="8.85546875" style="14"/>
    <col min="1548" max="1548" width="3" style="14" customWidth="1"/>
    <col min="1549" max="1551" width="8.85546875" style="14"/>
    <col min="1552" max="1552" width="7" style="14" customWidth="1"/>
    <col min="1553" max="1792" width="8.85546875" style="14"/>
    <col min="1793" max="1793" width="3" style="14" customWidth="1"/>
    <col min="1794" max="1794" width="4.140625" style="14" customWidth="1"/>
    <col min="1795" max="1795" width="54" style="14" customWidth="1"/>
    <col min="1796" max="1796" width="3.7109375" style="14" customWidth="1"/>
    <col min="1797" max="1797" width="90.28515625" style="14" customWidth="1"/>
    <col min="1798" max="1799" width="8.85546875" style="14"/>
    <col min="1800" max="1800" width="15.42578125" style="14" customWidth="1"/>
    <col min="1801" max="1801" width="5.140625" style="14" customWidth="1"/>
    <col min="1802" max="1803" width="8.85546875" style="14"/>
    <col min="1804" max="1804" width="3" style="14" customWidth="1"/>
    <col min="1805" max="1807" width="8.85546875" style="14"/>
    <col min="1808" max="1808" width="7" style="14" customWidth="1"/>
    <col min="1809" max="2048" width="8.85546875" style="14"/>
    <col min="2049" max="2049" width="3" style="14" customWidth="1"/>
    <col min="2050" max="2050" width="4.140625" style="14" customWidth="1"/>
    <col min="2051" max="2051" width="54" style="14" customWidth="1"/>
    <col min="2052" max="2052" width="3.7109375" style="14" customWidth="1"/>
    <col min="2053" max="2053" width="90.28515625" style="14" customWidth="1"/>
    <col min="2054" max="2055" width="8.85546875" style="14"/>
    <col min="2056" max="2056" width="15.42578125" style="14" customWidth="1"/>
    <col min="2057" max="2057" width="5.140625" style="14" customWidth="1"/>
    <col min="2058" max="2059" width="8.85546875" style="14"/>
    <col min="2060" max="2060" width="3" style="14" customWidth="1"/>
    <col min="2061" max="2063" width="8.85546875" style="14"/>
    <col min="2064" max="2064" width="7" style="14" customWidth="1"/>
    <col min="2065" max="2304" width="8.85546875" style="14"/>
    <col min="2305" max="2305" width="3" style="14" customWidth="1"/>
    <col min="2306" max="2306" width="4.140625" style="14" customWidth="1"/>
    <col min="2307" max="2307" width="54" style="14" customWidth="1"/>
    <col min="2308" max="2308" width="3.7109375" style="14" customWidth="1"/>
    <col min="2309" max="2309" width="90.28515625" style="14" customWidth="1"/>
    <col min="2310" max="2311" width="8.85546875" style="14"/>
    <col min="2312" max="2312" width="15.42578125" style="14" customWidth="1"/>
    <col min="2313" max="2313" width="5.140625" style="14" customWidth="1"/>
    <col min="2314" max="2315" width="8.85546875" style="14"/>
    <col min="2316" max="2316" width="3" style="14" customWidth="1"/>
    <col min="2317" max="2319" width="8.85546875" style="14"/>
    <col min="2320" max="2320" width="7" style="14" customWidth="1"/>
    <col min="2321" max="2560" width="8.85546875" style="14"/>
    <col min="2561" max="2561" width="3" style="14" customWidth="1"/>
    <col min="2562" max="2562" width="4.140625" style="14" customWidth="1"/>
    <col min="2563" max="2563" width="54" style="14" customWidth="1"/>
    <col min="2564" max="2564" width="3.7109375" style="14" customWidth="1"/>
    <col min="2565" max="2565" width="90.28515625" style="14" customWidth="1"/>
    <col min="2566" max="2567" width="8.85546875" style="14"/>
    <col min="2568" max="2568" width="15.42578125" style="14" customWidth="1"/>
    <col min="2569" max="2569" width="5.140625" style="14" customWidth="1"/>
    <col min="2570" max="2571" width="8.85546875" style="14"/>
    <col min="2572" max="2572" width="3" style="14" customWidth="1"/>
    <col min="2573" max="2575" width="8.85546875" style="14"/>
    <col min="2576" max="2576" width="7" style="14" customWidth="1"/>
    <col min="2577" max="2816" width="8.85546875" style="14"/>
    <col min="2817" max="2817" width="3" style="14" customWidth="1"/>
    <col min="2818" max="2818" width="4.140625" style="14" customWidth="1"/>
    <col min="2819" max="2819" width="54" style="14" customWidth="1"/>
    <col min="2820" max="2820" width="3.7109375" style="14" customWidth="1"/>
    <col min="2821" max="2821" width="90.28515625" style="14" customWidth="1"/>
    <col min="2822" max="2823" width="8.85546875" style="14"/>
    <col min="2824" max="2824" width="15.42578125" style="14" customWidth="1"/>
    <col min="2825" max="2825" width="5.140625" style="14" customWidth="1"/>
    <col min="2826" max="2827" width="8.85546875" style="14"/>
    <col min="2828" max="2828" width="3" style="14" customWidth="1"/>
    <col min="2829" max="2831" width="8.85546875" style="14"/>
    <col min="2832" max="2832" width="7" style="14" customWidth="1"/>
    <col min="2833" max="3072" width="8.85546875" style="14"/>
    <col min="3073" max="3073" width="3" style="14" customWidth="1"/>
    <col min="3074" max="3074" width="4.140625" style="14" customWidth="1"/>
    <col min="3075" max="3075" width="54" style="14" customWidth="1"/>
    <col min="3076" max="3076" width="3.7109375" style="14" customWidth="1"/>
    <col min="3077" max="3077" width="90.28515625" style="14" customWidth="1"/>
    <col min="3078" max="3079" width="8.85546875" style="14"/>
    <col min="3080" max="3080" width="15.42578125" style="14" customWidth="1"/>
    <col min="3081" max="3081" width="5.140625" style="14" customWidth="1"/>
    <col min="3082" max="3083" width="8.85546875" style="14"/>
    <col min="3084" max="3084" width="3" style="14" customWidth="1"/>
    <col min="3085" max="3087" width="8.85546875" style="14"/>
    <col min="3088" max="3088" width="7" style="14" customWidth="1"/>
    <col min="3089" max="3328" width="8.85546875" style="14"/>
    <col min="3329" max="3329" width="3" style="14" customWidth="1"/>
    <col min="3330" max="3330" width="4.140625" style="14" customWidth="1"/>
    <col min="3331" max="3331" width="54" style="14" customWidth="1"/>
    <col min="3332" max="3332" width="3.7109375" style="14" customWidth="1"/>
    <col min="3333" max="3333" width="90.28515625" style="14" customWidth="1"/>
    <col min="3334" max="3335" width="8.85546875" style="14"/>
    <col min="3336" max="3336" width="15.42578125" style="14" customWidth="1"/>
    <col min="3337" max="3337" width="5.140625" style="14" customWidth="1"/>
    <col min="3338" max="3339" width="8.85546875" style="14"/>
    <col min="3340" max="3340" width="3" style="14" customWidth="1"/>
    <col min="3341" max="3343" width="8.85546875" style="14"/>
    <col min="3344" max="3344" width="7" style="14" customWidth="1"/>
    <col min="3345" max="3584" width="8.85546875" style="14"/>
    <col min="3585" max="3585" width="3" style="14" customWidth="1"/>
    <col min="3586" max="3586" width="4.140625" style="14" customWidth="1"/>
    <col min="3587" max="3587" width="54" style="14" customWidth="1"/>
    <col min="3588" max="3588" width="3.7109375" style="14" customWidth="1"/>
    <col min="3589" max="3589" width="90.28515625" style="14" customWidth="1"/>
    <col min="3590" max="3591" width="8.85546875" style="14"/>
    <col min="3592" max="3592" width="15.42578125" style="14" customWidth="1"/>
    <col min="3593" max="3593" width="5.140625" style="14" customWidth="1"/>
    <col min="3594" max="3595" width="8.85546875" style="14"/>
    <col min="3596" max="3596" width="3" style="14" customWidth="1"/>
    <col min="3597" max="3599" width="8.85546875" style="14"/>
    <col min="3600" max="3600" width="7" style="14" customWidth="1"/>
    <col min="3601" max="3840" width="8.85546875" style="14"/>
    <col min="3841" max="3841" width="3" style="14" customWidth="1"/>
    <col min="3842" max="3842" width="4.140625" style="14" customWidth="1"/>
    <col min="3843" max="3843" width="54" style="14" customWidth="1"/>
    <col min="3844" max="3844" width="3.7109375" style="14" customWidth="1"/>
    <col min="3845" max="3845" width="90.28515625" style="14" customWidth="1"/>
    <col min="3846" max="3847" width="8.85546875" style="14"/>
    <col min="3848" max="3848" width="15.42578125" style="14" customWidth="1"/>
    <col min="3849" max="3849" width="5.140625" style="14" customWidth="1"/>
    <col min="3850" max="3851" width="8.85546875" style="14"/>
    <col min="3852" max="3852" width="3" style="14" customWidth="1"/>
    <col min="3853" max="3855" width="8.85546875" style="14"/>
    <col min="3856" max="3856" width="7" style="14" customWidth="1"/>
    <col min="3857" max="4096" width="8.85546875" style="14"/>
    <col min="4097" max="4097" width="3" style="14" customWidth="1"/>
    <col min="4098" max="4098" width="4.140625" style="14" customWidth="1"/>
    <col min="4099" max="4099" width="54" style="14" customWidth="1"/>
    <col min="4100" max="4100" width="3.7109375" style="14" customWidth="1"/>
    <col min="4101" max="4101" width="90.28515625" style="14" customWidth="1"/>
    <col min="4102" max="4103" width="8.85546875" style="14"/>
    <col min="4104" max="4104" width="15.42578125" style="14" customWidth="1"/>
    <col min="4105" max="4105" width="5.140625" style="14" customWidth="1"/>
    <col min="4106" max="4107" width="8.85546875" style="14"/>
    <col min="4108" max="4108" width="3" style="14" customWidth="1"/>
    <col min="4109" max="4111" width="8.85546875" style="14"/>
    <col min="4112" max="4112" width="7" style="14" customWidth="1"/>
    <col min="4113" max="4352" width="8.85546875" style="14"/>
    <col min="4353" max="4353" width="3" style="14" customWidth="1"/>
    <col min="4354" max="4354" width="4.140625" style="14" customWidth="1"/>
    <col min="4355" max="4355" width="54" style="14" customWidth="1"/>
    <col min="4356" max="4356" width="3.7109375" style="14" customWidth="1"/>
    <col min="4357" max="4357" width="90.28515625" style="14" customWidth="1"/>
    <col min="4358" max="4359" width="8.85546875" style="14"/>
    <col min="4360" max="4360" width="15.42578125" style="14" customWidth="1"/>
    <col min="4361" max="4361" width="5.140625" style="14" customWidth="1"/>
    <col min="4362" max="4363" width="8.85546875" style="14"/>
    <col min="4364" max="4364" width="3" style="14" customWidth="1"/>
    <col min="4365" max="4367" width="8.85546875" style="14"/>
    <col min="4368" max="4368" width="7" style="14" customWidth="1"/>
    <col min="4369" max="4608" width="8.85546875" style="14"/>
    <col min="4609" max="4609" width="3" style="14" customWidth="1"/>
    <col min="4610" max="4610" width="4.140625" style="14" customWidth="1"/>
    <col min="4611" max="4611" width="54" style="14" customWidth="1"/>
    <col min="4612" max="4612" width="3.7109375" style="14" customWidth="1"/>
    <col min="4613" max="4613" width="90.28515625" style="14" customWidth="1"/>
    <col min="4614" max="4615" width="8.85546875" style="14"/>
    <col min="4616" max="4616" width="15.42578125" style="14" customWidth="1"/>
    <col min="4617" max="4617" width="5.140625" style="14" customWidth="1"/>
    <col min="4618" max="4619" width="8.85546875" style="14"/>
    <col min="4620" max="4620" width="3" style="14" customWidth="1"/>
    <col min="4621" max="4623" width="8.85546875" style="14"/>
    <col min="4624" max="4624" width="7" style="14" customWidth="1"/>
    <col min="4625" max="4864" width="8.85546875" style="14"/>
    <col min="4865" max="4865" width="3" style="14" customWidth="1"/>
    <col min="4866" max="4866" width="4.140625" style="14" customWidth="1"/>
    <col min="4867" max="4867" width="54" style="14" customWidth="1"/>
    <col min="4868" max="4868" width="3.7109375" style="14" customWidth="1"/>
    <col min="4869" max="4869" width="90.28515625" style="14" customWidth="1"/>
    <col min="4870" max="4871" width="8.85546875" style="14"/>
    <col min="4872" max="4872" width="15.42578125" style="14" customWidth="1"/>
    <col min="4873" max="4873" width="5.140625" style="14" customWidth="1"/>
    <col min="4874" max="4875" width="8.85546875" style="14"/>
    <col min="4876" max="4876" width="3" style="14" customWidth="1"/>
    <col min="4877" max="4879" width="8.85546875" style="14"/>
    <col min="4880" max="4880" width="7" style="14" customWidth="1"/>
    <col min="4881" max="5120" width="8.85546875" style="14"/>
    <col min="5121" max="5121" width="3" style="14" customWidth="1"/>
    <col min="5122" max="5122" width="4.140625" style="14" customWidth="1"/>
    <col min="5123" max="5123" width="54" style="14" customWidth="1"/>
    <col min="5124" max="5124" width="3.7109375" style="14" customWidth="1"/>
    <col min="5125" max="5125" width="90.28515625" style="14" customWidth="1"/>
    <col min="5126" max="5127" width="8.85546875" style="14"/>
    <col min="5128" max="5128" width="15.42578125" style="14" customWidth="1"/>
    <col min="5129" max="5129" width="5.140625" style="14" customWidth="1"/>
    <col min="5130" max="5131" width="8.85546875" style="14"/>
    <col min="5132" max="5132" width="3" style="14" customWidth="1"/>
    <col min="5133" max="5135" width="8.85546875" style="14"/>
    <col min="5136" max="5136" width="7" style="14" customWidth="1"/>
    <col min="5137" max="5376" width="8.85546875" style="14"/>
    <col min="5377" max="5377" width="3" style="14" customWidth="1"/>
    <col min="5378" max="5378" width="4.140625" style="14" customWidth="1"/>
    <col min="5379" max="5379" width="54" style="14" customWidth="1"/>
    <col min="5380" max="5380" width="3.7109375" style="14" customWidth="1"/>
    <col min="5381" max="5381" width="90.28515625" style="14" customWidth="1"/>
    <col min="5382" max="5383" width="8.85546875" style="14"/>
    <col min="5384" max="5384" width="15.42578125" style="14" customWidth="1"/>
    <col min="5385" max="5385" width="5.140625" style="14" customWidth="1"/>
    <col min="5386" max="5387" width="8.85546875" style="14"/>
    <col min="5388" max="5388" width="3" style="14" customWidth="1"/>
    <col min="5389" max="5391" width="8.85546875" style="14"/>
    <col min="5392" max="5392" width="7" style="14" customWidth="1"/>
    <col min="5393" max="5632" width="8.85546875" style="14"/>
    <col min="5633" max="5633" width="3" style="14" customWidth="1"/>
    <col min="5634" max="5634" width="4.140625" style="14" customWidth="1"/>
    <col min="5635" max="5635" width="54" style="14" customWidth="1"/>
    <col min="5636" max="5636" width="3.7109375" style="14" customWidth="1"/>
    <col min="5637" max="5637" width="90.28515625" style="14" customWidth="1"/>
    <col min="5638" max="5639" width="8.85546875" style="14"/>
    <col min="5640" max="5640" width="15.42578125" style="14" customWidth="1"/>
    <col min="5641" max="5641" width="5.140625" style="14" customWidth="1"/>
    <col min="5642" max="5643" width="8.85546875" style="14"/>
    <col min="5644" max="5644" width="3" style="14" customWidth="1"/>
    <col min="5645" max="5647" width="8.85546875" style="14"/>
    <col min="5648" max="5648" width="7" style="14" customWidth="1"/>
    <col min="5649" max="5888" width="8.85546875" style="14"/>
    <col min="5889" max="5889" width="3" style="14" customWidth="1"/>
    <col min="5890" max="5890" width="4.140625" style="14" customWidth="1"/>
    <col min="5891" max="5891" width="54" style="14" customWidth="1"/>
    <col min="5892" max="5892" width="3.7109375" style="14" customWidth="1"/>
    <col min="5893" max="5893" width="90.28515625" style="14" customWidth="1"/>
    <col min="5894" max="5895" width="8.85546875" style="14"/>
    <col min="5896" max="5896" width="15.42578125" style="14" customWidth="1"/>
    <col min="5897" max="5897" width="5.140625" style="14" customWidth="1"/>
    <col min="5898" max="5899" width="8.85546875" style="14"/>
    <col min="5900" max="5900" width="3" style="14" customWidth="1"/>
    <col min="5901" max="5903" width="8.85546875" style="14"/>
    <col min="5904" max="5904" width="7" style="14" customWidth="1"/>
    <col min="5905" max="6144" width="8.85546875" style="14"/>
    <col min="6145" max="6145" width="3" style="14" customWidth="1"/>
    <col min="6146" max="6146" width="4.140625" style="14" customWidth="1"/>
    <col min="6147" max="6147" width="54" style="14" customWidth="1"/>
    <col min="6148" max="6148" width="3.7109375" style="14" customWidth="1"/>
    <col min="6149" max="6149" width="90.28515625" style="14" customWidth="1"/>
    <col min="6150" max="6151" width="8.85546875" style="14"/>
    <col min="6152" max="6152" width="15.42578125" style="14" customWidth="1"/>
    <col min="6153" max="6153" width="5.140625" style="14" customWidth="1"/>
    <col min="6154" max="6155" width="8.85546875" style="14"/>
    <col min="6156" max="6156" width="3" style="14" customWidth="1"/>
    <col min="6157" max="6159" width="8.85546875" style="14"/>
    <col min="6160" max="6160" width="7" style="14" customWidth="1"/>
    <col min="6161" max="6400" width="8.85546875" style="14"/>
    <col min="6401" max="6401" width="3" style="14" customWidth="1"/>
    <col min="6402" max="6402" width="4.140625" style="14" customWidth="1"/>
    <col min="6403" max="6403" width="54" style="14" customWidth="1"/>
    <col min="6404" max="6404" width="3.7109375" style="14" customWidth="1"/>
    <col min="6405" max="6405" width="90.28515625" style="14" customWidth="1"/>
    <col min="6406" max="6407" width="8.85546875" style="14"/>
    <col min="6408" max="6408" width="15.42578125" style="14" customWidth="1"/>
    <col min="6409" max="6409" width="5.140625" style="14" customWidth="1"/>
    <col min="6410" max="6411" width="8.85546875" style="14"/>
    <col min="6412" max="6412" width="3" style="14" customWidth="1"/>
    <col min="6413" max="6415" width="8.85546875" style="14"/>
    <col min="6416" max="6416" width="7" style="14" customWidth="1"/>
    <col min="6417" max="6656" width="8.85546875" style="14"/>
    <col min="6657" max="6657" width="3" style="14" customWidth="1"/>
    <col min="6658" max="6658" width="4.140625" style="14" customWidth="1"/>
    <col min="6659" max="6659" width="54" style="14" customWidth="1"/>
    <col min="6660" max="6660" width="3.7109375" style="14" customWidth="1"/>
    <col min="6661" max="6661" width="90.28515625" style="14" customWidth="1"/>
    <col min="6662" max="6663" width="8.85546875" style="14"/>
    <col min="6664" max="6664" width="15.42578125" style="14" customWidth="1"/>
    <col min="6665" max="6665" width="5.140625" style="14" customWidth="1"/>
    <col min="6666" max="6667" width="8.85546875" style="14"/>
    <col min="6668" max="6668" width="3" style="14" customWidth="1"/>
    <col min="6669" max="6671" width="8.85546875" style="14"/>
    <col min="6672" max="6672" width="7" style="14" customWidth="1"/>
    <col min="6673" max="6912" width="8.85546875" style="14"/>
    <col min="6913" max="6913" width="3" style="14" customWidth="1"/>
    <col min="6914" max="6914" width="4.140625" style="14" customWidth="1"/>
    <col min="6915" max="6915" width="54" style="14" customWidth="1"/>
    <col min="6916" max="6916" width="3.7109375" style="14" customWidth="1"/>
    <col min="6917" max="6917" width="90.28515625" style="14" customWidth="1"/>
    <col min="6918" max="6919" width="8.85546875" style="14"/>
    <col min="6920" max="6920" width="15.42578125" style="14" customWidth="1"/>
    <col min="6921" max="6921" width="5.140625" style="14" customWidth="1"/>
    <col min="6922" max="6923" width="8.85546875" style="14"/>
    <col min="6924" max="6924" width="3" style="14" customWidth="1"/>
    <col min="6925" max="6927" width="8.85546875" style="14"/>
    <col min="6928" max="6928" width="7" style="14" customWidth="1"/>
    <col min="6929" max="7168" width="8.85546875" style="14"/>
    <col min="7169" max="7169" width="3" style="14" customWidth="1"/>
    <col min="7170" max="7170" width="4.140625" style="14" customWidth="1"/>
    <col min="7171" max="7171" width="54" style="14" customWidth="1"/>
    <col min="7172" max="7172" width="3.7109375" style="14" customWidth="1"/>
    <col min="7173" max="7173" width="90.28515625" style="14" customWidth="1"/>
    <col min="7174" max="7175" width="8.85546875" style="14"/>
    <col min="7176" max="7176" width="15.42578125" style="14" customWidth="1"/>
    <col min="7177" max="7177" width="5.140625" style="14" customWidth="1"/>
    <col min="7178" max="7179" width="8.85546875" style="14"/>
    <col min="7180" max="7180" width="3" style="14" customWidth="1"/>
    <col min="7181" max="7183" width="8.85546875" style="14"/>
    <col min="7184" max="7184" width="7" style="14" customWidth="1"/>
    <col min="7185" max="7424" width="8.85546875" style="14"/>
    <col min="7425" max="7425" width="3" style="14" customWidth="1"/>
    <col min="7426" max="7426" width="4.140625" style="14" customWidth="1"/>
    <col min="7427" max="7427" width="54" style="14" customWidth="1"/>
    <col min="7428" max="7428" width="3.7109375" style="14" customWidth="1"/>
    <col min="7429" max="7429" width="90.28515625" style="14" customWidth="1"/>
    <col min="7430" max="7431" width="8.85546875" style="14"/>
    <col min="7432" max="7432" width="15.42578125" style="14" customWidth="1"/>
    <col min="7433" max="7433" width="5.140625" style="14" customWidth="1"/>
    <col min="7434" max="7435" width="8.85546875" style="14"/>
    <col min="7436" max="7436" width="3" style="14" customWidth="1"/>
    <col min="7437" max="7439" width="8.85546875" style="14"/>
    <col min="7440" max="7440" width="7" style="14" customWidth="1"/>
    <col min="7441" max="7680" width="8.85546875" style="14"/>
    <col min="7681" max="7681" width="3" style="14" customWidth="1"/>
    <col min="7682" max="7682" width="4.140625" style="14" customWidth="1"/>
    <col min="7683" max="7683" width="54" style="14" customWidth="1"/>
    <col min="7684" max="7684" width="3.7109375" style="14" customWidth="1"/>
    <col min="7685" max="7685" width="90.28515625" style="14" customWidth="1"/>
    <col min="7686" max="7687" width="8.85546875" style="14"/>
    <col min="7688" max="7688" width="15.42578125" style="14" customWidth="1"/>
    <col min="7689" max="7689" width="5.140625" style="14" customWidth="1"/>
    <col min="7690" max="7691" width="8.85546875" style="14"/>
    <col min="7692" max="7692" width="3" style="14" customWidth="1"/>
    <col min="7693" max="7695" width="8.85546875" style="14"/>
    <col min="7696" max="7696" width="7" style="14" customWidth="1"/>
    <col min="7697" max="7936" width="8.85546875" style="14"/>
    <col min="7937" max="7937" width="3" style="14" customWidth="1"/>
    <col min="7938" max="7938" width="4.140625" style="14" customWidth="1"/>
    <col min="7939" max="7939" width="54" style="14" customWidth="1"/>
    <col min="7940" max="7940" width="3.7109375" style="14" customWidth="1"/>
    <col min="7941" max="7941" width="90.28515625" style="14" customWidth="1"/>
    <col min="7942" max="7943" width="8.85546875" style="14"/>
    <col min="7944" max="7944" width="15.42578125" style="14" customWidth="1"/>
    <col min="7945" max="7945" width="5.140625" style="14" customWidth="1"/>
    <col min="7946" max="7947" width="8.85546875" style="14"/>
    <col min="7948" max="7948" width="3" style="14" customWidth="1"/>
    <col min="7949" max="7951" width="8.85546875" style="14"/>
    <col min="7952" max="7952" width="7" style="14" customWidth="1"/>
    <col min="7953" max="8192" width="8.85546875" style="14"/>
    <col min="8193" max="8193" width="3" style="14" customWidth="1"/>
    <col min="8194" max="8194" width="4.140625" style="14" customWidth="1"/>
    <col min="8195" max="8195" width="54" style="14" customWidth="1"/>
    <col min="8196" max="8196" width="3.7109375" style="14" customWidth="1"/>
    <col min="8197" max="8197" width="90.28515625" style="14" customWidth="1"/>
    <col min="8198" max="8199" width="8.85546875" style="14"/>
    <col min="8200" max="8200" width="15.42578125" style="14" customWidth="1"/>
    <col min="8201" max="8201" width="5.140625" style="14" customWidth="1"/>
    <col min="8202" max="8203" width="8.85546875" style="14"/>
    <col min="8204" max="8204" width="3" style="14" customWidth="1"/>
    <col min="8205" max="8207" width="8.85546875" style="14"/>
    <col min="8208" max="8208" width="7" style="14" customWidth="1"/>
    <col min="8209" max="8448" width="8.85546875" style="14"/>
    <col min="8449" max="8449" width="3" style="14" customWidth="1"/>
    <col min="8450" max="8450" width="4.140625" style="14" customWidth="1"/>
    <col min="8451" max="8451" width="54" style="14" customWidth="1"/>
    <col min="8452" max="8452" width="3.7109375" style="14" customWidth="1"/>
    <col min="8453" max="8453" width="90.28515625" style="14" customWidth="1"/>
    <col min="8454" max="8455" width="8.85546875" style="14"/>
    <col min="8456" max="8456" width="15.42578125" style="14" customWidth="1"/>
    <col min="8457" max="8457" width="5.140625" style="14" customWidth="1"/>
    <col min="8458" max="8459" width="8.85546875" style="14"/>
    <col min="8460" max="8460" width="3" style="14" customWidth="1"/>
    <col min="8461" max="8463" width="8.85546875" style="14"/>
    <col min="8464" max="8464" width="7" style="14" customWidth="1"/>
    <col min="8465" max="8704" width="8.85546875" style="14"/>
    <col min="8705" max="8705" width="3" style="14" customWidth="1"/>
    <col min="8706" max="8706" width="4.140625" style="14" customWidth="1"/>
    <col min="8707" max="8707" width="54" style="14" customWidth="1"/>
    <col min="8708" max="8708" width="3.7109375" style="14" customWidth="1"/>
    <col min="8709" max="8709" width="90.28515625" style="14" customWidth="1"/>
    <col min="8710" max="8711" width="8.85546875" style="14"/>
    <col min="8712" max="8712" width="15.42578125" style="14" customWidth="1"/>
    <col min="8713" max="8713" width="5.140625" style="14" customWidth="1"/>
    <col min="8714" max="8715" width="8.85546875" style="14"/>
    <col min="8716" max="8716" width="3" style="14" customWidth="1"/>
    <col min="8717" max="8719" width="8.85546875" style="14"/>
    <col min="8720" max="8720" width="7" style="14" customWidth="1"/>
    <col min="8721" max="8960" width="8.85546875" style="14"/>
    <col min="8961" max="8961" width="3" style="14" customWidth="1"/>
    <col min="8962" max="8962" width="4.140625" style="14" customWidth="1"/>
    <col min="8963" max="8963" width="54" style="14" customWidth="1"/>
    <col min="8964" max="8964" width="3.7109375" style="14" customWidth="1"/>
    <col min="8965" max="8965" width="90.28515625" style="14" customWidth="1"/>
    <col min="8966" max="8967" width="8.85546875" style="14"/>
    <col min="8968" max="8968" width="15.42578125" style="14" customWidth="1"/>
    <col min="8969" max="8969" width="5.140625" style="14" customWidth="1"/>
    <col min="8970" max="8971" width="8.85546875" style="14"/>
    <col min="8972" max="8972" width="3" style="14" customWidth="1"/>
    <col min="8973" max="8975" width="8.85546875" style="14"/>
    <col min="8976" max="8976" width="7" style="14" customWidth="1"/>
    <col min="8977" max="9216" width="8.85546875" style="14"/>
    <col min="9217" max="9217" width="3" style="14" customWidth="1"/>
    <col min="9218" max="9218" width="4.140625" style="14" customWidth="1"/>
    <col min="9219" max="9219" width="54" style="14" customWidth="1"/>
    <col min="9220" max="9220" width="3.7109375" style="14" customWidth="1"/>
    <col min="9221" max="9221" width="90.28515625" style="14" customWidth="1"/>
    <col min="9222" max="9223" width="8.85546875" style="14"/>
    <col min="9224" max="9224" width="15.42578125" style="14" customWidth="1"/>
    <col min="9225" max="9225" width="5.140625" style="14" customWidth="1"/>
    <col min="9226" max="9227" width="8.85546875" style="14"/>
    <col min="9228" max="9228" width="3" style="14" customWidth="1"/>
    <col min="9229" max="9231" width="8.85546875" style="14"/>
    <col min="9232" max="9232" width="7" style="14" customWidth="1"/>
    <col min="9233" max="9472" width="8.85546875" style="14"/>
    <col min="9473" max="9473" width="3" style="14" customWidth="1"/>
    <col min="9474" max="9474" width="4.140625" style="14" customWidth="1"/>
    <col min="9475" max="9475" width="54" style="14" customWidth="1"/>
    <col min="9476" max="9476" width="3.7109375" style="14" customWidth="1"/>
    <col min="9477" max="9477" width="90.28515625" style="14" customWidth="1"/>
    <col min="9478" max="9479" width="8.85546875" style="14"/>
    <col min="9480" max="9480" width="15.42578125" style="14" customWidth="1"/>
    <col min="9481" max="9481" width="5.140625" style="14" customWidth="1"/>
    <col min="9482" max="9483" width="8.85546875" style="14"/>
    <col min="9484" max="9484" width="3" style="14" customWidth="1"/>
    <col min="9485" max="9487" width="8.85546875" style="14"/>
    <col min="9488" max="9488" width="7" style="14" customWidth="1"/>
    <col min="9489" max="9728" width="8.85546875" style="14"/>
    <col min="9729" max="9729" width="3" style="14" customWidth="1"/>
    <col min="9730" max="9730" width="4.140625" style="14" customWidth="1"/>
    <col min="9731" max="9731" width="54" style="14" customWidth="1"/>
    <col min="9732" max="9732" width="3.7109375" style="14" customWidth="1"/>
    <col min="9733" max="9733" width="90.28515625" style="14" customWidth="1"/>
    <col min="9734" max="9735" width="8.85546875" style="14"/>
    <col min="9736" max="9736" width="15.42578125" style="14" customWidth="1"/>
    <col min="9737" max="9737" width="5.140625" style="14" customWidth="1"/>
    <col min="9738" max="9739" width="8.85546875" style="14"/>
    <col min="9740" max="9740" width="3" style="14" customWidth="1"/>
    <col min="9741" max="9743" width="8.85546875" style="14"/>
    <col min="9744" max="9744" width="7" style="14" customWidth="1"/>
    <col min="9745" max="9984" width="8.85546875" style="14"/>
    <col min="9985" max="9985" width="3" style="14" customWidth="1"/>
    <col min="9986" max="9986" width="4.140625" style="14" customWidth="1"/>
    <col min="9987" max="9987" width="54" style="14" customWidth="1"/>
    <col min="9988" max="9988" width="3.7109375" style="14" customWidth="1"/>
    <col min="9989" max="9989" width="90.28515625" style="14" customWidth="1"/>
    <col min="9990" max="9991" width="8.85546875" style="14"/>
    <col min="9992" max="9992" width="15.42578125" style="14" customWidth="1"/>
    <col min="9993" max="9993" width="5.140625" style="14" customWidth="1"/>
    <col min="9994" max="9995" width="8.85546875" style="14"/>
    <col min="9996" max="9996" width="3" style="14" customWidth="1"/>
    <col min="9997" max="9999" width="8.85546875" style="14"/>
    <col min="10000" max="10000" width="7" style="14" customWidth="1"/>
    <col min="10001" max="10240" width="8.85546875" style="14"/>
    <col min="10241" max="10241" width="3" style="14" customWidth="1"/>
    <col min="10242" max="10242" width="4.140625" style="14" customWidth="1"/>
    <col min="10243" max="10243" width="54" style="14" customWidth="1"/>
    <col min="10244" max="10244" width="3.7109375" style="14" customWidth="1"/>
    <col min="10245" max="10245" width="90.28515625" style="14" customWidth="1"/>
    <col min="10246" max="10247" width="8.85546875" style="14"/>
    <col min="10248" max="10248" width="15.42578125" style="14" customWidth="1"/>
    <col min="10249" max="10249" width="5.140625" style="14" customWidth="1"/>
    <col min="10250" max="10251" width="8.85546875" style="14"/>
    <col min="10252" max="10252" width="3" style="14" customWidth="1"/>
    <col min="10253" max="10255" width="8.85546875" style="14"/>
    <col min="10256" max="10256" width="7" style="14" customWidth="1"/>
    <col min="10257" max="10496" width="8.85546875" style="14"/>
    <col min="10497" max="10497" width="3" style="14" customWidth="1"/>
    <col min="10498" max="10498" width="4.140625" style="14" customWidth="1"/>
    <col min="10499" max="10499" width="54" style="14" customWidth="1"/>
    <col min="10500" max="10500" width="3.7109375" style="14" customWidth="1"/>
    <col min="10501" max="10501" width="90.28515625" style="14" customWidth="1"/>
    <col min="10502" max="10503" width="8.85546875" style="14"/>
    <col min="10504" max="10504" width="15.42578125" style="14" customWidth="1"/>
    <col min="10505" max="10505" width="5.140625" style="14" customWidth="1"/>
    <col min="10506" max="10507" width="8.85546875" style="14"/>
    <col min="10508" max="10508" width="3" style="14" customWidth="1"/>
    <col min="10509" max="10511" width="8.85546875" style="14"/>
    <col min="10512" max="10512" width="7" style="14" customWidth="1"/>
    <col min="10513" max="10752" width="8.85546875" style="14"/>
    <col min="10753" max="10753" width="3" style="14" customWidth="1"/>
    <col min="10754" max="10754" width="4.140625" style="14" customWidth="1"/>
    <col min="10755" max="10755" width="54" style="14" customWidth="1"/>
    <col min="10756" max="10756" width="3.7109375" style="14" customWidth="1"/>
    <col min="10757" max="10757" width="90.28515625" style="14" customWidth="1"/>
    <col min="10758" max="10759" width="8.85546875" style="14"/>
    <col min="10760" max="10760" width="15.42578125" style="14" customWidth="1"/>
    <col min="10761" max="10761" width="5.140625" style="14" customWidth="1"/>
    <col min="10762" max="10763" width="8.85546875" style="14"/>
    <col min="10764" max="10764" width="3" style="14" customWidth="1"/>
    <col min="10765" max="10767" width="8.85546875" style="14"/>
    <col min="10768" max="10768" width="7" style="14" customWidth="1"/>
    <col min="10769" max="11008" width="8.85546875" style="14"/>
    <col min="11009" max="11009" width="3" style="14" customWidth="1"/>
    <col min="11010" max="11010" width="4.140625" style="14" customWidth="1"/>
    <col min="11011" max="11011" width="54" style="14" customWidth="1"/>
    <col min="11012" max="11012" width="3.7109375" style="14" customWidth="1"/>
    <col min="11013" max="11013" width="90.28515625" style="14" customWidth="1"/>
    <col min="11014" max="11015" width="8.85546875" style="14"/>
    <col min="11016" max="11016" width="15.42578125" style="14" customWidth="1"/>
    <col min="11017" max="11017" width="5.140625" style="14" customWidth="1"/>
    <col min="11018" max="11019" width="8.85546875" style="14"/>
    <col min="11020" max="11020" width="3" style="14" customWidth="1"/>
    <col min="11021" max="11023" width="8.85546875" style="14"/>
    <col min="11024" max="11024" width="7" style="14" customWidth="1"/>
    <col min="11025" max="11264" width="8.85546875" style="14"/>
    <col min="11265" max="11265" width="3" style="14" customWidth="1"/>
    <col min="11266" max="11266" width="4.140625" style="14" customWidth="1"/>
    <col min="11267" max="11267" width="54" style="14" customWidth="1"/>
    <col min="11268" max="11268" width="3.7109375" style="14" customWidth="1"/>
    <col min="11269" max="11269" width="90.28515625" style="14" customWidth="1"/>
    <col min="11270" max="11271" width="8.85546875" style="14"/>
    <col min="11272" max="11272" width="15.42578125" style="14" customWidth="1"/>
    <col min="11273" max="11273" width="5.140625" style="14" customWidth="1"/>
    <col min="11274" max="11275" width="8.85546875" style="14"/>
    <col min="11276" max="11276" width="3" style="14" customWidth="1"/>
    <col min="11277" max="11279" width="8.85546875" style="14"/>
    <col min="11280" max="11280" width="7" style="14" customWidth="1"/>
    <col min="11281" max="11520" width="8.85546875" style="14"/>
    <col min="11521" max="11521" width="3" style="14" customWidth="1"/>
    <col min="11522" max="11522" width="4.140625" style="14" customWidth="1"/>
    <col min="11523" max="11523" width="54" style="14" customWidth="1"/>
    <col min="11524" max="11524" width="3.7109375" style="14" customWidth="1"/>
    <col min="11525" max="11525" width="90.28515625" style="14" customWidth="1"/>
    <col min="11526" max="11527" width="8.85546875" style="14"/>
    <col min="11528" max="11528" width="15.42578125" style="14" customWidth="1"/>
    <col min="11529" max="11529" width="5.140625" style="14" customWidth="1"/>
    <col min="11530" max="11531" width="8.85546875" style="14"/>
    <col min="11532" max="11532" width="3" style="14" customWidth="1"/>
    <col min="11533" max="11535" width="8.85546875" style="14"/>
    <col min="11536" max="11536" width="7" style="14" customWidth="1"/>
    <col min="11537" max="11776" width="8.85546875" style="14"/>
    <col min="11777" max="11777" width="3" style="14" customWidth="1"/>
    <col min="11778" max="11778" width="4.140625" style="14" customWidth="1"/>
    <col min="11779" max="11779" width="54" style="14" customWidth="1"/>
    <col min="11780" max="11780" width="3.7109375" style="14" customWidth="1"/>
    <col min="11781" max="11781" width="90.28515625" style="14" customWidth="1"/>
    <col min="11782" max="11783" width="8.85546875" style="14"/>
    <col min="11784" max="11784" width="15.42578125" style="14" customWidth="1"/>
    <col min="11785" max="11785" width="5.140625" style="14" customWidth="1"/>
    <col min="11786" max="11787" width="8.85546875" style="14"/>
    <col min="11788" max="11788" width="3" style="14" customWidth="1"/>
    <col min="11789" max="11791" width="8.85546875" style="14"/>
    <col min="11792" max="11792" width="7" style="14" customWidth="1"/>
    <col min="11793" max="12032" width="8.85546875" style="14"/>
    <col min="12033" max="12033" width="3" style="14" customWidth="1"/>
    <col min="12034" max="12034" width="4.140625" style="14" customWidth="1"/>
    <col min="12035" max="12035" width="54" style="14" customWidth="1"/>
    <col min="12036" max="12036" width="3.7109375" style="14" customWidth="1"/>
    <col min="12037" max="12037" width="90.28515625" style="14" customWidth="1"/>
    <col min="12038" max="12039" width="8.85546875" style="14"/>
    <col min="12040" max="12040" width="15.42578125" style="14" customWidth="1"/>
    <col min="12041" max="12041" width="5.140625" style="14" customWidth="1"/>
    <col min="12042" max="12043" width="8.85546875" style="14"/>
    <col min="12044" max="12044" width="3" style="14" customWidth="1"/>
    <col min="12045" max="12047" width="8.85546875" style="14"/>
    <col min="12048" max="12048" width="7" style="14" customWidth="1"/>
    <col min="12049" max="12288" width="8.85546875" style="14"/>
    <col min="12289" max="12289" width="3" style="14" customWidth="1"/>
    <col min="12290" max="12290" width="4.140625" style="14" customWidth="1"/>
    <col min="12291" max="12291" width="54" style="14" customWidth="1"/>
    <col min="12292" max="12292" width="3.7109375" style="14" customWidth="1"/>
    <col min="12293" max="12293" width="90.28515625" style="14" customWidth="1"/>
    <col min="12294" max="12295" width="8.85546875" style="14"/>
    <col min="12296" max="12296" width="15.42578125" style="14" customWidth="1"/>
    <col min="12297" max="12297" width="5.140625" style="14" customWidth="1"/>
    <col min="12298" max="12299" width="8.85546875" style="14"/>
    <col min="12300" max="12300" width="3" style="14" customWidth="1"/>
    <col min="12301" max="12303" width="8.85546875" style="14"/>
    <col min="12304" max="12304" width="7" style="14" customWidth="1"/>
    <col min="12305" max="12544" width="8.85546875" style="14"/>
    <col min="12545" max="12545" width="3" style="14" customWidth="1"/>
    <col min="12546" max="12546" width="4.140625" style="14" customWidth="1"/>
    <col min="12547" max="12547" width="54" style="14" customWidth="1"/>
    <col min="12548" max="12548" width="3.7109375" style="14" customWidth="1"/>
    <col min="12549" max="12549" width="90.28515625" style="14" customWidth="1"/>
    <col min="12550" max="12551" width="8.85546875" style="14"/>
    <col min="12552" max="12552" width="15.42578125" style="14" customWidth="1"/>
    <col min="12553" max="12553" width="5.140625" style="14" customWidth="1"/>
    <col min="12554" max="12555" width="8.85546875" style="14"/>
    <col min="12556" max="12556" width="3" style="14" customWidth="1"/>
    <col min="12557" max="12559" width="8.85546875" style="14"/>
    <col min="12560" max="12560" width="7" style="14" customWidth="1"/>
    <col min="12561" max="12800" width="8.85546875" style="14"/>
    <col min="12801" max="12801" width="3" style="14" customWidth="1"/>
    <col min="12802" max="12802" width="4.140625" style="14" customWidth="1"/>
    <col min="12803" max="12803" width="54" style="14" customWidth="1"/>
    <col min="12804" max="12804" width="3.7109375" style="14" customWidth="1"/>
    <col min="12805" max="12805" width="90.28515625" style="14" customWidth="1"/>
    <col min="12806" max="12807" width="8.85546875" style="14"/>
    <col min="12808" max="12808" width="15.42578125" style="14" customWidth="1"/>
    <col min="12809" max="12809" width="5.140625" style="14" customWidth="1"/>
    <col min="12810" max="12811" width="8.85546875" style="14"/>
    <col min="12812" max="12812" width="3" style="14" customWidth="1"/>
    <col min="12813" max="12815" width="8.85546875" style="14"/>
    <col min="12816" max="12816" width="7" style="14" customWidth="1"/>
    <col min="12817" max="13056" width="8.85546875" style="14"/>
    <col min="13057" max="13057" width="3" style="14" customWidth="1"/>
    <col min="13058" max="13058" width="4.140625" style="14" customWidth="1"/>
    <col min="13059" max="13059" width="54" style="14" customWidth="1"/>
    <col min="13060" max="13060" width="3.7109375" style="14" customWidth="1"/>
    <col min="13061" max="13061" width="90.28515625" style="14" customWidth="1"/>
    <col min="13062" max="13063" width="8.85546875" style="14"/>
    <col min="13064" max="13064" width="15.42578125" style="14" customWidth="1"/>
    <col min="13065" max="13065" width="5.140625" style="14" customWidth="1"/>
    <col min="13066" max="13067" width="8.85546875" style="14"/>
    <col min="13068" max="13068" width="3" style="14" customWidth="1"/>
    <col min="13069" max="13071" width="8.85546875" style="14"/>
    <col min="13072" max="13072" width="7" style="14" customWidth="1"/>
    <col min="13073" max="13312" width="8.85546875" style="14"/>
    <col min="13313" max="13313" width="3" style="14" customWidth="1"/>
    <col min="13314" max="13314" width="4.140625" style="14" customWidth="1"/>
    <col min="13315" max="13315" width="54" style="14" customWidth="1"/>
    <col min="13316" max="13316" width="3.7109375" style="14" customWidth="1"/>
    <col min="13317" max="13317" width="90.28515625" style="14" customWidth="1"/>
    <col min="13318" max="13319" width="8.85546875" style="14"/>
    <col min="13320" max="13320" width="15.42578125" style="14" customWidth="1"/>
    <col min="13321" max="13321" width="5.140625" style="14" customWidth="1"/>
    <col min="13322" max="13323" width="8.85546875" style="14"/>
    <col min="13324" max="13324" width="3" style="14" customWidth="1"/>
    <col min="13325" max="13327" width="8.85546875" style="14"/>
    <col min="13328" max="13328" width="7" style="14" customWidth="1"/>
    <col min="13329" max="13568" width="8.85546875" style="14"/>
    <col min="13569" max="13569" width="3" style="14" customWidth="1"/>
    <col min="13570" max="13570" width="4.140625" style="14" customWidth="1"/>
    <col min="13571" max="13571" width="54" style="14" customWidth="1"/>
    <col min="13572" max="13572" width="3.7109375" style="14" customWidth="1"/>
    <col min="13573" max="13573" width="90.28515625" style="14" customWidth="1"/>
    <col min="13574" max="13575" width="8.85546875" style="14"/>
    <col min="13576" max="13576" width="15.42578125" style="14" customWidth="1"/>
    <col min="13577" max="13577" width="5.140625" style="14" customWidth="1"/>
    <col min="13578" max="13579" width="8.85546875" style="14"/>
    <col min="13580" max="13580" width="3" style="14" customWidth="1"/>
    <col min="13581" max="13583" width="8.85546875" style="14"/>
    <col min="13584" max="13584" width="7" style="14" customWidth="1"/>
    <col min="13585" max="13824" width="8.85546875" style="14"/>
    <col min="13825" max="13825" width="3" style="14" customWidth="1"/>
    <col min="13826" max="13826" width="4.140625" style="14" customWidth="1"/>
    <col min="13827" max="13827" width="54" style="14" customWidth="1"/>
    <col min="13828" max="13828" width="3.7109375" style="14" customWidth="1"/>
    <col min="13829" max="13829" width="90.28515625" style="14" customWidth="1"/>
    <col min="13830" max="13831" width="8.85546875" style="14"/>
    <col min="13832" max="13832" width="15.42578125" style="14" customWidth="1"/>
    <col min="13833" max="13833" width="5.140625" style="14" customWidth="1"/>
    <col min="13834" max="13835" width="8.85546875" style="14"/>
    <col min="13836" max="13836" width="3" style="14" customWidth="1"/>
    <col min="13837" max="13839" width="8.85546875" style="14"/>
    <col min="13840" max="13840" width="7" style="14" customWidth="1"/>
    <col min="13841" max="14080" width="8.85546875" style="14"/>
    <col min="14081" max="14081" width="3" style="14" customWidth="1"/>
    <col min="14082" max="14082" width="4.140625" style="14" customWidth="1"/>
    <col min="14083" max="14083" width="54" style="14" customWidth="1"/>
    <col min="14084" max="14084" width="3.7109375" style="14" customWidth="1"/>
    <col min="14085" max="14085" width="90.28515625" style="14" customWidth="1"/>
    <col min="14086" max="14087" width="8.85546875" style="14"/>
    <col min="14088" max="14088" width="15.42578125" style="14" customWidth="1"/>
    <col min="14089" max="14089" width="5.140625" style="14" customWidth="1"/>
    <col min="14090" max="14091" width="8.85546875" style="14"/>
    <col min="14092" max="14092" width="3" style="14" customWidth="1"/>
    <col min="14093" max="14095" width="8.85546875" style="14"/>
    <col min="14096" max="14096" width="7" style="14" customWidth="1"/>
    <col min="14097" max="14336" width="8.85546875" style="14"/>
    <col min="14337" max="14337" width="3" style="14" customWidth="1"/>
    <col min="14338" max="14338" width="4.140625" style="14" customWidth="1"/>
    <col min="14339" max="14339" width="54" style="14" customWidth="1"/>
    <col min="14340" max="14340" width="3.7109375" style="14" customWidth="1"/>
    <col min="14341" max="14341" width="90.28515625" style="14" customWidth="1"/>
    <col min="14342" max="14343" width="8.85546875" style="14"/>
    <col min="14344" max="14344" width="15.42578125" style="14" customWidth="1"/>
    <col min="14345" max="14345" width="5.140625" style="14" customWidth="1"/>
    <col min="14346" max="14347" width="8.85546875" style="14"/>
    <col min="14348" max="14348" width="3" style="14" customWidth="1"/>
    <col min="14349" max="14351" width="8.85546875" style="14"/>
    <col min="14352" max="14352" width="7" style="14" customWidth="1"/>
    <col min="14353" max="14592" width="8.85546875" style="14"/>
    <col min="14593" max="14593" width="3" style="14" customWidth="1"/>
    <col min="14594" max="14594" width="4.140625" style="14" customWidth="1"/>
    <col min="14595" max="14595" width="54" style="14" customWidth="1"/>
    <col min="14596" max="14596" width="3.7109375" style="14" customWidth="1"/>
    <col min="14597" max="14597" width="90.28515625" style="14" customWidth="1"/>
    <col min="14598" max="14599" width="8.85546875" style="14"/>
    <col min="14600" max="14600" width="15.42578125" style="14" customWidth="1"/>
    <col min="14601" max="14601" width="5.140625" style="14" customWidth="1"/>
    <col min="14602" max="14603" width="8.85546875" style="14"/>
    <col min="14604" max="14604" width="3" style="14" customWidth="1"/>
    <col min="14605" max="14607" width="8.85546875" style="14"/>
    <col min="14608" max="14608" width="7" style="14" customWidth="1"/>
    <col min="14609" max="14848" width="8.85546875" style="14"/>
    <col min="14849" max="14849" width="3" style="14" customWidth="1"/>
    <col min="14850" max="14850" width="4.140625" style="14" customWidth="1"/>
    <col min="14851" max="14851" width="54" style="14" customWidth="1"/>
    <col min="14852" max="14852" width="3.7109375" style="14" customWidth="1"/>
    <col min="14853" max="14853" width="90.28515625" style="14" customWidth="1"/>
    <col min="14854" max="14855" width="8.85546875" style="14"/>
    <col min="14856" max="14856" width="15.42578125" style="14" customWidth="1"/>
    <col min="14857" max="14857" width="5.140625" style="14" customWidth="1"/>
    <col min="14858" max="14859" width="8.85546875" style="14"/>
    <col min="14860" max="14860" width="3" style="14" customWidth="1"/>
    <col min="14861" max="14863" width="8.85546875" style="14"/>
    <col min="14864" max="14864" width="7" style="14" customWidth="1"/>
    <col min="14865" max="15104" width="8.85546875" style="14"/>
    <col min="15105" max="15105" width="3" style="14" customWidth="1"/>
    <col min="15106" max="15106" width="4.140625" style="14" customWidth="1"/>
    <col min="15107" max="15107" width="54" style="14" customWidth="1"/>
    <col min="15108" max="15108" width="3.7109375" style="14" customWidth="1"/>
    <col min="15109" max="15109" width="90.28515625" style="14" customWidth="1"/>
    <col min="15110" max="15111" width="8.85546875" style="14"/>
    <col min="15112" max="15112" width="15.42578125" style="14" customWidth="1"/>
    <col min="15113" max="15113" width="5.140625" style="14" customWidth="1"/>
    <col min="15114" max="15115" width="8.85546875" style="14"/>
    <col min="15116" max="15116" width="3" style="14" customWidth="1"/>
    <col min="15117" max="15119" width="8.85546875" style="14"/>
    <col min="15120" max="15120" width="7" style="14" customWidth="1"/>
    <col min="15121" max="15360" width="8.85546875" style="14"/>
    <col min="15361" max="15361" width="3" style="14" customWidth="1"/>
    <col min="15362" max="15362" width="4.140625" style="14" customWidth="1"/>
    <col min="15363" max="15363" width="54" style="14" customWidth="1"/>
    <col min="15364" max="15364" width="3.7109375" style="14" customWidth="1"/>
    <col min="15365" max="15365" width="90.28515625" style="14" customWidth="1"/>
    <col min="15366" max="15367" width="8.85546875" style="14"/>
    <col min="15368" max="15368" width="15.42578125" style="14" customWidth="1"/>
    <col min="15369" max="15369" width="5.140625" style="14" customWidth="1"/>
    <col min="15370" max="15371" width="8.85546875" style="14"/>
    <col min="15372" max="15372" width="3" style="14" customWidth="1"/>
    <col min="15373" max="15375" width="8.85546875" style="14"/>
    <col min="15376" max="15376" width="7" style="14" customWidth="1"/>
    <col min="15377" max="15616" width="8.85546875" style="14"/>
    <col min="15617" max="15617" width="3" style="14" customWidth="1"/>
    <col min="15618" max="15618" width="4.140625" style="14" customWidth="1"/>
    <col min="15619" max="15619" width="54" style="14" customWidth="1"/>
    <col min="15620" max="15620" width="3.7109375" style="14" customWidth="1"/>
    <col min="15621" max="15621" width="90.28515625" style="14" customWidth="1"/>
    <col min="15622" max="15623" width="8.85546875" style="14"/>
    <col min="15624" max="15624" width="15.42578125" style="14" customWidth="1"/>
    <col min="15625" max="15625" width="5.140625" style="14" customWidth="1"/>
    <col min="15626" max="15627" width="8.85546875" style="14"/>
    <col min="15628" max="15628" width="3" style="14" customWidth="1"/>
    <col min="15629" max="15631" width="8.85546875" style="14"/>
    <col min="15632" max="15632" width="7" style="14" customWidth="1"/>
    <col min="15633" max="15872" width="8.85546875" style="14"/>
    <col min="15873" max="15873" width="3" style="14" customWidth="1"/>
    <col min="15874" max="15874" width="4.140625" style="14" customWidth="1"/>
    <col min="15875" max="15875" width="54" style="14" customWidth="1"/>
    <col min="15876" max="15876" width="3.7109375" style="14" customWidth="1"/>
    <col min="15877" max="15877" width="90.28515625" style="14" customWidth="1"/>
    <col min="15878" max="15879" width="8.85546875" style="14"/>
    <col min="15880" max="15880" width="15.42578125" style="14" customWidth="1"/>
    <col min="15881" max="15881" width="5.140625" style="14" customWidth="1"/>
    <col min="15882" max="15883" width="8.85546875" style="14"/>
    <col min="15884" max="15884" width="3" style="14" customWidth="1"/>
    <col min="15885" max="15887" width="8.85546875" style="14"/>
    <col min="15888" max="15888" width="7" style="14" customWidth="1"/>
    <col min="15889" max="16128" width="8.85546875" style="14"/>
    <col min="16129" max="16129" width="3" style="14" customWidth="1"/>
    <col min="16130" max="16130" width="4.140625" style="14" customWidth="1"/>
    <col min="16131" max="16131" width="54" style="14" customWidth="1"/>
    <col min="16132" max="16132" width="3.7109375" style="14" customWidth="1"/>
    <col min="16133" max="16133" width="90.28515625" style="14" customWidth="1"/>
    <col min="16134" max="16135" width="8.85546875" style="14"/>
    <col min="16136" max="16136" width="15.42578125" style="14" customWidth="1"/>
    <col min="16137" max="16137" width="5.140625" style="14" customWidth="1"/>
    <col min="16138" max="16139" width="8.85546875" style="14"/>
    <col min="16140" max="16140" width="3" style="14" customWidth="1"/>
    <col min="16141" max="16143" width="8.85546875" style="14"/>
    <col min="16144" max="16144" width="7" style="14" customWidth="1"/>
    <col min="16145" max="16384" width="8.85546875" style="14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spans="5:8" ht="17.100000000000001" customHeight="1" x14ac:dyDescent="0.25"/>
    <row r="18" spans="5:8" ht="17.100000000000001" customHeight="1" x14ac:dyDescent="0.25"/>
    <row r="19" spans="5:8" ht="17.100000000000001" customHeight="1" x14ac:dyDescent="0.25"/>
    <row r="30" spans="5:8" s="15" customFormat="1" x14ac:dyDescent="0.25">
      <c r="E30" s="14"/>
      <c r="F30" s="14"/>
      <c r="G30" s="14"/>
      <c r="H30" s="14"/>
    </row>
    <row r="31" spans="5:8" s="15" customFormat="1" x14ac:dyDescent="0.25">
      <c r="E31" s="14"/>
      <c r="F31" s="14"/>
      <c r="G31" s="14"/>
      <c r="H31" s="14"/>
    </row>
    <row r="32" spans="5:8" s="15" customFormat="1" x14ac:dyDescent="0.25"/>
    <row r="40" spans="2:3" x14ac:dyDescent="0.25">
      <c r="B40" s="16"/>
      <c r="C40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255"/>
  <sheetViews>
    <sheetView tabSelected="1" workbookViewId="0">
      <pane xSplit="1" ySplit="1" topLeftCell="B2" activePane="bottomRight" state="frozenSplit"/>
      <selection pane="topRight" activeCell="E1" sqref="E1"/>
      <selection pane="bottomLeft" activeCell="A2" sqref="A2"/>
      <selection pane="bottomRight" activeCell="D19" sqref="D19"/>
    </sheetView>
  </sheetViews>
  <sheetFormatPr defaultRowHeight="15" x14ac:dyDescent="0.25"/>
  <cols>
    <col min="1" max="1" width="8.7109375" style="13" bestFit="1" customWidth="1"/>
    <col min="2" max="2" width="29.28515625" style="13" bestFit="1" customWidth="1"/>
    <col min="3" max="3" width="74.7109375" style="13" customWidth="1"/>
    <col min="4" max="4" width="13.140625" style="13" bestFit="1" customWidth="1"/>
    <col min="5" max="5" width="11.7109375" style="13" bestFit="1" customWidth="1"/>
    <col min="6" max="6" width="2.28515625" style="13" customWidth="1"/>
    <col min="7" max="7" width="11.7109375" style="13" bestFit="1" customWidth="1"/>
    <col min="16" max="16" width="21" customWidth="1"/>
  </cols>
  <sheetData>
    <row r="1" spans="1:16" s="12" customFormat="1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0"/>
      <c r="G1" s="11" t="s">
        <v>5</v>
      </c>
    </row>
    <row r="2" spans="1:16" ht="15.75" thickTop="1" x14ac:dyDescent="0.25">
      <c r="A2" s="1" t="s">
        <v>6</v>
      </c>
      <c r="B2" s="1"/>
      <c r="C2" s="1"/>
      <c r="D2" s="2"/>
      <c r="E2" s="2"/>
      <c r="F2" s="1"/>
      <c r="G2" s="2">
        <v>41515096.259999998</v>
      </c>
    </row>
    <row r="3" spans="1:16" x14ac:dyDescent="0.25">
      <c r="A3" s="1" t="s">
        <v>7</v>
      </c>
      <c r="C3" s="1"/>
      <c r="D3" s="2"/>
      <c r="E3" s="2"/>
      <c r="F3" s="1"/>
      <c r="G3" s="2">
        <v>41515096.259999998</v>
      </c>
    </row>
    <row r="4" spans="1:16" x14ac:dyDescent="0.25">
      <c r="A4" s="1" t="s">
        <v>8</v>
      </c>
      <c r="C4" s="1"/>
      <c r="D4" s="2"/>
      <c r="E4" s="2"/>
      <c r="F4" s="1"/>
      <c r="G4" s="2">
        <v>41515096.259999998</v>
      </c>
    </row>
    <row r="5" spans="1:16" x14ac:dyDescent="0.25">
      <c r="A5" s="4">
        <v>45446</v>
      </c>
      <c r="B5" s="3" t="s">
        <v>13</v>
      </c>
      <c r="C5" s="3" t="s">
        <v>92</v>
      </c>
      <c r="D5" s="5"/>
      <c r="E5" s="5">
        <v>3530000</v>
      </c>
      <c r="F5" s="3"/>
      <c r="G5" s="5">
        <v>37985096.259999998</v>
      </c>
    </row>
    <row r="6" spans="1:16" x14ac:dyDescent="0.25">
      <c r="A6" s="4">
        <v>45446</v>
      </c>
      <c r="B6" s="3"/>
      <c r="C6" s="3" t="s">
        <v>93</v>
      </c>
      <c r="D6" s="5">
        <v>496413177</v>
      </c>
      <c r="E6" s="5"/>
      <c r="F6" s="3"/>
      <c r="G6" s="5">
        <v>534398273.25999999</v>
      </c>
    </row>
    <row r="7" spans="1:16" x14ac:dyDescent="0.25">
      <c r="A7" s="4">
        <v>45447</v>
      </c>
      <c r="B7" s="3" t="s">
        <v>14</v>
      </c>
      <c r="C7" s="3" t="s">
        <v>94</v>
      </c>
      <c r="D7" s="5"/>
      <c r="E7" s="5">
        <v>608000</v>
      </c>
      <c r="F7" s="3"/>
      <c r="G7" s="5">
        <v>533790273.25999999</v>
      </c>
    </row>
    <row r="8" spans="1:16" x14ac:dyDescent="0.25">
      <c r="A8" s="4">
        <v>45447</v>
      </c>
      <c r="B8" s="3" t="s">
        <v>15</v>
      </c>
      <c r="C8" s="3" t="s">
        <v>95</v>
      </c>
      <c r="D8" s="5"/>
      <c r="E8" s="5">
        <v>570000</v>
      </c>
      <c r="F8" s="3"/>
      <c r="G8" s="5">
        <v>533220273.25999999</v>
      </c>
    </row>
    <row r="9" spans="1:16" x14ac:dyDescent="0.25">
      <c r="A9" s="4">
        <v>45447</v>
      </c>
      <c r="B9" s="3" t="s">
        <v>16</v>
      </c>
      <c r="C9" s="3" t="s">
        <v>95</v>
      </c>
      <c r="D9" s="5"/>
      <c r="E9" s="5">
        <v>760000</v>
      </c>
      <c r="F9" s="3"/>
      <c r="G9" s="5">
        <v>532460273.25999999</v>
      </c>
    </row>
    <row r="10" spans="1:16" x14ac:dyDescent="0.25">
      <c r="A10" s="4">
        <v>45447</v>
      </c>
      <c r="B10" s="3" t="s">
        <v>17</v>
      </c>
      <c r="C10" s="3" t="s">
        <v>96</v>
      </c>
      <c r="D10" s="5"/>
      <c r="E10" s="5">
        <v>1100000</v>
      </c>
      <c r="F10" s="3"/>
      <c r="G10" s="5">
        <v>531360273.25999999</v>
      </c>
    </row>
    <row r="11" spans="1:16" x14ac:dyDescent="0.25">
      <c r="A11" s="4">
        <v>45447</v>
      </c>
      <c r="B11" s="3" t="s">
        <v>18</v>
      </c>
      <c r="C11" s="3" t="s">
        <v>97</v>
      </c>
      <c r="D11" s="5"/>
      <c r="E11" s="5">
        <v>1000000</v>
      </c>
      <c r="F11" s="3"/>
      <c r="G11" s="5">
        <v>530360273.25999999</v>
      </c>
    </row>
    <row r="12" spans="1:16" x14ac:dyDescent="0.25">
      <c r="A12" s="4">
        <v>45447</v>
      </c>
      <c r="B12" s="3" t="s">
        <v>19</v>
      </c>
      <c r="C12" s="3" t="s">
        <v>98</v>
      </c>
      <c r="D12" s="5"/>
      <c r="E12" s="5">
        <v>150000</v>
      </c>
      <c r="F12" s="3"/>
      <c r="G12" s="5">
        <v>530210273.25999999</v>
      </c>
    </row>
    <row r="13" spans="1:16" x14ac:dyDescent="0.25">
      <c r="A13" s="4">
        <v>45447</v>
      </c>
      <c r="B13" s="3" t="s">
        <v>20</v>
      </c>
      <c r="C13" s="3" t="s">
        <v>99</v>
      </c>
      <c r="D13" s="5"/>
      <c r="E13" s="5">
        <v>1691400</v>
      </c>
      <c r="F13" s="3"/>
      <c r="G13" s="5">
        <v>528518873.25999999</v>
      </c>
      <c r="P13" s="17">
        <f>43502096.26-41515096.26</f>
        <v>1987000</v>
      </c>
    </row>
    <row r="14" spans="1:16" x14ac:dyDescent="0.25">
      <c r="A14" s="4">
        <v>45447</v>
      </c>
      <c r="B14" s="3" t="s">
        <v>21</v>
      </c>
      <c r="C14" s="3" t="s">
        <v>100</v>
      </c>
      <c r="D14" s="5"/>
      <c r="E14" s="5">
        <v>450000</v>
      </c>
      <c r="F14" s="3"/>
      <c r="G14" s="5">
        <v>528068873.25999999</v>
      </c>
    </row>
    <row r="15" spans="1:16" x14ac:dyDescent="0.25">
      <c r="A15" s="4">
        <v>45447</v>
      </c>
      <c r="B15" s="3" t="s">
        <v>22</v>
      </c>
      <c r="C15" s="3" t="s">
        <v>101</v>
      </c>
      <c r="D15" s="5"/>
      <c r="E15" s="5">
        <v>515406.66</v>
      </c>
      <c r="F15" s="3"/>
      <c r="G15" s="5">
        <v>527553466.60000002</v>
      </c>
    </row>
    <row r="16" spans="1:16" x14ac:dyDescent="0.25">
      <c r="A16" s="4">
        <v>45448</v>
      </c>
      <c r="B16" s="3" t="s">
        <v>23</v>
      </c>
      <c r="C16" s="3" t="s">
        <v>102</v>
      </c>
      <c r="D16" s="5"/>
      <c r="E16" s="5">
        <v>2088000</v>
      </c>
      <c r="F16" s="3"/>
      <c r="G16" s="5">
        <v>525465466.60000002</v>
      </c>
    </row>
    <row r="17" spans="1:7" x14ac:dyDescent="0.25">
      <c r="A17" s="4">
        <v>45448</v>
      </c>
      <c r="B17" s="3" t="s">
        <v>24</v>
      </c>
      <c r="C17" s="3" t="s">
        <v>103</v>
      </c>
      <c r="D17" s="5"/>
      <c r="E17" s="5">
        <v>50000000</v>
      </c>
      <c r="F17" s="3"/>
      <c r="G17" s="5">
        <v>475465466.60000002</v>
      </c>
    </row>
    <row r="18" spans="1:7" x14ac:dyDescent="0.25">
      <c r="A18" s="4">
        <v>45448</v>
      </c>
      <c r="B18" s="3" t="s">
        <v>25</v>
      </c>
      <c r="C18" s="3" t="s">
        <v>104</v>
      </c>
      <c r="D18" s="5"/>
      <c r="E18" s="5">
        <v>4500420</v>
      </c>
      <c r="F18" s="3"/>
      <c r="G18" s="5">
        <v>470965046.60000002</v>
      </c>
    </row>
    <row r="19" spans="1:7" x14ac:dyDescent="0.25">
      <c r="A19" s="4">
        <v>45448</v>
      </c>
      <c r="B19" s="3" t="s">
        <v>26</v>
      </c>
      <c r="C19" s="3" t="s">
        <v>105</v>
      </c>
      <c r="D19" s="5"/>
      <c r="E19" s="5">
        <v>50356800</v>
      </c>
      <c r="F19" s="3"/>
      <c r="G19" s="5">
        <v>420608246.60000002</v>
      </c>
    </row>
    <row r="20" spans="1:7" x14ac:dyDescent="0.25">
      <c r="A20" s="4">
        <v>45448</v>
      </c>
      <c r="B20" s="3" t="s">
        <v>27</v>
      </c>
      <c r="C20" s="3" t="s">
        <v>106</v>
      </c>
      <c r="D20" s="5"/>
      <c r="E20" s="5">
        <v>250000</v>
      </c>
      <c r="F20" s="3"/>
      <c r="G20" s="5">
        <v>420358246.60000002</v>
      </c>
    </row>
    <row r="21" spans="1:7" x14ac:dyDescent="0.25">
      <c r="A21" s="4">
        <v>45448</v>
      </c>
      <c r="B21" s="3" t="s">
        <v>28</v>
      </c>
      <c r="C21" s="3" t="s">
        <v>107</v>
      </c>
      <c r="D21" s="5"/>
      <c r="E21" s="5">
        <v>250000</v>
      </c>
      <c r="F21" s="3"/>
      <c r="G21" s="5">
        <v>420108246.60000002</v>
      </c>
    </row>
    <row r="22" spans="1:7" x14ac:dyDescent="0.25">
      <c r="A22" s="4">
        <v>45448</v>
      </c>
      <c r="B22" s="3" t="s">
        <v>29</v>
      </c>
      <c r="C22" s="3" t="s">
        <v>108</v>
      </c>
      <c r="D22" s="5"/>
      <c r="E22" s="5">
        <v>250000</v>
      </c>
      <c r="F22" s="3"/>
      <c r="G22" s="5">
        <v>419858246.60000002</v>
      </c>
    </row>
    <row r="23" spans="1:7" x14ac:dyDescent="0.25">
      <c r="A23" s="4">
        <v>45448</v>
      </c>
      <c r="B23" s="3" t="s">
        <v>30</v>
      </c>
      <c r="C23" s="3" t="s">
        <v>109</v>
      </c>
      <c r="D23" s="5"/>
      <c r="E23" s="5">
        <v>200000</v>
      </c>
      <c r="F23" s="3"/>
      <c r="G23" s="5">
        <v>419658246.60000002</v>
      </c>
    </row>
    <row r="24" spans="1:7" x14ac:dyDescent="0.25">
      <c r="A24" s="4">
        <v>45448</v>
      </c>
      <c r="B24" s="3" t="s">
        <v>31</v>
      </c>
      <c r="C24" s="3" t="s">
        <v>110</v>
      </c>
      <c r="D24" s="5"/>
      <c r="E24" s="5">
        <v>150000</v>
      </c>
      <c r="F24" s="3"/>
      <c r="G24" s="5">
        <v>419508246.60000002</v>
      </c>
    </row>
    <row r="25" spans="1:7" x14ac:dyDescent="0.25">
      <c r="A25" s="4">
        <v>45448</v>
      </c>
      <c r="B25" s="3" t="s">
        <v>32</v>
      </c>
      <c r="C25" s="3" t="s">
        <v>111</v>
      </c>
      <c r="D25" s="5"/>
      <c r="E25" s="5">
        <v>2063627.91</v>
      </c>
      <c r="F25" s="3"/>
      <c r="G25" s="5">
        <v>417444618.69</v>
      </c>
    </row>
    <row r="26" spans="1:7" x14ac:dyDescent="0.25">
      <c r="A26" s="4">
        <v>45448</v>
      </c>
      <c r="B26" s="3" t="s">
        <v>33</v>
      </c>
      <c r="C26" s="3" t="s">
        <v>112</v>
      </c>
      <c r="D26" s="5"/>
      <c r="E26" s="5">
        <v>215346</v>
      </c>
      <c r="F26" s="3"/>
      <c r="G26" s="5">
        <v>417229272.69</v>
      </c>
    </row>
    <row r="27" spans="1:7" x14ac:dyDescent="0.25">
      <c r="A27" s="4">
        <v>45448</v>
      </c>
      <c r="B27" s="3" t="s">
        <v>34</v>
      </c>
      <c r="C27" s="3" t="s">
        <v>113</v>
      </c>
      <c r="D27" s="5"/>
      <c r="E27" s="5">
        <v>693000</v>
      </c>
      <c r="F27" s="3"/>
      <c r="G27" s="5">
        <v>416536272.69</v>
      </c>
    </row>
    <row r="28" spans="1:7" x14ac:dyDescent="0.25">
      <c r="A28" s="4">
        <v>45448</v>
      </c>
      <c r="B28" s="3" t="s">
        <v>35</v>
      </c>
      <c r="C28" s="3" t="s">
        <v>114</v>
      </c>
      <c r="D28" s="5"/>
      <c r="E28" s="5">
        <v>5359311</v>
      </c>
      <c r="F28" s="3"/>
      <c r="G28" s="5">
        <v>411176961.69</v>
      </c>
    </row>
    <row r="29" spans="1:7" x14ac:dyDescent="0.25">
      <c r="A29" s="4">
        <v>45448</v>
      </c>
      <c r="B29" s="3" t="s">
        <v>36</v>
      </c>
      <c r="C29" s="3" t="s">
        <v>115</v>
      </c>
      <c r="D29" s="5"/>
      <c r="E29" s="5">
        <v>690900</v>
      </c>
      <c r="F29" s="3"/>
      <c r="G29" s="5">
        <v>410486061.69</v>
      </c>
    </row>
    <row r="30" spans="1:7" x14ac:dyDescent="0.25">
      <c r="A30" s="4">
        <v>45448</v>
      </c>
      <c r="B30" s="3" t="s">
        <v>37</v>
      </c>
      <c r="C30" s="3" t="s">
        <v>116</v>
      </c>
      <c r="D30" s="5"/>
      <c r="E30" s="5">
        <v>4412248.7699999996</v>
      </c>
      <c r="F30" s="3"/>
      <c r="G30" s="5">
        <v>406073812.92000002</v>
      </c>
    </row>
    <row r="31" spans="1:7" x14ac:dyDescent="0.25">
      <c r="A31" s="4">
        <v>45448</v>
      </c>
      <c r="B31" s="3" t="s">
        <v>38</v>
      </c>
      <c r="C31" s="3" t="s">
        <v>117</v>
      </c>
      <c r="D31" s="5"/>
      <c r="E31" s="5">
        <v>1988100</v>
      </c>
      <c r="F31" s="3"/>
      <c r="G31" s="5">
        <v>404085712.92000002</v>
      </c>
    </row>
    <row r="32" spans="1:7" x14ac:dyDescent="0.25">
      <c r="A32" s="4">
        <v>45449</v>
      </c>
      <c r="B32" s="3" t="s">
        <v>39</v>
      </c>
      <c r="C32" s="3" t="s">
        <v>118</v>
      </c>
      <c r="D32" s="5">
        <v>15719651.16</v>
      </c>
      <c r="E32" s="5"/>
      <c r="F32" s="3"/>
      <c r="G32" s="5">
        <v>419805364.07999998</v>
      </c>
    </row>
    <row r="33" spans="1:7" x14ac:dyDescent="0.25">
      <c r="A33" s="4">
        <v>45449</v>
      </c>
      <c r="B33" s="3" t="s">
        <v>40</v>
      </c>
      <c r="C33" s="3" t="s">
        <v>119</v>
      </c>
      <c r="D33" s="5"/>
      <c r="E33" s="5">
        <v>250000</v>
      </c>
      <c r="F33" s="3"/>
      <c r="G33" s="5">
        <v>419555364.07999998</v>
      </c>
    </row>
    <row r="34" spans="1:7" x14ac:dyDescent="0.25">
      <c r="A34" s="4">
        <v>45449</v>
      </c>
      <c r="B34" s="3" t="s">
        <v>40</v>
      </c>
      <c r="C34" s="3" t="s">
        <v>119</v>
      </c>
      <c r="D34" s="5"/>
      <c r="E34" s="5">
        <v>250000</v>
      </c>
      <c r="F34" s="3"/>
      <c r="G34" s="5">
        <v>419305364.07999998</v>
      </c>
    </row>
    <row r="35" spans="1:7" x14ac:dyDescent="0.25">
      <c r="A35" s="4">
        <v>45449</v>
      </c>
      <c r="B35" s="3" t="s">
        <v>41</v>
      </c>
      <c r="C35" s="3" t="s">
        <v>119</v>
      </c>
      <c r="D35" s="5"/>
      <c r="E35" s="5">
        <v>250000</v>
      </c>
      <c r="F35" s="3"/>
      <c r="G35" s="5">
        <v>419055364.07999998</v>
      </c>
    </row>
    <row r="36" spans="1:7" x14ac:dyDescent="0.25">
      <c r="A36" s="4">
        <v>45449</v>
      </c>
      <c r="B36" s="3" t="s">
        <v>42</v>
      </c>
      <c r="C36" s="3" t="s">
        <v>120</v>
      </c>
      <c r="D36" s="5"/>
      <c r="E36" s="5">
        <v>250000</v>
      </c>
      <c r="F36" s="3"/>
      <c r="G36" s="5">
        <v>418805364.07999998</v>
      </c>
    </row>
    <row r="37" spans="1:7" x14ac:dyDescent="0.25">
      <c r="A37" s="4">
        <v>45449</v>
      </c>
      <c r="B37" s="3" t="s">
        <v>43</v>
      </c>
      <c r="C37" s="3" t="s">
        <v>121</v>
      </c>
      <c r="D37" s="5"/>
      <c r="E37" s="5">
        <v>87000</v>
      </c>
      <c r="F37" s="3"/>
      <c r="G37" s="5">
        <v>418718364.07999998</v>
      </c>
    </row>
    <row r="38" spans="1:7" x14ac:dyDescent="0.25">
      <c r="A38" s="4">
        <v>45449</v>
      </c>
      <c r="B38" s="3" t="s">
        <v>44</v>
      </c>
      <c r="C38" s="3" t="s">
        <v>122</v>
      </c>
      <c r="D38" s="5"/>
      <c r="E38" s="5">
        <v>83283340</v>
      </c>
      <c r="F38" s="3"/>
      <c r="G38" s="5">
        <v>335435024.07999998</v>
      </c>
    </row>
    <row r="39" spans="1:7" x14ac:dyDescent="0.25">
      <c r="A39" s="4">
        <v>45450</v>
      </c>
      <c r="B39" s="3" t="s">
        <v>27</v>
      </c>
      <c r="C39" s="3" t="s">
        <v>123</v>
      </c>
      <c r="D39" s="5"/>
      <c r="E39" s="5">
        <v>1500000</v>
      </c>
      <c r="F39" s="3"/>
      <c r="G39" s="5">
        <v>333935024.07999998</v>
      </c>
    </row>
    <row r="40" spans="1:7" x14ac:dyDescent="0.25">
      <c r="A40" s="4">
        <v>45450</v>
      </c>
      <c r="B40" s="3" t="s">
        <v>45</v>
      </c>
      <c r="C40" s="3" t="s">
        <v>124</v>
      </c>
      <c r="D40" s="5"/>
      <c r="E40" s="5">
        <v>100000</v>
      </c>
      <c r="F40" s="3"/>
      <c r="G40" s="5">
        <v>333835024.07999998</v>
      </c>
    </row>
    <row r="41" spans="1:7" x14ac:dyDescent="0.25">
      <c r="A41" s="4">
        <v>45450</v>
      </c>
      <c r="B41" s="3" t="s">
        <v>27</v>
      </c>
      <c r="C41" s="3" t="s">
        <v>125</v>
      </c>
      <c r="D41" s="5"/>
      <c r="E41" s="5">
        <v>2600000</v>
      </c>
      <c r="F41" s="3"/>
      <c r="G41" s="5">
        <v>331235024.07999998</v>
      </c>
    </row>
    <row r="42" spans="1:7" x14ac:dyDescent="0.25">
      <c r="A42" s="4">
        <v>45450</v>
      </c>
      <c r="B42" s="3" t="s">
        <v>46</v>
      </c>
      <c r="C42" s="3" t="s">
        <v>126</v>
      </c>
      <c r="D42" s="5"/>
      <c r="E42" s="5">
        <v>1402130.32</v>
      </c>
      <c r="F42" s="3"/>
      <c r="G42" s="5">
        <v>329832893.75999999</v>
      </c>
    </row>
    <row r="43" spans="1:7" x14ac:dyDescent="0.25">
      <c r="A43" s="4">
        <v>45450</v>
      </c>
      <c r="B43" s="3" t="s">
        <v>47</v>
      </c>
      <c r="C43" s="3" t="s">
        <v>127</v>
      </c>
      <c r="D43" s="5"/>
      <c r="E43" s="5">
        <v>550000</v>
      </c>
      <c r="F43" s="3"/>
      <c r="G43" s="5">
        <v>329282893.75999999</v>
      </c>
    </row>
    <row r="44" spans="1:7" x14ac:dyDescent="0.25">
      <c r="A44" s="4">
        <v>45450</v>
      </c>
      <c r="B44" s="3" t="s">
        <v>48</v>
      </c>
      <c r="C44" s="3" t="s">
        <v>128</v>
      </c>
      <c r="D44" s="5"/>
      <c r="E44" s="5">
        <v>150000</v>
      </c>
      <c r="F44" s="3"/>
      <c r="G44" s="5">
        <v>329132893.75999999</v>
      </c>
    </row>
    <row r="45" spans="1:7" x14ac:dyDescent="0.25">
      <c r="A45" s="4">
        <v>45450</v>
      </c>
      <c r="B45" s="3" t="s">
        <v>49</v>
      </c>
      <c r="C45" s="3" t="s">
        <v>129</v>
      </c>
      <c r="D45" s="5"/>
      <c r="E45" s="5">
        <v>250000</v>
      </c>
      <c r="F45" s="3"/>
      <c r="G45" s="5">
        <v>328882893.75999999</v>
      </c>
    </row>
    <row r="46" spans="1:7" x14ac:dyDescent="0.25">
      <c r="A46" s="4">
        <v>45450</v>
      </c>
      <c r="B46" s="3" t="s">
        <v>50</v>
      </c>
      <c r="C46" s="3" t="s">
        <v>130</v>
      </c>
      <c r="D46" s="5"/>
      <c r="E46" s="5">
        <v>250000</v>
      </c>
      <c r="F46" s="3"/>
      <c r="G46" s="5">
        <v>328632893.75999999</v>
      </c>
    </row>
    <row r="47" spans="1:7" x14ac:dyDescent="0.25">
      <c r="A47" s="4">
        <v>45450</v>
      </c>
      <c r="B47" s="3" t="s">
        <v>27</v>
      </c>
      <c r="C47" s="3" t="s">
        <v>131</v>
      </c>
      <c r="D47" s="5"/>
      <c r="E47" s="5">
        <v>250000</v>
      </c>
      <c r="F47" s="3"/>
      <c r="G47" s="5">
        <v>328382893.75999999</v>
      </c>
    </row>
    <row r="48" spans="1:7" x14ac:dyDescent="0.25">
      <c r="A48" s="4">
        <v>45450</v>
      </c>
      <c r="B48" s="3" t="s">
        <v>51</v>
      </c>
      <c r="C48" s="3" t="s">
        <v>132</v>
      </c>
      <c r="D48" s="5"/>
      <c r="E48" s="5">
        <v>250000</v>
      </c>
      <c r="F48" s="3"/>
      <c r="G48" s="5">
        <v>328132893.75999999</v>
      </c>
    </row>
    <row r="49" spans="1:7" x14ac:dyDescent="0.25">
      <c r="A49" s="4">
        <v>45450</v>
      </c>
      <c r="B49" s="3" t="s">
        <v>52</v>
      </c>
      <c r="C49" s="3" t="s">
        <v>133</v>
      </c>
      <c r="D49" s="5"/>
      <c r="E49" s="5">
        <v>250000</v>
      </c>
      <c r="F49" s="3"/>
      <c r="G49" s="5">
        <v>327882893.75999999</v>
      </c>
    </row>
    <row r="50" spans="1:7" x14ac:dyDescent="0.25">
      <c r="A50" s="4">
        <v>45450</v>
      </c>
      <c r="B50" s="3" t="s">
        <v>53</v>
      </c>
      <c r="C50" s="3" t="s">
        <v>134</v>
      </c>
      <c r="D50" s="5"/>
      <c r="E50" s="5">
        <v>250000</v>
      </c>
      <c r="F50" s="3"/>
      <c r="G50" s="5">
        <v>327632893.75999999</v>
      </c>
    </row>
    <row r="51" spans="1:7" x14ac:dyDescent="0.25">
      <c r="A51" s="4">
        <v>45450</v>
      </c>
      <c r="B51" s="3" t="s">
        <v>54</v>
      </c>
      <c r="C51" s="3" t="s">
        <v>135</v>
      </c>
      <c r="D51" s="5"/>
      <c r="E51" s="5">
        <v>250000</v>
      </c>
      <c r="F51" s="3"/>
      <c r="G51" s="5">
        <v>327382893.75999999</v>
      </c>
    </row>
    <row r="52" spans="1:7" x14ac:dyDescent="0.25">
      <c r="A52" s="4">
        <v>45450</v>
      </c>
      <c r="B52" s="3" t="s">
        <v>55</v>
      </c>
      <c r="C52" s="3" t="s">
        <v>136</v>
      </c>
      <c r="D52" s="5"/>
      <c r="E52" s="5">
        <v>300000</v>
      </c>
      <c r="F52" s="3"/>
      <c r="G52" s="5">
        <v>327082893.75999999</v>
      </c>
    </row>
    <row r="53" spans="1:7" x14ac:dyDescent="0.25">
      <c r="A53" s="4">
        <v>45450</v>
      </c>
      <c r="B53" s="3" t="s">
        <v>56</v>
      </c>
      <c r="C53" s="3" t="s">
        <v>137</v>
      </c>
      <c r="D53" s="5"/>
      <c r="E53" s="5">
        <v>200000</v>
      </c>
      <c r="F53" s="3"/>
      <c r="G53" s="5">
        <v>326882893.75999999</v>
      </c>
    </row>
    <row r="54" spans="1:7" x14ac:dyDescent="0.25">
      <c r="A54" s="4">
        <v>45450</v>
      </c>
      <c r="B54" s="3" t="s">
        <v>57</v>
      </c>
      <c r="C54" s="3" t="s">
        <v>138</v>
      </c>
      <c r="D54" s="5"/>
      <c r="E54" s="5">
        <v>60000</v>
      </c>
      <c r="F54" s="3"/>
      <c r="G54" s="5">
        <v>326822893.75999999</v>
      </c>
    </row>
    <row r="55" spans="1:7" x14ac:dyDescent="0.25">
      <c r="A55" s="4">
        <v>45450</v>
      </c>
      <c r="B55" s="3" t="s">
        <v>58</v>
      </c>
      <c r="C55" s="3" t="s">
        <v>139</v>
      </c>
      <c r="D55" s="5"/>
      <c r="E55" s="5">
        <v>120000</v>
      </c>
      <c r="F55" s="3"/>
      <c r="G55" s="5">
        <v>326702893.75999999</v>
      </c>
    </row>
    <row r="56" spans="1:7" x14ac:dyDescent="0.25">
      <c r="A56" s="4">
        <v>45450</v>
      </c>
      <c r="B56" s="3" t="s">
        <v>58</v>
      </c>
      <c r="C56" s="3" t="s">
        <v>140</v>
      </c>
      <c r="D56" s="5"/>
      <c r="E56" s="5">
        <v>80000</v>
      </c>
      <c r="F56" s="3"/>
      <c r="G56" s="5">
        <v>326622893.75999999</v>
      </c>
    </row>
    <row r="57" spans="1:7" x14ac:dyDescent="0.25">
      <c r="A57" s="4">
        <v>45450</v>
      </c>
      <c r="B57" s="3" t="s">
        <v>58</v>
      </c>
      <c r="C57" s="3" t="s">
        <v>141</v>
      </c>
      <c r="D57" s="5"/>
      <c r="E57" s="5">
        <v>16000</v>
      </c>
      <c r="F57" s="3"/>
      <c r="G57" s="5">
        <v>326606893.75999999</v>
      </c>
    </row>
    <row r="58" spans="1:7" x14ac:dyDescent="0.25">
      <c r="A58" s="4">
        <v>45450</v>
      </c>
      <c r="B58" s="3" t="s">
        <v>58</v>
      </c>
      <c r="C58" s="3" t="s">
        <v>142</v>
      </c>
      <c r="D58" s="5"/>
      <c r="E58" s="5">
        <v>61800</v>
      </c>
      <c r="F58" s="3"/>
      <c r="G58" s="5">
        <v>326545093.75999999</v>
      </c>
    </row>
    <row r="59" spans="1:7" x14ac:dyDescent="0.25">
      <c r="A59" s="4">
        <v>45450</v>
      </c>
      <c r="B59" s="3" t="s">
        <v>58</v>
      </c>
      <c r="C59" s="3" t="s">
        <v>143</v>
      </c>
      <c r="D59" s="5"/>
      <c r="E59" s="5">
        <v>41200</v>
      </c>
      <c r="F59" s="3"/>
      <c r="G59" s="5">
        <v>326503893.75999999</v>
      </c>
    </row>
    <row r="60" spans="1:7" x14ac:dyDescent="0.25">
      <c r="A60" s="4">
        <v>45450</v>
      </c>
      <c r="B60" s="3" t="s">
        <v>58</v>
      </c>
      <c r="C60" s="3" t="s">
        <v>144</v>
      </c>
      <c r="D60" s="5"/>
      <c r="E60" s="5">
        <v>8240</v>
      </c>
      <c r="F60" s="3"/>
      <c r="G60" s="5">
        <v>326495653.75999999</v>
      </c>
    </row>
    <row r="61" spans="1:7" x14ac:dyDescent="0.25">
      <c r="A61" s="4">
        <v>45450</v>
      </c>
      <c r="B61" s="3" t="s">
        <v>58</v>
      </c>
      <c r="C61" s="3" t="s">
        <v>142</v>
      </c>
      <c r="D61" s="5"/>
      <c r="E61" s="5">
        <v>48113.37</v>
      </c>
      <c r="F61" s="3"/>
      <c r="G61" s="5">
        <v>326447540.38999999</v>
      </c>
    </row>
    <row r="62" spans="1:7" x14ac:dyDescent="0.25">
      <c r="A62" s="4">
        <v>45450</v>
      </c>
      <c r="B62" s="3" t="s">
        <v>58</v>
      </c>
      <c r="C62" s="3" t="s">
        <v>143</v>
      </c>
      <c r="D62" s="5"/>
      <c r="E62" s="5">
        <v>32075.58</v>
      </c>
      <c r="F62" s="3"/>
      <c r="G62" s="5">
        <v>326415464.81</v>
      </c>
    </row>
    <row r="63" spans="1:7" x14ac:dyDescent="0.25">
      <c r="A63" s="4">
        <v>45450</v>
      </c>
      <c r="B63" s="3" t="s">
        <v>58</v>
      </c>
      <c r="C63" s="3" t="s">
        <v>145</v>
      </c>
      <c r="D63" s="5"/>
      <c r="E63" s="5">
        <v>6415.12</v>
      </c>
      <c r="F63" s="3"/>
      <c r="G63" s="5">
        <v>326409049.69</v>
      </c>
    </row>
    <row r="64" spans="1:7" x14ac:dyDescent="0.25">
      <c r="A64" s="4">
        <v>45450</v>
      </c>
      <c r="B64" s="3" t="s">
        <v>58</v>
      </c>
      <c r="C64" s="3" t="s">
        <v>146</v>
      </c>
      <c r="D64" s="5"/>
      <c r="E64" s="5">
        <v>69767.44</v>
      </c>
      <c r="F64" s="3"/>
      <c r="G64" s="5">
        <v>326339282.25</v>
      </c>
    </row>
    <row r="65" spans="1:7" x14ac:dyDescent="0.25">
      <c r="A65" s="4">
        <v>45450</v>
      </c>
      <c r="B65" s="3" t="s">
        <v>58</v>
      </c>
      <c r="C65" s="3" t="s">
        <v>147</v>
      </c>
      <c r="D65" s="5"/>
      <c r="E65" s="5">
        <v>46511.63</v>
      </c>
      <c r="F65" s="3"/>
      <c r="G65" s="5">
        <v>326292770.62</v>
      </c>
    </row>
    <row r="66" spans="1:7" x14ac:dyDescent="0.25">
      <c r="A66" s="4">
        <v>45450</v>
      </c>
      <c r="B66" s="3" t="s">
        <v>58</v>
      </c>
      <c r="C66" s="3" t="s">
        <v>148</v>
      </c>
      <c r="D66" s="5"/>
      <c r="E66" s="5">
        <v>9302.33</v>
      </c>
      <c r="F66" s="3"/>
      <c r="G66" s="5">
        <v>326283468.29000002</v>
      </c>
    </row>
    <row r="67" spans="1:7" x14ac:dyDescent="0.25">
      <c r="A67" s="4">
        <v>45450</v>
      </c>
      <c r="B67" s="3" t="s">
        <v>58</v>
      </c>
      <c r="C67" s="3" t="s">
        <v>149</v>
      </c>
      <c r="D67" s="5"/>
      <c r="E67" s="5">
        <v>4190000</v>
      </c>
      <c r="F67" s="3"/>
      <c r="G67" s="5">
        <v>322093468.29000002</v>
      </c>
    </row>
    <row r="68" spans="1:7" x14ac:dyDescent="0.25">
      <c r="A68" s="4">
        <v>45450</v>
      </c>
      <c r="B68" s="3" t="s">
        <v>58</v>
      </c>
      <c r="C68" s="3" t="s">
        <v>150</v>
      </c>
      <c r="D68" s="5"/>
      <c r="E68" s="5">
        <v>838000</v>
      </c>
      <c r="F68" s="3"/>
      <c r="G68" s="5">
        <v>321255468.29000002</v>
      </c>
    </row>
    <row r="69" spans="1:7" x14ac:dyDescent="0.25">
      <c r="A69" s="4">
        <v>45450</v>
      </c>
      <c r="B69" s="3" t="s">
        <v>58</v>
      </c>
      <c r="C69" s="3" t="s">
        <v>151</v>
      </c>
      <c r="D69" s="5"/>
      <c r="E69" s="5">
        <v>48837.21</v>
      </c>
      <c r="F69" s="3"/>
      <c r="G69" s="5">
        <v>321206631.07999998</v>
      </c>
    </row>
    <row r="70" spans="1:7" x14ac:dyDescent="0.25">
      <c r="A70" s="4">
        <v>45450</v>
      </c>
      <c r="B70" s="3" t="s">
        <v>58</v>
      </c>
      <c r="C70" s="3" t="s">
        <v>152</v>
      </c>
      <c r="D70" s="5"/>
      <c r="E70" s="5">
        <v>32558.14</v>
      </c>
      <c r="F70" s="3"/>
      <c r="G70" s="5">
        <v>321174072.94</v>
      </c>
    </row>
    <row r="71" spans="1:7" x14ac:dyDescent="0.25">
      <c r="A71" s="4">
        <v>45450</v>
      </c>
      <c r="B71" s="3" t="s">
        <v>58</v>
      </c>
      <c r="C71" s="3" t="s">
        <v>153</v>
      </c>
      <c r="D71" s="5"/>
      <c r="E71" s="5">
        <v>6511.63</v>
      </c>
      <c r="F71" s="3"/>
      <c r="G71" s="5">
        <v>321167561.31</v>
      </c>
    </row>
    <row r="72" spans="1:7" x14ac:dyDescent="0.25">
      <c r="A72" s="4">
        <v>45450</v>
      </c>
      <c r="B72" s="3" t="s">
        <v>58</v>
      </c>
      <c r="C72" s="3" t="s">
        <v>154</v>
      </c>
      <c r="D72" s="5"/>
      <c r="E72" s="5">
        <v>3750000</v>
      </c>
      <c r="F72" s="3"/>
      <c r="G72" s="5">
        <v>317417561.31</v>
      </c>
    </row>
    <row r="73" spans="1:7" x14ac:dyDescent="0.25">
      <c r="A73" s="4">
        <v>45450</v>
      </c>
      <c r="B73" s="3" t="s">
        <v>58</v>
      </c>
      <c r="C73" s="3" t="s">
        <v>155</v>
      </c>
      <c r="D73" s="5"/>
      <c r="E73" s="5">
        <v>5000000</v>
      </c>
      <c r="F73" s="3"/>
      <c r="G73" s="5">
        <v>312417561.31</v>
      </c>
    </row>
    <row r="74" spans="1:7" x14ac:dyDescent="0.25">
      <c r="A74" s="4">
        <v>45450</v>
      </c>
      <c r="B74" s="3" t="s">
        <v>58</v>
      </c>
      <c r="C74" s="3" t="s">
        <v>156</v>
      </c>
      <c r="D74" s="5"/>
      <c r="E74" s="5">
        <v>500000</v>
      </c>
      <c r="F74" s="3"/>
      <c r="G74" s="5">
        <v>311917561.31</v>
      </c>
    </row>
    <row r="75" spans="1:7" x14ac:dyDescent="0.25">
      <c r="A75" s="4">
        <v>45450</v>
      </c>
      <c r="B75" s="3" t="s">
        <v>58</v>
      </c>
      <c r="C75" s="3" t="s">
        <v>157</v>
      </c>
      <c r="D75" s="5"/>
      <c r="E75" s="5">
        <v>245625</v>
      </c>
      <c r="F75" s="3"/>
      <c r="G75" s="5">
        <v>311671936.31</v>
      </c>
    </row>
    <row r="76" spans="1:7" x14ac:dyDescent="0.25">
      <c r="A76" s="4">
        <v>45450</v>
      </c>
      <c r="B76" s="3" t="s">
        <v>58</v>
      </c>
      <c r="C76" s="3" t="s">
        <v>158</v>
      </c>
      <c r="D76" s="5"/>
      <c r="E76" s="5">
        <v>163750</v>
      </c>
      <c r="F76" s="3"/>
      <c r="G76" s="5">
        <v>311508186.31</v>
      </c>
    </row>
    <row r="77" spans="1:7" x14ac:dyDescent="0.25">
      <c r="A77" s="4">
        <v>45450</v>
      </c>
      <c r="B77" s="3" t="s">
        <v>58</v>
      </c>
      <c r="C77" s="3" t="s">
        <v>159</v>
      </c>
      <c r="D77" s="5"/>
      <c r="E77" s="5">
        <v>32750</v>
      </c>
      <c r="F77" s="3"/>
      <c r="G77" s="5">
        <v>311475436.31</v>
      </c>
    </row>
    <row r="78" spans="1:7" x14ac:dyDescent="0.25">
      <c r="A78" s="4">
        <v>45450</v>
      </c>
      <c r="B78" s="3" t="s">
        <v>58</v>
      </c>
      <c r="C78" s="3" t="s">
        <v>160</v>
      </c>
      <c r="D78" s="5"/>
      <c r="E78" s="5">
        <v>4057000</v>
      </c>
      <c r="F78" s="3"/>
      <c r="G78" s="5">
        <v>307418436.31</v>
      </c>
    </row>
    <row r="79" spans="1:7" x14ac:dyDescent="0.25">
      <c r="A79" s="4">
        <v>45450</v>
      </c>
      <c r="B79" s="3" t="s">
        <v>58</v>
      </c>
      <c r="C79" s="3" t="s">
        <v>161</v>
      </c>
      <c r="D79" s="5"/>
      <c r="E79" s="5">
        <v>811400</v>
      </c>
      <c r="F79" s="3"/>
      <c r="G79" s="5">
        <v>306607036.31</v>
      </c>
    </row>
    <row r="80" spans="1:7" x14ac:dyDescent="0.25">
      <c r="A80" s="4">
        <v>45450</v>
      </c>
      <c r="B80" s="3" t="s">
        <v>33</v>
      </c>
      <c r="C80" s="3" t="s">
        <v>162</v>
      </c>
      <c r="D80" s="5"/>
      <c r="E80" s="5">
        <v>550000</v>
      </c>
      <c r="F80" s="3"/>
      <c r="G80" s="5">
        <v>306057036.31</v>
      </c>
    </row>
    <row r="81" spans="1:7" x14ac:dyDescent="0.25">
      <c r="A81" s="4">
        <v>45453</v>
      </c>
      <c r="B81" s="3"/>
      <c r="C81" s="3" t="s">
        <v>163</v>
      </c>
      <c r="D81" s="5">
        <v>200000</v>
      </c>
      <c r="E81" s="5"/>
      <c r="F81" s="3"/>
      <c r="G81" s="5">
        <v>306257036.31</v>
      </c>
    </row>
    <row r="82" spans="1:7" x14ac:dyDescent="0.25">
      <c r="A82" s="4">
        <v>45453</v>
      </c>
      <c r="B82" s="3" t="s">
        <v>39</v>
      </c>
      <c r="C82" s="3" t="s">
        <v>164</v>
      </c>
      <c r="D82" s="5">
        <v>127418225.38</v>
      </c>
      <c r="E82" s="5"/>
      <c r="F82" s="3"/>
      <c r="G82" s="5">
        <v>433675261.69</v>
      </c>
    </row>
    <row r="83" spans="1:7" x14ac:dyDescent="0.25">
      <c r="A83" s="4">
        <v>45453</v>
      </c>
      <c r="B83" s="3" t="s">
        <v>27</v>
      </c>
      <c r="C83" s="3" t="s">
        <v>165</v>
      </c>
      <c r="D83" s="5"/>
      <c r="E83" s="5">
        <v>10100000</v>
      </c>
      <c r="F83" s="3"/>
      <c r="G83" s="5">
        <v>423575261.69</v>
      </c>
    </row>
    <row r="84" spans="1:7" x14ac:dyDescent="0.25">
      <c r="A84" s="4">
        <v>45453</v>
      </c>
      <c r="B84" s="3" t="s">
        <v>27</v>
      </c>
      <c r="C84" s="3" t="s">
        <v>166</v>
      </c>
      <c r="D84" s="5"/>
      <c r="E84" s="5">
        <v>9900000</v>
      </c>
      <c r="F84" s="3"/>
      <c r="G84" s="5">
        <v>413675261.69</v>
      </c>
    </row>
    <row r="85" spans="1:7" x14ac:dyDescent="0.25">
      <c r="A85" s="4">
        <v>45453</v>
      </c>
      <c r="B85" s="3" t="s">
        <v>26</v>
      </c>
      <c r="C85" s="3" t="s">
        <v>167</v>
      </c>
      <c r="D85" s="5"/>
      <c r="E85" s="5">
        <v>46540800</v>
      </c>
      <c r="F85" s="3"/>
      <c r="G85" s="5">
        <v>367134461.69</v>
      </c>
    </row>
    <row r="86" spans="1:7" x14ac:dyDescent="0.25">
      <c r="A86" s="4">
        <v>45453</v>
      </c>
      <c r="B86" s="3" t="s">
        <v>59</v>
      </c>
      <c r="C86" s="3" t="s">
        <v>168</v>
      </c>
      <c r="D86" s="5"/>
      <c r="E86" s="5">
        <v>500000</v>
      </c>
      <c r="F86" s="3"/>
      <c r="G86" s="5">
        <v>366634461.69</v>
      </c>
    </row>
    <row r="87" spans="1:7" x14ac:dyDescent="0.25">
      <c r="A87" s="4">
        <v>45453</v>
      </c>
      <c r="B87" s="3" t="s">
        <v>60</v>
      </c>
      <c r="C87" s="3" t="s">
        <v>169</v>
      </c>
      <c r="D87" s="5"/>
      <c r="E87" s="5">
        <v>200000</v>
      </c>
      <c r="F87" s="3"/>
      <c r="G87" s="5">
        <v>366434461.69</v>
      </c>
    </row>
    <row r="88" spans="1:7" x14ac:dyDescent="0.25">
      <c r="A88" s="4">
        <v>45453</v>
      </c>
      <c r="B88" s="3" t="s">
        <v>28</v>
      </c>
      <c r="C88" s="3" t="s">
        <v>170</v>
      </c>
      <c r="D88" s="5"/>
      <c r="E88" s="5">
        <v>630000</v>
      </c>
      <c r="F88" s="3"/>
      <c r="G88" s="5">
        <v>365804461.69</v>
      </c>
    </row>
    <row r="89" spans="1:7" x14ac:dyDescent="0.25">
      <c r="A89" s="4">
        <v>45453</v>
      </c>
      <c r="B89" s="3" t="s">
        <v>61</v>
      </c>
      <c r="C89" s="3" t="s">
        <v>171</v>
      </c>
      <c r="D89" s="5"/>
      <c r="E89" s="5">
        <v>775000</v>
      </c>
      <c r="F89" s="3"/>
      <c r="G89" s="5">
        <v>365029461.69</v>
      </c>
    </row>
    <row r="90" spans="1:7" x14ac:dyDescent="0.25">
      <c r="A90" s="4">
        <v>45453</v>
      </c>
      <c r="B90" s="3" t="s">
        <v>62</v>
      </c>
      <c r="C90" s="3" t="s">
        <v>172</v>
      </c>
      <c r="D90" s="5"/>
      <c r="E90" s="5">
        <v>1629720</v>
      </c>
      <c r="F90" s="3"/>
      <c r="G90" s="5">
        <v>363399741.69</v>
      </c>
    </row>
    <row r="91" spans="1:7" x14ac:dyDescent="0.25">
      <c r="A91" s="4">
        <v>45453</v>
      </c>
      <c r="B91" s="3" t="s">
        <v>63</v>
      </c>
      <c r="C91" s="3" t="s">
        <v>173</v>
      </c>
      <c r="D91" s="5"/>
      <c r="E91" s="5">
        <v>300000</v>
      </c>
      <c r="F91" s="3"/>
      <c r="G91" s="5">
        <v>363099741.69</v>
      </c>
    </row>
    <row r="92" spans="1:7" x14ac:dyDescent="0.25">
      <c r="A92" s="4">
        <v>45453</v>
      </c>
      <c r="B92" s="3" t="s">
        <v>64</v>
      </c>
      <c r="C92" s="3" t="s">
        <v>174</v>
      </c>
      <c r="D92" s="5"/>
      <c r="E92" s="5">
        <v>6100000</v>
      </c>
      <c r="F92" s="3"/>
      <c r="G92" s="5">
        <v>356999741.69</v>
      </c>
    </row>
    <row r="93" spans="1:7" x14ac:dyDescent="0.25">
      <c r="A93" s="4">
        <v>45453</v>
      </c>
      <c r="B93" s="3" t="s">
        <v>65</v>
      </c>
      <c r="C93" s="3" t="s">
        <v>175</v>
      </c>
      <c r="D93" s="5"/>
      <c r="E93" s="5">
        <v>90000</v>
      </c>
      <c r="F93" s="3"/>
      <c r="G93" s="5">
        <v>356909741.69</v>
      </c>
    </row>
    <row r="94" spans="1:7" x14ac:dyDescent="0.25">
      <c r="A94" s="4">
        <v>45454</v>
      </c>
      <c r="B94" s="3" t="s">
        <v>66</v>
      </c>
      <c r="C94" s="3" t="s">
        <v>176</v>
      </c>
      <c r="D94" s="5"/>
      <c r="E94" s="5">
        <v>2166233.06</v>
      </c>
      <c r="F94" s="3"/>
      <c r="G94" s="5">
        <v>354743508.63</v>
      </c>
    </row>
    <row r="95" spans="1:7" x14ac:dyDescent="0.25">
      <c r="A95" s="4">
        <v>45454</v>
      </c>
      <c r="B95" s="3" t="s">
        <v>66</v>
      </c>
      <c r="C95" s="3" t="s">
        <v>177</v>
      </c>
      <c r="D95" s="5"/>
      <c r="E95" s="5">
        <v>290000</v>
      </c>
      <c r="F95" s="3"/>
      <c r="G95" s="5">
        <v>354453508.63</v>
      </c>
    </row>
    <row r="96" spans="1:7" x14ac:dyDescent="0.25">
      <c r="A96" s="4">
        <v>45454</v>
      </c>
      <c r="B96" s="3" t="s">
        <v>39</v>
      </c>
      <c r="C96" s="3" t="s">
        <v>178</v>
      </c>
      <c r="D96" s="5">
        <v>536490</v>
      </c>
      <c r="E96" s="5"/>
      <c r="F96" s="3"/>
      <c r="G96" s="5">
        <v>354989998.63</v>
      </c>
    </row>
    <row r="97" spans="1:7" x14ac:dyDescent="0.25">
      <c r="A97" s="4">
        <v>45454</v>
      </c>
      <c r="B97" s="3" t="s">
        <v>67</v>
      </c>
      <c r="C97" s="3" t="s">
        <v>179</v>
      </c>
      <c r="D97" s="5"/>
      <c r="E97" s="5">
        <v>20308000</v>
      </c>
      <c r="F97" s="3"/>
      <c r="G97" s="5">
        <v>334681998.63</v>
      </c>
    </row>
    <row r="98" spans="1:7" x14ac:dyDescent="0.25">
      <c r="A98" s="4">
        <v>45454</v>
      </c>
      <c r="B98" s="3" t="s">
        <v>68</v>
      </c>
      <c r="C98" s="3" t="s">
        <v>180</v>
      </c>
      <c r="D98" s="5"/>
      <c r="E98" s="5">
        <v>4962701.58</v>
      </c>
      <c r="F98" s="3"/>
      <c r="G98" s="5">
        <v>329719297.05000001</v>
      </c>
    </row>
    <row r="99" spans="1:7" x14ac:dyDescent="0.25">
      <c r="A99" s="4">
        <v>45456</v>
      </c>
      <c r="B99" s="3" t="s">
        <v>41</v>
      </c>
      <c r="C99" s="3" t="s">
        <v>181</v>
      </c>
      <c r="D99" s="5"/>
      <c r="E99" s="5">
        <v>250000</v>
      </c>
      <c r="F99" s="3"/>
      <c r="G99" s="5">
        <v>329469297.05000001</v>
      </c>
    </row>
    <row r="100" spans="1:7" x14ac:dyDescent="0.25">
      <c r="A100" s="4">
        <v>45456</v>
      </c>
      <c r="B100" s="3" t="s">
        <v>40</v>
      </c>
      <c r="C100" s="3" t="s">
        <v>181</v>
      </c>
      <c r="D100" s="5"/>
      <c r="E100" s="5">
        <v>250000</v>
      </c>
      <c r="F100" s="3"/>
      <c r="G100" s="5">
        <v>329219297.05000001</v>
      </c>
    </row>
    <row r="101" spans="1:7" x14ac:dyDescent="0.25">
      <c r="A101" s="4">
        <v>45456</v>
      </c>
      <c r="B101" s="3" t="s">
        <v>40</v>
      </c>
      <c r="C101" s="3" t="s">
        <v>181</v>
      </c>
      <c r="D101" s="5"/>
      <c r="E101" s="5">
        <v>250000</v>
      </c>
      <c r="F101" s="3"/>
      <c r="G101" s="5">
        <v>328969297.05000001</v>
      </c>
    </row>
    <row r="102" spans="1:7" x14ac:dyDescent="0.25">
      <c r="A102" s="4">
        <v>45467</v>
      </c>
      <c r="B102" s="3" t="s">
        <v>69</v>
      </c>
      <c r="C102" s="3" t="s">
        <v>182</v>
      </c>
      <c r="D102" s="5"/>
      <c r="E102" s="5">
        <v>4534825.24</v>
      </c>
      <c r="F102" s="3"/>
      <c r="G102" s="5">
        <v>324434471.81</v>
      </c>
    </row>
    <row r="103" spans="1:7" x14ac:dyDescent="0.25">
      <c r="A103" s="4">
        <v>45467</v>
      </c>
      <c r="B103" s="3" t="s">
        <v>27</v>
      </c>
      <c r="C103" s="3" t="s">
        <v>183</v>
      </c>
      <c r="D103" s="5"/>
      <c r="E103" s="5">
        <v>2700000</v>
      </c>
      <c r="F103" s="3"/>
      <c r="G103" s="5">
        <v>321734471.81</v>
      </c>
    </row>
    <row r="104" spans="1:7" x14ac:dyDescent="0.25">
      <c r="A104" s="4">
        <v>45467</v>
      </c>
      <c r="B104" s="3" t="s">
        <v>46</v>
      </c>
      <c r="C104" s="3" t="s">
        <v>184</v>
      </c>
      <c r="D104" s="5"/>
      <c r="E104" s="5">
        <v>2391360</v>
      </c>
      <c r="F104" s="3"/>
      <c r="G104" s="5">
        <v>319343111.81</v>
      </c>
    </row>
    <row r="105" spans="1:7" x14ac:dyDescent="0.25">
      <c r="A105" s="4">
        <v>45467</v>
      </c>
      <c r="B105" s="3" t="s">
        <v>55</v>
      </c>
      <c r="C105" s="3" t="s">
        <v>185</v>
      </c>
      <c r="D105" s="5"/>
      <c r="E105" s="5">
        <v>300000</v>
      </c>
      <c r="F105" s="3"/>
      <c r="G105" s="5">
        <v>319043111.81</v>
      </c>
    </row>
    <row r="106" spans="1:7" x14ac:dyDescent="0.25">
      <c r="A106" s="4">
        <v>45467</v>
      </c>
      <c r="B106" s="3" t="s">
        <v>27</v>
      </c>
      <c r="C106" s="3" t="s">
        <v>186</v>
      </c>
      <c r="D106" s="5"/>
      <c r="E106" s="5">
        <v>7950000</v>
      </c>
      <c r="F106" s="3"/>
      <c r="G106" s="5">
        <v>311093111.81</v>
      </c>
    </row>
    <row r="107" spans="1:7" x14ac:dyDescent="0.25">
      <c r="A107" s="4">
        <v>45467</v>
      </c>
      <c r="B107" s="3" t="s">
        <v>49</v>
      </c>
      <c r="C107" s="3" t="s">
        <v>187</v>
      </c>
      <c r="D107" s="5"/>
      <c r="E107" s="5">
        <v>250000</v>
      </c>
      <c r="F107" s="3"/>
      <c r="G107" s="5">
        <v>310843111.81</v>
      </c>
    </row>
    <row r="108" spans="1:7" x14ac:dyDescent="0.25">
      <c r="A108" s="4">
        <v>45467</v>
      </c>
      <c r="B108" s="3" t="s">
        <v>52</v>
      </c>
      <c r="C108" s="3" t="s">
        <v>188</v>
      </c>
      <c r="D108" s="5"/>
      <c r="E108" s="5">
        <v>250000</v>
      </c>
      <c r="F108" s="3"/>
      <c r="G108" s="5">
        <v>310593111.81</v>
      </c>
    </row>
    <row r="109" spans="1:7" x14ac:dyDescent="0.25">
      <c r="A109" s="4">
        <v>45467</v>
      </c>
      <c r="B109" s="3" t="s">
        <v>27</v>
      </c>
      <c r="C109" s="3" t="s">
        <v>189</v>
      </c>
      <c r="D109" s="5"/>
      <c r="E109" s="5">
        <v>250000</v>
      </c>
      <c r="F109" s="3"/>
      <c r="G109" s="5">
        <v>310343111.81</v>
      </c>
    </row>
    <row r="110" spans="1:7" x14ac:dyDescent="0.25">
      <c r="A110" s="4">
        <v>45467</v>
      </c>
      <c r="B110" s="3" t="s">
        <v>53</v>
      </c>
      <c r="C110" s="3" t="s">
        <v>190</v>
      </c>
      <c r="D110" s="5"/>
      <c r="E110" s="5">
        <v>250000</v>
      </c>
      <c r="F110" s="3"/>
      <c r="G110" s="5">
        <v>310093111.81</v>
      </c>
    </row>
    <row r="111" spans="1:7" x14ac:dyDescent="0.25">
      <c r="A111" s="4">
        <v>45467</v>
      </c>
      <c r="B111" s="3" t="s">
        <v>48</v>
      </c>
      <c r="C111" s="3" t="s">
        <v>191</v>
      </c>
      <c r="D111" s="5"/>
      <c r="E111" s="5">
        <v>150000</v>
      </c>
      <c r="F111" s="3"/>
      <c r="G111" s="5">
        <v>309943111.81</v>
      </c>
    </row>
    <row r="112" spans="1:7" x14ac:dyDescent="0.25">
      <c r="A112" s="4">
        <v>45467</v>
      </c>
      <c r="B112" s="3" t="s">
        <v>51</v>
      </c>
      <c r="C112" s="3" t="s">
        <v>192</v>
      </c>
      <c r="D112" s="5"/>
      <c r="E112" s="5">
        <v>250000</v>
      </c>
      <c r="F112" s="3"/>
      <c r="G112" s="5">
        <v>309693111.81</v>
      </c>
    </row>
    <row r="113" spans="1:7" x14ac:dyDescent="0.25">
      <c r="A113" s="4">
        <v>45467</v>
      </c>
      <c r="B113" s="3" t="s">
        <v>56</v>
      </c>
      <c r="C113" s="3" t="s">
        <v>193</v>
      </c>
      <c r="D113" s="5"/>
      <c r="E113" s="5">
        <v>250000</v>
      </c>
      <c r="F113" s="3"/>
      <c r="G113" s="5">
        <v>309443111.81</v>
      </c>
    </row>
    <row r="114" spans="1:7" x14ac:dyDescent="0.25">
      <c r="A114" s="4">
        <v>45467</v>
      </c>
      <c r="B114" s="3" t="s">
        <v>54</v>
      </c>
      <c r="C114" s="3" t="s">
        <v>194</v>
      </c>
      <c r="D114" s="5"/>
      <c r="E114" s="5">
        <v>250000</v>
      </c>
      <c r="F114" s="3"/>
      <c r="G114" s="5">
        <v>309193111.81</v>
      </c>
    </row>
    <row r="115" spans="1:7" x14ac:dyDescent="0.25">
      <c r="A115" s="4">
        <v>45468</v>
      </c>
      <c r="B115" s="3" t="s">
        <v>30</v>
      </c>
      <c r="C115" s="3" t="s">
        <v>109</v>
      </c>
      <c r="D115" s="5"/>
      <c r="E115" s="5">
        <v>200000</v>
      </c>
      <c r="F115" s="3"/>
      <c r="G115" s="5">
        <v>308993111.81</v>
      </c>
    </row>
    <row r="116" spans="1:7" x14ac:dyDescent="0.25">
      <c r="A116" s="4">
        <v>45468</v>
      </c>
      <c r="B116" s="3" t="s">
        <v>70</v>
      </c>
      <c r="C116" s="3" t="s">
        <v>195</v>
      </c>
      <c r="D116" s="5"/>
      <c r="E116" s="5">
        <v>150000</v>
      </c>
      <c r="F116" s="3"/>
      <c r="G116" s="5">
        <v>308843111.81</v>
      </c>
    </row>
    <row r="117" spans="1:7" x14ac:dyDescent="0.25">
      <c r="A117" s="4">
        <v>45468</v>
      </c>
      <c r="B117" s="3" t="s">
        <v>28</v>
      </c>
      <c r="C117" s="3" t="s">
        <v>196</v>
      </c>
      <c r="D117" s="5"/>
      <c r="E117" s="5">
        <v>250000</v>
      </c>
      <c r="F117" s="3"/>
      <c r="G117" s="5">
        <v>308593111.81</v>
      </c>
    </row>
    <row r="118" spans="1:7" x14ac:dyDescent="0.25">
      <c r="A118" s="4">
        <v>45468</v>
      </c>
      <c r="B118" s="3" t="s">
        <v>30</v>
      </c>
      <c r="C118" s="3" t="s">
        <v>197</v>
      </c>
      <c r="D118" s="5"/>
      <c r="E118" s="5">
        <v>200000</v>
      </c>
      <c r="F118" s="3"/>
      <c r="G118" s="5">
        <v>308393111.81</v>
      </c>
    </row>
    <row r="119" spans="1:7" x14ac:dyDescent="0.25">
      <c r="A119" s="4">
        <v>45468</v>
      </c>
      <c r="B119" s="3" t="s">
        <v>70</v>
      </c>
      <c r="C119" s="3" t="s">
        <v>198</v>
      </c>
      <c r="D119" s="5"/>
      <c r="E119" s="5">
        <v>150000</v>
      </c>
      <c r="F119" s="3"/>
      <c r="G119" s="5">
        <v>308243111.81</v>
      </c>
    </row>
    <row r="120" spans="1:7" x14ac:dyDescent="0.25">
      <c r="A120" s="4">
        <v>45469</v>
      </c>
      <c r="B120" s="3" t="s">
        <v>58</v>
      </c>
      <c r="C120" s="3" t="s">
        <v>199</v>
      </c>
      <c r="D120" s="5"/>
      <c r="E120" s="5">
        <v>131835.26999999999</v>
      </c>
      <c r="F120" s="3"/>
      <c r="G120" s="5">
        <v>308111276.54000002</v>
      </c>
    </row>
    <row r="121" spans="1:7" x14ac:dyDescent="0.25">
      <c r="A121" s="4">
        <v>45469</v>
      </c>
      <c r="B121" s="3" t="s">
        <v>58</v>
      </c>
      <c r="C121" s="3" t="s">
        <v>200</v>
      </c>
      <c r="D121" s="5"/>
      <c r="E121" s="5">
        <v>87890.18</v>
      </c>
      <c r="F121" s="3"/>
      <c r="G121" s="5">
        <v>308023386.36000001</v>
      </c>
    </row>
    <row r="122" spans="1:7" x14ac:dyDescent="0.25">
      <c r="A122" s="4">
        <v>45469</v>
      </c>
      <c r="B122" s="3" t="s">
        <v>58</v>
      </c>
      <c r="C122" s="3" t="s">
        <v>201</v>
      </c>
      <c r="D122" s="5"/>
      <c r="E122" s="5">
        <v>17578.04</v>
      </c>
      <c r="F122" s="3"/>
      <c r="G122" s="5">
        <v>308005808.31999999</v>
      </c>
    </row>
    <row r="123" spans="1:7" x14ac:dyDescent="0.25">
      <c r="A123" s="4">
        <v>45469</v>
      </c>
      <c r="B123" s="3" t="s">
        <v>58</v>
      </c>
      <c r="C123" s="3" t="s">
        <v>202</v>
      </c>
      <c r="D123" s="5"/>
      <c r="E123" s="5">
        <v>1421250</v>
      </c>
      <c r="F123" s="3"/>
      <c r="G123" s="5">
        <v>306584558.31999999</v>
      </c>
    </row>
    <row r="124" spans="1:7" x14ac:dyDescent="0.25">
      <c r="A124" s="4">
        <v>45469</v>
      </c>
      <c r="B124" s="3" t="s">
        <v>58</v>
      </c>
      <c r="C124" s="3" t="s">
        <v>203</v>
      </c>
      <c r="D124" s="5"/>
      <c r="E124" s="5">
        <v>142125</v>
      </c>
      <c r="F124" s="3"/>
      <c r="G124" s="5">
        <v>306442433.31999999</v>
      </c>
    </row>
    <row r="125" spans="1:7" x14ac:dyDescent="0.25">
      <c r="A125" s="4">
        <v>45469</v>
      </c>
      <c r="B125" s="3" t="s">
        <v>58</v>
      </c>
      <c r="C125" s="3" t="s">
        <v>204</v>
      </c>
      <c r="D125" s="5"/>
      <c r="E125" s="5">
        <v>93750</v>
      </c>
      <c r="F125" s="3"/>
      <c r="G125" s="5">
        <v>306348683.31999999</v>
      </c>
    </row>
    <row r="126" spans="1:7" x14ac:dyDescent="0.25">
      <c r="A126" s="4">
        <v>45469</v>
      </c>
      <c r="B126" s="3" t="s">
        <v>58</v>
      </c>
      <c r="C126" s="3" t="s">
        <v>205</v>
      </c>
      <c r="D126" s="5"/>
      <c r="E126" s="5">
        <v>62500</v>
      </c>
      <c r="F126" s="3"/>
      <c r="G126" s="5">
        <v>306286183.31999999</v>
      </c>
    </row>
    <row r="127" spans="1:7" x14ac:dyDescent="0.25">
      <c r="A127" s="4">
        <v>45469</v>
      </c>
      <c r="B127" s="3" t="s">
        <v>58</v>
      </c>
      <c r="C127" s="3" t="s">
        <v>206</v>
      </c>
      <c r="D127" s="5"/>
      <c r="E127" s="5">
        <v>12500</v>
      </c>
      <c r="F127" s="3"/>
      <c r="G127" s="5">
        <v>306273683.31999999</v>
      </c>
    </row>
    <row r="128" spans="1:7" x14ac:dyDescent="0.25">
      <c r="A128" s="4">
        <v>45469</v>
      </c>
      <c r="B128" s="3" t="s">
        <v>58</v>
      </c>
      <c r="C128" s="3" t="s">
        <v>207</v>
      </c>
      <c r="D128" s="5"/>
      <c r="E128" s="5">
        <v>50679.07</v>
      </c>
      <c r="F128" s="3"/>
      <c r="G128" s="5">
        <v>306223004.25</v>
      </c>
    </row>
    <row r="129" spans="1:7" x14ac:dyDescent="0.25">
      <c r="A129" s="4">
        <v>45469</v>
      </c>
      <c r="B129" s="3" t="s">
        <v>58</v>
      </c>
      <c r="C129" s="3" t="s">
        <v>208</v>
      </c>
      <c r="D129" s="5"/>
      <c r="E129" s="5">
        <v>33786.050000000003</v>
      </c>
      <c r="F129" s="3"/>
      <c r="G129" s="5">
        <v>306189218.19999999</v>
      </c>
    </row>
    <row r="130" spans="1:7" x14ac:dyDescent="0.25">
      <c r="A130" s="4">
        <v>45469</v>
      </c>
      <c r="B130" s="3" t="s">
        <v>58</v>
      </c>
      <c r="C130" s="3" t="s">
        <v>209</v>
      </c>
      <c r="D130" s="5"/>
      <c r="E130" s="5">
        <v>6757.21</v>
      </c>
      <c r="F130" s="3"/>
      <c r="G130" s="5">
        <v>306182460.99000001</v>
      </c>
    </row>
    <row r="131" spans="1:7" x14ac:dyDescent="0.25">
      <c r="A131" s="4">
        <v>45469</v>
      </c>
      <c r="B131" s="3" t="s">
        <v>58</v>
      </c>
      <c r="C131" s="3" t="s">
        <v>210</v>
      </c>
      <c r="D131" s="5"/>
      <c r="E131" s="5">
        <v>52500</v>
      </c>
      <c r="F131" s="3"/>
      <c r="G131" s="5">
        <v>306129960.99000001</v>
      </c>
    </row>
    <row r="132" spans="1:7" x14ac:dyDescent="0.25">
      <c r="A132" s="4">
        <v>45469</v>
      </c>
      <c r="B132" s="3" t="s">
        <v>58</v>
      </c>
      <c r="C132" s="3" t="s">
        <v>211</v>
      </c>
      <c r="D132" s="5"/>
      <c r="E132" s="5">
        <v>35000</v>
      </c>
      <c r="F132" s="3"/>
      <c r="G132" s="5">
        <v>306094960.99000001</v>
      </c>
    </row>
    <row r="133" spans="1:7" x14ac:dyDescent="0.25">
      <c r="A133" s="4">
        <v>45469</v>
      </c>
      <c r="B133" s="3" t="s">
        <v>58</v>
      </c>
      <c r="C133" s="3" t="s">
        <v>212</v>
      </c>
      <c r="D133" s="5"/>
      <c r="E133" s="5">
        <v>7000</v>
      </c>
      <c r="F133" s="3"/>
      <c r="G133" s="5">
        <v>306087960.99000001</v>
      </c>
    </row>
    <row r="134" spans="1:7" x14ac:dyDescent="0.25">
      <c r="A134" s="4">
        <v>45469</v>
      </c>
      <c r="B134" s="3" t="s">
        <v>58</v>
      </c>
      <c r="C134" s="3" t="s">
        <v>213</v>
      </c>
      <c r="D134" s="5"/>
      <c r="E134" s="5">
        <v>398826.75</v>
      </c>
      <c r="F134" s="3"/>
      <c r="G134" s="5">
        <v>305689134.24000001</v>
      </c>
    </row>
    <row r="135" spans="1:7" x14ac:dyDescent="0.25">
      <c r="A135" s="4">
        <v>45469</v>
      </c>
      <c r="B135" s="3" t="s">
        <v>58</v>
      </c>
      <c r="C135" s="3" t="s">
        <v>214</v>
      </c>
      <c r="D135" s="5"/>
      <c r="E135" s="5">
        <v>265882.5</v>
      </c>
      <c r="F135" s="3"/>
      <c r="G135" s="5">
        <v>305423251.74000001</v>
      </c>
    </row>
    <row r="136" spans="1:7" x14ac:dyDescent="0.25">
      <c r="A136" s="4">
        <v>45469</v>
      </c>
      <c r="B136" s="3" t="s">
        <v>58</v>
      </c>
      <c r="C136" s="3" t="s">
        <v>215</v>
      </c>
      <c r="D136" s="5"/>
      <c r="E136" s="5">
        <v>53176.5</v>
      </c>
      <c r="F136" s="3"/>
      <c r="G136" s="5">
        <v>305370075.24000001</v>
      </c>
    </row>
    <row r="137" spans="1:7" x14ac:dyDescent="0.25">
      <c r="A137" s="4">
        <v>45469</v>
      </c>
      <c r="B137" s="3" t="s">
        <v>58</v>
      </c>
      <c r="C137" s="3" t="s">
        <v>216</v>
      </c>
      <c r="D137" s="5"/>
      <c r="E137" s="5">
        <v>418604.65</v>
      </c>
      <c r="F137" s="3"/>
      <c r="G137" s="5">
        <v>304951470.58999997</v>
      </c>
    </row>
    <row r="138" spans="1:7" x14ac:dyDescent="0.25">
      <c r="A138" s="4">
        <v>45469</v>
      </c>
      <c r="B138" s="3" t="s">
        <v>58</v>
      </c>
      <c r="C138" s="3" t="s">
        <v>217</v>
      </c>
      <c r="D138" s="5"/>
      <c r="E138" s="5">
        <v>279069.77</v>
      </c>
      <c r="F138" s="3"/>
      <c r="G138" s="5">
        <v>304672400.81999999</v>
      </c>
    </row>
    <row r="139" spans="1:7" x14ac:dyDescent="0.25">
      <c r="A139" s="4">
        <v>45469</v>
      </c>
      <c r="B139" s="3" t="s">
        <v>58</v>
      </c>
      <c r="C139" s="3" t="s">
        <v>218</v>
      </c>
      <c r="D139" s="5"/>
      <c r="E139" s="5">
        <v>55813.95</v>
      </c>
      <c r="F139" s="3"/>
      <c r="G139" s="5">
        <v>304616586.87</v>
      </c>
    </row>
    <row r="140" spans="1:7" x14ac:dyDescent="0.25">
      <c r="A140" s="4">
        <v>45470</v>
      </c>
      <c r="B140" s="3" t="s">
        <v>71</v>
      </c>
      <c r="C140" s="3" t="s">
        <v>219</v>
      </c>
      <c r="D140" s="5"/>
      <c r="E140" s="5">
        <v>6400000</v>
      </c>
      <c r="F140" s="3"/>
      <c r="G140" s="5">
        <v>298216586.87</v>
      </c>
    </row>
    <row r="141" spans="1:7" x14ac:dyDescent="0.25">
      <c r="A141" s="4">
        <v>45470</v>
      </c>
      <c r="B141" s="3" t="s">
        <v>72</v>
      </c>
      <c r="C141" s="3" t="s">
        <v>220</v>
      </c>
      <c r="D141" s="5"/>
      <c r="E141" s="5">
        <v>2160000</v>
      </c>
      <c r="F141" s="3"/>
      <c r="G141" s="5">
        <v>296056586.87</v>
      </c>
    </row>
    <row r="142" spans="1:7" x14ac:dyDescent="0.25">
      <c r="A142" s="4">
        <v>45470</v>
      </c>
      <c r="B142" s="3" t="s">
        <v>22</v>
      </c>
      <c r="C142" s="3" t="s">
        <v>221</v>
      </c>
      <c r="D142" s="5"/>
      <c r="E142" s="5">
        <v>584156.66</v>
      </c>
      <c r="F142" s="3"/>
      <c r="G142" s="5">
        <v>295472430.20999998</v>
      </c>
    </row>
    <row r="143" spans="1:7" x14ac:dyDescent="0.25">
      <c r="A143" s="4">
        <v>45470</v>
      </c>
      <c r="B143" s="3" t="s">
        <v>73</v>
      </c>
      <c r="C143" s="3" t="s">
        <v>222</v>
      </c>
      <c r="D143" s="5"/>
      <c r="E143" s="5">
        <v>5388943.3399999999</v>
      </c>
      <c r="F143" s="3"/>
      <c r="G143" s="5">
        <v>290083486.87</v>
      </c>
    </row>
    <row r="144" spans="1:7" x14ac:dyDescent="0.25">
      <c r="A144" s="4">
        <v>45470</v>
      </c>
      <c r="B144" s="3" t="s">
        <v>67</v>
      </c>
      <c r="C144" s="3" t="s">
        <v>223</v>
      </c>
      <c r="D144" s="5"/>
      <c r="E144" s="5">
        <v>5566878.54</v>
      </c>
      <c r="F144" s="3"/>
      <c r="G144" s="5">
        <v>284516608.32999998</v>
      </c>
    </row>
    <row r="145" spans="1:7" x14ac:dyDescent="0.25">
      <c r="A145" s="4">
        <v>45470</v>
      </c>
      <c r="B145" s="3" t="s">
        <v>67</v>
      </c>
      <c r="C145" s="3" t="s">
        <v>224</v>
      </c>
      <c r="D145" s="5"/>
      <c r="E145" s="5">
        <v>7172509.9400000004</v>
      </c>
      <c r="F145" s="3"/>
      <c r="G145" s="5">
        <v>277344098.38999999</v>
      </c>
    </row>
    <row r="146" spans="1:7" x14ac:dyDescent="0.25">
      <c r="A146" s="4">
        <v>45470</v>
      </c>
      <c r="B146" s="3" t="s">
        <v>58</v>
      </c>
      <c r="C146" s="3" t="s">
        <v>225</v>
      </c>
      <c r="D146" s="5"/>
      <c r="E146" s="5">
        <v>97674.42</v>
      </c>
      <c r="F146" s="3"/>
      <c r="G146" s="5">
        <v>277246423.97000003</v>
      </c>
    </row>
    <row r="147" spans="1:7" x14ac:dyDescent="0.25">
      <c r="A147" s="4">
        <v>45470</v>
      </c>
      <c r="B147" s="3" t="s">
        <v>58</v>
      </c>
      <c r="C147" s="3" t="s">
        <v>226</v>
      </c>
      <c r="D147" s="5"/>
      <c r="E147" s="5">
        <v>65116.28</v>
      </c>
      <c r="F147" s="3"/>
      <c r="G147" s="5">
        <v>277181307.69</v>
      </c>
    </row>
    <row r="148" spans="1:7" x14ac:dyDescent="0.25">
      <c r="A148" s="4">
        <v>45470</v>
      </c>
      <c r="B148" s="3" t="s">
        <v>58</v>
      </c>
      <c r="C148" s="3" t="s">
        <v>227</v>
      </c>
      <c r="D148" s="5"/>
      <c r="E148" s="5">
        <v>13023.26</v>
      </c>
      <c r="F148" s="3"/>
      <c r="G148" s="5">
        <v>277168284.43000001</v>
      </c>
    </row>
    <row r="149" spans="1:7" x14ac:dyDescent="0.25">
      <c r="A149" s="4">
        <v>45470</v>
      </c>
      <c r="B149" s="3" t="s">
        <v>58</v>
      </c>
      <c r="C149" s="3" t="s">
        <v>228</v>
      </c>
      <c r="D149" s="5"/>
      <c r="E149" s="5">
        <v>486418.61</v>
      </c>
      <c r="F149" s="3"/>
      <c r="G149" s="5">
        <v>276681865.81999999</v>
      </c>
    </row>
    <row r="150" spans="1:7" x14ac:dyDescent="0.25">
      <c r="A150" s="4">
        <v>45470</v>
      </c>
      <c r="B150" s="3" t="s">
        <v>58</v>
      </c>
      <c r="C150" s="3" t="s">
        <v>229</v>
      </c>
      <c r="D150" s="5"/>
      <c r="E150" s="5">
        <v>324279.07</v>
      </c>
      <c r="F150" s="3"/>
      <c r="G150" s="5">
        <v>276357586.75</v>
      </c>
    </row>
    <row r="151" spans="1:7" x14ac:dyDescent="0.25">
      <c r="A151" s="4">
        <v>45470</v>
      </c>
      <c r="B151" s="3" t="s">
        <v>58</v>
      </c>
      <c r="C151" s="3" t="s">
        <v>230</v>
      </c>
      <c r="D151" s="5"/>
      <c r="E151" s="5">
        <v>64855.81</v>
      </c>
      <c r="F151" s="3"/>
      <c r="G151" s="5">
        <v>276292730.94</v>
      </c>
    </row>
    <row r="152" spans="1:7" x14ac:dyDescent="0.25">
      <c r="A152" s="4">
        <v>45470</v>
      </c>
      <c r="B152" s="3" t="s">
        <v>58</v>
      </c>
      <c r="C152" s="3" t="s">
        <v>231</v>
      </c>
      <c r="D152" s="5"/>
      <c r="E152" s="5">
        <v>133037.75</v>
      </c>
      <c r="F152" s="3"/>
      <c r="G152" s="5">
        <v>276159693.19</v>
      </c>
    </row>
    <row r="153" spans="1:7" x14ac:dyDescent="0.25">
      <c r="A153" s="4">
        <v>45470</v>
      </c>
      <c r="B153" s="3" t="s">
        <v>58</v>
      </c>
      <c r="C153" s="3" t="s">
        <v>232</v>
      </c>
      <c r="D153" s="5"/>
      <c r="E153" s="5">
        <v>88691.83</v>
      </c>
      <c r="F153" s="3"/>
      <c r="G153" s="5">
        <v>276071001.36000001</v>
      </c>
    </row>
    <row r="154" spans="1:7" x14ac:dyDescent="0.25">
      <c r="A154" s="4">
        <v>45470</v>
      </c>
      <c r="B154" s="3" t="s">
        <v>58</v>
      </c>
      <c r="C154" s="3" t="s">
        <v>233</v>
      </c>
      <c r="D154" s="5"/>
      <c r="E154" s="5">
        <v>17738.37</v>
      </c>
      <c r="F154" s="3"/>
      <c r="G154" s="5">
        <v>276053262.99000001</v>
      </c>
    </row>
    <row r="155" spans="1:7" x14ac:dyDescent="0.25">
      <c r="A155" s="4">
        <v>45470</v>
      </c>
      <c r="B155" s="3" t="s">
        <v>58</v>
      </c>
      <c r="C155" s="3" t="s">
        <v>234</v>
      </c>
      <c r="D155" s="5"/>
      <c r="E155" s="5">
        <v>594418.6</v>
      </c>
      <c r="F155" s="3"/>
      <c r="G155" s="5">
        <v>275458844.38999999</v>
      </c>
    </row>
    <row r="156" spans="1:7" x14ac:dyDescent="0.25">
      <c r="A156" s="4">
        <v>45470</v>
      </c>
      <c r="B156" s="3" t="s">
        <v>58</v>
      </c>
      <c r="C156" s="3" t="s">
        <v>235</v>
      </c>
      <c r="D156" s="5"/>
      <c r="E156" s="5">
        <v>396279.07</v>
      </c>
      <c r="F156" s="3"/>
      <c r="G156" s="5">
        <v>275062565.31999999</v>
      </c>
    </row>
    <row r="157" spans="1:7" x14ac:dyDescent="0.25">
      <c r="A157" s="4">
        <v>45470</v>
      </c>
      <c r="B157" s="3" t="s">
        <v>58</v>
      </c>
      <c r="C157" s="3" t="s">
        <v>236</v>
      </c>
      <c r="D157" s="5"/>
      <c r="E157" s="5">
        <v>79255.81</v>
      </c>
      <c r="F157" s="3"/>
      <c r="G157" s="5">
        <v>274983309.50999999</v>
      </c>
    </row>
    <row r="158" spans="1:7" x14ac:dyDescent="0.25">
      <c r="A158" s="4">
        <v>45470</v>
      </c>
      <c r="B158" s="3" t="s">
        <v>58</v>
      </c>
      <c r="C158" s="3" t="s">
        <v>237</v>
      </c>
      <c r="D158" s="5"/>
      <c r="E158" s="5">
        <v>64140.7</v>
      </c>
      <c r="F158" s="3"/>
      <c r="G158" s="5">
        <v>274919168.81</v>
      </c>
    </row>
    <row r="159" spans="1:7" x14ac:dyDescent="0.25">
      <c r="A159" s="4">
        <v>45470</v>
      </c>
      <c r="B159" s="3" t="s">
        <v>58</v>
      </c>
      <c r="C159" s="3" t="s">
        <v>238</v>
      </c>
      <c r="D159" s="5"/>
      <c r="E159" s="5">
        <v>42760.47</v>
      </c>
      <c r="F159" s="3"/>
      <c r="G159" s="5">
        <v>274876408.33999997</v>
      </c>
    </row>
    <row r="160" spans="1:7" x14ac:dyDescent="0.25">
      <c r="A160" s="4">
        <v>45470</v>
      </c>
      <c r="B160" s="3" t="s">
        <v>58</v>
      </c>
      <c r="C160" s="3" t="s">
        <v>239</v>
      </c>
      <c r="D160" s="5"/>
      <c r="E160" s="5">
        <v>8552.09</v>
      </c>
      <c r="F160" s="3"/>
      <c r="G160" s="5">
        <v>274867856.25</v>
      </c>
    </row>
    <row r="161" spans="1:7" x14ac:dyDescent="0.25">
      <c r="A161" s="4">
        <v>45470</v>
      </c>
      <c r="B161" s="3" t="s">
        <v>58</v>
      </c>
      <c r="C161" s="3" t="s">
        <v>240</v>
      </c>
      <c r="D161" s="5"/>
      <c r="E161" s="5">
        <v>53400</v>
      </c>
      <c r="F161" s="3"/>
      <c r="G161" s="5">
        <v>274814456.25</v>
      </c>
    </row>
    <row r="162" spans="1:7" x14ac:dyDescent="0.25">
      <c r="A162" s="4">
        <v>45470</v>
      </c>
      <c r="B162" s="3" t="s">
        <v>58</v>
      </c>
      <c r="C162" s="3" t="s">
        <v>241</v>
      </c>
      <c r="D162" s="5"/>
      <c r="E162" s="5">
        <v>35600</v>
      </c>
      <c r="F162" s="3"/>
      <c r="G162" s="5">
        <v>274778856.25</v>
      </c>
    </row>
    <row r="163" spans="1:7" x14ac:dyDescent="0.25">
      <c r="A163" s="4">
        <v>45470</v>
      </c>
      <c r="B163" s="3" t="s">
        <v>58</v>
      </c>
      <c r="C163" s="3" t="s">
        <v>242</v>
      </c>
      <c r="D163" s="5"/>
      <c r="E163" s="5">
        <v>7120</v>
      </c>
      <c r="F163" s="3"/>
      <c r="G163" s="5">
        <v>274771736.25</v>
      </c>
    </row>
    <row r="164" spans="1:7" x14ac:dyDescent="0.25">
      <c r="A164" s="4">
        <v>45470</v>
      </c>
      <c r="B164" s="3" t="s">
        <v>58</v>
      </c>
      <c r="C164" s="3" t="s">
        <v>243</v>
      </c>
      <c r="D164" s="5"/>
      <c r="E164" s="5">
        <v>264750</v>
      </c>
      <c r="F164" s="3"/>
      <c r="G164" s="5">
        <v>274506986.25</v>
      </c>
    </row>
    <row r="165" spans="1:7" x14ac:dyDescent="0.25">
      <c r="A165" s="4">
        <v>45470</v>
      </c>
      <c r="B165" s="3" t="s">
        <v>58</v>
      </c>
      <c r="C165" s="3" t="s">
        <v>244</v>
      </c>
      <c r="D165" s="5"/>
      <c r="E165" s="5">
        <v>353000</v>
      </c>
      <c r="F165" s="3"/>
      <c r="G165" s="5">
        <v>274153986.25</v>
      </c>
    </row>
    <row r="166" spans="1:7" x14ac:dyDescent="0.25">
      <c r="A166" s="4">
        <v>45470</v>
      </c>
      <c r="B166" s="3" t="s">
        <v>58</v>
      </c>
      <c r="C166" s="3" t="s">
        <v>245</v>
      </c>
      <c r="D166" s="5"/>
      <c r="E166" s="5">
        <v>35300</v>
      </c>
      <c r="F166" s="3"/>
      <c r="G166" s="5">
        <v>274118686.25</v>
      </c>
    </row>
    <row r="167" spans="1:7" x14ac:dyDescent="0.25">
      <c r="A167" s="4">
        <v>45470</v>
      </c>
      <c r="B167" s="3" t="s">
        <v>58</v>
      </c>
      <c r="C167" s="3" t="s">
        <v>246</v>
      </c>
      <c r="D167" s="5"/>
      <c r="E167" s="5">
        <v>1152937.5</v>
      </c>
      <c r="F167" s="3"/>
      <c r="G167" s="5">
        <v>272965748.75</v>
      </c>
    </row>
    <row r="168" spans="1:7" x14ac:dyDescent="0.25">
      <c r="A168" s="4">
        <v>45470</v>
      </c>
      <c r="B168" s="3" t="s">
        <v>58</v>
      </c>
      <c r="C168" s="3" t="s">
        <v>247</v>
      </c>
      <c r="D168" s="5"/>
      <c r="E168" s="5">
        <v>1537250</v>
      </c>
      <c r="F168" s="3"/>
      <c r="G168" s="5">
        <v>271428498.75</v>
      </c>
    </row>
    <row r="169" spans="1:7" x14ac:dyDescent="0.25">
      <c r="A169" s="4">
        <v>45470</v>
      </c>
      <c r="B169" s="3" t="s">
        <v>58</v>
      </c>
      <c r="C169" s="3" t="s">
        <v>248</v>
      </c>
      <c r="D169" s="5"/>
      <c r="E169" s="5">
        <v>153725</v>
      </c>
      <c r="F169" s="3"/>
      <c r="G169" s="5">
        <v>271274773.75</v>
      </c>
    </row>
    <row r="170" spans="1:7" x14ac:dyDescent="0.25">
      <c r="A170" s="4">
        <v>45470</v>
      </c>
      <c r="B170" s="3" t="s">
        <v>58</v>
      </c>
      <c r="C170" s="3" t="s">
        <v>249</v>
      </c>
      <c r="D170" s="5"/>
      <c r="E170" s="5">
        <v>69767.44</v>
      </c>
      <c r="F170" s="3"/>
      <c r="G170" s="5">
        <v>271205006.31</v>
      </c>
    </row>
    <row r="171" spans="1:7" x14ac:dyDescent="0.25">
      <c r="A171" s="4">
        <v>45470</v>
      </c>
      <c r="B171" s="3" t="s">
        <v>58</v>
      </c>
      <c r="C171" s="3" t="s">
        <v>250</v>
      </c>
      <c r="D171" s="5"/>
      <c r="E171" s="5">
        <v>46511.63</v>
      </c>
      <c r="F171" s="3"/>
      <c r="G171" s="5">
        <v>271158494.68000001</v>
      </c>
    </row>
    <row r="172" spans="1:7" x14ac:dyDescent="0.25">
      <c r="A172" s="4">
        <v>45470</v>
      </c>
      <c r="B172" s="3" t="s">
        <v>58</v>
      </c>
      <c r="C172" s="3" t="s">
        <v>251</v>
      </c>
      <c r="D172" s="5"/>
      <c r="E172" s="5">
        <v>9302.33</v>
      </c>
      <c r="F172" s="3"/>
      <c r="G172" s="5">
        <v>271149192.35000002</v>
      </c>
    </row>
    <row r="173" spans="1:7" x14ac:dyDescent="0.25">
      <c r="A173" s="4">
        <v>45470</v>
      </c>
      <c r="B173" s="3" t="s">
        <v>58</v>
      </c>
      <c r="C173" s="3" t="s">
        <v>252</v>
      </c>
      <c r="D173" s="5"/>
      <c r="E173" s="5">
        <v>326250</v>
      </c>
      <c r="F173" s="3"/>
      <c r="G173" s="5">
        <v>270822942.35000002</v>
      </c>
    </row>
    <row r="174" spans="1:7" x14ac:dyDescent="0.25">
      <c r="A174" s="4">
        <v>45470</v>
      </c>
      <c r="B174" s="3" t="s">
        <v>58</v>
      </c>
      <c r="C174" s="3" t="s">
        <v>253</v>
      </c>
      <c r="D174" s="5"/>
      <c r="E174" s="5">
        <v>217500</v>
      </c>
      <c r="F174" s="3"/>
      <c r="G174" s="5">
        <v>270605442.35000002</v>
      </c>
    </row>
    <row r="175" spans="1:7" x14ac:dyDescent="0.25">
      <c r="A175" s="4">
        <v>45470</v>
      </c>
      <c r="B175" s="3" t="s">
        <v>58</v>
      </c>
      <c r="C175" s="3" t="s">
        <v>254</v>
      </c>
      <c r="D175" s="5"/>
      <c r="E175" s="5">
        <v>43500</v>
      </c>
      <c r="F175" s="3"/>
      <c r="G175" s="5">
        <v>270561942.35000002</v>
      </c>
    </row>
    <row r="176" spans="1:7" x14ac:dyDescent="0.25">
      <c r="A176" s="4">
        <v>45470</v>
      </c>
      <c r="B176" s="3" t="s">
        <v>58</v>
      </c>
      <c r="C176" s="3" t="s">
        <v>255</v>
      </c>
      <c r="D176" s="5"/>
      <c r="E176" s="5">
        <v>9374.65</v>
      </c>
      <c r="F176" s="3"/>
      <c r="G176" s="5">
        <v>270552567.69999999</v>
      </c>
    </row>
    <row r="177" spans="1:7" x14ac:dyDescent="0.25">
      <c r="A177" s="4">
        <v>45470</v>
      </c>
      <c r="B177" s="3" t="s">
        <v>58</v>
      </c>
      <c r="C177" s="3" t="s">
        <v>256</v>
      </c>
      <c r="D177" s="5"/>
      <c r="E177" s="5">
        <v>6249.95</v>
      </c>
      <c r="F177" s="3"/>
      <c r="G177" s="5">
        <v>270546317.75</v>
      </c>
    </row>
    <row r="178" spans="1:7" x14ac:dyDescent="0.25">
      <c r="A178" s="4">
        <v>45470</v>
      </c>
      <c r="B178" s="3" t="s">
        <v>58</v>
      </c>
      <c r="C178" s="3" t="s">
        <v>257</v>
      </c>
      <c r="D178" s="5"/>
      <c r="E178" s="5">
        <v>1249.95</v>
      </c>
      <c r="F178" s="3"/>
      <c r="G178" s="5">
        <v>270545067.80000001</v>
      </c>
    </row>
    <row r="179" spans="1:7" x14ac:dyDescent="0.25">
      <c r="A179" s="4">
        <v>45470</v>
      </c>
      <c r="B179" s="3" t="s">
        <v>58</v>
      </c>
      <c r="C179" s="3" t="s">
        <v>258</v>
      </c>
      <c r="D179" s="5"/>
      <c r="E179" s="5">
        <v>284416.74</v>
      </c>
      <c r="F179" s="3"/>
      <c r="G179" s="5">
        <v>270260651.06</v>
      </c>
    </row>
    <row r="180" spans="1:7" x14ac:dyDescent="0.25">
      <c r="A180" s="4">
        <v>45470</v>
      </c>
      <c r="B180" s="3" t="s">
        <v>58</v>
      </c>
      <c r="C180" s="3" t="s">
        <v>259</v>
      </c>
      <c r="D180" s="5"/>
      <c r="E180" s="5">
        <v>189611.16</v>
      </c>
      <c r="F180" s="3"/>
      <c r="G180" s="5">
        <v>270071039.89999998</v>
      </c>
    </row>
    <row r="181" spans="1:7" x14ac:dyDescent="0.25">
      <c r="A181" s="4">
        <v>45470</v>
      </c>
      <c r="B181" s="3" t="s">
        <v>58</v>
      </c>
      <c r="C181" s="3" t="s">
        <v>260</v>
      </c>
      <c r="D181" s="5"/>
      <c r="E181" s="5">
        <v>37922.230000000003</v>
      </c>
      <c r="F181" s="3"/>
      <c r="G181" s="5">
        <v>270033117.67000002</v>
      </c>
    </row>
    <row r="182" spans="1:7" x14ac:dyDescent="0.25">
      <c r="A182" s="4">
        <v>45470</v>
      </c>
      <c r="B182" s="3" t="s">
        <v>58</v>
      </c>
      <c r="C182" s="3" t="s">
        <v>261</v>
      </c>
      <c r="D182" s="5"/>
      <c r="E182" s="5">
        <v>334125</v>
      </c>
      <c r="F182" s="3"/>
      <c r="G182" s="5">
        <v>269698992.67000002</v>
      </c>
    </row>
    <row r="183" spans="1:7" x14ac:dyDescent="0.25">
      <c r="A183" s="4">
        <v>45470</v>
      </c>
      <c r="B183" s="3" t="s">
        <v>58</v>
      </c>
      <c r="C183" s="3" t="s">
        <v>262</v>
      </c>
      <c r="D183" s="5"/>
      <c r="E183" s="5">
        <v>222750</v>
      </c>
      <c r="F183" s="3"/>
      <c r="G183" s="5">
        <v>269476242.67000002</v>
      </c>
    </row>
    <row r="184" spans="1:7" x14ac:dyDescent="0.25">
      <c r="A184" s="4">
        <v>45470</v>
      </c>
      <c r="B184" s="3" t="s">
        <v>58</v>
      </c>
      <c r="C184" s="3" t="s">
        <v>263</v>
      </c>
      <c r="D184" s="5"/>
      <c r="E184" s="5">
        <v>44550</v>
      </c>
      <c r="F184" s="3"/>
      <c r="G184" s="5">
        <v>269431692.67000002</v>
      </c>
    </row>
    <row r="185" spans="1:7" x14ac:dyDescent="0.25">
      <c r="A185" s="4">
        <v>45470</v>
      </c>
      <c r="B185" s="3" t="s">
        <v>58</v>
      </c>
      <c r="C185" s="3" t="s">
        <v>264</v>
      </c>
      <c r="D185" s="5"/>
      <c r="E185" s="5">
        <v>2110813.9500000002</v>
      </c>
      <c r="F185" s="3"/>
      <c r="G185" s="5">
        <v>267320878.72</v>
      </c>
    </row>
    <row r="186" spans="1:7" x14ac:dyDescent="0.25">
      <c r="A186" s="4">
        <v>45470</v>
      </c>
      <c r="B186" s="3" t="s">
        <v>58</v>
      </c>
      <c r="C186" s="3" t="s">
        <v>265</v>
      </c>
      <c r="D186" s="5"/>
      <c r="E186" s="5">
        <v>2814418.61</v>
      </c>
      <c r="F186" s="3"/>
      <c r="G186" s="5">
        <v>264506460.11000001</v>
      </c>
    </row>
    <row r="187" spans="1:7" x14ac:dyDescent="0.25">
      <c r="A187" s="4">
        <v>45470</v>
      </c>
      <c r="B187" s="3" t="s">
        <v>58</v>
      </c>
      <c r="C187" s="3" t="s">
        <v>266</v>
      </c>
      <c r="D187" s="5"/>
      <c r="E187" s="5">
        <v>281441.86</v>
      </c>
      <c r="F187" s="3"/>
      <c r="G187" s="5">
        <v>264225018.25</v>
      </c>
    </row>
    <row r="188" spans="1:7" x14ac:dyDescent="0.25">
      <c r="A188" s="4">
        <v>45470</v>
      </c>
      <c r="B188" s="3" t="s">
        <v>27</v>
      </c>
      <c r="C188" s="3" t="s">
        <v>267</v>
      </c>
      <c r="D188" s="5"/>
      <c r="E188" s="5">
        <v>250000</v>
      </c>
      <c r="F188" s="3"/>
      <c r="G188" s="5">
        <v>263975018.25</v>
      </c>
    </row>
    <row r="189" spans="1:7" x14ac:dyDescent="0.25">
      <c r="A189" s="4">
        <v>45470</v>
      </c>
      <c r="B189" s="3" t="s">
        <v>74</v>
      </c>
      <c r="C189" s="3" t="s">
        <v>268</v>
      </c>
      <c r="D189" s="5"/>
      <c r="E189" s="5">
        <v>250000</v>
      </c>
      <c r="F189" s="3"/>
      <c r="G189" s="5">
        <v>263725018.25</v>
      </c>
    </row>
    <row r="190" spans="1:7" x14ac:dyDescent="0.25">
      <c r="A190" s="4">
        <v>45470</v>
      </c>
      <c r="B190" s="3" t="s">
        <v>49</v>
      </c>
      <c r="C190" s="3" t="s">
        <v>269</v>
      </c>
      <c r="D190" s="5"/>
      <c r="E190" s="5">
        <v>400000</v>
      </c>
      <c r="F190" s="3"/>
      <c r="G190" s="5">
        <v>263325018.25</v>
      </c>
    </row>
    <row r="191" spans="1:7" x14ac:dyDescent="0.25">
      <c r="A191" s="4">
        <v>45470</v>
      </c>
      <c r="B191" s="3" t="s">
        <v>49</v>
      </c>
      <c r="C191" s="3" t="s">
        <v>270</v>
      </c>
      <c r="D191" s="5"/>
      <c r="E191" s="5">
        <v>97198.62</v>
      </c>
      <c r="F191" s="3"/>
      <c r="G191" s="5">
        <v>263227819.63</v>
      </c>
    </row>
    <row r="192" spans="1:7" x14ac:dyDescent="0.25">
      <c r="A192" s="4">
        <v>45470</v>
      </c>
      <c r="B192" s="3" t="s">
        <v>75</v>
      </c>
      <c r="C192" s="3" t="s">
        <v>271</v>
      </c>
      <c r="D192" s="5"/>
      <c r="E192" s="5">
        <v>1386000</v>
      </c>
      <c r="F192" s="3"/>
      <c r="G192" s="5">
        <v>261841819.63</v>
      </c>
    </row>
    <row r="193" spans="1:7" x14ac:dyDescent="0.25">
      <c r="A193" s="4">
        <v>45470</v>
      </c>
      <c r="B193" s="3" t="s">
        <v>76</v>
      </c>
      <c r="C193" s="3" t="s">
        <v>272</v>
      </c>
      <c r="D193" s="5"/>
      <c r="E193" s="5">
        <v>590000</v>
      </c>
      <c r="F193" s="3"/>
      <c r="G193" s="5">
        <v>261251819.63</v>
      </c>
    </row>
    <row r="194" spans="1:7" x14ac:dyDescent="0.25">
      <c r="A194" s="4">
        <v>45470</v>
      </c>
      <c r="B194" s="3" t="s">
        <v>77</v>
      </c>
      <c r="C194" s="3" t="s">
        <v>273</v>
      </c>
      <c r="D194" s="5"/>
      <c r="E194" s="5">
        <v>275150</v>
      </c>
      <c r="F194" s="3"/>
      <c r="G194" s="5">
        <v>260976669.63</v>
      </c>
    </row>
    <row r="195" spans="1:7" x14ac:dyDescent="0.25">
      <c r="A195" s="4">
        <v>45470</v>
      </c>
      <c r="B195" s="3" t="s">
        <v>78</v>
      </c>
      <c r="C195" s="3" t="s">
        <v>274</v>
      </c>
      <c r="D195" s="5"/>
      <c r="E195" s="5">
        <v>1000000</v>
      </c>
      <c r="F195" s="3"/>
      <c r="G195" s="5">
        <v>259976669.63</v>
      </c>
    </row>
    <row r="196" spans="1:7" x14ac:dyDescent="0.25">
      <c r="A196" s="4">
        <v>45470</v>
      </c>
      <c r="B196" s="3" t="s">
        <v>31</v>
      </c>
      <c r="C196" s="3" t="s">
        <v>275</v>
      </c>
      <c r="D196" s="5"/>
      <c r="E196" s="5">
        <v>960900</v>
      </c>
      <c r="F196" s="3"/>
      <c r="G196" s="5">
        <v>259015769.63</v>
      </c>
    </row>
    <row r="197" spans="1:7" x14ac:dyDescent="0.25">
      <c r="A197" s="4">
        <v>45470</v>
      </c>
      <c r="B197" s="3" t="s">
        <v>31</v>
      </c>
      <c r="C197" s="3" t="s">
        <v>276</v>
      </c>
      <c r="D197" s="5"/>
      <c r="E197" s="5">
        <v>951500</v>
      </c>
      <c r="F197" s="3"/>
      <c r="G197" s="5">
        <v>258064269.63</v>
      </c>
    </row>
    <row r="198" spans="1:7" x14ac:dyDescent="0.25">
      <c r="A198" s="4">
        <v>45470</v>
      </c>
      <c r="B198" s="3" t="s">
        <v>37</v>
      </c>
      <c r="C198" s="3" t="s">
        <v>277</v>
      </c>
      <c r="D198" s="5"/>
      <c r="E198" s="5">
        <v>885094.34</v>
      </c>
      <c r="F198" s="3"/>
      <c r="G198" s="5">
        <v>257179175.28999999</v>
      </c>
    </row>
    <row r="199" spans="1:7" x14ac:dyDescent="0.25">
      <c r="A199" s="4">
        <v>45470</v>
      </c>
      <c r="B199" s="3" t="s">
        <v>27</v>
      </c>
      <c r="C199" s="3" t="s">
        <v>278</v>
      </c>
      <c r="D199" s="5"/>
      <c r="E199" s="5">
        <v>3840000</v>
      </c>
      <c r="F199" s="3"/>
      <c r="G199" s="5">
        <v>253339175.28999999</v>
      </c>
    </row>
    <row r="200" spans="1:7" x14ac:dyDescent="0.25">
      <c r="A200" s="4">
        <v>45470</v>
      </c>
      <c r="B200" s="3" t="s">
        <v>79</v>
      </c>
      <c r="C200" s="3" t="s">
        <v>279</v>
      </c>
      <c r="D200" s="5"/>
      <c r="E200" s="5">
        <v>1996538.58</v>
      </c>
      <c r="F200" s="3"/>
      <c r="G200" s="5">
        <v>251342636.71000001</v>
      </c>
    </row>
    <row r="201" spans="1:7" x14ac:dyDescent="0.25">
      <c r="A201" s="4">
        <v>45470</v>
      </c>
      <c r="B201" s="3" t="s">
        <v>80</v>
      </c>
      <c r="C201" s="3" t="s">
        <v>280</v>
      </c>
      <c r="D201" s="5"/>
      <c r="E201" s="5">
        <v>376000</v>
      </c>
      <c r="F201" s="3"/>
      <c r="G201" s="5">
        <v>250966636.71000001</v>
      </c>
    </row>
    <row r="202" spans="1:7" x14ac:dyDescent="0.25">
      <c r="A202" s="4">
        <v>45470</v>
      </c>
      <c r="B202" s="3" t="s">
        <v>74</v>
      </c>
      <c r="C202" s="3" t="s">
        <v>281</v>
      </c>
      <c r="D202" s="5"/>
      <c r="E202" s="5">
        <v>200000</v>
      </c>
      <c r="F202" s="3"/>
      <c r="G202" s="5">
        <v>250766636.71000001</v>
      </c>
    </row>
    <row r="203" spans="1:7" x14ac:dyDescent="0.25">
      <c r="A203" s="4">
        <v>45470</v>
      </c>
      <c r="B203" s="3" t="s">
        <v>55</v>
      </c>
      <c r="C203" s="3" t="s">
        <v>282</v>
      </c>
      <c r="D203" s="5"/>
      <c r="E203" s="5">
        <v>150000</v>
      </c>
      <c r="F203" s="3"/>
      <c r="G203" s="5">
        <v>250616636.71000001</v>
      </c>
    </row>
    <row r="204" spans="1:7" x14ac:dyDescent="0.25">
      <c r="A204" s="4">
        <v>45470</v>
      </c>
      <c r="B204" s="3" t="s">
        <v>55</v>
      </c>
      <c r="C204" s="3" t="s">
        <v>283</v>
      </c>
      <c r="D204" s="5"/>
      <c r="E204" s="5">
        <v>300000</v>
      </c>
      <c r="F204" s="3"/>
      <c r="G204" s="5">
        <v>250316636.71000001</v>
      </c>
    </row>
    <row r="205" spans="1:7" x14ac:dyDescent="0.25">
      <c r="A205" s="4">
        <v>45470</v>
      </c>
      <c r="B205" s="3" t="s">
        <v>27</v>
      </c>
      <c r="C205" s="3" t="s">
        <v>284</v>
      </c>
      <c r="D205" s="5"/>
      <c r="E205" s="5">
        <v>160000</v>
      </c>
      <c r="F205" s="3"/>
      <c r="G205" s="5">
        <v>250156636.71000001</v>
      </c>
    </row>
    <row r="206" spans="1:7" x14ac:dyDescent="0.25">
      <c r="A206" s="4">
        <v>45470</v>
      </c>
      <c r="B206" s="3" t="s">
        <v>27</v>
      </c>
      <c r="C206" s="3" t="s">
        <v>285</v>
      </c>
      <c r="D206" s="5"/>
      <c r="E206" s="5">
        <v>500000</v>
      </c>
      <c r="F206" s="3"/>
      <c r="G206" s="5">
        <v>249656636.71000001</v>
      </c>
    </row>
    <row r="207" spans="1:7" x14ac:dyDescent="0.25">
      <c r="A207" s="4">
        <v>45470</v>
      </c>
      <c r="B207" s="3" t="s">
        <v>46</v>
      </c>
      <c r="C207" s="3" t="s">
        <v>286</v>
      </c>
      <c r="D207" s="5"/>
      <c r="E207" s="5">
        <v>612093.02</v>
      </c>
      <c r="F207" s="3"/>
      <c r="G207" s="5">
        <v>249044543.69</v>
      </c>
    </row>
    <row r="208" spans="1:7" x14ac:dyDescent="0.25">
      <c r="A208" s="4">
        <v>45470</v>
      </c>
      <c r="B208" s="3" t="s">
        <v>27</v>
      </c>
      <c r="C208" s="3" t="s">
        <v>287</v>
      </c>
      <c r="D208" s="5"/>
      <c r="E208" s="5">
        <v>2850000</v>
      </c>
      <c r="F208" s="3"/>
      <c r="G208" s="5">
        <v>246194543.69</v>
      </c>
    </row>
    <row r="209" spans="1:7" x14ac:dyDescent="0.25">
      <c r="A209" s="4">
        <v>45470</v>
      </c>
      <c r="B209" s="3" t="s">
        <v>27</v>
      </c>
      <c r="C209" s="3" t="s">
        <v>288</v>
      </c>
      <c r="D209" s="5"/>
      <c r="E209" s="5">
        <v>704854.62</v>
      </c>
      <c r="F209" s="3"/>
      <c r="G209" s="5">
        <v>245489689.06999999</v>
      </c>
    </row>
    <row r="210" spans="1:7" x14ac:dyDescent="0.25">
      <c r="A210" s="4">
        <v>45470</v>
      </c>
      <c r="B210" s="3" t="s">
        <v>50</v>
      </c>
      <c r="C210" s="3" t="s">
        <v>289</v>
      </c>
      <c r="D210" s="5"/>
      <c r="E210" s="5">
        <v>250000</v>
      </c>
      <c r="F210" s="3"/>
      <c r="G210" s="5">
        <v>245239689.06999999</v>
      </c>
    </row>
    <row r="211" spans="1:7" x14ac:dyDescent="0.25">
      <c r="A211" s="4">
        <v>45470</v>
      </c>
      <c r="B211" s="3" t="s">
        <v>56</v>
      </c>
      <c r="C211" s="3" t="s">
        <v>290</v>
      </c>
      <c r="D211" s="5"/>
      <c r="E211" s="5">
        <v>250000</v>
      </c>
      <c r="F211" s="3"/>
      <c r="G211" s="5">
        <v>244989689.06999999</v>
      </c>
    </row>
    <row r="212" spans="1:7" x14ac:dyDescent="0.25">
      <c r="A212" s="4">
        <v>45470</v>
      </c>
      <c r="B212" s="3" t="s">
        <v>49</v>
      </c>
      <c r="C212" s="3" t="s">
        <v>291</v>
      </c>
      <c r="D212" s="5"/>
      <c r="E212" s="5">
        <v>250000</v>
      </c>
      <c r="F212" s="3"/>
      <c r="G212" s="5">
        <v>244739689.06999999</v>
      </c>
    </row>
    <row r="213" spans="1:7" x14ac:dyDescent="0.25">
      <c r="A213" s="4">
        <v>45470</v>
      </c>
      <c r="B213" s="3"/>
      <c r="C213" s="3" t="s">
        <v>292</v>
      </c>
      <c r="D213" s="5">
        <v>496413177</v>
      </c>
      <c r="E213" s="5"/>
      <c r="F213" s="3"/>
      <c r="G213" s="5">
        <v>741152866.07000005</v>
      </c>
    </row>
    <row r="214" spans="1:7" x14ac:dyDescent="0.25">
      <c r="A214" s="4">
        <v>45471</v>
      </c>
      <c r="B214" s="3" t="s">
        <v>81</v>
      </c>
      <c r="C214" s="3" t="s">
        <v>293</v>
      </c>
      <c r="D214" s="5"/>
      <c r="E214" s="5">
        <v>150000</v>
      </c>
      <c r="F214" s="3"/>
      <c r="G214" s="5">
        <v>741002866.07000005</v>
      </c>
    </row>
    <row r="215" spans="1:7" x14ac:dyDescent="0.25">
      <c r="A215" s="4">
        <v>45471</v>
      </c>
      <c r="B215" s="3" t="s">
        <v>82</v>
      </c>
      <c r="C215" s="3" t="s">
        <v>294</v>
      </c>
      <c r="D215" s="5"/>
      <c r="E215" s="5">
        <v>5664000</v>
      </c>
      <c r="F215" s="3"/>
      <c r="G215" s="5">
        <v>735338866.07000005</v>
      </c>
    </row>
    <row r="216" spans="1:7" x14ac:dyDescent="0.25">
      <c r="A216" s="4">
        <v>45471</v>
      </c>
      <c r="B216" s="3" t="s">
        <v>25</v>
      </c>
      <c r="C216" s="3" t="s">
        <v>295</v>
      </c>
      <c r="D216" s="5"/>
      <c r="E216" s="5">
        <v>6337652</v>
      </c>
      <c r="F216" s="3"/>
      <c r="G216" s="5">
        <v>729001214.07000005</v>
      </c>
    </row>
    <row r="217" spans="1:7" x14ac:dyDescent="0.25">
      <c r="A217" s="4">
        <v>45471</v>
      </c>
      <c r="B217" s="3" t="s">
        <v>83</v>
      </c>
      <c r="C217" s="3" t="s">
        <v>296</v>
      </c>
      <c r="D217" s="5"/>
      <c r="E217" s="5">
        <v>10080000</v>
      </c>
      <c r="F217" s="3"/>
      <c r="G217" s="5">
        <v>718921214.07000005</v>
      </c>
    </row>
    <row r="218" spans="1:7" x14ac:dyDescent="0.25">
      <c r="A218" s="4">
        <v>45471</v>
      </c>
      <c r="B218" s="3" t="s">
        <v>84</v>
      </c>
      <c r="C218" s="3" t="s">
        <v>297</v>
      </c>
      <c r="D218" s="5"/>
      <c r="E218" s="5">
        <v>6300000</v>
      </c>
      <c r="F218" s="3"/>
      <c r="G218" s="5">
        <v>712621214.07000005</v>
      </c>
    </row>
    <row r="219" spans="1:7" x14ac:dyDescent="0.25">
      <c r="A219" s="4">
        <v>45471</v>
      </c>
      <c r="B219" s="3" t="s">
        <v>85</v>
      </c>
      <c r="C219" s="3" t="s">
        <v>298</v>
      </c>
      <c r="D219" s="5"/>
      <c r="E219" s="5">
        <v>25048325.579999998</v>
      </c>
      <c r="F219" s="3"/>
      <c r="G219" s="5">
        <v>687572888.49000001</v>
      </c>
    </row>
    <row r="220" spans="1:7" x14ac:dyDescent="0.25">
      <c r="A220" s="4">
        <v>45471</v>
      </c>
      <c r="B220" s="3" t="s">
        <v>86</v>
      </c>
      <c r="C220" s="3" t="s">
        <v>299</v>
      </c>
      <c r="D220" s="5"/>
      <c r="E220" s="5">
        <v>1915250</v>
      </c>
      <c r="F220" s="3"/>
      <c r="G220" s="5">
        <v>685657638.49000001</v>
      </c>
    </row>
    <row r="221" spans="1:7" x14ac:dyDescent="0.25">
      <c r="A221" s="4">
        <v>45471</v>
      </c>
      <c r="B221" s="3" t="s">
        <v>26</v>
      </c>
      <c r="C221" s="3" t="s">
        <v>300</v>
      </c>
      <c r="D221" s="5"/>
      <c r="E221" s="5">
        <v>47955600</v>
      </c>
      <c r="F221" s="3"/>
      <c r="G221" s="5">
        <v>637702038.49000001</v>
      </c>
    </row>
    <row r="222" spans="1:7" x14ac:dyDescent="0.25">
      <c r="A222" s="4">
        <v>45471</v>
      </c>
      <c r="B222" s="3" t="s">
        <v>87</v>
      </c>
      <c r="C222" s="3" t="s">
        <v>301</v>
      </c>
      <c r="D222" s="5"/>
      <c r="E222" s="5">
        <v>263165.02</v>
      </c>
      <c r="F222" s="3"/>
      <c r="G222" s="5">
        <v>637438873.47000003</v>
      </c>
    </row>
    <row r="223" spans="1:7" x14ac:dyDescent="0.25">
      <c r="A223" s="4">
        <v>45471</v>
      </c>
      <c r="B223" s="3" t="s">
        <v>61</v>
      </c>
      <c r="C223" s="3" t="s">
        <v>302</v>
      </c>
      <c r="D223" s="5"/>
      <c r="E223" s="5">
        <v>775000</v>
      </c>
      <c r="F223" s="3"/>
      <c r="G223" s="5">
        <v>636663873.47000003</v>
      </c>
    </row>
    <row r="224" spans="1:7" x14ac:dyDescent="0.25">
      <c r="A224" s="4">
        <v>45471</v>
      </c>
      <c r="B224" s="3" t="s">
        <v>88</v>
      </c>
      <c r="C224" s="3" t="s">
        <v>302</v>
      </c>
      <c r="D224" s="5"/>
      <c r="E224" s="5">
        <v>4732708.5</v>
      </c>
      <c r="F224" s="3"/>
      <c r="G224" s="5">
        <v>631931164.97000003</v>
      </c>
    </row>
    <row r="225" spans="1:7" x14ac:dyDescent="0.25">
      <c r="A225" s="4">
        <v>45471</v>
      </c>
      <c r="B225" s="3" t="s">
        <v>89</v>
      </c>
      <c r="C225" s="3" t="s">
        <v>303</v>
      </c>
      <c r="D225" s="5"/>
      <c r="E225" s="5">
        <v>293938.87</v>
      </c>
      <c r="F225" s="3"/>
      <c r="G225" s="5">
        <v>631637226.10000002</v>
      </c>
    </row>
    <row r="226" spans="1:7" x14ac:dyDescent="0.25">
      <c r="A226" s="4">
        <v>45471</v>
      </c>
      <c r="B226" s="3" t="s">
        <v>15</v>
      </c>
      <c r="C226" s="3" t="s">
        <v>304</v>
      </c>
      <c r="D226" s="5"/>
      <c r="E226" s="5">
        <v>570000</v>
      </c>
      <c r="F226" s="3"/>
      <c r="G226" s="5">
        <v>631067226.10000002</v>
      </c>
    </row>
    <row r="227" spans="1:7" x14ac:dyDescent="0.25">
      <c r="A227" s="4">
        <v>45471</v>
      </c>
      <c r="B227" s="3" t="s">
        <v>22</v>
      </c>
      <c r="C227" s="3" t="s">
        <v>305</v>
      </c>
      <c r="D227" s="5"/>
      <c r="E227" s="5">
        <v>190000</v>
      </c>
      <c r="F227" s="3"/>
      <c r="G227" s="5">
        <v>630877226.10000002</v>
      </c>
    </row>
    <row r="228" spans="1:7" x14ac:dyDescent="0.25">
      <c r="A228" s="4">
        <v>45471</v>
      </c>
      <c r="B228" s="3" t="s">
        <v>90</v>
      </c>
      <c r="C228" s="3" t="s">
        <v>306</v>
      </c>
      <c r="D228" s="5"/>
      <c r="E228" s="5">
        <v>1578714.63</v>
      </c>
      <c r="F228" s="3"/>
      <c r="G228" s="5">
        <v>629298511.47000003</v>
      </c>
    </row>
    <row r="229" spans="1:7" x14ac:dyDescent="0.25">
      <c r="A229" s="4">
        <v>45471</v>
      </c>
      <c r="B229" s="3" t="s">
        <v>91</v>
      </c>
      <c r="C229" s="3" t="s">
        <v>302</v>
      </c>
      <c r="D229" s="5"/>
      <c r="E229" s="5">
        <v>1315544.19</v>
      </c>
      <c r="F229" s="3"/>
      <c r="G229" s="5">
        <v>627982967.27999997</v>
      </c>
    </row>
    <row r="230" spans="1:7" x14ac:dyDescent="0.25">
      <c r="A230" s="4">
        <v>45471</v>
      </c>
      <c r="B230" s="3" t="s">
        <v>58</v>
      </c>
      <c r="C230" s="3" t="s">
        <v>307</v>
      </c>
      <c r="D230" s="5"/>
      <c r="E230" s="5">
        <v>479651.16</v>
      </c>
      <c r="F230" s="3"/>
      <c r="G230" s="5">
        <v>627503316.12</v>
      </c>
    </row>
    <row r="231" spans="1:7" x14ac:dyDescent="0.25">
      <c r="A231" s="4">
        <v>45471</v>
      </c>
      <c r="B231" s="3" t="s">
        <v>58</v>
      </c>
      <c r="C231" s="3" t="s">
        <v>308</v>
      </c>
      <c r="D231" s="5"/>
      <c r="E231" s="5">
        <v>319767.44</v>
      </c>
      <c r="F231" s="3"/>
      <c r="G231" s="5">
        <v>627183548.67999995</v>
      </c>
    </row>
    <row r="232" spans="1:7" x14ac:dyDescent="0.25">
      <c r="A232" s="4">
        <v>45471</v>
      </c>
      <c r="B232" s="3" t="s">
        <v>58</v>
      </c>
      <c r="C232" s="3" t="s">
        <v>309</v>
      </c>
      <c r="D232" s="5"/>
      <c r="E232" s="5">
        <v>63953.49</v>
      </c>
      <c r="F232" s="3"/>
      <c r="G232" s="5">
        <v>627119595.19000006</v>
      </c>
    </row>
    <row r="233" spans="1:7" x14ac:dyDescent="0.25">
      <c r="A233" s="4">
        <v>45471</v>
      </c>
      <c r="B233" s="3" t="s">
        <v>58</v>
      </c>
      <c r="C233" s="3" t="s">
        <v>310</v>
      </c>
      <c r="D233" s="5"/>
      <c r="E233" s="5">
        <v>178125</v>
      </c>
      <c r="F233" s="3"/>
      <c r="G233" s="5">
        <v>626941470.19000006</v>
      </c>
    </row>
    <row r="234" spans="1:7" x14ac:dyDescent="0.25">
      <c r="A234" s="4">
        <v>45471</v>
      </c>
      <c r="B234" s="3" t="s">
        <v>58</v>
      </c>
      <c r="C234" s="3" t="s">
        <v>311</v>
      </c>
      <c r="D234" s="5"/>
      <c r="E234" s="5">
        <v>118750</v>
      </c>
      <c r="F234" s="3"/>
      <c r="G234" s="5">
        <v>626822720.19000006</v>
      </c>
    </row>
    <row r="235" spans="1:7" x14ac:dyDescent="0.25">
      <c r="A235" s="4">
        <v>45471</v>
      </c>
      <c r="B235" s="3" t="s">
        <v>58</v>
      </c>
      <c r="C235" s="3" t="s">
        <v>312</v>
      </c>
      <c r="D235" s="5"/>
      <c r="E235" s="5">
        <v>23750</v>
      </c>
      <c r="F235" s="3"/>
      <c r="G235" s="5">
        <v>626798970.19000006</v>
      </c>
    </row>
    <row r="236" spans="1:7" x14ac:dyDescent="0.25">
      <c r="A236" s="4">
        <v>45471</v>
      </c>
      <c r="B236" s="3" t="s">
        <v>58</v>
      </c>
      <c r="C236" s="3" t="s">
        <v>313</v>
      </c>
      <c r="D236" s="5"/>
      <c r="E236" s="5">
        <v>74662.5</v>
      </c>
      <c r="F236" s="3"/>
      <c r="G236" s="5">
        <v>626724307.69000006</v>
      </c>
    </row>
    <row r="237" spans="1:7" x14ac:dyDescent="0.25">
      <c r="A237" s="4">
        <v>45471</v>
      </c>
      <c r="B237" s="3" t="s">
        <v>58</v>
      </c>
      <c r="C237" s="3" t="s">
        <v>314</v>
      </c>
      <c r="D237" s="5"/>
      <c r="E237" s="5">
        <v>49775</v>
      </c>
      <c r="F237" s="3"/>
      <c r="G237" s="5">
        <v>626674532.69000006</v>
      </c>
    </row>
    <row r="238" spans="1:7" x14ac:dyDescent="0.25">
      <c r="A238" s="4">
        <v>45471</v>
      </c>
      <c r="B238" s="3" t="s">
        <v>58</v>
      </c>
      <c r="C238" s="3" t="s">
        <v>315</v>
      </c>
      <c r="D238" s="5"/>
      <c r="E238" s="5">
        <v>9955</v>
      </c>
      <c r="F238" s="3"/>
      <c r="G238" s="5">
        <v>626664577.69000006</v>
      </c>
    </row>
    <row r="239" spans="1:7" x14ac:dyDescent="0.25">
      <c r="A239" s="4">
        <v>45471</v>
      </c>
      <c r="B239" s="3" t="s">
        <v>58</v>
      </c>
      <c r="C239" s="3" t="s">
        <v>316</v>
      </c>
      <c r="D239" s="5"/>
      <c r="E239" s="5">
        <v>176250</v>
      </c>
      <c r="F239" s="3"/>
      <c r="G239" s="5">
        <v>626488327.69000006</v>
      </c>
    </row>
    <row r="240" spans="1:7" x14ac:dyDescent="0.25">
      <c r="A240" s="4">
        <v>45471</v>
      </c>
      <c r="B240" s="3" t="s">
        <v>58</v>
      </c>
      <c r="C240" s="3" t="s">
        <v>317</v>
      </c>
      <c r="D240" s="5"/>
      <c r="E240" s="5">
        <v>235000</v>
      </c>
      <c r="F240" s="3"/>
      <c r="G240" s="5">
        <v>626253327.69000006</v>
      </c>
    </row>
    <row r="241" spans="1:7" x14ac:dyDescent="0.25">
      <c r="A241" s="4">
        <v>45471</v>
      </c>
      <c r="B241" s="3" t="s">
        <v>58</v>
      </c>
      <c r="C241" s="3" t="s">
        <v>318</v>
      </c>
      <c r="D241" s="5"/>
      <c r="E241" s="5">
        <v>23500</v>
      </c>
      <c r="F241" s="3"/>
      <c r="G241" s="5">
        <v>626229827.69000006</v>
      </c>
    </row>
    <row r="242" spans="1:7" x14ac:dyDescent="0.25">
      <c r="A242" s="4">
        <v>45471</v>
      </c>
      <c r="B242" s="3" t="s">
        <v>58</v>
      </c>
      <c r="C242" s="3" t="s">
        <v>319</v>
      </c>
      <c r="D242" s="5"/>
      <c r="E242" s="5">
        <v>264750</v>
      </c>
      <c r="F242" s="3"/>
      <c r="G242" s="5">
        <v>625965077.69000006</v>
      </c>
    </row>
    <row r="243" spans="1:7" x14ac:dyDescent="0.25">
      <c r="A243" s="4">
        <v>45471</v>
      </c>
      <c r="B243" s="3" t="s">
        <v>58</v>
      </c>
      <c r="C243" s="3" t="s">
        <v>320</v>
      </c>
      <c r="D243" s="5"/>
      <c r="E243" s="5">
        <v>353000</v>
      </c>
      <c r="F243" s="3"/>
      <c r="G243" s="5">
        <v>625612077.69000006</v>
      </c>
    </row>
    <row r="244" spans="1:7" x14ac:dyDescent="0.25">
      <c r="A244" s="4">
        <v>45471</v>
      </c>
      <c r="B244" s="3" t="s">
        <v>58</v>
      </c>
      <c r="C244" s="3" t="s">
        <v>321</v>
      </c>
      <c r="D244" s="5"/>
      <c r="E244" s="5">
        <v>35300</v>
      </c>
      <c r="F244" s="3"/>
      <c r="G244" s="5">
        <v>625576777.69000006</v>
      </c>
    </row>
    <row r="245" spans="1:7" x14ac:dyDescent="0.25">
      <c r="A245" s="4">
        <v>45471</v>
      </c>
      <c r="B245" s="3" t="s">
        <v>58</v>
      </c>
      <c r="C245" s="3" t="s">
        <v>322</v>
      </c>
      <c r="D245" s="5"/>
      <c r="E245" s="5">
        <v>72558.14</v>
      </c>
      <c r="F245" s="3"/>
      <c r="G245" s="5">
        <v>625504219.54999995</v>
      </c>
    </row>
    <row r="246" spans="1:7" x14ac:dyDescent="0.25">
      <c r="A246" s="4">
        <v>45471</v>
      </c>
      <c r="B246" s="3" t="s">
        <v>58</v>
      </c>
      <c r="C246" s="3" t="s">
        <v>323</v>
      </c>
      <c r="D246" s="5"/>
      <c r="E246" s="5">
        <v>96744.19</v>
      </c>
      <c r="F246" s="3"/>
      <c r="G246" s="5">
        <v>625407475.36000001</v>
      </c>
    </row>
    <row r="247" spans="1:7" x14ac:dyDescent="0.25">
      <c r="A247" s="4">
        <v>45471</v>
      </c>
      <c r="B247" s="3" t="s">
        <v>58</v>
      </c>
      <c r="C247" s="3" t="s">
        <v>324</v>
      </c>
      <c r="D247" s="5"/>
      <c r="E247" s="5">
        <v>9674.42</v>
      </c>
      <c r="F247" s="3"/>
      <c r="G247" s="5">
        <v>625397800.94000006</v>
      </c>
    </row>
    <row r="248" spans="1:7" x14ac:dyDescent="0.25">
      <c r="A248" s="4">
        <v>45471</v>
      </c>
      <c r="B248" s="3" t="s">
        <v>58</v>
      </c>
      <c r="C248" s="3" t="s">
        <v>325</v>
      </c>
      <c r="D248" s="5"/>
      <c r="E248" s="5">
        <v>127907.23</v>
      </c>
      <c r="F248" s="3"/>
      <c r="G248" s="5">
        <v>625269893.71000004</v>
      </c>
    </row>
    <row r="249" spans="1:7" x14ac:dyDescent="0.25">
      <c r="A249" s="4">
        <v>45471</v>
      </c>
      <c r="B249" s="3" t="s">
        <v>58</v>
      </c>
      <c r="C249" s="3" t="s">
        <v>326</v>
      </c>
      <c r="D249" s="5"/>
      <c r="E249" s="5">
        <v>85271.49</v>
      </c>
      <c r="F249" s="3"/>
      <c r="G249" s="5">
        <v>625184622.22000003</v>
      </c>
    </row>
    <row r="250" spans="1:7" ht="15.75" thickBot="1" x14ac:dyDescent="0.3">
      <c r="A250" s="4">
        <v>45471</v>
      </c>
      <c r="B250" s="3" t="s">
        <v>58</v>
      </c>
      <c r="C250" s="3" t="s">
        <v>327</v>
      </c>
      <c r="D250" s="6"/>
      <c r="E250" s="6">
        <v>17054.3</v>
      </c>
      <c r="F250" s="3"/>
      <c r="G250" s="6">
        <v>625167567.91999996</v>
      </c>
    </row>
    <row r="251" spans="1:7" ht="15.75" thickBot="1" x14ac:dyDescent="0.3">
      <c r="A251" s="3" t="s">
        <v>9</v>
      </c>
      <c r="B251" s="3"/>
      <c r="D251" s="7">
        <f>ROUND(SUM(D4:D250),5)</f>
        <v>1136700720.54</v>
      </c>
      <c r="E251" s="7">
        <f>ROUND(SUM(E4:E250),5)</f>
        <v>553048248.88</v>
      </c>
      <c r="F251" s="3"/>
      <c r="G251" s="7">
        <f>G250</f>
        <v>625167567.91999996</v>
      </c>
    </row>
    <row r="252" spans="1:7" ht="15.75" thickBot="1" x14ac:dyDescent="0.3">
      <c r="A252" s="3" t="s">
        <v>10</v>
      </c>
      <c r="C252" s="3"/>
      <c r="D252" s="7">
        <f>D251</f>
        <v>1136700720.54</v>
      </c>
      <c r="E252" s="7">
        <f>E251</f>
        <v>553048248.88</v>
      </c>
      <c r="F252" s="3"/>
      <c r="G252" s="7">
        <f>G251</f>
        <v>625167567.91999996</v>
      </c>
    </row>
    <row r="253" spans="1:7" ht="15.75" thickBot="1" x14ac:dyDescent="0.3">
      <c r="A253" s="3" t="s">
        <v>11</v>
      </c>
      <c r="B253" s="3"/>
      <c r="C253" s="3"/>
      <c r="D253" s="7">
        <f>D252</f>
        <v>1136700720.54</v>
      </c>
      <c r="E253" s="7">
        <f>E252</f>
        <v>553048248.88</v>
      </c>
      <c r="F253" s="3"/>
      <c r="G253" s="7">
        <f>G252</f>
        <v>625167567.91999996</v>
      </c>
    </row>
    <row r="254" spans="1:7" s="9" customFormat="1" ht="12" thickBot="1" x14ac:dyDescent="0.25">
      <c r="A254" s="1" t="s">
        <v>12</v>
      </c>
      <c r="B254" s="1"/>
      <c r="C254" s="1"/>
      <c r="D254" s="8">
        <f>D253</f>
        <v>1136700720.54</v>
      </c>
      <c r="E254" s="8">
        <f>E253</f>
        <v>553048248.88</v>
      </c>
      <c r="F254" s="1"/>
      <c r="G254" s="8">
        <f>G253</f>
        <v>625167567.91999996</v>
      </c>
    </row>
    <row r="255" spans="1:7" ht="15.75" thickTop="1" x14ac:dyDescent="0.25"/>
  </sheetData>
  <pageMargins left="0.7" right="0.7" top="0.75" bottom="0.75" header="0.1" footer="0.3"/>
  <pageSetup orientation="portrait" r:id="rId1"/>
  <headerFooter>
    <oddHeader>&amp;L&amp;"Arial,Bold"&amp;8 4:03 AM
&amp;"Arial,Bold"&amp;8 07/24/24
&amp;"Arial,Bold"&amp;8 Accrual Basis&amp;C&amp;"Arial,Bold"&amp;12 NATIONAL INSTITUTE FOR LEGISLATIVE STUDIES
&amp;"Arial,Bold"&amp;14 Account QuickReport
&amp;"Arial,Bold"&amp;10 As of June 30, 2024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333375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333375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QuickBooks Desktop Export Tips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TONDO</dc:creator>
  <cp:lastModifiedBy>TONDO</cp:lastModifiedBy>
  <dcterms:created xsi:type="dcterms:W3CDTF">2024-07-24T19:03:21Z</dcterms:created>
  <dcterms:modified xsi:type="dcterms:W3CDTF">2024-07-24T19:50:52Z</dcterms:modified>
</cp:coreProperties>
</file>