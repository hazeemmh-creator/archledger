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8_{32AAE800-34F4-4029-A671-2E4BDC44498A}" xr6:coauthVersionLast="47" xr6:coauthVersionMax="47" xr10:uidLastSave="{00000000-0000-0000-0000-000000000000}"/>
  <bookViews>
    <workbookView xWindow="2010" yWindow="210" windowWidth="26790" windowHeight="15255" xr2:uid="{96764AA3-2BE3-458E-96BE-CC0DAC9B41D3}"/>
  </bookViews>
  <sheets>
    <sheet name="April 2013" sheetId="1" r:id="rId1"/>
    <sheet name="MEMO" sheetId="3" r:id="rId2"/>
    <sheet name="17.7" sheetId="4" r:id="rId3"/>
    <sheet name="16.7" sheetId="5" r:id="rId4"/>
    <sheet name="15.9" sheetId="6" r:id="rId5"/>
    <sheet name="13.7" sheetId="7" r:id="rId6"/>
    <sheet name="12.7" sheetId="8" r:id="rId7"/>
    <sheet name="10.7" sheetId="9" r:id="rId8"/>
    <sheet name="9.7" sheetId="10" r:id="rId9"/>
    <sheet name="8.7" sheetId="11" r:id="rId10"/>
    <sheet name="sUMMARY" sheetId="12" r:id="rId11"/>
    <sheet name="14.7" sheetId="13" r:id="rId12"/>
    <sheet name="Sheet2" sheetId="14" r:id="rId13"/>
    <sheet name="5.7" sheetId="15" r:id="rId14"/>
    <sheet name="Noninal roll" sheetId="16" r:id="rId15"/>
    <sheet name="Sheet1" sheetId="17" r:id="rId16"/>
  </sheets>
  <externalReferences>
    <externalReference r:id="rId17"/>
  </externalReferences>
  <definedNames>
    <definedName name="_xlnm.Print_Area" localSheetId="0">'April 2013'!$A$2:$Y$147</definedName>
    <definedName name="_xlnm.Print_Area" localSheetId="1">MEMO!$A$1:$H$50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I16" i="1"/>
  <c r="K16" i="1"/>
  <c r="S16" i="1"/>
  <c r="L16" i="1"/>
  <c r="N16" i="1"/>
  <c r="P16" i="1"/>
  <c r="W16" i="1"/>
  <c r="Z16" i="1"/>
  <c r="E24" i="3"/>
  <c r="S135" i="1"/>
  <c r="Y135" i="1"/>
  <c r="Z135" i="1" s="1"/>
  <c r="S120" i="1"/>
  <c r="Y120" i="1"/>
  <c r="Z120" i="1"/>
  <c r="S121" i="1"/>
  <c r="Y121" i="1"/>
  <c r="V55" i="1"/>
  <c r="V61" i="1" s="1"/>
  <c r="P55" i="1"/>
  <c r="N55" i="1"/>
  <c r="L55" i="1"/>
  <c r="K55" i="1"/>
  <c r="I55" i="1"/>
  <c r="H55" i="1"/>
  <c r="X130" i="1"/>
  <c r="F22" i="3"/>
  <c r="G130" i="1"/>
  <c r="S129" i="1"/>
  <c r="Y129" i="1"/>
  <c r="Z129" i="1"/>
  <c r="F130" i="1"/>
  <c r="Z102" i="1"/>
  <c r="Z94" i="1"/>
  <c r="S119" i="1"/>
  <c r="Y119" i="1"/>
  <c r="S128" i="1"/>
  <c r="Y128" i="1"/>
  <c r="X142" i="1"/>
  <c r="F23" i="3"/>
  <c r="S122" i="1"/>
  <c r="Y122" i="1"/>
  <c r="Z122" i="1"/>
  <c r="S123" i="1"/>
  <c r="Y123" i="1" s="1"/>
  <c r="S124" i="1"/>
  <c r="Y124" i="1"/>
  <c r="Z124" i="1"/>
  <c r="S125" i="1"/>
  <c r="Y125" i="1"/>
  <c r="Z125" i="1"/>
  <c r="S126" i="1"/>
  <c r="Y126" i="1" s="1"/>
  <c r="Z126" i="1" s="1"/>
  <c r="S127" i="1"/>
  <c r="Y127" i="1"/>
  <c r="Z127" i="1" s="1"/>
  <c r="T28" i="1"/>
  <c r="T39" i="1"/>
  <c r="T61" i="1"/>
  <c r="T109" i="1"/>
  <c r="T144" i="1" s="1"/>
  <c r="T130" i="1"/>
  <c r="T142" i="1"/>
  <c r="F141" i="1"/>
  <c r="S141" i="1"/>
  <c r="Y141" i="1"/>
  <c r="F140" i="1"/>
  <c r="S140" i="1" s="1"/>
  <c r="F139" i="1"/>
  <c r="S139" i="1"/>
  <c r="Y139" i="1" s="1"/>
  <c r="G24" i="3"/>
  <c r="S118" i="1"/>
  <c r="P94" i="1"/>
  <c r="N94" i="1"/>
  <c r="L94" i="1"/>
  <c r="K94" i="1"/>
  <c r="I94" i="1"/>
  <c r="H94" i="1"/>
  <c r="W94" i="1"/>
  <c r="V109" i="1"/>
  <c r="V144" i="1" s="1"/>
  <c r="X39" i="1"/>
  <c r="F19" i="3" s="1"/>
  <c r="X28" i="1"/>
  <c r="F18" i="3"/>
  <c r="S117" i="1"/>
  <c r="Y117" i="1" s="1"/>
  <c r="U40" i="1"/>
  <c r="W40" i="1" s="1"/>
  <c r="U41" i="1"/>
  <c r="W41" i="1"/>
  <c r="U62" i="1"/>
  <c r="U63" i="1"/>
  <c r="U29" i="1"/>
  <c r="W29" i="1"/>
  <c r="U30" i="1"/>
  <c r="W30" i="1" s="1"/>
  <c r="U31" i="1"/>
  <c r="W31" i="1"/>
  <c r="U9" i="1"/>
  <c r="W9" i="1" s="1"/>
  <c r="U110" i="1"/>
  <c r="U111" i="1"/>
  <c r="U131" i="1"/>
  <c r="U132" i="1"/>
  <c r="U143" i="1"/>
  <c r="P83" i="1"/>
  <c r="N83" i="1"/>
  <c r="L83" i="1"/>
  <c r="K83" i="1"/>
  <c r="I83" i="1"/>
  <c r="H83" i="1"/>
  <c r="S83" i="1"/>
  <c r="P82" i="1"/>
  <c r="N82" i="1"/>
  <c r="L82" i="1"/>
  <c r="K82" i="1"/>
  <c r="S82" i="1" s="1"/>
  <c r="I82" i="1"/>
  <c r="H82" i="1"/>
  <c r="U82" i="1"/>
  <c r="W82" i="1" s="1"/>
  <c r="Y82" i="1" s="1"/>
  <c r="S137" i="1"/>
  <c r="Y137" i="1"/>
  <c r="S138" i="1"/>
  <c r="Y138" i="1" s="1"/>
  <c r="E11" i="11"/>
  <c r="D11" i="11"/>
  <c r="P107" i="1"/>
  <c r="N107" i="1"/>
  <c r="L107" i="1"/>
  <c r="K107" i="1"/>
  <c r="I107" i="1"/>
  <c r="S107" i="1" s="1"/>
  <c r="Y107" i="1" s="1"/>
  <c r="H107" i="1"/>
  <c r="U107" i="1"/>
  <c r="W107" i="1"/>
  <c r="G28" i="1"/>
  <c r="M28" i="1"/>
  <c r="O28" i="1"/>
  <c r="R28" i="1"/>
  <c r="R144" i="1" s="1"/>
  <c r="V28" i="1"/>
  <c r="P27" i="1"/>
  <c r="N27" i="1"/>
  <c r="L27" i="1"/>
  <c r="S27" i="1" s="1"/>
  <c r="Y27" i="1" s="1"/>
  <c r="K27" i="1"/>
  <c r="I27" i="1"/>
  <c r="H27" i="1"/>
  <c r="U27" i="1" s="1"/>
  <c r="P37" i="1"/>
  <c r="N37" i="1"/>
  <c r="L37" i="1"/>
  <c r="K37" i="1"/>
  <c r="I37" i="1"/>
  <c r="S37" i="1" s="1"/>
  <c r="H37" i="1"/>
  <c r="G109" i="1"/>
  <c r="M109" i="1"/>
  <c r="O109" i="1"/>
  <c r="M61" i="1"/>
  <c r="Q61" i="1"/>
  <c r="R61" i="1"/>
  <c r="G39" i="1"/>
  <c r="M39" i="1"/>
  <c r="M144" i="1" s="1"/>
  <c r="O39" i="1"/>
  <c r="Q39" i="1"/>
  <c r="R39" i="1"/>
  <c r="H130" i="1"/>
  <c r="I130" i="1"/>
  <c r="J130" i="1"/>
  <c r="K130" i="1"/>
  <c r="L130" i="1"/>
  <c r="M130" i="1"/>
  <c r="N130" i="1"/>
  <c r="O130" i="1"/>
  <c r="P130" i="1"/>
  <c r="Q130" i="1"/>
  <c r="R130" i="1"/>
  <c r="V130" i="1"/>
  <c r="P54" i="1"/>
  <c r="N54" i="1"/>
  <c r="L54" i="1"/>
  <c r="K54" i="1"/>
  <c r="I54" i="1"/>
  <c r="H54" i="1"/>
  <c r="P59" i="1"/>
  <c r="N59" i="1"/>
  <c r="L59" i="1"/>
  <c r="K59" i="1"/>
  <c r="I59" i="1"/>
  <c r="H59" i="1"/>
  <c r="P108" i="1"/>
  <c r="N108" i="1"/>
  <c r="L108" i="1"/>
  <c r="K108" i="1"/>
  <c r="I108" i="1"/>
  <c r="H108" i="1"/>
  <c r="U108" i="1"/>
  <c r="W108" i="1"/>
  <c r="P106" i="1"/>
  <c r="N106" i="1"/>
  <c r="L106" i="1"/>
  <c r="K106" i="1"/>
  <c r="I106" i="1"/>
  <c r="H106" i="1"/>
  <c r="P105" i="1"/>
  <c r="N105" i="1"/>
  <c r="L105" i="1"/>
  <c r="K105" i="1"/>
  <c r="I105" i="1"/>
  <c r="H105" i="1"/>
  <c r="S105" i="1"/>
  <c r="P49" i="1"/>
  <c r="N49" i="1"/>
  <c r="L49" i="1"/>
  <c r="K49" i="1"/>
  <c r="S49" i="1" s="1"/>
  <c r="I49" i="1"/>
  <c r="H49" i="1"/>
  <c r="P42" i="1"/>
  <c r="N42" i="1"/>
  <c r="L42" i="1"/>
  <c r="K42" i="1"/>
  <c r="I42" i="1"/>
  <c r="H42" i="1"/>
  <c r="H3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V142" i="1"/>
  <c r="V39" i="1"/>
  <c r="F39" i="1"/>
  <c r="P22" i="1"/>
  <c r="N22" i="1"/>
  <c r="L22" i="1"/>
  <c r="K22" i="1"/>
  <c r="I22" i="1"/>
  <c r="H22" i="1"/>
  <c r="P104" i="1"/>
  <c r="N104" i="1"/>
  <c r="L104" i="1"/>
  <c r="K104" i="1"/>
  <c r="I104" i="1"/>
  <c r="H104" i="1"/>
  <c r="U104" i="1"/>
  <c r="W104" i="1"/>
  <c r="D18" i="16"/>
  <c r="F6" i="16"/>
  <c r="F7" i="16"/>
  <c r="F8" i="16"/>
  <c r="F9" i="16"/>
  <c r="F10" i="16"/>
  <c r="F11" i="16"/>
  <c r="F12" i="16"/>
  <c r="F13" i="16"/>
  <c r="F14" i="16"/>
  <c r="F16" i="16"/>
  <c r="E17" i="16"/>
  <c r="F17" i="16" s="1"/>
  <c r="E16" i="16"/>
  <c r="E15" i="16"/>
  <c r="F15" i="16"/>
  <c r="E14" i="16"/>
  <c r="E12" i="16"/>
  <c r="E11" i="16"/>
  <c r="E8" i="16"/>
  <c r="E7" i="16"/>
  <c r="E5" i="16"/>
  <c r="F5" i="16"/>
  <c r="D10" i="4"/>
  <c r="J34" i="1"/>
  <c r="P32" i="1"/>
  <c r="N32" i="1"/>
  <c r="L32" i="1"/>
  <c r="K32" i="1"/>
  <c r="I32" i="1"/>
  <c r="W112" i="1"/>
  <c r="W113" i="1"/>
  <c r="Y113" i="1" s="1"/>
  <c r="W114" i="1"/>
  <c r="W115" i="1"/>
  <c r="Y115" i="1"/>
  <c r="W116" i="1"/>
  <c r="Y116" i="1" s="1"/>
  <c r="W133" i="1"/>
  <c r="W134" i="1"/>
  <c r="W136" i="1"/>
  <c r="Y136" i="1" s="1"/>
  <c r="S112" i="1"/>
  <c r="Y112" i="1" s="1"/>
  <c r="S113" i="1"/>
  <c r="S114" i="1"/>
  <c r="Y114" i="1"/>
  <c r="S115" i="1"/>
  <c r="S116" i="1"/>
  <c r="F136" i="1"/>
  <c r="S136" i="1"/>
  <c r="P18" i="1"/>
  <c r="N18" i="1"/>
  <c r="L18" i="1"/>
  <c r="K18" i="1"/>
  <c r="I18" i="1"/>
  <c r="H18" i="1"/>
  <c r="P21" i="1"/>
  <c r="N21" i="1"/>
  <c r="L21" i="1"/>
  <c r="K21" i="1"/>
  <c r="I21" i="1"/>
  <c r="H21" i="1"/>
  <c r="P48" i="1"/>
  <c r="N48" i="1"/>
  <c r="L48" i="1"/>
  <c r="K48" i="1"/>
  <c r="J48" i="1"/>
  <c r="I48" i="1"/>
  <c r="H48" i="1"/>
  <c r="H102" i="1"/>
  <c r="I102" i="1"/>
  <c r="K102" i="1"/>
  <c r="L102" i="1"/>
  <c r="N102" i="1"/>
  <c r="P102" i="1"/>
  <c r="F134" i="1"/>
  <c r="S134" i="1"/>
  <c r="F133" i="1"/>
  <c r="P34" i="1"/>
  <c r="N34" i="1"/>
  <c r="L34" i="1"/>
  <c r="K34" i="1"/>
  <c r="I34" i="1"/>
  <c r="H34" i="1"/>
  <c r="H103" i="1"/>
  <c r="I103" i="1"/>
  <c r="K103" i="1"/>
  <c r="L103" i="1"/>
  <c r="N103" i="1"/>
  <c r="P103" i="1"/>
  <c r="P44" i="1"/>
  <c r="N44" i="1"/>
  <c r="L44" i="1"/>
  <c r="K44" i="1"/>
  <c r="I44" i="1"/>
  <c r="H44" i="1"/>
  <c r="U44" i="1"/>
  <c r="W44" i="1"/>
  <c r="P20" i="1"/>
  <c r="N20" i="1"/>
  <c r="L20" i="1"/>
  <c r="K20" i="1"/>
  <c r="S20" i="1"/>
  <c r="I20" i="1"/>
  <c r="H20" i="1"/>
  <c r="P35" i="1"/>
  <c r="N35" i="1"/>
  <c r="L35" i="1"/>
  <c r="K35" i="1"/>
  <c r="J35" i="1"/>
  <c r="I35" i="1"/>
  <c r="H35" i="1"/>
  <c r="L19" i="1"/>
  <c r="H19" i="1"/>
  <c r="I19" i="1"/>
  <c r="S19" i="1"/>
  <c r="K19" i="1"/>
  <c r="N19" i="1"/>
  <c r="U19" i="1"/>
  <c r="W19" i="1"/>
  <c r="P19" i="1"/>
  <c r="P13" i="1"/>
  <c r="N13" i="1"/>
  <c r="L13" i="1"/>
  <c r="K13" i="1"/>
  <c r="I13" i="1"/>
  <c r="H13" i="1"/>
  <c r="P53" i="1"/>
  <c r="N53" i="1"/>
  <c r="L53" i="1"/>
  <c r="K53" i="1"/>
  <c r="J53" i="1"/>
  <c r="I53" i="1"/>
  <c r="H53" i="1"/>
  <c r="P57" i="1"/>
  <c r="N57" i="1"/>
  <c r="L57" i="1"/>
  <c r="K57" i="1"/>
  <c r="J57" i="1"/>
  <c r="I57" i="1"/>
  <c r="H57" i="1"/>
  <c r="H36" i="1"/>
  <c r="I36" i="1"/>
  <c r="K36" i="1"/>
  <c r="L36" i="1"/>
  <c r="N36" i="1"/>
  <c r="P36" i="1"/>
  <c r="H58" i="1"/>
  <c r="U58" i="1" s="1"/>
  <c r="I58" i="1"/>
  <c r="K58" i="1"/>
  <c r="L58" i="1"/>
  <c r="S58" i="1" s="1"/>
  <c r="N58" i="1"/>
  <c r="P58" i="1"/>
  <c r="P38" i="1"/>
  <c r="N38" i="1"/>
  <c r="L38" i="1"/>
  <c r="K38" i="1"/>
  <c r="J38" i="1"/>
  <c r="J39" i="1" s="1"/>
  <c r="I38" i="1"/>
  <c r="H38" i="1"/>
  <c r="P47" i="1"/>
  <c r="N47" i="1"/>
  <c r="L47" i="1"/>
  <c r="K47" i="1"/>
  <c r="J47" i="1"/>
  <c r="S47" i="1" s="1"/>
  <c r="I47" i="1"/>
  <c r="H47" i="1"/>
  <c r="J45" i="1"/>
  <c r="P60" i="1"/>
  <c r="N60" i="1"/>
  <c r="L60" i="1"/>
  <c r="K60" i="1"/>
  <c r="J60" i="1"/>
  <c r="I60" i="1"/>
  <c r="H60" i="1"/>
  <c r="U60" i="1"/>
  <c r="W60" i="1" s="1"/>
  <c r="P26" i="1"/>
  <c r="N26" i="1"/>
  <c r="L26" i="1"/>
  <c r="K26" i="1"/>
  <c r="I26" i="1"/>
  <c r="H26" i="1"/>
  <c r="J56" i="1"/>
  <c r="P25" i="1"/>
  <c r="N25" i="1"/>
  <c r="L25" i="1"/>
  <c r="K25" i="1"/>
  <c r="I25" i="1"/>
  <c r="H25" i="1"/>
  <c r="P52" i="1"/>
  <c r="N52" i="1"/>
  <c r="L52" i="1"/>
  <c r="K52" i="1"/>
  <c r="J52" i="1"/>
  <c r="I52" i="1"/>
  <c r="H52" i="1"/>
  <c r="P17" i="1"/>
  <c r="N17" i="1"/>
  <c r="L17" i="1"/>
  <c r="K17" i="1"/>
  <c r="S17" i="1" s="1"/>
  <c r="Y17" i="1" s="1"/>
  <c r="I17" i="1"/>
  <c r="H17" i="1"/>
  <c r="U17" i="1"/>
  <c r="W17" i="1"/>
  <c r="E13" i="15"/>
  <c r="D13" i="15"/>
  <c r="E12" i="15"/>
  <c r="D12" i="15"/>
  <c r="E10" i="15"/>
  <c r="D10" i="15"/>
  <c r="E9" i="15"/>
  <c r="D9" i="15"/>
  <c r="E8" i="15"/>
  <c r="D8" i="15"/>
  <c r="E6" i="15"/>
  <c r="D6" i="15"/>
  <c r="E5" i="15"/>
  <c r="D5" i="15"/>
  <c r="E4" i="15"/>
  <c r="D11" i="15"/>
  <c r="E7" i="15"/>
  <c r="D7" i="15"/>
  <c r="P80" i="1"/>
  <c r="P75" i="1"/>
  <c r="N75" i="1"/>
  <c r="L75" i="1"/>
  <c r="K75" i="1"/>
  <c r="I75" i="1"/>
  <c r="S75" i="1" s="1"/>
  <c r="H75" i="1"/>
  <c r="P23" i="1"/>
  <c r="N23" i="1"/>
  <c r="L23" i="1"/>
  <c r="S23" i="1" s="1"/>
  <c r="K23" i="1"/>
  <c r="I23" i="1"/>
  <c r="H23" i="1"/>
  <c r="P46" i="1"/>
  <c r="N46" i="1"/>
  <c r="L46" i="1"/>
  <c r="K46" i="1"/>
  <c r="J46" i="1"/>
  <c r="I46" i="1"/>
  <c r="H46" i="1"/>
  <c r="P51" i="1"/>
  <c r="N51" i="1"/>
  <c r="L51" i="1"/>
  <c r="K51" i="1"/>
  <c r="J51" i="1"/>
  <c r="I51" i="1"/>
  <c r="H51" i="1"/>
  <c r="P81" i="1"/>
  <c r="N81" i="1"/>
  <c r="E9" i="11" s="1"/>
  <c r="D9" i="11" s="1"/>
  <c r="L81" i="1"/>
  <c r="K81" i="1"/>
  <c r="E7" i="11" s="1"/>
  <c r="D7" i="11" s="1"/>
  <c r="I81" i="1"/>
  <c r="H81" i="1"/>
  <c r="U81" i="1" s="1"/>
  <c r="W81" i="1" s="1"/>
  <c r="P68" i="1"/>
  <c r="N68" i="1"/>
  <c r="L68" i="1"/>
  <c r="K68" i="1"/>
  <c r="I68" i="1"/>
  <c r="H68" i="1"/>
  <c r="U68" i="1"/>
  <c r="W68" i="1"/>
  <c r="P14" i="1"/>
  <c r="N14" i="1"/>
  <c r="L14" i="1"/>
  <c r="K14" i="1"/>
  <c r="I14" i="1"/>
  <c r="H14" i="1"/>
  <c r="U14" i="1"/>
  <c r="P85" i="1"/>
  <c r="N85" i="1"/>
  <c r="L85" i="1"/>
  <c r="K85" i="1"/>
  <c r="I85" i="1"/>
  <c r="E6" i="11"/>
  <c r="D6" i="11"/>
  <c r="H85" i="1"/>
  <c r="P74" i="1"/>
  <c r="N74" i="1"/>
  <c r="L74" i="1"/>
  <c r="K74" i="1"/>
  <c r="I74" i="1"/>
  <c r="H74" i="1"/>
  <c r="P15" i="1"/>
  <c r="N15" i="1"/>
  <c r="L15" i="1"/>
  <c r="K15" i="1"/>
  <c r="I15" i="1"/>
  <c r="S15" i="1" s="1"/>
  <c r="H15" i="1"/>
  <c r="P84" i="1"/>
  <c r="N84" i="1"/>
  <c r="L84" i="1"/>
  <c r="K84" i="1"/>
  <c r="I84" i="1"/>
  <c r="H84" i="1"/>
  <c r="P73" i="1"/>
  <c r="N73" i="1"/>
  <c r="L73" i="1"/>
  <c r="K73" i="1"/>
  <c r="I73" i="1"/>
  <c r="S73" i="1" s="1"/>
  <c r="Y73" i="1" s="1"/>
  <c r="H73" i="1"/>
  <c r="U73" i="1"/>
  <c r="W73" i="1"/>
  <c r="P77" i="1"/>
  <c r="P78" i="1"/>
  <c r="E10" i="11"/>
  <c r="P79" i="1"/>
  <c r="N77" i="1"/>
  <c r="N78" i="1"/>
  <c r="U78" i="1"/>
  <c r="W78" i="1"/>
  <c r="N79" i="1"/>
  <c r="U79" i="1" s="1"/>
  <c r="W79" i="1" s="1"/>
  <c r="L77" i="1"/>
  <c r="L78" i="1"/>
  <c r="L79" i="1"/>
  <c r="S79" i="1"/>
  <c r="Y79" i="1" s="1"/>
  <c r="K77" i="1"/>
  <c r="K78" i="1"/>
  <c r="K79" i="1"/>
  <c r="I77" i="1"/>
  <c r="I78" i="1"/>
  <c r="I79" i="1"/>
  <c r="H77" i="1"/>
  <c r="S77" i="1"/>
  <c r="H78" i="1"/>
  <c r="H79" i="1"/>
  <c r="H80" i="1"/>
  <c r="H76" i="1"/>
  <c r="I76" i="1"/>
  <c r="K76" i="1"/>
  <c r="L76" i="1"/>
  <c r="S76" i="1" s="1"/>
  <c r="Y76" i="1" s="1"/>
  <c r="N76" i="1"/>
  <c r="P76" i="1"/>
  <c r="P71" i="1"/>
  <c r="P72" i="1"/>
  <c r="N71" i="1"/>
  <c r="N72" i="1"/>
  <c r="L71" i="1"/>
  <c r="L72" i="1"/>
  <c r="S72" i="1" s="1"/>
  <c r="Y72" i="1" s="1"/>
  <c r="K71" i="1"/>
  <c r="K72" i="1"/>
  <c r="I71" i="1"/>
  <c r="S71" i="1"/>
  <c r="Y71" i="1" s="1"/>
  <c r="I72" i="1"/>
  <c r="H71" i="1"/>
  <c r="U71" i="1" s="1"/>
  <c r="W71" i="1" s="1"/>
  <c r="H72" i="1"/>
  <c r="U72" i="1"/>
  <c r="W72" i="1"/>
  <c r="P67" i="1"/>
  <c r="N67" i="1"/>
  <c r="L67" i="1"/>
  <c r="K67" i="1"/>
  <c r="I67" i="1"/>
  <c r="H67" i="1"/>
  <c r="P65" i="1"/>
  <c r="N65" i="1"/>
  <c r="L65" i="1"/>
  <c r="S65" i="1" s="1"/>
  <c r="K65" i="1"/>
  <c r="I65" i="1"/>
  <c r="H65" i="1"/>
  <c r="O43" i="1"/>
  <c r="O61" i="1" s="1"/>
  <c r="D11" i="10"/>
  <c r="D11" i="9"/>
  <c r="D11" i="7"/>
  <c r="E11" i="13"/>
  <c r="D11" i="13"/>
  <c r="P4" i="12"/>
  <c r="E12" i="13"/>
  <c r="D12" i="13" s="1"/>
  <c r="N4" i="12"/>
  <c r="L4" i="12"/>
  <c r="E9" i="13"/>
  <c r="D9" i="13" s="1"/>
  <c r="K4" i="12"/>
  <c r="E8" i="13"/>
  <c r="D8" i="13" s="1"/>
  <c r="I4" i="12"/>
  <c r="E6" i="13"/>
  <c r="D6" i="13"/>
  <c r="H4" i="12"/>
  <c r="E5" i="13" s="1"/>
  <c r="E13" i="13"/>
  <c r="D13" i="13"/>
  <c r="E10" i="13"/>
  <c r="D10" i="13" s="1"/>
  <c r="E4" i="13"/>
  <c r="D4" i="13"/>
  <c r="E7" i="13"/>
  <c r="D11" i="6"/>
  <c r="H3" i="12"/>
  <c r="I3" i="12"/>
  <c r="E6" i="4" s="1"/>
  <c r="D6" i="4" s="1"/>
  <c r="K3" i="12"/>
  <c r="E8" i="4" s="1"/>
  <c r="D8" i="4" s="1"/>
  <c r="L3" i="12"/>
  <c r="E9" i="4" s="1"/>
  <c r="N3" i="12"/>
  <c r="O3" i="12"/>
  <c r="E12" i="4"/>
  <c r="D12" i="4" s="1"/>
  <c r="H5" i="12"/>
  <c r="I5" i="12"/>
  <c r="R5" i="12"/>
  <c r="K5" i="12"/>
  <c r="E8" i="7" s="1"/>
  <c r="D8" i="7" s="1"/>
  <c r="L5" i="12"/>
  <c r="N5" i="12"/>
  <c r="E10" i="7" s="1"/>
  <c r="D10" i="7" s="1"/>
  <c r="O5" i="12"/>
  <c r="E12" i="7"/>
  <c r="D12" i="7"/>
  <c r="H6" i="12"/>
  <c r="E5" i="8" s="1"/>
  <c r="I6" i="12"/>
  <c r="K6" i="12"/>
  <c r="L6" i="12"/>
  <c r="E9" i="8"/>
  <c r="D9" i="8" s="1"/>
  <c r="N6" i="12"/>
  <c r="E10" i="8"/>
  <c r="D10" i="8" s="1"/>
  <c r="O6" i="12"/>
  <c r="H7" i="12"/>
  <c r="I7" i="12"/>
  <c r="E6" i="9" s="1"/>
  <c r="D6" i="9" s="1"/>
  <c r="K7" i="12"/>
  <c r="L7" i="12"/>
  <c r="N7" i="12"/>
  <c r="E10" i="9" s="1"/>
  <c r="O7" i="12"/>
  <c r="H8" i="12"/>
  <c r="I8" i="12"/>
  <c r="K8" i="12"/>
  <c r="L8" i="12"/>
  <c r="E9" i="10" s="1"/>
  <c r="D9" i="10" s="1"/>
  <c r="N8" i="12"/>
  <c r="E10" i="10" s="1"/>
  <c r="D10" i="10" s="1"/>
  <c r="O8" i="12"/>
  <c r="E12" i="10" s="1"/>
  <c r="D12" i="10" s="1"/>
  <c r="H9" i="12"/>
  <c r="I9" i="12"/>
  <c r="K9" i="12"/>
  <c r="L9" i="12"/>
  <c r="N9" i="12"/>
  <c r="O9" i="12"/>
  <c r="D10" i="9"/>
  <c r="E8" i="9"/>
  <c r="D8" i="9" s="1"/>
  <c r="E11" i="8"/>
  <c r="D11" i="8"/>
  <c r="P70" i="1"/>
  <c r="N70" i="1"/>
  <c r="L70" i="1"/>
  <c r="K70" i="1"/>
  <c r="I70" i="1"/>
  <c r="S70" i="1" s="1"/>
  <c r="Y70" i="1" s="1"/>
  <c r="H70" i="1"/>
  <c r="E8" i="10"/>
  <c r="D8" i="10" s="1"/>
  <c r="E5" i="10"/>
  <c r="E4" i="10"/>
  <c r="D4" i="10" s="1"/>
  <c r="F56" i="1"/>
  <c r="E13" i="10"/>
  <c r="D13" i="10"/>
  <c r="E7" i="10"/>
  <c r="D7" i="10" s="1"/>
  <c r="E12" i="9"/>
  <c r="D12" i="9"/>
  <c r="E4" i="9"/>
  <c r="D4" i="9"/>
  <c r="E13" i="9"/>
  <c r="D13" i="9" s="1"/>
  <c r="E7" i="9"/>
  <c r="D7" i="9"/>
  <c r="E12" i="8"/>
  <c r="D12" i="8" s="1"/>
  <c r="E4" i="8"/>
  <c r="D4" i="8"/>
  <c r="E8" i="8"/>
  <c r="D8" i="8" s="1"/>
  <c r="E6" i="8"/>
  <c r="D6" i="8"/>
  <c r="E7" i="8"/>
  <c r="D7" i="8"/>
  <c r="E13" i="7"/>
  <c r="D13" i="7" s="1"/>
  <c r="E7" i="7"/>
  <c r="D7" i="7"/>
  <c r="E4" i="7"/>
  <c r="E5" i="7"/>
  <c r="D5" i="7" s="1"/>
  <c r="E13" i="6"/>
  <c r="D13" i="6"/>
  <c r="E4" i="6"/>
  <c r="D4" i="6" s="1"/>
  <c r="E12" i="5"/>
  <c r="D12" i="5"/>
  <c r="E13" i="4"/>
  <c r="D13" i="4" s="1"/>
  <c r="E7" i="4"/>
  <c r="D7" i="4"/>
  <c r="E5" i="4"/>
  <c r="E4" i="4"/>
  <c r="F64" i="1"/>
  <c r="K64" i="1"/>
  <c r="E11" i="4"/>
  <c r="D11" i="4" s="1"/>
  <c r="D9" i="4"/>
  <c r="Q11" i="1"/>
  <c r="Q28" i="1"/>
  <c r="F10" i="1"/>
  <c r="F89" i="1"/>
  <c r="P101" i="1"/>
  <c r="N101" i="1"/>
  <c r="L101" i="1"/>
  <c r="K101" i="1"/>
  <c r="I101" i="1"/>
  <c r="H101" i="1"/>
  <c r="P100" i="1"/>
  <c r="N100" i="1"/>
  <c r="L100" i="1"/>
  <c r="K100" i="1"/>
  <c r="I100" i="1"/>
  <c r="H100" i="1"/>
  <c r="F91" i="1"/>
  <c r="P69" i="1"/>
  <c r="N69" i="1"/>
  <c r="L69" i="1"/>
  <c r="K69" i="1"/>
  <c r="I69" i="1"/>
  <c r="S69" i="1" s="1"/>
  <c r="H69" i="1"/>
  <c r="P66" i="1"/>
  <c r="N66" i="1"/>
  <c r="U66" i="1" s="1"/>
  <c r="L66" i="1"/>
  <c r="K66" i="1"/>
  <c r="S66" i="1"/>
  <c r="I66" i="1"/>
  <c r="H66" i="1"/>
  <c r="W66" i="1"/>
  <c r="P99" i="1"/>
  <c r="N99" i="1"/>
  <c r="L99" i="1"/>
  <c r="K99" i="1"/>
  <c r="S99" i="1" s="1"/>
  <c r="I99" i="1"/>
  <c r="H99" i="1"/>
  <c r="U99" i="1"/>
  <c r="W99" i="1" s="1"/>
  <c r="E12" i="6"/>
  <c r="D12" i="6"/>
  <c r="E10" i="6"/>
  <c r="D10" i="6" s="1"/>
  <c r="E9" i="6"/>
  <c r="D9" i="6"/>
  <c r="E8" i="6"/>
  <c r="D8" i="6" s="1"/>
  <c r="E6" i="6"/>
  <c r="D6" i="6"/>
  <c r="F43" i="1"/>
  <c r="R87" i="1"/>
  <c r="R109" i="1"/>
  <c r="Q87" i="1"/>
  <c r="Q109" i="1" s="1"/>
  <c r="Q144" i="1" s="1"/>
  <c r="P33" i="1"/>
  <c r="N33" i="1"/>
  <c r="N39" i="1"/>
  <c r="L33" i="1"/>
  <c r="K33" i="1"/>
  <c r="K43" i="1"/>
  <c r="I33" i="1"/>
  <c r="H33" i="1"/>
  <c r="P93" i="1"/>
  <c r="N93" i="1"/>
  <c r="L93" i="1"/>
  <c r="K93" i="1"/>
  <c r="I93" i="1"/>
  <c r="H93" i="1"/>
  <c r="S93" i="1" s="1"/>
  <c r="P92" i="1"/>
  <c r="N92" i="1"/>
  <c r="L92" i="1"/>
  <c r="K92" i="1"/>
  <c r="I92" i="1"/>
  <c r="H92" i="1"/>
  <c r="P88" i="1"/>
  <c r="N88" i="1"/>
  <c r="L88" i="1"/>
  <c r="K88" i="1"/>
  <c r="I88" i="1"/>
  <c r="H88" i="1"/>
  <c r="U88" i="1" s="1"/>
  <c r="W88" i="1" s="1"/>
  <c r="P12" i="1"/>
  <c r="N12" i="1"/>
  <c r="L12" i="1"/>
  <c r="K12" i="1"/>
  <c r="J12" i="1"/>
  <c r="J33" i="1"/>
  <c r="J10" i="1"/>
  <c r="I12" i="1"/>
  <c r="H12" i="1"/>
  <c r="U12" i="1" s="1"/>
  <c r="W12" i="1" s="1"/>
  <c r="P24" i="1"/>
  <c r="N24" i="1"/>
  <c r="L24" i="1"/>
  <c r="K24" i="1"/>
  <c r="I24" i="1"/>
  <c r="H24" i="1"/>
  <c r="S24" i="1"/>
  <c r="P50" i="1"/>
  <c r="N50" i="1"/>
  <c r="L50" i="1"/>
  <c r="K50" i="1"/>
  <c r="S50" i="1" s="1"/>
  <c r="I50" i="1"/>
  <c r="H50" i="1"/>
  <c r="U50" i="1"/>
  <c r="W50" i="1"/>
  <c r="S9" i="1"/>
  <c r="F4" i="1"/>
  <c r="I4" i="1"/>
  <c r="E6" i="7"/>
  <c r="D6" i="7" s="1"/>
  <c r="E9" i="7"/>
  <c r="D9" i="7" s="1"/>
  <c r="L89" i="1"/>
  <c r="I80" i="1"/>
  <c r="K80" i="1"/>
  <c r="L80" i="1"/>
  <c r="E8" i="11"/>
  <c r="N80" i="1"/>
  <c r="K91" i="1"/>
  <c r="F95" i="1"/>
  <c r="K95" i="1" s="1"/>
  <c r="F87" i="1"/>
  <c r="S108" i="1"/>
  <c r="Y108" i="1" s="1"/>
  <c r="P89" i="1"/>
  <c r="I87" i="1"/>
  <c r="F11" i="1"/>
  <c r="U11" i="1" s="1"/>
  <c r="W11" i="1" s="1"/>
  <c r="Y11" i="1" s="1"/>
  <c r="E7" i="6"/>
  <c r="D7" i="6"/>
  <c r="H89" i="1"/>
  <c r="H10" i="1"/>
  <c r="W27" i="1"/>
  <c r="I43" i="1"/>
  <c r="U53" i="1"/>
  <c r="W53" i="1" s="1"/>
  <c r="U32" i="1"/>
  <c r="W58" i="1"/>
  <c r="U103" i="1"/>
  <c r="W103" i="1" s="1"/>
  <c r="X109" i="1"/>
  <c r="S106" i="1"/>
  <c r="Y106" i="1" s="1"/>
  <c r="U70" i="1"/>
  <c r="W70" i="1"/>
  <c r="U106" i="1"/>
  <c r="W106" i="1"/>
  <c r="E5" i="6"/>
  <c r="D5" i="6"/>
  <c r="J67" i="1"/>
  <c r="J15" i="1"/>
  <c r="Y15" i="1"/>
  <c r="Z15" i="1" s="1"/>
  <c r="J65" i="1"/>
  <c r="E14" i="6"/>
  <c r="D14" i="6" s="1"/>
  <c r="F45" i="1"/>
  <c r="D4" i="4"/>
  <c r="G61" i="1"/>
  <c r="G144" i="1" s="1"/>
  <c r="H44" i="3"/>
  <c r="S100" i="1"/>
  <c r="U100" i="1"/>
  <c r="W100" i="1" s="1"/>
  <c r="Y100" i="1" s="1"/>
  <c r="U15" i="1"/>
  <c r="W15" i="1" s="1"/>
  <c r="U26" i="1"/>
  <c r="W26" i="1" s="1"/>
  <c r="Y26" i="1"/>
  <c r="S26" i="1"/>
  <c r="S60" i="1"/>
  <c r="Y60" i="1" s="1"/>
  <c r="U34" i="1"/>
  <c r="W34" i="1"/>
  <c r="Y34" i="1" s="1"/>
  <c r="S34" i="1"/>
  <c r="K87" i="1"/>
  <c r="N87" i="1"/>
  <c r="H91" i="1"/>
  <c r="L91" i="1"/>
  <c r="E4" i="11"/>
  <c r="U101" i="1"/>
  <c r="W101" i="1" s="1"/>
  <c r="N89" i="1"/>
  <c r="I89" i="1"/>
  <c r="K89" i="1"/>
  <c r="F90" i="1"/>
  <c r="U74" i="1"/>
  <c r="W74" i="1"/>
  <c r="J54" i="1"/>
  <c r="J49" i="1"/>
  <c r="U20" i="1"/>
  <c r="W20" i="1"/>
  <c r="W102" i="1"/>
  <c r="U59" i="1"/>
  <c r="W59" i="1" s="1"/>
  <c r="U76" i="1"/>
  <c r="W76" i="1" s="1"/>
  <c r="K10" i="1"/>
  <c r="S88" i="1"/>
  <c r="Y88" i="1" s="1"/>
  <c r="U18" i="1"/>
  <c r="W18" i="1" s="1"/>
  <c r="Y18" i="1" s="1"/>
  <c r="W142" i="1"/>
  <c r="D4" i="11"/>
  <c r="U37" i="1"/>
  <c r="W37" i="1" s="1"/>
  <c r="E5" i="5"/>
  <c r="D5" i="5" s="1"/>
  <c r="H11" i="1"/>
  <c r="P95" i="1"/>
  <c r="S95" i="1" s="1"/>
  <c r="U92" i="1"/>
  <c r="W92" i="1" s="1"/>
  <c r="H64" i="1"/>
  <c r="L64" i="1"/>
  <c r="N45" i="1"/>
  <c r="X61" i="1"/>
  <c r="F20" i="3" s="1"/>
  <c r="U105" i="1"/>
  <c r="W105" i="1"/>
  <c r="U46" i="1"/>
  <c r="W46" i="1"/>
  <c r="U52" i="1"/>
  <c r="W52" i="1" s="1"/>
  <c r="U47" i="1"/>
  <c r="W47" i="1" s="1"/>
  <c r="Y134" i="1"/>
  <c r="U67" i="1"/>
  <c r="W67" i="1"/>
  <c r="D8" i="11"/>
  <c r="W14" i="1"/>
  <c r="J43" i="1"/>
  <c r="D10" i="11"/>
  <c r="Y140" i="1"/>
  <c r="P87" i="1"/>
  <c r="Z123" i="1"/>
  <c r="U65" i="1"/>
  <c r="W65" i="1"/>
  <c r="U49" i="1"/>
  <c r="W49" i="1"/>
  <c r="F96" i="1"/>
  <c r="F97" i="1" s="1"/>
  <c r="N95" i="1"/>
  <c r="H95" i="1"/>
  <c r="I95" i="1"/>
  <c r="L95" i="1"/>
  <c r="S130" i="1"/>
  <c r="U93" i="1"/>
  <c r="W93" i="1" s="1"/>
  <c r="Y93" i="1" s="1"/>
  <c r="Y66" i="1"/>
  <c r="L10" i="1"/>
  <c r="P56" i="1"/>
  <c r="Y20" i="1"/>
  <c r="S103" i="1"/>
  <c r="Y103" i="1" s="1"/>
  <c r="S133" i="1"/>
  <c r="F142" i="1"/>
  <c r="S21" i="1"/>
  <c r="U21" i="1"/>
  <c r="W21" i="1" s="1"/>
  <c r="K90" i="1"/>
  <c r="I90" i="1"/>
  <c r="L90" i="1"/>
  <c r="H90" i="1"/>
  <c r="U90" i="1" s="1"/>
  <c r="W90" i="1" s="1"/>
  <c r="N90" i="1"/>
  <c r="W32" i="1"/>
  <c r="Y32" i="1" s="1"/>
  <c r="S67" i="1"/>
  <c r="Y67" i="1" s="1"/>
  <c r="N64" i="1"/>
  <c r="P64" i="1"/>
  <c r="S64" i="1" s="1"/>
  <c r="S78" i="1"/>
  <c r="Y78" i="1" s="1"/>
  <c r="Z78" i="1"/>
  <c r="U23" i="1"/>
  <c r="W23" i="1" s="1"/>
  <c r="Y23" i="1"/>
  <c r="U95" i="1"/>
  <c r="W95" i="1" s="1"/>
  <c r="Y95" i="1" s="1"/>
  <c r="E7" i="5"/>
  <c r="D7" i="5"/>
  <c r="J14" i="1"/>
  <c r="I64" i="1"/>
  <c r="P90" i="1"/>
  <c r="U69" i="1"/>
  <c r="W69" i="1" s="1"/>
  <c r="Y69" i="1" s="1"/>
  <c r="U83" i="1"/>
  <c r="W83" i="1"/>
  <c r="E4" i="5"/>
  <c r="F21" i="3"/>
  <c r="U24" i="1"/>
  <c r="W24" i="1" s="1"/>
  <c r="S12" i="1"/>
  <c r="Y12" i="1" s="1"/>
  <c r="R6" i="12"/>
  <c r="D5" i="13"/>
  <c r="S4" i="12"/>
  <c r="U4" i="12" s="1"/>
  <c r="U75" i="1"/>
  <c r="W75" i="1" s="1"/>
  <c r="Y47" i="1"/>
  <c r="U48" i="1"/>
  <c r="W48" i="1" s="1"/>
  <c r="S48" i="1"/>
  <c r="Y48" i="1"/>
  <c r="D5" i="4"/>
  <c r="D4" i="15"/>
  <c r="E14" i="15"/>
  <c r="D14" i="15" s="1"/>
  <c r="U36" i="1"/>
  <c r="W36" i="1"/>
  <c r="W130" i="1"/>
  <c r="O144" i="1"/>
  <c r="U33" i="1"/>
  <c r="W33" i="1" s="1"/>
  <c r="H43" i="1"/>
  <c r="S33" i="1"/>
  <c r="N43" i="1"/>
  <c r="E5" i="9"/>
  <c r="D5" i="9" s="1"/>
  <c r="D5" i="10"/>
  <c r="U84" i="1"/>
  <c r="W84" i="1"/>
  <c r="Y84" i="1" s="1"/>
  <c r="S84" i="1"/>
  <c r="S81" i="1"/>
  <c r="Y81" i="1"/>
  <c r="S51" i="1"/>
  <c r="U51" i="1"/>
  <c r="W51" i="1" s="1"/>
  <c r="Y51" i="1" s="1"/>
  <c r="U57" i="1"/>
  <c r="W57" i="1" s="1"/>
  <c r="S53" i="1"/>
  <c r="Y53" i="1"/>
  <c r="S18" i="1"/>
  <c r="S32" i="1"/>
  <c r="S55" i="1"/>
  <c r="J68" i="1"/>
  <c r="S14" i="1"/>
  <c r="Y14" i="1" s="1"/>
  <c r="Z14" i="1" s="1"/>
  <c r="Y133" i="1"/>
  <c r="Y142" i="1"/>
  <c r="Z142" i="1" s="1"/>
  <c r="H96" i="1"/>
  <c r="L28" i="1"/>
  <c r="E9" i="5"/>
  <c r="D9" i="5"/>
  <c r="Y33" i="1"/>
  <c r="Y21" i="1"/>
  <c r="U64" i="1"/>
  <c r="W64" i="1" s="1"/>
  <c r="D4" i="5"/>
  <c r="J28" i="1"/>
  <c r="U43" i="1"/>
  <c r="Y9" i="1"/>
  <c r="Y49" i="1"/>
  <c r="J109" i="1"/>
  <c r="S68" i="1"/>
  <c r="Y68" i="1" s="1"/>
  <c r="W43" i="1"/>
  <c r="Y64" i="1" l="1"/>
  <c r="F98" i="1"/>
  <c r="I97" i="1"/>
  <c r="L97" i="1"/>
  <c r="K97" i="1"/>
  <c r="H97" i="1"/>
  <c r="S97" i="1" s="1"/>
  <c r="N97" i="1"/>
  <c r="U97" i="1" s="1"/>
  <c r="W97" i="1" s="1"/>
  <c r="P97" i="1"/>
  <c r="J44" i="1"/>
  <c r="S44" i="1" s="1"/>
  <c r="Y44" i="1" s="1"/>
  <c r="Z44" i="1" s="1"/>
  <c r="J61" i="1"/>
  <c r="J144" i="1" s="1"/>
  <c r="D7" i="13"/>
  <c r="E14" i="13"/>
  <c r="D14" i="13" s="1"/>
  <c r="Y75" i="1"/>
  <c r="Y19" i="1"/>
  <c r="U22" i="1"/>
  <c r="W22" i="1" s="1"/>
  <c r="S22" i="1"/>
  <c r="P96" i="1"/>
  <c r="I96" i="1"/>
  <c r="R3" i="12"/>
  <c r="S89" i="1"/>
  <c r="Y89" i="1" s="1"/>
  <c r="Z89" i="1" s="1"/>
  <c r="U89" i="1"/>
  <c r="W89" i="1" s="1"/>
  <c r="I10" i="1"/>
  <c r="I39" i="1"/>
  <c r="D4" i="7"/>
  <c r="E14" i="7"/>
  <c r="D14" i="7" s="1"/>
  <c r="Y58" i="1"/>
  <c r="S36" i="1"/>
  <c r="Y36" i="1" s="1"/>
  <c r="S13" i="1"/>
  <c r="Y13" i="1" s="1"/>
  <c r="U13" i="1"/>
  <c r="W13" i="1" s="1"/>
  <c r="Y130" i="1"/>
  <c r="L39" i="1"/>
  <c r="S54" i="1"/>
  <c r="U54" i="1"/>
  <c r="F24" i="3"/>
  <c r="H29" i="3" s="1"/>
  <c r="H23" i="3"/>
  <c r="K96" i="1"/>
  <c r="S96" i="1" s="1"/>
  <c r="Y96" i="1" s="1"/>
  <c r="L96" i="1"/>
  <c r="E14" i="4"/>
  <c r="D14" i="4" s="1"/>
  <c r="H28" i="1"/>
  <c r="E8" i="5"/>
  <c r="D8" i="5" s="1"/>
  <c r="K28" i="1"/>
  <c r="Y50" i="1"/>
  <c r="Y24" i="1"/>
  <c r="D5" i="8"/>
  <c r="E13" i="8"/>
  <c r="D13" i="8" s="1"/>
  <c r="Y65" i="1"/>
  <c r="F18" i="16"/>
  <c r="U42" i="1"/>
  <c r="S42" i="1"/>
  <c r="Y105" i="1"/>
  <c r="Z105" i="1" s="1"/>
  <c r="X144" i="1"/>
  <c r="S80" i="1"/>
  <c r="U80" i="1"/>
  <c r="W80" i="1" s="1"/>
  <c r="U35" i="1"/>
  <c r="W35" i="1" s="1"/>
  <c r="W39" i="1" s="1"/>
  <c r="H39" i="1"/>
  <c r="S35" i="1"/>
  <c r="N96" i="1"/>
  <c r="U96" i="1" s="1"/>
  <c r="W96" i="1" s="1"/>
  <c r="S142" i="1"/>
  <c r="E5" i="11"/>
  <c r="S90" i="1"/>
  <c r="Y90" i="1" s="1"/>
  <c r="K45" i="1"/>
  <c r="I45" i="1"/>
  <c r="I61" i="1" s="1"/>
  <c r="P45" i="1"/>
  <c r="H45" i="1"/>
  <c r="U45" i="1" s="1"/>
  <c r="W45" i="1" s="1"/>
  <c r="L45" i="1"/>
  <c r="F61" i="1"/>
  <c r="L43" i="1"/>
  <c r="P43" i="1"/>
  <c r="Y99" i="1"/>
  <c r="P10" i="1"/>
  <c r="F28" i="1"/>
  <c r="N10" i="1"/>
  <c r="K56" i="1"/>
  <c r="L56" i="1"/>
  <c r="H56" i="1"/>
  <c r="S56" i="1" s="1"/>
  <c r="I56" i="1"/>
  <c r="N56" i="1"/>
  <c r="N61" i="1" s="1"/>
  <c r="R8" i="12"/>
  <c r="E6" i="10"/>
  <c r="E9" i="9"/>
  <c r="R7" i="12"/>
  <c r="U25" i="1"/>
  <c r="W25" i="1" s="1"/>
  <c r="S25" i="1"/>
  <c r="Y25" i="1" s="1"/>
  <c r="Y37" i="1"/>
  <c r="Y83" i="1"/>
  <c r="F86" i="1"/>
  <c r="H87" i="1"/>
  <c r="S87" i="1" s="1"/>
  <c r="S101" i="1"/>
  <c r="Y101" i="1" s="1"/>
  <c r="U77" i="1"/>
  <c r="S74" i="1"/>
  <c r="Y74" i="1" s="1"/>
  <c r="S52" i="1"/>
  <c r="Y52" i="1" s="1"/>
  <c r="P39" i="1"/>
  <c r="S59" i="1"/>
  <c r="Y59" i="1" s="1"/>
  <c r="L87" i="1"/>
  <c r="I91" i="1"/>
  <c r="P91" i="1"/>
  <c r="N91" i="1"/>
  <c r="U91" i="1" s="1"/>
  <c r="W91" i="1" s="1"/>
  <c r="R9" i="12"/>
  <c r="S46" i="1"/>
  <c r="Y46" i="1" s="1"/>
  <c r="U38" i="1"/>
  <c r="W38" i="1" s="1"/>
  <c r="S38" i="1"/>
  <c r="K39" i="1"/>
  <c r="S102" i="1"/>
  <c r="U87" i="1"/>
  <c r="W87" i="1" s="1"/>
  <c r="S92" i="1"/>
  <c r="Y92" i="1" s="1"/>
  <c r="U85" i="1"/>
  <c r="W85" i="1" s="1"/>
  <c r="S85" i="1"/>
  <c r="Y85" i="1" s="1"/>
  <c r="S57" i="1"/>
  <c r="Y57" i="1" s="1"/>
  <c r="S104" i="1"/>
  <c r="Y104" i="1" s="1"/>
  <c r="S94" i="1"/>
  <c r="Y97" i="1" l="1"/>
  <c r="W77" i="1"/>
  <c r="Y56" i="1"/>
  <c r="L61" i="1"/>
  <c r="S43" i="1"/>
  <c r="Y43" i="1" s="1"/>
  <c r="S91" i="1"/>
  <c r="Y91" i="1" s="1"/>
  <c r="E11" i="5"/>
  <c r="D11" i="5" s="1"/>
  <c r="P28" i="1"/>
  <c r="Y87" i="1"/>
  <c r="D9" i="9"/>
  <c r="E14" i="9"/>
  <c r="D14" i="9" s="1"/>
  <c r="U56" i="1"/>
  <c r="W56" i="1" s="1"/>
  <c r="D5" i="11"/>
  <c r="E12" i="11"/>
  <c r="D12" i="11" s="1"/>
  <c r="Y35" i="1"/>
  <c r="Y39" i="1" s="1"/>
  <c r="H19" i="3" s="1"/>
  <c r="S39" i="1"/>
  <c r="Y80" i="1"/>
  <c r="Y42" i="1"/>
  <c r="H61" i="1"/>
  <c r="S45" i="1"/>
  <c r="Y45" i="1" s="1"/>
  <c r="U39" i="1"/>
  <c r="L86" i="1"/>
  <c r="H86" i="1"/>
  <c r="N86" i="1"/>
  <c r="P86" i="1"/>
  <c r="P109" i="1" s="1"/>
  <c r="I86" i="1"/>
  <c r="I109" i="1" s="1"/>
  <c r="F109" i="1"/>
  <c r="F144" i="1" s="1"/>
  <c r="K86" i="1"/>
  <c r="D6" i="10"/>
  <c r="E14" i="10"/>
  <c r="D14" i="10" s="1"/>
  <c r="E10" i="5"/>
  <c r="D10" i="5" s="1"/>
  <c r="U10" i="1"/>
  <c r="N28" i="1"/>
  <c r="P61" i="1"/>
  <c r="K61" i="1"/>
  <c r="W42" i="1"/>
  <c r="U61" i="1"/>
  <c r="H22" i="3"/>
  <c r="Z130" i="1"/>
  <c r="I11" i="1"/>
  <c r="I28" i="1"/>
  <c r="E6" i="5"/>
  <c r="S10" i="1"/>
  <c r="W54" i="1"/>
  <c r="Y54" i="1" s="1"/>
  <c r="U55" i="1"/>
  <c r="W55" i="1" s="1"/>
  <c r="Y55" i="1" s="1"/>
  <c r="Z55" i="1" s="1"/>
  <c r="Y22" i="1"/>
  <c r="K98" i="1"/>
  <c r="N98" i="1"/>
  <c r="I98" i="1"/>
  <c r="H98" i="1"/>
  <c r="U98" i="1"/>
  <c r="W98" i="1" s="1"/>
  <c r="L98" i="1"/>
  <c r="S98" i="1" s="1"/>
  <c r="Y98" i="1" s="1"/>
  <c r="P98" i="1"/>
  <c r="I144" i="1" l="1"/>
  <c r="Y61" i="1"/>
  <c r="W61" i="1"/>
  <c r="H109" i="1"/>
  <c r="H144" i="1" s="1"/>
  <c r="P144" i="1"/>
  <c r="S28" i="1"/>
  <c r="W10" i="1"/>
  <c r="W28" i="1" s="1"/>
  <c r="U28" i="1"/>
  <c r="K109" i="1"/>
  <c r="K144" i="1" s="1"/>
  <c r="U86" i="1"/>
  <c r="L109" i="1"/>
  <c r="L144" i="1" s="1"/>
  <c r="Y77" i="1"/>
  <c r="N109" i="1"/>
  <c r="N144" i="1" s="1"/>
  <c r="D6" i="5"/>
  <c r="E13" i="5"/>
  <c r="D13" i="5" s="1"/>
  <c r="S86" i="1"/>
  <c r="S61" i="1"/>
  <c r="W86" i="1" l="1"/>
  <c r="W109" i="1" s="1"/>
  <c r="W144" i="1" s="1"/>
  <c r="U109" i="1"/>
  <c r="U144" i="1" s="1"/>
  <c r="Y10" i="1"/>
  <c r="Y28" i="1" s="1"/>
  <c r="Z61" i="1"/>
  <c r="H20" i="3"/>
  <c r="Y86" i="1"/>
  <c r="Y109" i="1" s="1"/>
  <c r="S109" i="1"/>
  <c r="S144" i="1" s="1"/>
  <c r="Z109" i="1" l="1"/>
  <c r="H21" i="3"/>
  <c r="Y144" i="1"/>
  <c r="H18" i="3"/>
  <c r="H24" i="3" s="1"/>
  <c r="H28" i="3" s="1"/>
  <c r="H30" i="3" s="1"/>
  <c r="Z28" i="1"/>
</calcChain>
</file>

<file path=xl/sharedStrings.xml><?xml version="1.0" encoding="utf-8"?>
<sst xmlns="http://schemas.openxmlformats.org/spreadsheetml/2006/main" count="1068" uniqueCount="367">
  <si>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</si>
  <si>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</si>
  <si>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</si>
  <si>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</si>
  <si>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</si>
  <si>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</si>
  <si>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</si>
  <si>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</si>
  <si>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</si>
  <si>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</si>
  <si>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</si>
  <si>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PATTERSON EKEOCHA</t>
  </si>
  <si>
    <t>DR SHUIBU DANWANKA</t>
  </si>
  <si>
    <t>DESIGNATION</t>
  </si>
  <si>
    <t>DRIVER</t>
  </si>
  <si>
    <t>RECEPTIONIST</t>
  </si>
  <si>
    <t>JAFARU MUSA</t>
  </si>
  <si>
    <t>TASIU MOHAMMED</t>
  </si>
  <si>
    <t>USMAN YAHAYA</t>
  </si>
  <si>
    <t>ESTHER WAMINAJE</t>
  </si>
  <si>
    <t>TOTAL</t>
  </si>
  <si>
    <t>DG</t>
  </si>
  <si>
    <t>DG OFFICE</t>
  </si>
  <si>
    <t>RICHARD KWALMI</t>
  </si>
  <si>
    <t>ABDULSALAM MUSTAFA</t>
  </si>
  <si>
    <t>ICT OFFICER</t>
  </si>
  <si>
    <t>ALI ABDULLAHI</t>
  </si>
  <si>
    <t>1CT ASSISTANT</t>
  </si>
  <si>
    <t>DD</t>
  </si>
  <si>
    <t>DSM</t>
  </si>
  <si>
    <t>SECRETARY</t>
  </si>
  <si>
    <t>DR ASIMIYU G. ABIOLA</t>
  </si>
  <si>
    <t>SRF</t>
  </si>
  <si>
    <t>SOLOMON A. BENJAMIN</t>
  </si>
  <si>
    <t>IBRAHIM M. MSHELIA</t>
  </si>
  <si>
    <t>DD F&amp;A</t>
  </si>
  <si>
    <t>AMINU BELLO DUKKU</t>
  </si>
  <si>
    <t>RAHILA AMOS</t>
  </si>
  <si>
    <t>OFFICER ACCTS</t>
  </si>
  <si>
    <t>SEC. FINANCE</t>
  </si>
  <si>
    <t>OLATUNJI OYEDELE YUSUF</t>
  </si>
  <si>
    <t>NAMADI IDRIS UMAR</t>
  </si>
  <si>
    <t>DANJUMA KAGADAMA</t>
  </si>
  <si>
    <t>MOHAMMED SIAKA</t>
  </si>
  <si>
    <t>ALFRED ISABU</t>
  </si>
  <si>
    <t>ANTHONY EDET</t>
  </si>
  <si>
    <t>DR LADI HAMALAI</t>
  </si>
  <si>
    <t>10(10)</t>
  </si>
  <si>
    <t>4(10)</t>
  </si>
  <si>
    <t>16(7)</t>
  </si>
  <si>
    <t>15(7)</t>
  </si>
  <si>
    <t>DD ADMIN/HR</t>
  </si>
  <si>
    <t>PERSONAL</t>
  </si>
  <si>
    <t>DOMESTIC</t>
  </si>
  <si>
    <t>ALLCE</t>
  </si>
  <si>
    <t>CONSOL</t>
  </si>
  <si>
    <t>8(2)</t>
  </si>
  <si>
    <t>LEVEL</t>
  </si>
  <si>
    <t>SALARY</t>
  </si>
  <si>
    <t xml:space="preserve">SALARY </t>
  </si>
  <si>
    <t>PAYE</t>
  </si>
  <si>
    <t>NET SALARY</t>
  </si>
  <si>
    <t>IDAHOSA JANE CECILIA</t>
  </si>
  <si>
    <t>ALIYU YAKUBU</t>
  </si>
  <si>
    <t>ABDULLAHI HARUNA</t>
  </si>
  <si>
    <t>3(8)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</si>
  <si>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</si>
  <si>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</si>
  <si>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</si>
  <si>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</si>
  <si>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</si>
  <si>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</si>
  <si>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</si>
  <si>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</si>
  <si>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</si>
  <si>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NYSC</t>
  </si>
  <si>
    <t>NATIONAL INSTITUTE FOR LEGISLATIVE STUDIES</t>
  </si>
  <si>
    <t>Director General's Office</t>
  </si>
  <si>
    <t>8/(9)</t>
  </si>
  <si>
    <t>8(9)</t>
  </si>
  <si>
    <t>10(11)</t>
  </si>
  <si>
    <t>PROF. OFFORNZE AMUCHEAZI</t>
  </si>
  <si>
    <t>LEGAL ADVISER</t>
  </si>
  <si>
    <t>Mshelia Madu Ibrahim</t>
  </si>
  <si>
    <t>SPECIAL ASSISTANT</t>
  </si>
  <si>
    <t>ABDULWAHAB DAHIRU</t>
  </si>
  <si>
    <t>JOHN JAMBU ASIGAN</t>
  </si>
  <si>
    <t>AYUBA SULE</t>
  </si>
  <si>
    <t>EWELIKWA IJEOMA NKOLIKWA</t>
  </si>
  <si>
    <t>DISPATCH CLERK</t>
  </si>
  <si>
    <t>STEWARD</t>
  </si>
  <si>
    <t>SIGNATURE</t>
  </si>
  <si>
    <t>DATE</t>
  </si>
  <si>
    <t>MOHAMMED ISIAKA YAKUBU</t>
  </si>
  <si>
    <t>LEG. SUPPORT SEVICES</t>
  </si>
  <si>
    <t>RESEARCH &amp; TRAINING</t>
  </si>
  <si>
    <t>DD RESEARCH</t>
  </si>
  <si>
    <t>DD TRAINING</t>
  </si>
  <si>
    <t>GIDEON B. LAMIDO</t>
  </si>
  <si>
    <t>Leg. Support Services</t>
  </si>
  <si>
    <t>Research &amp; Training</t>
  </si>
  <si>
    <t>IN LIEU</t>
  </si>
  <si>
    <t>28 DAYS ALCE</t>
  </si>
  <si>
    <t>FEB. 2012</t>
  </si>
  <si>
    <t>MAR.2012</t>
  </si>
  <si>
    <t>Finance/ Admin &amp; HR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</si>
  <si>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</si>
  <si>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</si>
  <si>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</si>
  <si>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</si>
  <si>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</si>
  <si>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</si>
  <si>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</si>
  <si>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</si>
  <si>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</si>
  <si>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</si>
  <si>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</si>
  <si>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</si>
  <si>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</si>
  <si>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17/7</t>
  </si>
  <si>
    <t>15(9)</t>
  </si>
  <si>
    <t>SALARY DETAILS OF NILS DEPUTY DIRECTORS</t>
  </si>
  <si>
    <t>GRADE LEVEL 16 STEP 7</t>
  </si>
  <si>
    <t>SALARY DETAILS OF NILS SENIOR RESEARCH FELLOWS</t>
  </si>
  <si>
    <t>GRADE LEVEL 15 STEP 9</t>
  </si>
  <si>
    <t>DIRECTOR</t>
  </si>
  <si>
    <t>RESEARCH FELLOW I</t>
  </si>
  <si>
    <t>13/7</t>
  </si>
  <si>
    <t>GRADE LEVEL 13 STEP 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</si>
  <si>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</si>
  <si>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</si>
  <si>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</si>
  <si>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</si>
  <si>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</si>
  <si>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</si>
  <si>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</si>
  <si>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</si>
  <si>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</si>
  <si>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</si>
  <si>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</si>
  <si>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HUSSEIN MUSA AGYE</t>
  </si>
  <si>
    <t>PROTOCOL OFFICER</t>
  </si>
  <si>
    <t>10(&amp;)</t>
  </si>
  <si>
    <t>Deputy Director, Finance &amp; Accounts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</si>
  <si>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</si>
  <si>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</si>
  <si>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</si>
  <si>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</si>
  <si>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</si>
  <si>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</si>
  <si>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SALARY DETAILS OF NILS  RESEARCH FELLOW I</t>
  </si>
  <si>
    <t>GRADE LEVEL 14 STEP 7</t>
  </si>
  <si>
    <t>DR KABIR AHMED</t>
  </si>
  <si>
    <t>DFA</t>
  </si>
  <si>
    <t>17(7)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</si>
  <si>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</si>
  <si>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FINANCE &amp; ADMIN.</t>
  </si>
  <si>
    <t>LIST OF STAFF THAT HAVE ASSUMED DUTY</t>
  </si>
  <si>
    <t>KABIR MUHAMMAD SULAIMAN</t>
  </si>
  <si>
    <t>MANAGER ADMIN&amp;HR</t>
  </si>
  <si>
    <t>ABDULLAHI YUNUSA</t>
  </si>
  <si>
    <t>PATIENCE AMUDA BOSAH</t>
  </si>
  <si>
    <t>IBE EZECHI CYRIACUS</t>
  </si>
  <si>
    <t>MUHAMMED AGEDE YAHAYA</t>
  </si>
  <si>
    <t>EROMOSELE OMONIGBO</t>
  </si>
  <si>
    <t>OGUNYOMI ROTIMI</t>
  </si>
  <si>
    <t>CYNTHIA CHINENYE OKENMUO</t>
  </si>
  <si>
    <t>PERSONNEL OFFICER</t>
  </si>
  <si>
    <t>10(7)</t>
  </si>
  <si>
    <t>PERSONNEL ASSISTANT</t>
  </si>
  <si>
    <t>8(7)</t>
  </si>
  <si>
    <t>MARUF ABDULSALAM</t>
  </si>
  <si>
    <t>ASSET&amp; MAINT. OFFICER</t>
  </si>
  <si>
    <t>SIMON YAKUBU WAKAWA</t>
  </si>
  <si>
    <t>ASSET&amp; MAINT. ASST.</t>
  </si>
  <si>
    <t>MANAGER PROCUREMENT</t>
  </si>
  <si>
    <t>SALIHU LIMAN MAIRAFI</t>
  </si>
  <si>
    <t>PROCUREMENT OFFICER</t>
  </si>
  <si>
    <t>MARGARET LEONIE DUREKE</t>
  </si>
  <si>
    <t>PROCUREMENT ASSIST</t>
  </si>
  <si>
    <t>NWOSU MATHEW EZE</t>
  </si>
  <si>
    <t>MANAGER INT. AUDIT</t>
  </si>
  <si>
    <t>MAGAJI BALA</t>
  </si>
  <si>
    <t>MANGER ACCOUNTS</t>
  </si>
  <si>
    <t>SHEHU ABDULLAHI</t>
  </si>
  <si>
    <t>ACCOUNT ASSISTANT</t>
  </si>
  <si>
    <t>KENNETH OKEREAFOR</t>
  </si>
  <si>
    <t>MICT</t>
  </si>
  <si>
    <t>AM MICT</t>
  </si>
  <si>
    <t>13(7)</t>
  </si>
  <si>
    <t>ALIYU SANNI ABUBAKAR</t>
  </si>
  <si>
    <t>DATA &amp; DOCU. OFFICER</t>
  </si>
  <si>
    <t>CATHERINE E. IKOKOH</t>
  </si>
  <si>
    <t>BASHIRU ABBA WALI</t>
  </si>
  <si>
    <t>ASSIT. INT. AUDIT</t>
  </si>
  <si>
    <t>ANDRAWUS MUSA</t>
  </si>
  <si>
    <t>STORE OFFICER</t>
  </si>
  <si>
    <t>SALARY DETAILS OF NILS  ASSISTANT MANAGER</t>
  </si>
  <si>
    <t>SALARY DETAILS OF NILS SENIOR MOTOR DRIVER-MECHANIC</t>
  </si>
  <si>
    <t>GRADE LEVEL 5 STEP 7</t>
  </si>
  <si>
    <t>AKINSANMI ADEJOKE OLUKEMI</t>
  </si>
  <si>
    <t>AM INFORMATION</t>
  </si>
  <si>
    <t>JUMARE FADILA</t>
  </si>
  <si>
    <t>UZODINMA EMMANUEL EZENWA</t>
  </si>
  <si>
    <t>INFORMATION ASST</t>
  </si>
  <si>
    <t>EHIGIAMUSOE UYI KIZITO</t>
  </si>
  <si>
    <t>RESEARCH ASSISTANT</t>
  </si>
  <si>
    <t>9(7)</t>
  </si>
  <si>
    <t>IBRAHIM TASSNEEM</t>
  </si>
  <si>
    <t>OMOJU OLUWASOLA EMMANUEL</t>
  </si>
  <si>
    <t>DR ANUMUDU CHARLES NNAMDI</t>
  </si>
  <si>
    <t>DR MADU MAGNUS EMEKA</t>
  </si>
  <si>
    <t>ONYEAKU CHUKWUKA EDMOND</t>
  </si>
  <si>
    <t>OGBONNAYA UFIEM MAURICE</t>
  </si>
  <si>
    <t>OFORDEME ADAOBI JULIA</t>
  </si>
  <si>
    <t>UDEFUNA NNADOZIE PATRICK</t>
  </si>
  <si>
    <t>AKONGWALE SABASTINE</t>
  </si>
  <si>
    <t>ADAMU ISA ABBA</t>
  </si>
  <si>
    <t>INFO. MANAGER</t>
  </si>
  <si>
    <t>UMOLU ADAEZE OBIAMAKA</t>
  </si>
  <si>
    <t>INFO OFFICER</t>
  </si>
  <si>
    <t>IBRAHIM USMAN</t>
  </si>
  <si>
    <t>TONDO IORWUESEEDWARD</t>
  </si>
  <si>
    <t>OFFICER INT AUDIT</t>
  </si>
  <si>
    <t>DR KANAYO OGUJIUBA</t>
  </si>
  <si>
    <t>SUNDAY IGHOFOMA</t>
  </si>
  <si>
    <t>4(7)</t>
  </si>
  <si>
    <t>-</t>
  </si>
  <si>
    <t>NASS DEPLOYED STAFF</t>
  </si>
  <si>
    <t>DAHIRU M. ABDULLAHI</t>
  </si>
  <si>
    <t>MOSHOOD M. OLARELE</t>
  </si>
  <si>
    <t>15((9)</t>
  </si>
  <si>
    <t>DR ANAH O. PAMELA</t>
  </si>
  <si>
    <t>ADMIN OFFICER</t>
  </si>
  <si>
    <t>DIRECTOR GENERAL</t>
  </si>
  <si>
    <t>DD LEG. SP SERVICES</t>
  </si>
  <si>
    <t>SRF TRAINING</t>
  </si>
  <si>
    <t>SRF SOCIAL SECTOR</t>
  </si>
  <si>
    <t>SRF I SOCIAL SECTOR</t>
  </si>
  <si>
    <t>RESEARCH FELLOW1 DOCU</t>
  </si>
  <si>
    <t>DIR. FINANCE &amp; ADMIN</t>
  </si>
  <si>
    <t xml:space="preserve"> BU9J</t>
  </si>
  <si>
    <t>NASS Deployed Staff</t>
  </si>
  <si>
    <t>IDRIS AHMED</t>
  </si>
  <si>
    <t>PRISCILLA CHUKWU</t>
  </si>
  <si>
    <t>CHIEDO AKALEU</t>
  </si>
  <si>
    <t>MUSTAFA ABUBAKAR RUFAU</t>
  </si>
  <si>
    <t>OFFICER SPECIAL DUTIES</t>
  </si>
  <si>
    <t>FAROUK U. M ILLO</t>
  </si>
  <si>
    <t>PA DG</t>
  </si>
  <si>
    <t>AMINU F. HAMAJODA</t>
  </si>
  <si>
    <t>4</t>
  </si>
  <si>
    <t>NO OF</t>
  </si>
  <si>
    <t>STAFF</t>
  </si>
  <si>
    <t>AMOUNT</t>
  </si>
  <si>
    <t>DEDUCTIONS</t>
  </si>
  <si>
    <t>PROF OKECHUKWU OKO</t>
  </si>
  <si>
    <t>DIR. LEG. SP SERVICES</t>
  </si>
  <si>
    <t>NOMINAL ROLL AND 2012 PERSONEL COST ESTIMATION</t>
  </si>
  <si>
    <t>SALARY LEVEL</t>
  </si>
  <si>
    <t>ANNUAL SALARY</t>
  </si>
  <si>
    <t>CONS.</t>
  </si>
  <si>
    <t>S/NO</t>
  </si>
  <si>
    <t xml:space="preserve"> </t>
  </si>
  <si>
    <t>NUMBER</t>
  </si>
  <si>
    <t>1</t>
  </si>
  <si>
    <t>DIRECTORS</t>
  </si>
  <si>
    <t>DEUTY DIRECTORS</t>
  </si>
  <si>
    <t>2</t>
  </si>
  <si>
    <t>MANAGERS</t>
  </si>
  <si>
    <t>SENIOR RESEARCH FELLOWS</t>
  </si>
  <si>
    <t>ASSISTANT MANAGERS</t>
  </si>
  <si>
    <t>OFFICERS</t>
  </si>
  <si>
    <t>OFFICE ASSISTANTS</t>
  </si>
  <si>
    <t>20</t>
  </si>
  <si>
    <t>SECRETARIES</t>
  </si>
  <si>
    <t>DRIVERS</t>
  </si>
  <si>
    <t>EJEME PATRICK</t>
  </si>
  <si>
    <t>MOHAMMED R. ADAMU</t>
  </si>
  <si>
    <t>TERFA W. ABRAHAM</t>
  </si>
  <si>
    <t>LEGAL OFFICER</t>
  </si>
  <si>
    <t>BEDARI HARI</t>
  </si>
  <si>
    <t>FROM : DDF</t>
  </si>
  <si>
    <t>THROUGH: DFA</t>
  </si>
  <si>
    <t>TO: DG</t>
  </si>
  <si>
    <t>SALARY DETAILS OF NILS DIRECTOR RESEARCH AND TRAINING</t>
  </si>
  <si>
    <t>AMINCI THOMAS</t>
  </si>
  <si>
    <t>MANAGER LIB. &amp; DOCUM.</t>
  </si>
  <si>
    <t>MANAGER INFORMATION</t>
  </si>
  <si>
    <t>DR BADAYI M. SANI</t>
  </si>
  <si>
    <t>DIR. RES. &amp; TRAINING</t>
  </si>
  <si>
    <t>DR UMAR AMINU</t>
  </si>
  <si>
    <t>OGABO OGAH USMAN</t>
  </si>
  <si>
    <t>ETSU UMARU</t>
  </si>
  <si>
    <t xml:space="preserve">MURTALA LAWAL </t>
  </si>
  <si>
    <t>CHARLES I. OBUTTE</t>
  </si>
  <si>
    <t>CASUAL STAFF</t>
  </si>
  <si>
    <t>HARRISON O. OKAFOR</t>
  </si>
  <si>
    <t>IKPEAZU CHINEDU ANITA</t>
  </si>
  <si>
    <t>GLORIA NDIDI HELG</t>
  </si>
  <si>
    <t>CONFIDENTIAL SECRETARY</t>
  </si>
  <si>
    <t>BAKARI HUSSEINI</t>
  </si>
  <si>
    <t>SALARY OF SECRTARY ON SCALE 8 STEP 7</t>
  </si>
  <si>
    <t>PENSION</t>
  </si>
  <si>
    <t>JIBRIN USHAMA AHMED</t>
  </si>
  <si>
    <t>OFFICER LEGAL</t>
  </si>
  <si>
    <t>IBRAHIM A. BABANGISHIRI</t>
  </si>
  <si>
    <t>OFFICER INFORMATION</t>
  </si>
  <si>
    <t>YUSUFF ABISOLA GANIYAT</t>
  </si>
  <si>
    <t>RAHILA SALIHU</t>
  </si>
  <si>
    <t>46</t>
  </si>
  <si>
    <t>JUMMAI AJIYA</t>
  </si>
  <si>
    <t>JAAFARU MUSA</t>
  </si>
  <si>
    <t>HUSSAIN HAZEEM MOHAMMED</t>
  </si>
  <si>
    <t xml:space="preserve">                                   </t>
  </si>
  <si>
    <t>ARC OJO M.O</t>
  </si>
  <si>
    <t>ENGR. EBI THOMPSON</t>
  </si>
  <si>
    <t>ADEOGUN MORUF</t>
  </si>
  <si>
    <t>DD &amp; HEAD OF BUILDING</t>
  </si>
  <si>
    <t>ASSISTANT CHIEF ENGINEER</t>
  </si>
  <si>
    <t>PRINCIPAL Q.S</t>
  </si>
  <si>
    <t>SALARY ADV.</t>
  </si>
  <si>
    <t>9</t>
  </si>
  <si>
    <t>ABUBAKAR HAFSAH HASSAN</t>
  </si>
  <si>
    <t>IHEDORO S. NGOZICHUKWU</t>
  </si>
  <si>
    <t>JOLAYEMI FEBISOLA BUSAYO</t>
  </si>
  <si>
    <t>IWUAFOR CHIOMA PRINCESS</t>
  </si>
  <si>
    <t>OYEBANJI OMOTOYOSI TITILAYO</t>
  </si>
  <si>
    <t>MBEH ETTA KOLI</t>
  </si>
  <si>
    <t>HARUNA HAUWA IYA</t>
  </si>
  <si>
    <t>ABOMAN INNOCENT</t>
  </si>
  <si>
    <t>CLEANER</t>
  </si>
  <si>
    <t>Casual Staff/NYSC</t>
  </si>
  <si>
    <t>15</t>
  </si>
  <si>
    <t>MARCH, 2013</t>
  </si>
  <si>
    <t>VARIATION IN MARCH , 2013 OVER FEBRUARY,2013 SALARIES</t>
  </si>
  <si>
    <t>NET PAY AS PER MARCH, 2013 PAYROLL</t>
  </si>
  <si>
    <t xml:space="preserve">NET INCREASE  IN PAY FOR MARCH, 2013   </t>
  </si>
  <si>
    <t>NET INCREASE IN PAY FOR MARCH, 2013</t>
  </si>
  <si>
    <t>OKOYE AUGUSTINA CHINENYE</t>
  </si>
  <si>
    <t>CHINAKO N. ASOGWA</t>
  </si>
  <si>
    <t>LIBRARY OFFICER</t>
  </si>
  <si>
    <t>EDACHE  OGA</t>
  </si>
  <si>
    <t>AKEUSOLA SEGUN</t>
  </si>
  <si>
    <t>STAFF PAYROLL FOR THE MONTH OF APRIL, 2013</t>
  </si>
  <si>
    <t>Mar,13</t>
  </si>
  <si>
    <t>Apr, 13</t>
  </si>
  <si>
    <t>Salary</t>
  </si>
  <si>
    <t>Arears</t>
  </si>
  <si>
    <t>DATE: 22ND APRIL, 2013</t>
  </si>
  <si>
    <t>Subject: Payroll for the Month of April, 2013</t>
  </si>
  <si>
    <t>APRIL, 2013</t>
  </si>
  <si>
    <t>Find below the details of  NILS Staff Payroll for the month of April, 2013:</t>
  </si>
  <si>
    <t>NET PAY AS PER APRIL, 2013 PAYROLL</t>
  </si>
  <si>
    <t>Effect of Stoppage of Priscilla Salary Reinstatement in March</t>
  </si>
  <si>
    <t>Refund of Salary Advance Over deduction to Dr Kanayo</t>
  </si>
  <si>
    <t>Payment of 28 days allowance in Lieu of Hotel to Library Officer</t>
  </si>
  <si>
    <t>Stoppage of the Arears of Newly recruited Cleaner &amp; NYSC</t>
  </si>
  <si>
    <t>Effect of Stoppage of 13th Month Salary to Research Div.</t>
  </si>
  <si>
    <t>Effect of stoppage of Salary Arears toLibrary Officer Asogwa</t>
  </si>
  <si>
    <t>The net Salary Decrease is reconciled as follows:</t>
  </si>
  <si>
    <t>Payment of 13th Month allowance to AM Library</t>
  </si>
  <si>
    <t>Refund of Salary Underpayment to Priscilla in March</t>
  </si>
  <si>
    <t>Effect of completion of Salary Advance deduction to staff</t>
  </si>
  <si>
    <t>Payment of Uncredited Feb/March NYSC Allce to Ihedoro S. N.</t>
  </si>
  <si>
    <t>Effect of stoppage of Feb non Remmitance to Gloria Helg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</si>
  <si>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N21,992,718.92 </t>
    </r>
    <r>
      <rPr>
        <sz val="14"/>
        <rFont val="Times New Roman"/>
        <family val="1"/>
      </rPr>
      <t>to First Bank for April, 2013 Salary,</t>
    </r>
    <r>
      <rPr>
        <b/>
        <sz val="14"/>
        <rFont val="Times New Roman"/>
        <family val="1"/>
      </rPr>
      <t xml:space="preserve">N667,813.76 </t>
    </r>
    <r>
      <rPr>
        <sz val="14"/>
        <rFont val="Times New Roman"/>
        <family val="1"/>
      </rPr>
      <t>to Various Pension Fund Administrators of Staff and</t>
    </r>
    <r>
      <rPr>
        <b/>
        <sz val="14"/>
        <rFont val="Times New Roman"/>
        <family val="1"/>
      </rPr>
      <t xml:space="preserve"> N703,252.08</t>
    </r>
    <r>
      <rPr>
        <sz val="14"/>
        <rFont val="Times New Roman"/>
        <family val="1"/>
      </rPr>
      <t xml:space="preserve"> as PAYE TAX Deductions from Staff Salary for April, 2013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</si>
</sst>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(* #,##0.00_);_(* \(#,##0.00\);_(* &quot;-&quot;??_);_(@_)"/>
  </numFmts>
  <fonts count="30" x14ac:knownFonts="1">
    <font>
      <sz val="10"/>
      <name val="Arial"/>
    </font>
    <font>
      <sz val="10"/>
      <name val="Arial"/>
    </font>
    <font>
      <sz val="14"/>
      <name val="Times New Roman"/>
      <family val="1"/>
    </font>
    <font>
      <b/>
      <u/>
      <sz val="16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u/>
      <sz val="14"/>
      <name val="Times New Roman"/>
      <family val="1"/>
    </font>
    <font>
      <b/>
      <u val="double"/>
      <sz val="14"/>
      <name val="Times New Roman"/>
      <family val="1"/>
    </font>
    <font>
      <b/>
      <u val="double"/>
      <sz val="16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u val="double"/>
      <sz val="14"/>
      <name val="Tahoma"/>
      <family val="2"/>
    </font>
    <font>
      <sz val="14"/>
      <name val="Tahoma"/>
      <family val="2"/>
    </font>
    <font>
      <b/>
      <sz val="14"/>
      <name val="Tahoma"/>
      <family val="2"/>
    </font>
    <font>
      <b/>
      <u/>
      <sz val="14"/>
      <name val="Tahoma"/>
      <family val="2"/>
    </font>
    <font>
      <sz val="14"/>
      <color indexed="9"/>
      <name val="Tahoma"/>
      <family val="2"/>
    </font>
    <font>
      <b/>
      <u/>
      <sz val="14"/>
      <color indexed="8"/>
      <name val="Tahoma"/>
      <family val="2"/>
    </font>
    <font>
      <b/>
      <sz val="14"/>
      <color indexed="8"/>
      <name val="Tahoma"/>
      <family val="2"/>
    </font>
    <font>
      <b/>
      <strike/>
      <sz val="14"/>
      <name val="Tahoma"/>
      <family val="2"/>
    </font>
    <font>
      <sz val="14"/>
      <color indexed="8"/>
      <name val="Tahoma"/>
      <family val="2"/>
    </font>
    <font>
      <b/>
      <sz val="16"/>
      <name val="Times New Roman"/>
      <family val="1"/>
    </font>
    <font>
      <u val="singleAccounting"/>
      <sz val="14"/>
      <name val="Times New Roman"/>
      <family val="1"/>
    </font>
    <font>
      <sz val="14"/>
      <color rgb="FFFF0000"/>
      <name val="Tahoma"/>
      <family val="2"/>
    </font>
    <font>
      <sz val="14"/>
      <color rgb="FFFFFF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7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17" fontId="4" fillId="0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4" fontId="2" fillId="0" borderId="0" xfId="0" applyNumberFormat="1" applyFont="1" applyAlignment="1"/>
    <xf numFmtId="0" fontId="2" fillId="0" borderId="0" xfId="0" applyFont="1" applyAlignment="1"/>
    <xf numFmtId="4" fontId="7" fillId="0" borderId="0" xfId="0" applyNumberFormat="1" applyFont="1" applyAlignment="1"/>
    <xf numFmtId="0" fontId="2" fillId="0" borderId="0" xfId="0" applyFont="1" applyAlignment="1">
      <alignment horizontal="left"/>
    </xf>
    <xf numFmtId="171" fontId="8" fillId="0" borderId="0" xfId="1" applyFont="1" applyBorder="1" applyAlignment="1"/>
    <xf numFmtId="0" fontId="5" fillId="0" borderId="1" xfId="0" applyFont="1" applyBorder="1" applyAlignment="1">
      <alignment horizontal="center"/>
    </xf>
    <xf numFmtId="171" fontId="13" fillId="2" borderId="1" xfId="1" applyFont="1" applyFill="1" applyBorder="1" applyAlignment="1">
      <alignment horizontal="right"/>
    </xf>
    <xf numFmtId="0" fontId="16" fillId="0" borderId="0" xfId="0" applyFont="1"/>
    <xf numFmtId="171" fontId="5" fillId="0" borderId="0" xfId="0" applyNumberFormat="1" applyFont="1" applyAlignment="1"/>
    <xf numFmtId="171" fontId="2" fillId="0" borderId="1" xfId="1" applyFont="1" applyBorder="1" applyAlignment="1"/>
    <xf numFmtId="0" fontId="2" fillId="0" borderId="0" xfId="0" applyFont="1" applyAlignment="1">
      <alignment horizontal="center"/>
    </xf>
    <xf numFmtId="171" fontId="2" fillId="0" borderId="1" xfId="0" applyNumberFormat="1" applyFont="1" applyBorder="1"/>
    <xf numFmtId="171" fontId="5" fillId="0" borderId="1" xfId="0" applyNumberFormat="1" applyFont="1" applyBorder="1"/>
    <xf numFmtId="49" fontId="13" fillId="3" borderId="1" xfId="0" applyNumberFormat="1" applyFont="1" applyFill="1" applyBorder="1" applyAlignment="1">
      <alignment horizontal="left"/>
    </xf>
    <xf numFmtId="171" fontId="2" fillId="3" borderId="1" xfId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71" fontId="2" fillId="0" borderId="0" xfId="1" applyFont="1"/>
    <xf numFmtId="0" fontId="2" fillId="3" borderId="1" xfId="0" applyFont="1" applyFill="1" applyBorder="1"/>
    <xf numFmtId="171" fontId="2" fillId="3" borderId="1" xfId="1" quotePrefix="1" applyFont="1" applyFill="1" applyBorder="1" applyAlignment="1">
      <alignment horizontal="right"/>
    </xf>
    <xf numFmtId="171" fontId="13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17" fillId="0" borderId="0" xfId="0" applyFont="1" applyAlignment="1">
      <alignment horizontal="left"/>
    </xf>
    <xf numFmtId="0" fontId="18" fillId="0" borderId="0" xfId="0" applyFont="1"/>
    <xf numFmtId="4" fontId="18" fillId="0" borderId="0" xfId="0" applyNumberFormat="1" applyFont="1"/>
    <xf numFmtId="0" fontId="20" fillId="0" borderId="0" xfId="0" applyFont="1" applyAlignment="1">
      <alignment horizontal="left"/>
    </xf>
    <xf numFmtId="17" fontId="20" fillId="0" borderId="0" xfId="0" applyNumberFormat="1" applyFont="1" applyAlignment="1">
      <alignment horizontal="left"/>
    </xf>
    <xf numFmtId="4" fontId="21" fillId="0" borderId="0" xfId="0" applyNumberFormat="1" applyFont="1"/>
    <xf numFmtId="0" fontId="21" fillId="0" borderId="0" xfId="0" applyFont="1" applyFill="1"/>
    <xf numFmtId="0" fontId="18" fillId="0" borderId="0" xfId="0" applyFont="1" applyFill="1"/>
    <xf numFmtId="0" fontId="20" fillId="0" borderId="0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49" fontId="23" fillId="0" borderId="1" xfId="0" applyNumberFormat="1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49" fontId="25" fillId="0" borderId="1" xfId="0" applyNumberFormat="1" applyFont="1" applyBorder="1" applyAlignment="1">
      <alignment horizontal="left"/>
    </xf>
    <xf numFmtId="171" fontId="18" fillId="0" borderId="1" xfId="1" quotePrefix="1" applyFont="1" applyBorder="1" applyAlignment="1">
      <alignment horizontal="right"/>
    </xf>
    <xf numFmtId="0" fontId="18" fillId="0" borderId="1" xfId="0" applyFont="1" applyBorder="1"/>
    <xf numFmtId="20" fontId="18" fillId="0" borderId="1" xfId="0" applyNumberFormat="1" applyFont="1" applyBorder="1"/>
    <xf numFmtId="0" fontId="19" fillId="0" borderId="1" xfId="0" applyFont="1" applyBorder="1"/>
    <xf numFmtId="0" fontId="20" fillId="0" borderId="1" xfId="0" applyFont="1" applyBorder="1" applyAlignment="1">
      <alignment horizontal="left"/>
    </xf>
    <xf numFmtId="49" fontId="25" fillId="0" borderId="1" xfId="0" applyNumberFormat="1" applyFont="1" applyBorder="1" applyAlignment="1"/>
    <xf numFmtId="49" fontId="23" fillId="0" borderId="1" xfId="0" applyNumberFormat="1" applyFont="1" applyBorder="1" applyAlignment="1"/>
    <xf numFmtId="16" fontId="18" fillId="0" borderId="1" xfId="0" applyNumberFormat="1" applyFont="1" applyBorder="1"/>
    <xf numFmtId="49" fontId="23" fillId="0" borderId="2" xfId="0" applyNumberFormat="1" applyFont="1" applyBorder="1" applyAlignment="1">
      <alignment horizontal="left"/>
    </xf>
    <xf numFmtId="49" fontId="23" fillId="0" borderId="3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25" fillId="0" borderId="1" xfId="0" applyNumberFormat="1" applyFont="1" applyBorder="1" applyAlignment="1">
      <alignment horizontal="center"/>
    </xf>
    <xf numFmtId="17" fontId="20" fillId="0" borderId="1" xfId="0" applyNumberFormat="1" applyFont="1" applyBorder="1" applyAlignment="1">
      <alignment horizontal="center"/>
    </xf>
    <xf numFmtId="0" fontId="18" fillId="4" borderId="1" xfId="0" applyFont="1" applyFill="1" applyBorder="1"/>
    <xf numFmtId="0" fontId="18" fillId="4" borderId="1" xfId="0" applyFont="1" applyFill="1" applyBorder="1" applyAlignment="1">
      <alignment horizontal="center"/>
    </xf>
    <xf numFmtId="171" fontId="18" fillId="4" borderId="1" xfId="1" quotePrefix="1" applyFont="1" applyFill="1" applyBorder="1" applyAlignment="1">
      <alignment horizontal="right"/>
    </xf>
    <xf numFmtId="171" fontId="18" fillId="4" borderId="1" xfId="1" applyFont="1" applyFill="1" applyBorder="1" applyAlignment="1">
      <alignment horizontal="right"/>
    </xf>
    <xf numFmtId="49" fontId="25" fillId="4" borderId="1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center"/>
    </xf>
    <xf numFmtId="20" fontId="18" fillId="4" borderId="1" xfId="0" applyNumberFormat="1" applyFont="1" applyFill="1" applyBorder="1" applyAlignment="1">
      <alignment horizontal="center"/>
    </xf>
    <xf numFmtId="49" fontId="25" fillId="0" borderId="2" xfId="0" applyNumberFormat="1" applyFont="1" applyBorder="1" applyAlignment="1">
      <alignment horizontal="left"/>
    </xf>
    <xf numFmtId="49" fontId="25" fillId="0" borderId="3" xfId="0" applyNumberFormat="1" applyFont="1" applyBorder="1" applyAlignment="1">
      <alignment horizontal="left"/>
    </xf>
    <xf numFmtId="49" fontId="25" fillId="0" borderId="4" xfId="0" applyNumberFormat="1" applyFont="1" applyBorder="1" applyAlignment="1">
      <alignment horizontal="left"/>
    </xf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0" fontId="19" fillId="4" borderId="1" xfId="0" applyFont="1" applyFill="1" applyBorder="1" applyAlignment="1">
      <alignment horizontal="center"/>
    </xf>
    <xf numFmtId="171" fontId="20" fillId="4" borderId="1" xfId="1" applyFont="1" applyFill="1" applyBorder="1" applyAlignment="1">
      <alignment horizontal="right"/>
    </xf>
    <xf numFmtId="0" fontId="20" fillId="4" borderId="1" xfId="0" applyFont="1" applyFill="1" applyBorder="1" applyAlignment="1">
      <alignment horizontal="left"/>
    </xf>
    <xf numFmtId="0" fontId="20" fillId="4" borderId="1" xfId="0" applyFont="1" applyFill="1" applyBorder="1" applyAlignment="1">
      <alignment horizontal="center"/>
    </xf>
    <xf numFmtId="171" fontId="21" fillId="4" borderId="1" xfId="1" applyFont="1" applyFill="1" applyBorder="1" applyAlignment="1">
      <alignment horizontal="right"/>
    </xf>
    <xf numFmtId="171" fontId="19" fillId="4" borderId="1" xfId="1" quotePrefix="1" applyFont="1" applyFill="1" applyBorder="1" applyAlignment="1">
      <alignment horizontal="right"/>
    </xf>
    <xf numFmtId="171" fontId="19" fillId="4" borderId="1" xfId="1" applyFont="1" applyFill="1" applyBorder="1" applyAlignment="1">
      <alignment horizontal="right"/>
    </xf>
    <xf numFmtId="49" fontId="23" fillId="4" borderId="1" xfId="0" applyNumberFormat="1" applyFont="1" applyFill="1" applyBorder="1" applyAlignment="1"/>
    <xf numFmtId="49" fontId="23" fillId="4" borderId="2" xfId="0" applyNumberFormat="1" applyFont="1" applyFill="1" applyBorder="1" applyAlignment="1">
      <alignment horizontal="left"/>
    </xf>
    <xf numFmtId="49" fontId="23" fillId="4" borderId="3" xfId="0" applyNumberFormat="1" applyFont="1" applyFill="1" applyBorder="1" applyAlignment="1">
      <alignment horizontal="left"/>
    </xf>
    <xf numFmtId="49" fontId="23" fillId="4" borderId="4" xfId="0" applyNumberFormat="1" applyFont="1" applyFill="1" applyBorder="1" applyAlignment="1">
      <alignment horizontal="left"/>
    </xf>
    <xf numFmtId="171" fontId="18" fillId="4" borderId="1" xfId="1" applyFont="1" applyFill="1" applyBorder="1"/>
    <xf numFmtId="49" fontId="23" fillId="4" borderId="1" xfId="0" applyNumberFormat="1" applyFont="1" applyFill="1" applyBorder="1" applyAlignment="1">
      <alignment horizontal="center"/>
    </xf>
    <xf numFmtId="4" fontId="19" fillId="4" borderId="1" xfId="0" applyNumberFormat="1" applyFont="1" applyFill="1" applyBorder="1" applyAlignment="1">
      <alignment horizontal="left"/>
    </xf>
    <xf numFmtId="4" fontId="19" fillId="4" borderId="1" xfId="0" applyNumberFormat="1" applyFont="1" applyFill="1" applyBorder="1" applyAlignment="1">
      <alignment horizontal="center"/>
    </xf>
    <xf numFmtId="171" fontId="17" fillId="4" borderId="1" xfId="1" applyFont="1" applyFill="1" applyBorder="1" applyAlignment="1">
      <alignment horizontal="right"/>
    </xf>
    <xf numFmtId="4" fontId="17" fillId="4" borderId="1" xfId="0" applyNumberFormat="1" applyFont="1" applyFill="1" applyBorder="1" applyAlignment="1">
      <alignment horizontal="left"/>
    </xf>
    <xf numFmtId="4" fontId="17" fillId="4" borderId="1" xfId="0" applyNumberFormat="1" applyFont="1" applyFill="1" applyBorder="1" applyAlignment="1">
      <alignment horizontal="center"/>
    </xf>
    <xf numFmtId="4" fontId="17" fillId="4" borderId="1" xfId="0" applyNumberFormat="1" applyFont="1" applyFill="1" applyBorder="1" applyAlignment="1">
      <alignment horizontal="right"/>
    </xf>
    <xf numFmtId="4" fontId="11" fillId="4" borderId="1" xfId="0" applyNumberFormat="1" applyFont="1" applyFill="1" applyBorder="1" applyAlignment="1">
      <alignment horizontal="center"/>
    </xf>
    <xf numFmtId="4" fontId="8" fillId="4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4" fontId="11" fillId="4" borderId="1" xfId="0" applyNumberFormat="1" applyFont="1" applyFill="1" applyBorder="1" applyAlignment="1">
      <alignment horizontal="center"/>
    </xf>
    <xf numFmtId="0" fontId="18" fillId="4" borderId="1" xfId="0" applyFont="1" applyFill="1" applyBorder="1"/>
    <xf numFmtId="171" fontId="2" fillId="0" borderId="0" xfId="0" applyNumberFormat="1" applyFont="1"/>
    <xf numFmtId="49" fontId="25" fillId="4" borderId="1" xfId="0" applyNumberFormat="1" applyFont="1" applyFill="1" applyBorder="1" applyAlignment="1">
      <alignment horizontal="left"/>
    </xf>
    <xf numFmtId="0" fontId="2" fillId="4" borderId="1" xfId="0" applyFont="1" applyFill="1" applyBorder="1"/>
    <xf numFmtId="49" fontId="25" fillId="4" borderId="1" xfId="0" applyNumberFormat="1" applyFont="1" applyFill="1" applyBorder="1" applyAlignment="1">
      <alignment horizontal="left"/>
    </xf>
    <xf numFmtId="0" fontId="5" fillId="0" borderId="1" xfId="0" applyFont="1" applyBorder="1"/>
    <xf numFmtId="49" fontId="13" fillId="4" borderId="1" xfId="0" applyNumberFormat="1" applyFont="1" applyFill="1" applyBorder="1" applyAlignment="1">
      <alignment horizontal="left"/>
    </xf>
    <xf numFmtId="49" fontId="13" fillId="4" borderId="1" xfId="0" applyNumberFormat="1" applyFont="1" applyFill="1" applyBorder="1" applyAlignment="1">
      <alignment horizontal="center"/>
    </xf>
    <xf numFmtId="171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71" fontId="2" fillId="4" borderId="1" xfId="1" quotePrefix="1" applyFont="1" applyFill="1" applyBorder="1" applyAlignment="1">
      <alignment horizontal="right"/>
    </xf>
    <xf numFmtId="171" fontId="2" fillId="0" borderId="1" xfId="1" applyFont="1" applyBorder="1"/>
    <xf numFmtId="171" fontId="5" fillId="0" borderId="1" xfId="1" applyFont="1" applyBorder="1"/>
    <xf numFmtId="0" fontId="2" fillId="4" borderId="1" xfId="0" applyNumberFormat="1" applyFont="1" applyFill="1" applyBorder="1" applyAlignment="1">
      <alignment horizontal="center"/>
    </xf>
    <xf numFmtId="0" fontId="18" fillId="4" borderId="1" xfId="0" applyFont="1" applyFill="1" applyBorder="1"/>
    <xf numFmtId="49" fontId="25" fillId="4" borderId="1" xfId="0" applyNumberFormat="1" applyFont="1" applyFill="1" applyBorder="1" applyAlignment="1">
      <alignment horizontal="left"/>
    </xf>
    <xf numFmtId="0" fontId="18" fillId="4" borderId="1" xfId="0" applyFont="1" applyFill="1" applyBorder="1"/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15" fillId="0" borderId="0" xfId="0" applyFont="1"/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18" fillId="4" borderId="1" xfId="0" applyFont="1" applyFill="1" applyBorder="1"/>
    <xf numFmtId="171" fontId="5" fillId="0" borderId="0" xfId="0" applyNumberFormat="1" applyFont="1"/>
    <xf numFmtId="171" fontId="2" fillId="0" borderId="0" xfId="0" applyNumberFormat="1" applyFont="1" applyBorder="1"/>
    <xf numFmtId="0" fontId="2" fillId="0" borderId="0" xfId="0" applyFont="1" applyBorder="1"/>
    <xf numFmtId="171" fontId="27" fillId="0" borderId="0" xfId="1" applyFont="1"/>
    <xf numFmtId="4" fontId="11" fillId="4" borderId="1" xfId="0" applyNumberFormat="1" applyFont="1" applyFill="1" applyBorder="1" applyAlignment="1">
      <alignment horizontal="center"/>
    </xf>
    <xf numFmtId="49" fontId="25" fillId="4" borderId="1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25" fillId="4" borderId="1" xfId="0" applyNumberFormat="1" applyFont="1" applyFill="1" applyBorder="1" applyAlignment="1">
      <alignment horizontal="left"/>
    </xf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18" fillId="4" borderId="1" xfId="0" applyFont="1" applyFill="1" applyBorder="1"/>
    <xf numFmtId="49" fontId="25" fillId="3" borderId="1" xfId="0" applyNumberFormat="1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20" fontId="18" fillId="5" borderId="1" xfId="0" applyNumberFormat="1" applyFont="1" applyFill="1" applyBorder="1" applyAlignment="1">
      <alignment horizontal="center"/>
    </xf>
    <xf numFmtId="49" fontId="25" fillId="5" borderId="1" xfId="0" applyNumberFormat="1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49" fontId="25" fillId="6" borderId="1" xfId="0" applyNumberFormat="1" applyFont="1" applyFill="1" applyBorder="1" applyAlignment="1">
      <alignment horizontal="center"/>
    </xf>
    <xf numFmtId="20" fontId="18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9" fontId="28" fillId="4" borderId="1" xfId="0" applyNumberFormat="1" applyFont="1" applyFill="1" applyBorder="1" applyAlignment="1">
      <alignment horizontal="center"/>
    </xf>
    <xf numFmtId="49" fontId="18" fillId="3" borderId="1" xfId="0" applyNumberFormat="1" applyFont="1" applyFill="1" applyBorder="1" applyAlignment="1">
      <alignment horizontal="center"/>
    </xf>
    <xf numFmtId="49" fontId="25" fillId="4" borderId="1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9" fontId="23" fillId="4" borderId="2" xfId="0" applyNumberFormat="1" applyFont="1" applyFill="1" applyBorder="1" applyAlignment="1">
      <alignment horizontal="left"/>
    </xf>
    <xf numFmtId="49" fontId="23" fillId="4" borderId="4" xfId="0" applyNumberFormat="1" applyFont="1" applyFill="1" applyBorder="1" applyAlignment="1">
      <alignment horizontal="left"/>
    </xf>
    <xf numFmtId="49" fontId="23" fillId="4" borderId="1" xfId="0" applyNumberFormat="1" applyFont="1" applyFill="1" applyBorder="1" applyAlignment="1">
      <alignment horizontal="left"/>
    </xf>
    <xf numFmtId="0" fontId="18" fillId="4" borderId="2" xfId="0" applyFont="1" applyFill="1" applyBorder="1" applyAlignment="1">
      <alignment horizontal="left"/>
    </xf>
    <xf numFmtId="0" fontId="18" fillId="4" borderId="3" xfId="0" applyFont="1" applyFill="1" applyBorder="1" applyAlignment="1">
      <alignment horizontal="left"/>
    </xf>
    <xf numFmtId="0" fontId="18" fillId="4" borderId="4" xfId="0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0" fontId="18" fillId="4" borderId="4" xfId="0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0" fontId="18" fillId="4" borderId="2" xfId="0" applyFont="1" applyFill="1" applyBorder="1" applyAlignment="1">
      <alignment horizontal="left"/>
    </xf>
    <xf numFmtId="0" fontId="18" fillId="4" borderId="3" xfId="0" applyFont="1" applyFill="1" applyBorder="1" applyAlignment="1">
      <alignment horizontal="left"/>
    </xf>
    <xf numFmtId="0" fontId="18" fillId="4" borderId="4" xfId="0" applyFont="1" applyFill="1" applyBorder="1" applyAlignment="1">
      <alignment horizontal="left"/>
    </xf>
    <xf numFmtId="0" fontId="18" fillId="4" borderId="1" xfId="0" applyFont="1" applyFill="1" applyBorder="1"/>
    <xf numFmtId="49" fontId="25" fillId="3" borderId="4" xfId="0" applyNumberFormat="1" applyFont="1" applyFill="1" applyBorder="1" applyAlignment="1">
      <alignment horizontal="left"/>
    </xf>
    <xf numFmtId="171" fontId="19" fillId="4" borderId="2" xfId="1" quotePrefix="1" applyFont="1" applyFill="1" applyBorder="1" applyAlignment="1">
      <alignment horizontal="right"/>
    </xf>
    <xf numFmtId="171" fontId="18" fillId="4" borderId="2" xfId="1" applyFont="1" applyFill="1" applyBorder="1" applyAlignment="1">
      <alignment horizontal="right"/>
    </xf>
    <xf numFmtId="171" fontId="17" fillId="4" borderId="2" xfId="1" applyFont="1" applyFill="1" applyBorder="1" applyAlignment="1">
      <alignment horizontal="right"/>
    </xf>
    <xf numFmtId="4" fontId="17" fillId="4" borderId="2" xfId="0" applyNumberFormat="1" applyFont="1" applyFill="1" applyBorder="1" applyAlignment="1">
      <alignment horizontal="right"/>
    </xf>
    <xf numFmtId="4" fontId="8" fillId="4" borderId="2" xfId="0" applyNumberFormat="1" applyFont="1" applyFill="1" applyBorder="1" applyAlignment="1">
      <alignment horizontal="right"/>
    </xf>
    <xf numFmtId="0" fontId="18" fillId="4" borderId="1" xfId="0" applyFont="1" applyFill="1" applyBorder="1"/>
    <xf numFmtId="171" fontId="29" fillId="0" borderId="0" xfId="0" applyNumberFormat="1" applyFont="1"/>
    <xf numFmtId="0" fontId="18" fillId="4" borderId="1" xfId="0" applyFont="1" applyFill="1" applyBorder="1" applyAlignment="1">
      <alignment horizontal="left"/>
    </xf>
    <xf numFmtId="49" fontId="25" fillId="4" borderId="1" xfId="0" applyNumberFormat="1" applyFont="1" applyFill="1" applyBorder="1" applyAlignment="1">
      <alignment horizontal="left"/>
    </xf>
    <xf numFmtId="49" fontId="23" fillId="4" borderId="2" xfId="0" applyNumberFormat="1" applyFont="1" applyFill="1" applyBorder="1" applyAlignment="1">
      <alignment horizontal="left"/>
    </xf>
    <xf numFmtId="49" fontId="23" fillId="4" borderId="3" xfId="0" applyNumberFormat="1" applyFont="1" applyFill="1" applyBorder="1" applyAlignment="1">
      <alignment horizontal="left"/>
    </xf>
    <xf numFmtId="49" fontId="23" fillId="4" borderId="4" xfId="0" applyNumberFormat="1" applyFont="1" applyFill="1" applyBorder="1" applyAlignment="1">
      <alignment horizontal="left"/>
    </xf>
    <xf numFmtId="49" fontId="25" fillId="4" borderId="2" xfId="0" applyNumberFormat="1" applyFont="1" applyFill="1" applyBorder="1" applyAlignment="1"/>
    <xf numFmtId="49" fontId="25" fillId="4" borderId="3" xfId="0" applyNumberFormat="1" applyFont="1" applyFill="1" applyBorder="1" applyAlignment="1"/>
    <xf numFmtId="49" fontId="25" fillId="4" borderId="4" xfId="0" applyNumberFormat="1" applyFont="1" applyFill="1" applyBorder="1" applyAlignment="1"/>
    <xf numFmtId="0" fontId="20" fillId="0" borderId="5" xfId="0" applyFont="1" applyBorder="1" applyAlignment="1">
      <alignment horizontal="center"/>
    </xf>
    <xf numFmtId="49" fontId="25" fillId="4" borderId="2" xfId="0" applyNumberFormat="1" applyFont="1" applyFill="1" applyBorder="1" applyAlignment="1">
      <alignment horizontal="left"/>
    </xf>
    <xf numFmtId="49" fontId="25" fillId="4" borderId="3" xfId="0" applyNumberFormat="1" applyFont="1" applyFill="1" applyBorder="1" applyAlignment="1">
      <alignment horizontal="left"/>
    </xf>
    <xf numFmtId="49" fontId="25" fillId="4" borderId="4" xfId="0" applyNumberFormat="1" applyFont="1" applyFill="1" applyBorder="1" applyAlignment="1">
      <alignment horizontal="left"/>
    </xf>
    <xf numFmtId="49" fontId="23" fillId="4" borderId="2" xfId="0" applyNumberFormat="1" applyFont="1" applyFill="1" applyBorder="1" applyAlignment="1">
      <alignment horizontal="center"/>
    </xf>
    <xf numFmtId="49" fontId="23" fillId="4" borderId="3" xfId="0" applyNumberFormat="1" applyFont="1" applyFill="1" applyBorder="1" applyAlignment="1">
      <alignment horizontal="center"/>
    </xf>
    <xf numFmtId="49" fontId="23" fillId="4" borderId="4" xfId="0" applyNumberFormat="1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left"/>
    </xf>
    <xf numFmtId="0" fontId="20" fillId="0" borderId="0" xfId="0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28" fillId="4" borderId="2" xfId="0" applyFont="1" applyFill="1" applyBorder="1" applyAlignment="1"/>
    <xf numFmtId="0" fontId="28" fillId="4" borderId="3" xfId="0" applyFont="1" applyFill="1" applyBorder="1" applyAlignment="1"/>
    <xf numFmtId="0" fontId="28" fillId="4" borderId="4" xfId="0" applyFont="1" applyFill="1" applyBorder="1" applyAlignment="1"/>
    <xf numFmtId="0" fontId="19" fillId="0" borderId="1" xfId="0" applyFont="1" applyBorder="1" applyAlignment="1">
      <alignment horizontal="center"/>
    </xf>
    <xf numFmtId="0" fontId="19" fillId="4" borderId="1" xfId="0" applyFont="1" applyFill="1" applyBorder="1"/>
    <xf numFmtId="0" fontId="18" fillId="4" borderId="2" xfId="0" applyFont="1" applyFill="1" applyBorder="1" applyAlignment="1">
      <alignment horizontal="left"/>
    </xf>
    <xf numFmtId="0" fontId="18" fillId="4" borderId="3" xfId="0" applyFont="1" applyFill="1" applyBorder="1" applyAlignment="1">
      <alignment horizontal="left"/>
    </xf>
    <xf numFmtId="0" fontId="18" fillId="4" borderId="4" xfId="0" applyFont="1" applyFill="1" applyBorder="1" applyAlignment="1">
      <alignment horizontal="left"/>
    </xf>
    <xf numFmtId="0" fontId="20" fillId="4" borderId="1" xfId="0" applyFont="1" applyFill="1" applyBorder="1" applyAlignment="1">
      <alignment horizontal="left"/>
    </xf>
    <xf numFmtId="0" fontId="18" fillId="4" borderId="2" xfId="0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18" fillId="4" borderId="4" xfId="0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49" fontId="22" fillId="0" borderId="1" xfId="0" applyNumberFormat="1" applyFont="1" applyBorder="1" applyAlignment="1">
      <alignment horizontal="left"/>
    </xf>
    <xf numFmtId="0" fontId="18" fillId="4" borderId="1" xfId="0" applyFont="1" applyFill="1" applyBorder="1"/>
    <xf numFmtId="49" fontId="28" fillId="4" borderId="2" xfId="0" applyNumberFormat="1" applyFont="1" applyFill="1" applyBorder="1" applyAlignment="1">
      <alignment horizontal="left"/>
    </xf>
    <xf numFmtId="49" fontId="28" fillId="4" borderId="3" xfId="0" applyNumberFormat="1" applyFont="1" applyFill="1" applyBorder="1" applyAlignment="1">
      <alignment horizontal="left"/>
    </xf>
    <xf numFmtId="49" fontId="28" fillId="4" borderId="4" xfId="0" applyNumberFormat="1" applyFont="1" applyFill="1" applyBorder="1" applyAlignment="1">
      <alignment horizontal="left"/>
    </xf>
    <xf numFmtId="49" fontId="28" fillId="4" borderId="1" xfId="0" applyNumberFormat="1" applyFont="1" applyFill="1" applyBorder="1" applyAlignment="1">
      <alignment horizontal="left"/>
    </xf>
    <xf numFmtId="4" fontId="11" fillId="4" borderId="1" xfId="0" applyNumberFormat="1" applyFont="1" applyFill="1" applyBorder="1" applyAlignment="1">
      <alignment horizontal="left"/>
    </xf>
    <xf numFmtId="4" fontId="17" fillId="4" borderId="1" xfId="0" applyNumberFormat="1" applyFont="1" applyFill="1" applyBorder="1" applyAlignment="1">
      <alignment horizontal="left"/>
    </xf>
    <xf numFmtId="4" fontId="11" fillId="4" borderId="1" xfId="0" applyNumberFormat="1" applyFont="1" applyFill="1" applyBorder="1" applyAlignment="1">
      <alignment horizontal="center"/>
    </xf>
    <xf numFmtId="4" fontId="17" fillId="4" borderId="2" xfId="0" applyNumberFormat="1" applyFont="1" applyFill="1" applyBorder="1" applyAlignment="1">
      <alignment horizontal="center"/>
    </xf>
    <xf numFmtId="4" fontId="17" fillId="4" borderId="3" xfId="0" applyNumberFormat="1" applyFont="1" applyFill="1" applyBorder="1" applyAlignment="1">
      <alignment horizontal="center"/>
    </xf>
    <xf numFmtId="4" fontId="17" fillId="4" borderId="4" xfId="0" applyNumberFormat="1" applyFont="1" applyFill="1" applyBorder="1" applyAlignment="1">
      <alignment horizontal="center"/>
    </xf>
    <xf numFmtId="4" fontId="8" fillId="4" borderId="2" xfId="0" applyNumberFormat="1" applyFont="1" applyFill="1" applyBorder="1" applyAlignment="1">
      <alignment horizontal="center"/>
    </xf>
    <xf numFmtId="4" fontId="8" fillId="4" borderId="3" xfId="0" applyNumberFormat="1" applyFont="1" applyFill="1" applyBorder="1" applyAlignment="1">
      <alignment horizontal="center"/>
    </xf>
    <xf numFmtId="4" fontId="8" fillId="4" borderId="4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/>
    <xf numFmtId="0" fontId="2" fillId="0" borderId="0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49" fontId="13" fillId="3" borderId="2" xfId="0" applyNumberFormat="1" applyFont="1" applyFill="1" applyBorder="1" applyAlignment="1">
      <alignment horizontal="left"/>
    </xf>
    <xf numFmtId="49" fontId="13" fillId="3" borderId="3" xfId="0" applyNumberFormat="1" applyFont="1" applyFill="1" applyBorder="1" applyAlignment="1">
      <alignment horizontal="left"/>
    </xf>
    <xf numFmtId="49" fontId="13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18" fillId="0" borderId="1" xfId="0" applyFont="1" applyBorder="1" applyAlignment="1">
      <alignment horizontal="left"/>
    </xf>
    <xf numFmtId="49" fontId="25" fillId="0" borderId="1" xfId="0" applyNumberFormat="1" applyFont="1" applyBorder="1" applyAlignment="1">
      <alignment horizontal="left"/>
    </xf>
    <xf numFmtId="0" fontId="26" fillId="0" borderId="0" xfId="0" applyFont="1" applyAlignment="1">
      <alignment horizontal="center"/>
    </xf>
    <xf numFmtId="49" fontId="23" fillId="0" borderId="2" xfId="0" applyNumberFormat="1" applyFont="1" applyBorder="1" applyAlignment="1">
      <alignment horizontal="left"/>
    </xf>
    <xf numFmtId="49" fontId="23" fillId="0" borderId="3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49" fontId="23" fillId="0" borderId="2" xfId="0" applyNumberFormat="1" applyFont="1" applyBorder="1" applyAlignment="1">
      <alignment horizontal="center"/>
    </xf>
    <xf numFmtId="49" fontId="23" fillId="0" borderId="3" xfId="0" applyNumberFormat="1" applyFont="1" applyBorder="1" applyAlignment="1">
      <alignment horizontal="center"/>
    </xf>
    <xf numFmtId="49" fontId="23" fillId="0" borderId="4" xfId="0" applyNumberFormat="1" applyFont="1" applyBorder="1" applyAlignment="1">
      <alignment horizontal="center"/>
    </xf>
    <xf numFmtId="49" fontId="25" fillId="0" borderId="2" xfId="0" applyNumberFormat="1" applyFont="1" applyBorder="1" applyAlignment="1">
      <alignment horizontal="left"/>
    </xf>
    <xf numFmtId="49" fontId="25" fillId="0" borderId="3" xfId="0" applyNumberFormat="1" applyFont="1" applyBorder="1" applyAlignment="1">
      <alignment horizontal="left"/>
    </xf>
    <xf numFmtId="49" fontId="25" fillId="0" borderId="4" xfId="0" applyNumberFormat="1" applyFont="1" applyBorder="1" applyAlignment="1">
      <alignment horizontal="left"/>
    </xf>
    <xf numFmtId="0" fontId="18" fillId="0" borderId="1" xfId="0" applyFont="1" applyBorder="1"/>
    <xf numFmtId="171" fontId="5" fillId="0" borderId="1" xfId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8" fillId="4" borderId="2" xfId="0" applyFont="1" applyFill="1" applyBorder="1" applyAlignment="1"/>
    <xf numFmtId="0" fontId="18" fillId="4" borderId="3" xfId="0" applyFont="1" applyFill="1" applyBorder="1" applyAlignment="1"/>
    <xf numFmtId="0" fontId="18" fillId="4" borderId="4" xfId="0" applyFont="1" applyFill="1" applyBorder="1" applyAlignment="1"/>
    <xf numFmtId="0" fontId="2" fillId="4" borderId="1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Eddie\My%20Documents\2007%20PARP%20PAYROLL%20and%20PAYSLIP%20FROM%20MAY%202007%20(version%201)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49FE-2DB3-44ED-B613-8CB28F1C3AC9}">
  <dimension ref="A1:AA162"/>
  <sheetViews>
    <sheetView tabSelected="1" view="pageBreakPreview" topLeftCell="M1" zoomScale="60" zoomScaleNormal="100" workbookViewId="0">
      <selection activeCell="N38" sqref="N38"/>
    </sheetView>
  </sheetViews>
  <sheetFormatPr defaultRowHeight="20.100000000000001" customHeight="1" x14ac:dyDescent="0.3"/>
  <cols>
    <col min="1" max="1" width="9.140625" style="1"/>
    <col min="2" max="2" width="31.42578125" style="1" customWidth="1"/>
    <col min="3" max="3" width="7.42578125" style="1" hidden="1" customWidth="1"/>
    <col min="4" max="4" width="34" style="1" customWidth="1"/>
    <col min="5" max="5" width="10.5703125" style="1" customWidth="1"/>
    <col min="6" max="6" width="21.140625" style="1" customWidth="1"/>
    <col min="7" max="7" width="21" style="1" customWidth="1"/>
    <col min="8" max="8" width="21.140625" style="1" customWidth="1"/>
    <col min="9" max="9" width="18.7109375" style="1" customWidth="1"/>
    <col min="10" max="10" width="20.85546875" style="1" customWidth="1"/>
    <col min="11" max="11" width="18.5703125" style="1" customWidth="1"/>
    <col min="12" max="12" width="21" style="1" customWidth="1"/>
    <col min="13" max="13" width="17" style="1" customWidth="1"/>
    <col min="14" max="14" width="20.7109375" style="1" customWidth="1"/>
    <col min="15" max="15" width="20.85546875" style="1" customWidth="1"/>
    <col min="16" max="16" width="18.5703125" style="1" customWidth="1"/>
    <col min="17" max="17" width="21" style="1" customWidth="1"/>
    <col min="18" max="18" width="16.5703125" style="1" customWidth="1"/>
    <col min="19" max="19" width="22.7109375" style="1" customWidth="1"/>
    <col min="20" max="20" width="19.7109375" style="1" customWidth="1"/>
    <col min="21" max="21" width="18.7109375" style="1" customWidth="1"/>
    <col min="22" max="22" width="18.28515625" style="1" customWidth="1"/>
    <col min="23" max="23" width="21.28515625" style="1" customWidth="1"/>
    <col min="24" max="24" width="22.42578125" style="1" customWidth="1"/>
    <col min="25" max="25" width="23.7109375" style="1" customWidth="1"/>
    <col min="26" max="26" width="22.140625" style="1" customWidth="1"/>
    <col min="27" max="27" width="18" style="1" customWidth="1"/>
    <col min="28" max="16384" width="9.140625" style="1"/>
  </cols>
  <sheetData>
    <row r="1" spans="1:26" ht="29.25" customHeigh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  <c r="T1" s="31"/>
      <c r="U1" s="31"/>
      <c r="V1" s="31"/>
      <c r="W1" s="31"/>
      <c r="X1" s="31"/>
      <c r="Y1" s="31"/>
    </row>
    <row r="2" spans="1:26" ht="5.25" customHeigh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  <c r="T2" s="32"/>
      <c r="U2" s="32"/>
      <c r="V2" s="32"/>
      <c r="W2" s="32"/>
      <c r="X2" s="32"/>
      <c r="Y2" s="32"/>
    </row>
    <row r="3" spans="1:26" ht="20.100000000000001" customHeight="1" x14ac:dyDescent="0.3">
      <c r="A3" s="204" t="s">
        <v>344</v>
      </c>
      <c r="B3" s="204"/>
      <c r="C3" s="204"/>
      <c r="D3" s="204"/>
      <c r="E3" s="204"/>
      <c r="F3" s="33"/>
      <c r="G3" s="33"/>
      <c r="H3" s="33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35"/>
      <c r="U3" s="35"/>
      <c r="V3" s="35"/>
      <c r="W3" s="35"/>
      <c r="X3" s="35"/>
      <c r="Y3" s="35"/>
    </row>
    <row r="4" spans="1:26" ht="2.25" customHeight="1" x14ac:dyDescent="0.3">
      <c r="A4" s="31"/>
      <c r="B4" s="31"/>
      <c r="C4" s="31"/>
      <c r="D4" s="31"/>
      <c r="E4" s="31"/>
      <c r="F4" s="36">
        <f>'[1]FEB 08'!E8/'[1]FEB 08'!M8</f>
        <v>0.22</v>
      </c>
      <c r="G4" s="36"/>
      <c r="H4" s="36"/>
      <c r="I4" s="36">
        <f>'[1]FEB 08'!F8/'[1]FEB 08'!Q8</f>
        <v>0.3</v>
      </c>
      <c r="J4" s="36"/>
      <c r="K4" s="36"/>
      <c r="L4" s="36"/>
      <c r="M4" s="36"/>
      <c r="N4" s="36"/>
      <c r="O4" s="36"/>
      <c r="P4" s="36"/>
      <c r="Q4" s="36"/>
      <c r="R4" s="36"/>
      <c r="S4" s="37"/>
      <c r="T4" s="37"/>
      <c r="U4" s="37"/>
      <c r="V4" s="37"/>
      <c r="W4" s="37"/>
      <c r="X4" s="37"/>
      <c r="Y4" s="37"/>
    </row>
    <row r="5" spans="1:26" ht="20.100000000000001" customHeight="1" x14ac:dyDescent="0.3">
      <c r="A5" s="190" t="s">
        <v>0</v>
      </c>
      <c r="B5" s="191"/>
      <c r="C5" s="191"/>
      <c r="D5" s="38"/>
      <c r="E5" s="3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0" t="s">
        <v>255</v>
      </c>
      <c r="U5" s="180"/>
      <c r="V5" s="180"/>
      <c r="W5" s="180"/>
      <c r="X5" s="38"/>
      <c r="Y5" s="38" t="s">
        <v>61</v>
      </c>
    </row>
    <row r="6" spans="1:26" ht="20.100000000000001" customHeight="1" x14ac:dyDescent="0.3">
      <c r="A6" s="189"/>
      <c r="B6" s="189"/>
      <c r="C6" s="189"/>
      <c r="D6" s="39" t="s">
        <v>13</v>
      </c>
      <c r="E6" s="39" t="s">
        <v>59</v>
      </c>
      <c r="F6" s="40" t="s">
        <v>1</v>
      </c>
      <c r="G6" s="57" t="s">
        <v>347</v>
      </c>
      <c r="H6" s="40"/>
      <c r="I6" s="40"/>
      <c r="J6" s="40"/>
      <c r="K6" s="40"/>
      <c r="L6" s="40"/>
      <c r="M6" s="40" t="s">
        <v>52</v>
      </c>
      <c r="N6" s="40" t="s">
        <v>70</v>
      </c>
      <c r="O6" s="40" t="s">
        <v>145</v>
      </c>
      <c r="P6" s="40" t="s">
        <v>66</v>
      </c>
      <c r="Q6" s="40" t="s">
        <v>72</v>
      </c>
      <c r="R6" s="40" t="s">
        <v>73</v>
      </c>
      <c r="S6" s="40" t="s">
        <v>4</v>
      </c>
      <c r="T6" s="40"/>
      <c r="U6" s="40"/>
      <c r="V6" s="41"/>
      <c r="W6" s="41"/>
      <c r="X6" s="41" t="s">
        <v>345</v>
      </c>
      <c r="Y6" s="41" t="s">
        <v>346</v>
      </c>
    </row>
    <row r="7" spans="1:26" ht="20.100000000000001" customHeight="1" x14ac:dyDescent="0.3">
      <c r="A7" s="195"/>
      <c r="B7" s="195"/>
      <c r="C7" s="195"/>
      <c r="D7" s="39"/>
      <c r="E7" s="39" t="s">
        <v>57</v>
      </c>
      <c r="F7" s="40" t="s">
        <v>58</v>
      </c>
      <c r="G7" s="40" t="s">
        <v>348</v>
      </c>
      <c r="H7" s="40" t="s">
        <v>2</v>
      </c>
      <c r="I7" s="40" t="s">
        <v>3</v>
      </c>
      <c r="J7" s="40" t="s">
        <v>53</v>
      </c>
      <c r="K7" s="40" t="s">
        <v>67</v>
      </c>
      <c r="L7" s="40" t="s">
        <v>68</v>
      </c>
      <c r="M7" s="40" t="s">
        <v>69</v>
      </c>
      <c r="N7" s="40" t="s">
        <v>71</v>
      </c>
      <c r="O7" s="40" t="s">
        <v>146</v>
      </c>
      <c r="P7" s="40" t="s">
        <v>54</v>
      </c>
      <c r="Q7" s="40" t="s">
        <v>54</v>
      </c>
      <c r="R7" s="40" t="s">
        <v>74</v>
      </c>
      <c r="S7" s="40" t="s">
        <v>58</v>
      </c>
      <c r="T7" s="40" t="s">
        <v>321</v>
      </c>
      <c r="U7" s="40" t="s">
        <v>303</v>
      </c>
      <c r="V7" s="40" t="s">
        <v>60</v>
      </c>
      <c r="W7" s="40" t="s">
        <v>20</v>
      </c>
      <c r="X7" s="40"/>
      <c r="Y7" s="40"/>
    </row>
    <row r="8" spans="1:26" ht="20.100000000000001" customHeight="1" x14ac:dyDescent="0.3">
      <c r="A8" s="205" t="s">
        <v>22</v>
      </c>
      <c r="B8" s="205"/>
      <c r="C8" s="205"/>
      <c r="D8" s="42"/>
      <c r="E8" s="42"/>
      <c r="F8" s="43" t="s">
        <v>5</v>
      </c>
      <c r="G8" s="43"/>
      <c r="H8" s="43"/>
      <c r="I8" s="43" t="s">
        <v>5</v>
      </c>
      <c r="J8" s="43"/>
      <c r="K8" s="43"/>
      <c r="L8" s="43"/>
      <c r="M8" s="43"/>
      <c r="N8" s="43"/>
      <c r="O8" s="43"/>
      <c r="P8" s="43"/>
      <c r="Q8" s="43"/>
      <c r="R8" s="43"/>
      <c r="S8" s="43" t="s">
        <v>5</v>
      </c>
      <c r="T8" s="43"/>
      <c r="U8" s="43"/>
      <c r="V8" s="43" t="s">
        <v>5</v>
      </c>
      <c r="W8" s="43"/>
      <c r="X8" s="43"/>
      <c r="Y8" s="43"/>
    </row>
    <row r="9" spans="1:26" ht="20.100000000000001" customHeight="1" x14ac:dyDescent="0.3">
      <c r="A9" s="173" t="s">
        <v>46</v>
      </c>
      <c r="B9" s="173"/>
      <c r="C9" s="173"/>
      <c r="D9" s="62" t="s">
        <v>234</v>
      </c>
      <c r="E9" s="62" t="s">
        <v>55</v>
      </c>
      <c r="F9" s="61">
        <v>160488.75</v>
      </c>
      <c r="G9" s="61"/>
      <c r="H9" s="61">
        <v>320977.5</v>
      </c>
      <c r="I9" s="61">
        <v>48146.63</v>
      </c>
      <c r="J9" s="61">
        <v>120366.57</v>
      </c>
      <c r="K9" s="61">
        <v>72219.94</v>
      </c>
      <c r="L9" s="61">
        <v>481466.25</v>
      </c>
      <c r="M9" s="61">
        <v>40122.19</v>
      </c>
      <c r="N9" s="61">
        <v>120366.57</v>
      </c>
      <c r="O9" s="61">
        <v>150000</v>
      </c>
      <c r="P9" s="61">
        <v>16048.88</v>
      </c>
      <c r="Q9" s="61">
        <v>25000</v>
      </c>
      <c r="R9" s="61">
        <v>25235</v>
      </c>
      <c r="S9" s="61">
        <f>SUM(F9:R9)</f>
        <v>1580438.2799999998</v>
      </c>
      <c r="T9" s="61"/>
      <c r="U9" s="61">
        <f>SUM(F9+H9+N9)*0.075</f>
        <v>45137.461500000005</v>
      </c>
      <c r="V9" s="61">
        <v>113176.97</v>
      </c>
      <c r="W9" s="61">
        <f t="shared" ref="W9:W27" si="0">V9+U9+T9</f>
        <v>158314.43150000001</v>
      </c>
      <c r="X9" s="61">
        <v>1422123.85</v>
      </c>
      <c r="Y9" s="61">
        <f t="shared" ref="Y9:Y14" si="1">S9-W9</f>
        <v>1422123.8484999998</v>
      </c>
    </row>
    <row r="10" spans="1:26" ht="20.100000000000001" customHeight="1" x14ac:dyDescent="0.3">
      <c r="A10" s="173" t="s">
        <v>81</v>
      </c>
      <c r="B10" s="173"/>
      <c r="C10" s="173"/>
      <c r="D10" s="62" t="s">
        <v>82</v>
      </c>
      <c r="E10" s="63" t="s">
        <v>49</v>
      </c>
      <c r="F10" s="60">
        <f>F33</f>
        <v>39662.25</v>
      </c>
      <c r="G10" s="61"/>
      <c r="H10" s="60">
        <f>H33</f>
        <v>118986.75</v>
      </c>
      <c r="I10" s="60">
        <f>I33</f>
        <v>2974.6687499999998</v>
      </c>
      <c r="J10" s="60">
        <f>J33</f>
        <v>40122.19</v>
      </c>
      <c r="K10" s="60">
        <f>F10*50%</f>
        <v>19831.125</v>
      </c>
      <c r="L10" s="60">
        <f>F10*350%</f>
        <v>138817.875</v>
      </c>
      <c r="M10" s="60">
        <v>0</v>
      </c>
      <c r="N10" s="60">
        <f>F10*100%</f>
        <v>39662.25</v>
      </c>
      <c r="O10" s="60">
        <v>0</v>
      </c>
      <c r="P10" s="60">
        <f>F10*10%</f>
        <v>3966.2250000000004</v>
      </c>
      <c r="Q10" s="60">
        <v>20000</v>
      </c>
      <c r="R10" s="60">
        <v>0</v>
      </c>
      <c r="S10" s="61">
        <f>SUM(F10:R10)</f>
        <v>424023.33374999999</v>
      </c>
      <c r="T10" s="61"/>
      <c r="U10" s="61">
        <f t="shared" ref="U10:U72" si="2">SUM(F10+H10+N10)*0.075</f>
        <v>14873.34375</v>
      </c>
      <c r="V10" s="61">
        <v>21618.09</v>
      </c>
      <c r="W10" s="61">
        <f t="shared" si="0"/>
        <v>36491.433749999997</v>
      </c>
      <c r="X10" s="61">
        <v>387531.9</v>
      </c>
      <c r="Y10" s="61">
        <f t="shared" si="1"/>
        <v>387531.9</v>
      </c>
    </row>
    <row r="11" spans="1:26" ht="20.100000000000001" customHeight="1" x14ac:dyDescent="0.3">
      <c r="A11" s="173" t="s">
        <v>93</v>
      </c>
      <c r="B11" s="173"/>
      <c r="C11" s="173"/>
      <c r="D11" s="62" t="s">
        <v>84</v>
      </c>
      <c r="E11" s="63" t="s">
        <v>49</v>
      </c>
      <c r="F11" s="60">
        <f>F10</f>
        <v>39662.25</v>
      </c>
      <c r="G11" s="61"/>
      <c r="H11" s="60">
        <f>H10</f>
        <v>118986.75</v>
      </c>
      <c r="I11" s="60">
        <f>I10</f>
        <v>2974.6687499999998</v>
      </c>
      <c r="J11" s="60">
        <v>40122.19</v>
      </c>
      <c r="K11" s="60">
        <v>19831.13</v>
      </c>
      <c r="L11" s="60">
        <v>138817.88</v>
      </c>
      <c r="M11" s="60">
        <v>0</v>
      </c>
      <c r="N11" s="60">
        <v>39662.25</v>
      </c>
      <c r="O11" s="60">
        <v>0</v>
      </c>
      <c r="P11" s="60">
        <v>3966.23</v>
      </c>
      <c r="Q11" s="60">
        <f>Q10</f>
        <v>20000</v>
      </c>
      <c r="R11" s="60">
        <v>0</v>
      </c>
      <c r="S11" s="60">
        <v>424023.33</v>
      </c>
      <c r="T11" s="60">
        <v>0</v>
      </c>
      <c r="U11" s="61">
        <f t="shared" si="2"/>
        <v>14873.34375</v>
      </c>
      <c r="V11" s="61">
        <v>21618.09</v>
      </c>
      <c r="W11" s="61">
        <f t="shared" si="0"/>
        <v>36491.433749999997</v>
      </c>
      <c r="X11" s="61">
        <v>387531.9</v>
      </c>
      <c r="Y11" s="61">
        <f t="shared" si="1"/>
        <v>387531.89624999999</v>
      </c>
      <c r="Z11" s="95"/>
    </row>
    <row r="12" spans="1:26" ht="20.100000000000001" customHeight="1" x14ac:dyDescent="0.3">
      <c r="A12" s="172" t="s">
        <v>23</v>
      </c>
      <c r="B12" s="172"/>
      <c r="C12" s="172"/>
      <c r="D12" s="58" t="s">
        <v>187</v>
      </c>
      <c r="E12" s="64" t="s">
        <v>50</v>
      </c>
      <c r="F12" s="60">
        <v>31018.9</v>
      </c>
      <c r="G12" s="61"/>
      <c r="H12" s="60">
        <f t="shared" ref="H12:H27" si="3">F12*300%</f>
        <v>93056.700000000012</v>
      </c>
      <c r="I12" s="60">
        <f t="shared" ref="I12:I27" si="4">F12*7.5%</f>
        <v>2326.4175</v>
      </c>
      <c r="J12" s="60">
        <f>J9/3</f>
        <v>40122.19</v>
      </c>
      <c r="K12" s="60">
        <f t="shared" ref="K12:K27" si="5">F12*50%</f>
        <v>15509.45</v>
      </c>
      <c r="L12" s="60">
        <f t="shared" ref="L12:L27" si="6">F12*350%</f>
        <v>108566.15000000001</v>
      </c>
      <c r="M12" s="60">
        <v>0</v>
      </c>
      <c r="N12" s="60">
        <f t="shared" ref="N12:N27" si="7">F12*100%</f>
        <v>31018.9</v>
      </c>
      <c r="O12" s="60">
        <v>0</v>
      </c>
      <c r="P12" s="60">
        <f t="shared" ref="P12:P27" si="8">F12*10%</f>
        <v>3101.8900000000003</v>
      </c>
      <c r="Q12" s="60">
        <v>20000</v>
      </c>
      <c r="R12" s="60">
        <v>0</v>
      </c>
      <c r="S12" s="61">
        <f t="shared" ref="S12:S27" si="9">SUM(F12:R12)</f>
        <v>344720.59750000009</v>
      </c>
      <c r="T12" s="61"/>
      <c r="U12" s="61">
        <f t="shared" si="2"/>
        <v>11632.0875</v>
      </c>
      <c r="V12" s="61">
        <v>15548.33</v>
      </c>
      <c r="W12" s="61">
        <f t="shared" si="0"/>
        <v>27180.4175</v>
      </c>
      <c r="X12" s="61">
        <v>317540.18</v>
      </c>
      <c r="Y12" s="61">
        <f t="shared" si="1"/>
        <v>317540.18000000011</v>
      </c>
    </row>
    <row r="13" spans="1:26" ht="20.100000000000001" customHeight="1" x14ac:dyDescent="0.3">
      <c r="A13" s="197" t="s">
        <v>217</v>
      </c>
      <c r="B13" s="198"/>
      <c r="C13" s="199"/>
      <c r="D13" s="58" t="s">
        <v>218</v>
      </c>
      <c r="E13" s="64" t="s">
        <v>50</v>
      </c>
      <c r="F13" s="60">
        <v>31018.9</v>
      </c>
      <c r="G13" s="61"/>
      <c r="H13" s="60">
        <f t="shared" si="3"/>
        <v>93056.700000000012</v>
      </c>
      <c r="I13" s="60">
        <f t="shared" si="4"/>
        <v>2326.4175</v>
      </c>
      <c r="J13" s="60">
        <v>40122.19</v>
      </c>
      <c r="K13" s="60">
        <f t="shared" si="5"/>
        <v>15509.45</v>
      </c>
      <c r="L13" s="60">
        <f t="shared" si="6"/>
        <v>108566.15000000001</v>
      </c>
      <c r="M13" s="60">
        <v>0</v>
      </c>
      <c r="N13" s="60">
        <f t="shared" si="7"/>
        <v>31018.9</v>
      </c>
      <c r="O13" s="60">
        <v>0</v>
      </c>
      <c r="P13" s="60">
        <f t="shared" si="8"/>
        <v>3101.8900000000003</v>
      </c>
      <c r="Q13" s="60">
        <v>20000</v>
      </c>
      <c r="R13" s="60">
        <v>0</v>
      </c>
      <c r="S13" s="61">
        <f t="shared" si="9"/>
        <v>344720.59750000009</v>
      </c>
      <c r="T13" s="61"/>
      <c r="U13" s="61">
        <f t="shared" si="2"/>
        <v>11632.0875</v>
      </c>
      <c r="V13" s="61">
        <v>15548.33</v>
      </c>
      <c r="W13" s="61">
        <f t="shared" si="0"/>
        <v>27180.4175</v>
      </c>
      <c r="X13" s="61">
        <v>317540.18</v>
      </c>
      <c r="Y13" s="61">
        <f t="shared" si="1"/>
        <v>317540.18000000011</v>
      </c>
    </row>
    <row r="14" spans="1:26" ht="20.100000000000001" customHeight="1" x14ac:dyDescent="0.3">
      <c r="A14" s="177" t="s">
        <v>180</v>
      </c>
      <c r="B14" s="178"/>
      <c r="C14" s="179"/>
      <c r="D14" s="62" t="s">
        <v>181</v>
      </c>
      <c r="E14" s="63" t="s">
        <v>50</v>
      </c>
      <c r="F14" s="60">
        <v>31018.9</v>
      </c>
      <c r="G14" s="60"/>
      <c r="H14" s="60">
        <f>F14*300%</f>
        <v>93056.700000000012</v>
      </c>
      <c r="I14" s="60">
        <f>F14*7.5%</f>
        <v>2326.4175</v>
      </c>
      <c r="J14" s="60">
        <f>J15</f>
        <v>40122.19</v>
      </c>
      <c r="K14" s="60">
        <f>F14*50%</f>
        <v>15509.45</v>
      </c>
      <c r="L14" s="60">
        <f>F14*350%</f>
        <v>108566.15000000001</v>
      </c>
      <c r="M14" s="60">
        <v>0</v>
      </c>
      <c r="N14" s="60">
        <f>F14*100%</f>
        <v>31018.9</v>
      </c>
      <c r="O14" s="60">
        <v>0</v>
      </c>
      <c r="P14" s="60">
        <f>F14*10%</f>
        <v>3101.8900000000003</v>
      </c>
      <c r="Q14" s="60">
        <v>20000</v>
      </c>
      <c r="R14" s="60">
        <v>0</v>
      </c>
      <c r="S14" s="60">
        <f>SUM(F14:R14)</f>
        <v>344720.59750000009</v>
      </c>
      <c r="T14" s="60"/>
      <c r="U14" s="61">
        <f t="shared" si="2"/>
        <v>11632.0875</v>
      </c>
      <c r="V14" s="61">
        <v>15548.33</v>
      </c>
      <c r="W14" s="61">
        <f t="shared" si="0"/>
        <v>27180.4175</v>
      </c>
      <c r="X14" s="61">
        <v>202633.52</v>
      </c>
      <c r="Y14" s="61">
        <f t="shared" si="1"/>
        <v>317540.18000000011</v>
      </c>
      <c r="Z14" s="171">
        <f>Y14-X14</f>
        <v>114906.66000000012</v>
      </c>
    </row>
    <row r="15" spans="1:26" ht="20.100000000000001" customHeight="1" x14ac:dyDescent="0.3">
      <c r="A15" s="181" t="s">
        <v>244</v>
      </c>
      <c r="B15" s="182"/>
      <c r="C15" s="183"/>
      <c r="D15" s="62" t="s">
        <v>175</v>
      </c>
      <c r="E15" s="63" t="s">
        <v>50</v>
      </c>
      <c r="F15" s="60">
        <v>31018.9</v>
      </c>
      <c r="G15" s="60">
        <v>50000</v>
      </c>
      <c r="H15" s="60">
        <f>F15*300%</f>
        <v>93056.700000000012</v>
      </c>
      <c r="I15" s="60">
        <f>F15*7.5%</f>
        <v>2326.4175</v>
      </c>
      <c r="J15" s="60">
        <f>J67</f>
        <v>40122.19</v>
      </c>
      <c r="K15" s="60">
        <f>F15*50%</f>
        <v>15509.45</v>
      </c>
      <c r="L15" s="60">
        <f>F15*350%</f>
        <v>108566.15000000001</v>
      </c>
      <c r="M15" s="60">
        <v>0</v>
      </c>
      <c r="N15" s="60">
        <f>F15*100%</f>
        <v>31018.9</v>
      </c>
      <c r="O15" s="60">
        <v>0</v>
      </c>
      <c r="P15" s="60">
        <f>F15*10%</f>
        <v>3101.8900000000003</v>
      </c>
      <c r="Q15" s="60">
        <v>20000</v>
      </c>
      <c r="R15" s="60">
        <v>0</v>
      </c>
      <c r="S15" s="61">
        <f>SUM(F15:R15)</f>
        <v>394720.59750000009</v>
      </c>
      <c r="T15" s="61"/>
      <c r="U15" s="61">
        <f>SUM(F15+H15+N15)*0.075</f>
        <v>11632.0875</v>
      </c>
      <c r="V15" s="60">
        <v>15548.33</v>
      </c>
      <c r="W15" s="61">
        <f>V15+U15+T15</f>
        <v>27180.4175</v>
      </c>
      <c r="X15" s="61">
        <v>426310.27</v>
      </c>
      <c r="Y15" s="61">
        <f>S15-W15</f>
        <v>367540.18000000011</v>
      </c>
      <c r="Z15" s="171">
        <f>Y15-X15</f>
        <v>-58770.089999999909</v>
      </c>
    </row>
    <row r="16" spans="1:26" ht="20.100000000000001" customHeight="1" x14ac:dyDescent="0.3">
      <c r="A16" s="192" t="s">
        <v>186</v>
      </c>
      <c r="B16" s="193"/>
      <c r="C16" s="194"/>
      <c r="D16" s="58" t="s">
        <v>188</v>
      </c>
      <c r="E16" s="64" t="s">
        <v>189</v>
      </c>
      <c r="F16" s="60">
        <v>23891.119999999999</v>
      </c>
      <c r="G16" s="61"/>
      <c r="H16" s="60">
        <f t="shared" si="3"/>
        <v>71673.36</v>
      </c>
      <c r="I16" s="60">
        <f t="shared" si="4"/>
        <v>1791.8339999999998</v>
      </c>
      <c r="J16" s="60">
        <v>0</v>
      </c>
      <c r="K16" s="60">
        <f t="shared" si="5"/>
        <v>11945.56</v>
      </c>
      <c r="L16" s="60">
        <f t="shared" si="6"/>
        <v>83618.92</v>
      </c>
      <c r="M16" s="60">
        <v>0</v>
      </c>
      <c r="N16" s="60">
        <f t="shared" si="7"/>
        <v>23891.119999999999</v>
      </c>
      <c r="O16" s="60">
        <v>0</v>
      </c>
      <c r="P16" s="60">
        <f t="shared" si="8"/>
        <v>2389.1120000000001</v>
      </c>
      <c r="Q16" s="60">
        <v>15000</v>
      </c>
      <c r="R16" s="60">
        <v>0</v>
      </c>
      <c r="S16" s="61">
        <f t="shared" si="9"/>
        <v>234201.02599999998</v>
      </c>
      <c r="T16" s="61"/>
      <c r="U16" s="61">
        <v>0</v>
      </c>
      <c r="V16" s="61">
        <v>0</v>
      </c>
      <c r="W16" s="61">
        <f t="shared" si="0"/>
        <v>0</v>
      </c>
      <c r="X16" s="61">
        <v>0</v>
      </c>
      <c r="Y16" s="61">
        <v>0</v>
      </c>
      <c r="Z16" s="95">
        <f>Y16-X16</f>
        <v>0</v>
      </c>
    </row>
    <row r="17" spans="1:26" ht="20.100000000000001" customHeight="1" x14ac:dyDescent="0.3">
      <c r="A17" s="197" t="s">
        <v>200</v>
      </c>
      <c r="B17" s="198"/>
      <c r="C17" s="199"/>
      <c r="D17" s="58" t="s">
        <v>201</v>
      </c>
      <c r="E17" s="64" t="s">
        <v>189</v>
      </c>
      <c r="F17" s="60">
        <v>23891.119999999999</v>
      </c>
      <c r="G17" s="61"/>
      <c r="H17" s="60">
        <f t="shared" si="3"/>
        <v>71673.36</v>
      </c>
      <c r="I17" s="60">
        <f t="shared" si="4"/>
        <v>1791.8339999999998</v>
      </c>
      <c r="J17" s="60">
        <v>0</v>
      </c>
      <c r="K17" s="60">
        <f t="shared" si="5"/>
        <v>11945.56</v>
      </c>
      <c r="L17" s="60">
        <f t="shared" si="6"/>
        <v>83618.92</v>
      </c>
      <c r="M17" s="60">
        <v>0</v>
      </c>
      <c r="N17" s="60">
        <f t="shared" si="7"/>
        <v>23891.119999999999</v>
      </c>
      <c r="O17" s="60">
        <v>0</v>
      </c>
      <c r="P17" s="60">
        <f t="shared" si="8"/>
        <v>2389.1120000000001</v>
      </c>
      <c r="Q17" s="60">
        <v>15000</v>
      </c>
      <c r="R17" s="60">
        <v>0</v>
      </c>
      <c r="S17" s="61">
        <f t="shared" si="9"/>
        <v>234201.02599999998</v>
      </c>
      <c r="T17" s="61"/>
      <c r="U17" s="61">
        <f t="shared" si="2"/>
        <v>8959.1699999999983</v>
      </c>
      <c r="V17" s="61">
        <v>7709</v>
      </c>
      <c r="W17" s="61">
        <f t="shared" si="0"/>
        <v>16668.169999999998</v>
      </c>
      <c r="X17" s="61">
        <v>217532.86</v>
      </c>
      <c r="Y17" s="61">
        <f t="shared" ref="Y17:Y26" si="10">S17-W17</f>
        <v>217532.85599999997</v>
      </c>
      <c r="Z17" s="95"/>
    </row>
    <row r="18" spans="1:26" ht="20.100000000000001" customHeight="1" x14ac:dyDescent="0.3">
      <c r="A18" s="172" t="s">
        <v>248</v>
      </c>
      <c r="B18" s="172"/>
      <c r="C18" s="172"/>
      <c r="D18" s="170" t="s">
        <v>249</v>
      </c>
      <c r="E18" s="59" t="s">
        <v>189</v>
      </c>
      <c r="F18" s="60">
        <v>23891.119999999999</v>
      </c>
      <c r="G18" s="82">
        <v>0</v>
      </c>
      <c r="H18" s="60">
        <f t="shared" si="3"/>
        <v>71673.36</v>
      </c>
      <c r="I18" s="60">
        <f t="shared" si="4"/>
        <v>1791.8339999999998</v>
      </c>
      <c r="J18" s="60">
        <v>0</v>
      </c>
      <c r="K18" s="60">
        <f t="shared" si="5"/>
        <v>11945.56</v>
      </c>
      <c r="L18" s="60">
        <f t="shared" si="6"/>
        <v>83618.92</v>
      </c>
      <c r="M18" s="60">
        <v>0</v>
      </c>
      <c r="N18" s="60">
        <f t="shared" si="7"/>
        <v>23891.119999999999</v>
      </c>
      <c r="O18" s="60">
        <v>80000</v>
      </c>
      <c r="P18" s="60">
        <f t="shared" si="8"/>
        <v>2389.1120000000001</v>
      </c>
      <c r="Q18" s="60">
        <v>15000</v>
      </c>
      <c r="R18" s="60">
        <v>0</v>
      </c>
      <c r="S18" s="61">
        <f t="shared" si="9"/>
        <v>314201.02600000001</v>
      </c>
      <c r="T18" s="61"/>
      <c r="U18" s="61">
        <f t="shared" si="2"/>
        <v>8959.1699999999983</v>
      </c>
      <c r="V18" s="61">
        <v>7709</v>
      </c>
      <c r="W18" s="61">
        <f t="shared" si="0"/>
        <v>16668.169999999998</v>
      </c>
      <c r="X18" s="61">
        <v>297532.86</v>
      </c>
      <c r="Y18" s="61">
        <f t="shared" si="10"/>
        <v>297532.85600000003</v>
      </c>
    </row>
    <row r="19" spans="1:26" ht="20.100000000000001" customHeight="1" x14ac:dyDescent="0.3">
      <c r="A19" s="197" t="s">
        <v>219</v>
      </c>
      <c r="B19" s="198"/>
      <c r="C19" s="199"/>
      <c r="D19" s="94" t="s">
        <v>220</v>
      </c>
      <c r="E19" s="59" t="s">
        <v>168</v>
      </c>
      <c r="F19" s="60">
        <v>17286.330000000002</v>
      </c>
      <c r="G19" s="61"/>
      <c r="H19" s="60">
        <f t="shared" si="3"/>
        <v>51858.990000000005</v>
      </c>
      <c r="I19" s="60">
        <f t="shared" si="4"/>
        <v>1296.4747500000001</v>
      </c>
      <c r="J19" s="60">
        <v>0</v>
      </c>
      <c r="K19" s="60">
        <f t="shared" si="5"/>
        <v>8643.1650000000009</v>
      </c>
      <c r="L19" s="61">
        <f t="shared" si="6"/>
        <v>60502.155000000006</v>
      </c>
      <c r="M19" s="60">
        <v>0</v>
      </c>
      <c r="N19" s="60">
        <f t="shared" si="7"/>
        <v>17286.330000000002</v>
      </c>
      <c r="O19" s="60">
        <v>0</v>
      </c>
      <c r="P19" s="60">
        <f t="shared" si="8"/>
        <v>1728.6330000000003</v>
      </c>
      <c r="Q19" s="60">
        <v>10000</v>
      </c>
      <c r="R19" s="60">
        <v>0</v>
      </c>
      <c r="S19" s="61">
        <f t="shared" si="9"/>
        <v>168602.07775000003</v>
      </c>
      <c r="T19" s="61"/>
      <c r="U19" s="61">
        <f t="shared" si="2"/>
        <v>6482.3737500000007</v>
      </c>
      <c r="V19" s="61">
        <v>3369.51</v>
      </c>
      <c r="W19" s="61">
        <f t="shared" si="0"/>
        <v>9851.8837500000009</v>
      </c>
      <c r="X19" s="61">
        <v>158750.19</v>
      </c>
      <c r="Y19" s="61">
        <f t="shared" si="10"/>
        <v>158750.19400000002</v>
      </c>
    </row>
    <row r="20" spans="1:26" ht="20.100000000000001" customHeight="1" x14ac:dyDescent="0.3">
      <c r="A20" s="197" t="s">
        <v>222</v>
      </c>
      <c r="B20" s="198"/>
      <c r="C20" s="199"/>
      <c r="D20" s="94" t="s">
        <v>223</v>
      </c>
      <c r="E20" s="59" t="s">
        <v>168</v>
      </c>
      <c r="F20" s="60">
        <v>17286.330000000002</v>
      </c>
      <c r="G20" s="61"/>
      <c r="H20" s="60">
        <f t="shared" si="3"/>
        <v>51858.990000000005</v>
      </c>
      <c r="I20" s="60">
        <f t="shared" si="4"/>
        <v>1296.4747500000001</v>
      </c>
      <c r="J20" s="60">
        <v>0</v>
      </c>
      <c r="K20" s="60">
        <f t="shared" si="5"/>
        <v>8643.1650000000009</v>
      </c>
      <c r="L20" s="61">
        <f t="shared" si="6"/>
        <v>60502.155000000006</v>
      </c>
      <c r="M20" s="60">
        <v>0</v>
      </c>
      <c r="N20" s="60">
        <f t="shared" si="7"/>
        <v>17286.330000000002</v>
      </c>
      <c r="O20" s="60">
        <v>0</v>
      </c>
      <c r="P20" s="60">
        <f t="shared" si="8"/>
        <v>1728.6330000000003</v>
      </c>
      <c r="Q20" s="60">
        <v>10000</v>
      </c>
      <c r="R20" s="60">
        <v>0</v>
      </c>
      <c r="S20" s="61">
        <f t="shared" si="9"/>
        <v>168602.07775000003</v>
      </c>
      <c r="T20" s="61"/>
      <c r="U20" s="61">
        <f t="shared" si="2"/>
        <v>6482.3737500000007</v>
      </c>
      <c r="V20" s="61">
        <v>3369.51</v>
      </c>
      <c r="W20" s="61">
        <f t="shared" si="0"/>
        <v>9851.8837500000009</v>
      </c>
      <c r="X20" s="61">
        <v>158750.19</v>
      </c>
      <c r="Y20" s="61">
        <f t="shared" si="10"/>
        <v>158750.19400000002</v>
      </c>
    </row>
    <row r="21" spans="1:26" ht="19.5" customHeight="1" x14ac:dyDescent="0.3">
      <c r="A21" s="197" t="s">
        <v>246</v>
      </c>
      <c r="B21" s="198"/>
      <c r="C21" s="199"/>
      <c r="D21" s="94" t="s">
        <v>247</v>
      </c>
      <c r="E21" s="59" t="s">
        <v>168</v>
      </c>
      <c r="F21" s="60">
        <v>17286.330000000002</v>
      </c>
      <c r="G21" s="61">
        <v>0</v>
      </c>
      <c r="H21" s="60">
        <f t="shared" si="3"/>
        <v>51858.990000000005</v>
      </c>
      <c r="I21" s="60">
        <f t="shared" si="4"/>
        <v>1296.4747500000001</v>
      </c>
      <c r="J21" s="60">
        <v>0</v>
      </c>
      <c r="K21" s="60">
        <f t="shared" si="5"/>
        <v>8643.1650000000009</v>
      </c>
      <c r="L21" s="61">
        <f t="shared" si="6"/>
        <v>60502.155000000006</v>
      </c>
      <c r="M21" s="60">
        <v>0</v>
      </c>
      <c r="N21" s="60">
        <f t="shared" si="7"/>
        <v>17286.330000000002</v>
      </c>
      <c r="O21" s="60">
        <v>40000</v>
      </c>
      <c r="P21" s="60">
        <f t="shared" si="8"/>
        <v>1728.6330000000003</v>
      </c>
      <c r="Q21" s="60">
        <v>10000</v>
      </c>
      <c r="R21" s="60">
        <v>0</v>
      </c>
      <c r="S21" s="61">
        <f t="shared" si="9"/>
        <v>208602.07775000003</v>
      </c>
      <c r="T21" s="61"/>
      <c r="U21" s="61">
        <f t="shared" si="2"/>
        <v>6482.3737500000007</v>
      </c>
      <c r="V21" s="61">
        <v>3369.51</v>
      </c>
      <c r="W21" s="61">
        <f t="shared" si="0"/>
        <v>9851.8837500000009</v>
      </c>
      <c r="X21" s="61">
        <v>198750.19</v>
      </c>
      <c r="Y21" s="61">
        <f t="shared" si="10"/>
        <v>198750.19400000002</v>
      </c>
    </row>
    <row r="22" spans="1:26" ht="19.5" customHeight="1" x14ac:dyDescent="0.3">
      <c r="A22" s="197" t="s">
        <v>281</v>
      </c>
      <c r="B22" s="198"/>
      <c r="C22" s="199"/>
      <c r="D22" s="108" t="s">
        <v>280</v>
      </c>
      <c r="E22" s="59" t="s">
        <v>168</v>
      </c>
      <c r="F22" s="60">
        <v>17286.330000000002</v>
      </c>
      <c r="G22" s="61">
        <v>0</v>
      </c>
      <c r="H22" s="60">
        <f t="shared" si="3"/>
        <v>51858.990000000005</v>
      </c>
      <c r="I22" s="60">
        <f t="shared" si="4"/>
        <v>1296.4747500000001</v>
      </c>
      <c r="J22" s="60">
        <v>0</v>
      </c>
      <c r="K22" s="60">
        <f t="shared" si="5"/>
        <v>8643.1650000000009</v>
      </c>
      <c r="L22" s="61">
        <f t="shared" si="6"/>
        <v>60502.155000000006</v>
      </c>
      <c r="M22" s="60">
        <v>0</v>
      </c>
      <c r="N22" s="60">
        <f t="shared" si="7"/>
        <v>17286.330000000002</v>
      </c>
      <c r="O22" s="60">
        <v>0</v>
      </c>
      <c r="P22" s="60">
        <f t="shared" si="8"/>
        <v>1728.6330000000003</v>
      </c>
      <c r="Q22" s="60">
        <v>10000</v>
      </c>
      <c r="R22" s="60">
        <v>0</v>
      </c>
      <c r="S22" s="61">
        <f t="shared" si="9"/>
        <v>168602.07775000003</v>
      </c>
      <c r="T22" s="61"/>
      <c r="U22" s="61">
        <f t="shared" si="2"/>
        <v>6482.3737500000007</v>
      </c>
      <c r="V22" s="61">
        <v>3369.51</v>
      </c>
      <c r="W22" s="61">
        <f t="shared" si="0"/>
        <v>9851.8837500000009</v>
      </c>
      <c r="X22" s="61">
        <v>158750.19</v>
      </c>
      <c r="Y22" s="61">
        <f t="shared" si="10"/>
        <v>158750.19400000002</v>
      </c>
    </row>
    <row r="23" spans="1:26" ht="20.100000000000001" customHeight="1" x14ac:dyDescent="0.3">
      <c r="A23" s="177" t="s">
        <v>193</v>
      </c>
      <c r="B23" s="178"/>
      <c r="C23" s="179"/>
      <c r="D23" s="62" t="s">
        <v>194</v>
      </c>
      <c r="E23" s="63" t="s">
        <v>170</v>
      </c>
      <c r="F23" s="60">
        <v>12351.94</v>
      </c>
      <c r="G23" s="60"/>
      <c r="H23" s="60">
        <f>F23*300%</f>
        <v>37055.82</v>
      </c>
      <c r="I23" s="60">
        <f>F23*7.5%</f>
        <v>926.39549999999997</v>
      </c>
      <c r="J23" s="60">
        <v>0</v>
      </c>
      <c r="K23" s="60">
        <f>F23*50%</f>
        <v>6175.97</v>
      </c>
      <c r="L23" s="61">
        <f>F23*350%</f>
        <v>43231.79</v>
      </c>
      <c r="M23" s="60">
        <v>0</v>
      </c>
      <c r="N23" s="60">
        <f>F23*100%</f>
        <v>12351.94</v>
      </c>
      <c r="O23" s="60">
        <v>0</v>
      </c>
      <c r="P23" s="60">
        <f>F23*10%</f>
        <v>1235.1940000000002</v>
      </c>
      <c r="Q23" s="60">
        <v>10000</v>
      </c>
      <c r="R23" s="60">
        <v>0</v>
      </c>
      <c r="S23" s="61">
        <f>SUM(F23:R23)</f>
        <v>123329.04950000001</v>
      </c>
      <c r="T23" s="61">
        <v>0</v>
      </c>
      <c r="U23" s="61">
        <f t="shared" si="2"/>
        <v>4631.9775</v>
      </c>
      <c r="V23" s="60">
        <v>1484.37</v>
      </c>
      <c r="W23" s="61">
        <f t="shared" si="0"/>
        <v>6116.3474999999999</v>
      </c>
      <c r="X23" s="61">
        <v>117212.7</v>
      </c>
      <c r="Y23" s="61">
        <f t="shared" si="10"/>
        <v>117212.702</v>
      </c>
      <c r="Z23" s="122"/>
    </row>
    <row r="24" spans="1:26" ht="20.100000000000001" customHeight="1" x14ac:dyDescent="0.3">
      <c r="A24" s="173" t="s">
        <v>26</v>
      </c>
      <c r="B24" s="173"/>
      <c r="C24" s="173"/>
      <c r="D24" s="62" t="s">
        <v>27</v>
      </c>
      <c r="E24" s="63" t="s">
        <v>170</v>
      </c>
      <c r="F24" s="61">
        <v>12351.94</v>
      </c>
      <c r="G24" s="61"/>
      <c r="H24" s="60">
        <f t="shared" si="3"/>
        <v>37055.82</v>
      </c>
      <c r="I24" s="60">
        <f t="shared" si="4"/>
        <v>926.39549999999997</v>
      </c>
      <c r="J24" s="61">
        <v>0</v>
      </c>
      <c r="K24" s="60">
        <f t="shared" si="5"/>
        <v>6175.97</v>
      </c>
      <c r="L24" s="61">
        <f t="shared" si="6"/>
        <v>43231.79</v>
      </c>
      <c r="M24" s="60">
        <v>0</v>
      </c>
      <c r="N24" s="60">
        <f t="shared" si="7"/>
        <v>12351.94</v>
      </c>
      <c r="O24" s="60">
        <v>0</v>
      </c>
      <c r="P24" s="60">
        <f t="shared" si="8"/>
        <v>1235.1940000000002</v>
      </c>
      <c r="Q24" s="60">
        <v>10000</v>
      </c>
      <c r="R24" s="60">
        <v>0</v>
      </c>
      <c r="S24" s="61">
        <f t="shared" si="9"/>
        <v>123329.04950000001</v>
      </c>
      <c r="T24" s="61"/>
      <c r="U24" s="61">
        <f t="shared" si="2"/>
        <v>4631.9775</v>
      </c>
      <c r="V24" s="60">
        <v>1484.37</v>
      </c>
      <c r="W24" s="61">
        <f t="shared" si="0"/>
        <v>6116.3474999999999</v>
      </c>
      <c r="X24" s="61">
        <v>117212.7</v>
      </c>
      <c r="Y24" s="61">
        <f t="shared" si="10"/>
        <v>117212.702</v>
      </c>
      <c r="Z24" s="122"/>
    </row>
    <row r="25" spans="1:26" ht="20.100000000000001" customHeight="1" x14ac:dyDescent="0.3">
      <c r="A25" s="181" t="s">
        <v>203</v>
      </c>
      <c r="B25" s="182"/>
      <c r="C25" s="183"/>
      <c r="D25" s="62" t="s">
        <v>204</v>
      </c>
      <c r="E25" s="63" t="s">
        <v>170</v>
      </c>
      <c r="F25" s="61">
        <v>12351.94</v>
      </c>
      <c r="G25" s="61"/>
      <c r="H25" s="60">
        <f t="shared" si="3"/>
        <v>37055.82</v>
      </c>
      <c r="I25" s="60">
        <f t="shared" si="4"/>
        <v>926.39549999999997</v>
      </c>
      <c r="J25" s="61">
        <v>0</v>
      </c>
      <c r="K25" s="60">
        <f t="shared" si="5"/>
        <v>6175.97</v>
      </c>
      <c r="L25" s="61">
        <f t="shared" si="6"/>
        <v>43231.79</v>
      </c>
      <c r="M25" s="60">
        <v>0</v>
      </c>
      <c r="N25" s="60">
        <f t="shared" si="7"/>
        <v>12351.94</v>
      </c>
      <c r="O25" s="60">
        <v>0</v>
      </c>
      <c r="P25" s="60">
        <f t="shared" si="8"/>
        <v>1235.1940000000002</v>
      </c>
      <c r="Q25" s="60">
        <v>10000</v>
      </c>
      <c r="R25" s="60">
        <v>0</v>
      </c>
      <c r="S25" s="61">
        <f t="shared" si="9"/>
        <v>123329.04950000001</v>
      </c>
      <c r="T25" s="61"/>
      <c r="U25" s="61">
        <f t="shared" si="2"/>
        <v>4631.9775</v>
      </c>
      <c r="V25" s="60">
        <v>1484.37</v>
      </c>
      <c r="W25" s="61">
        <f t="shared" si="0"/>
        <v>6116.3474999999999</v>
      </c>
      <c r="X25" s="61">
        <v>117212.7</v>
      </c>
      <c r="Y25" s="61">
        <f t="shared" si="10"/>
        <v>117212.702</v>
      </c>
      <c r="Z25" s="123"/>
    </row>
    <row r="26" spans="1:26" ht="20.100000000000001" customHeight="1" x14ac:dyDescent="0.3">
      <c r="A26" s="181" t="s">
        <v>208</v>
      </c>
      <c r="B26" s="182"/>
      <c r="C26" s="183"/>
      <c r="D26" s="62" t="s">
        <v>204</v>
      </c>
      <c r="E26" s="63" t="s">
        <v>170</v>
      </c>
      <c r="F26" s="61">
        <v>12351.94</v>
      </c>
      <c r="G26" s="61"/>
      <c r="H26" s="60">
        <f t="shared" si="3"/>
        <v>37055.82</v>
      </c>
      <c r="I26" s="60">
        <f t="shared" si="4"/>
        <v>926.39549999999997</v>
      </c>
      <c r="J26" s="61">
        <v>0</v>
      </c>
      <c r="K26" s="60">
        <f t="shared" si="5"/>
        <v>6175.97</v>
      </c>
      <c r="L26" s="61">
        <f t="shared" si="6"/>
        <v>43231.79</v>
      </c>
      <c r="M26" s="60">
        <v>0</v>
      </c>
      <c r="N26" s="60">
        <f t="shared" si="7"/>
        <v>12351.94</v>
      </c>
      <c r="O26" s="60">
        <v>0</v>
      </c>
      <c r="P26" s="60">
        <f t="shared" si="8"/>
        <v>1235.1940000000002</v>
      </c>
      <c r="Q26" s="60">
        <v>10000</v>
      </c>
      <c r="R26" s="60">
        <v>0</v>
      </c>
      <c r="S26" s="61">
        <f t="shared" si="9"/>
        <v>123329.04950000001</v>
      </c>
      <c r="T26" s="61"/>
      <c r="U26" s="61">
        <f t="shared" si="2"/>
        <v>4631.9775</v>
      </c>
      <c r="V26" s="60">
        <v>1484.37</v>
      </c>
      <c r="W26" s="61">
        <f t="shared" si="0"/>
        <v>6116.3474999999999</v>
      </c>
      <c r="X26" s="61">
        <v>117212.7</v>
      </c>
      <c r="Y26" s="61">
        <f t="shared" si="10"/>
        <v>117212.702</v>
      </c>
      <c r="Z26" s="123"/>
    </row>
    <row r="27" spans="1:26" ht="20.100000000000001" customHeight="1" x14ac:dyDescent="0.3">
      <c r="A27" s="181" t="s">
        <v>299</v>
      </c>
      <c r="B27" s="182"/>
      <c r="C27" s="183"/>
      <c r="D27" s="119" t="s">
        <v>300</v>
      </c>
      <c r="E27" s="63" t="s">
        <v>170</v>
      </c>
      <c r="F27" s="61">
        <v>12351.94</v>
      </c>
      <c r="G27" s="61"/>
      <c r="H27" s="60">
        <f t="shared" si="3"/>
        <v>37055.82</v>
      </c>
      <c r="I27" s="60">
        <f t="shared" si="4"/>
        <v>926.39549999999997</v>
      </c>
      <c r="J27" s="61">
        <v>0</v>
      </c>
      <c r="K27" s="60">
        <f t="shared" si="5"/>
        <v>6175.97</v>
      </c>
      <c r="L27" s="61">
        <f t="shared" si="6"/>
        <v>43231.79</v>
      </c>
      <c r="M27" s="60">
        <v>0</v>
      </c>
      <c r="N27" s="60">
        <f t="shared" si="7"/>
        <v>12351.94</v>
      </c>
      <c r="O27" s="60">
        <v>0</v>
      </c>
      <c r="P27" s="60">
        <f t="shared" si="8"/>
        <v>1235.1940000000002</v>
      </c>
      <c r="Q27" s="60">
        <v>10000</v>
      </c>
      <c r="R27" s="60">
        <v>0</v>
      </c>
      <c r="S27" s="61">
        <f t="shared" si="9"/>
        <v>123329.04950000001</v>
      </c>
      <c r="T27" s="61"/>
      <c r="U27" s="61">
        <f t="shared" si="2"/>
        <v>4631.9775</v>
      </c>
      <c r="V27" s="60">
        <v>1484.37</v>
      </c>
      <c r="W27" s="61">
        <f t="shared" si="0"/>
        <v>6116.3474999999999</v>
      </c>
      <c r="X27" s="61">
        <v>234425.4</v>
      </c>
      <c r="Y27" s="61">
        <f>S27-W27</f>
        <v>117212.702</v>
      </c>
      <c r="Z27" s="122"/>
    </row>
    <row r="28" spans="1:26" ht="18.75" customHeight="1" x14ac:dyDescent="0.3">
      <c r="A28" s="196" t="s">
        <v>20</v>
      </c>
      <c r="B28" s="196"/>
      <c r="C28" s="196"/>
      <c r="D28" s="71">
        <v>18</v>
      </c>
      <c r="E28" s="59"/>
      <c r="F28" s="72">
        <f>SUM(F9:F27)</f>
        <v>566467.23</v>
      </c>
      <c r="G28" s="72">
        <f t="shared" ref="G28:V28" si="11">SUM(G9:G27)</f>
        <v>50000</v>
      </c>
      <c r="H28" s="72">
        <f t="shared" si="11"/>
        <v>1538912.9400000002</v>
      </c>
      <c r="I28" s="72">
        <f t="shared" si="11"/>
        <v>78595.015999999974</v>
      </c>
      <c r="J28" s="72">
        <f t="shared" si="11"/>
        <v>361099.71</v>
      </c>
      <c r="K28" s="72">
        <f t="shared" si="11"/>
        <v>275209.185</v>
      </c>
      <c r="L28" s="72">
        <f t="shared" si="11"/>
        <v>1902390.9350000001</v>
      </c>
      <c r="M28" s="72">
        <f t="shared" si="11"/>
        <v>40122.19</v>
      </c>
      <c r="N28" s="72">
        <f t="shared" si="11"/>
        <v>526345.05000000005</v>
      </c>
      <c r="O28" s="72">
        <f t="shared" si="11"/>
        <v>270000</v>
      </c>
      <c r="P28" s="72">
        <f t="shared" si="11"/>
        <v>56646.733000000022</v>
      </c>
      <c r="Q28" s="72">
        <f t="shared" si="11"/>
        <v>280000</v>
      </c>
      <c r="R28" s="72">
        <f t="shared" si="11"/>
        <v>25235</v>
      </c>
      <c r="S28" s="72">
        <f t="shared" si="11"/>
        <v>5971023.9702499993</v>
      </c>
      <c r="T28" s="72">
        <f t="shared" si="11"/>
        <v>0</v>
      </c>
      <c r="U28" s="77">
        <f>SUM(U9:U27)</f>
        <v>188420.22150000001</v>
      </c>
      <c r="V28" s="72">
        <f t="shared" si="11"/>
        <v>254924.35999999996</v>
      </c>
      <c r="W28" s="77">
        <f>SUM(W9:W27)</f>
        <v>443344.58149999974</v>
      </c>
      <c r="X28" s="77">
        <f>SUM(X9:X27)</f>
        <v>5354554.4800000023</v>
      </c>
      <c r="Y28" s="72">
        <f>SUM(Y9:Y27)</f>
        <v>5293478.3627499994</v>
      </c>
      <c r="Z28" s="122">
        <f>Y28-X28</f>
        <v>-61076.117250002921</v>
      </c>
    </row>
    <row r="29" spans="1:26" ht="19.5" hidden="1" customHeight="1" x14ac:dyDescent="0.3">
      <c r="A29" s="206"/>
      <c r="B29" s="206"/>
      <c r="C29" s="206"/>
      <c r="D29" s="58"/>
      <c r="E29" s="59"/>
      <c r="F29" s="72"/>
      <c r="G29" s="61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61">
        <f t="shared" si="2"/>
        <v>0</v>
      </c>
      <c r="V29" s="72"/>
      <c r="W29" s="61">
        <f>SUM(T29:V29)*0.075</f>
        <v>0</v>
      </c>
      <c r="X29" s="61"/>
      <c r="Y29" s="61"/>
    </row>
    <row r="30" spans="1:26" ht="19.5" customHeight="1" x14ac:dyDescent="0.3">
      <c r="A30" s="201"/>
      <c r="B30" s="202"/>
      <c r="C30" s="203"/>
      <c r="D30" s="58"/>
      <c r="E30" s="59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61">
        <f t="shared" si="2"/>
        <v>0</v>
      </c>
      <c r="V30" s="72"/>
      <c r="W30" s="61">
        <f>SUM(T30:V30)*0.075</f>
        <v>0</v>
      </c>
      <c r="X30" s="61"/>
      <c r="Y30" s="61"/>
    </row>
    <row r="31" spans="1:26" ht="20.100000000000001" customHeight="1" x14ac:dyDescent="0.3">
      <c r="A31" s="200" t="s">
        <v>94</v>
      </c>
      <c r="B31" s="200"/>
      <c r="C31" s="200"/>
      <c r="D31" s="73"/>
      <c r="E31" s="74"/>
      <c r="F31" s="72"/>
      <c r="G31" s="72"/>
      <c r="H31" s="72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75"/>
      <c r="T31" s="75"/>
      <c r="U31" s="61">
        <f t="shared" si="2"/>
        <v>0</v>
      </c>
      <c r="V31" s="75"/>
      <c r="W31" s="61">
        <f>SUM(T31:V31)*0.075</f>
        <v>0</v>
      </c>
      <c r="X31" s="61"/>
      <c r="Y31" s="61"/>
    </row>
    <row r="32" spans="1:26" ht="20.100000000000001" customHeight="1" x14ac:dyDescent="0.3">
      <c r="A32" s="181" t="s">
        <v>256</v>
      </c>
      <c r="B32" s="182"/>
      <c r="C32" s="183"/>
      <c r="D32" s="96" t="s">
        <v>257</v>
      </c>
      <c r="E32" s="63" t="s">
        <v>154</v>
      </c>
      <c r="F32" s="60">
        <v>76339.3</v>
      </c>
      <c r="G32" s="60"/>
      <c r="H32" s="60">
        <f t="shared" ref="H32:H38" si="12">F32*300%</f>
        <v>229017.90000000002</v>
      </c>
      <c r="I32" s="60">
        <f t="shared" ref="I32:I38" si="13">F32*7.5%</f>
        <v>5725.4475000000002</v>
      </c>
      <c r="J32" s="60">
        <v>80244.38</v>
      </c>
      <c r="K32" s="60">
        <f t="shared" ref="K32:K38" si="14">F32*50%</f>
        <v>38169.65</v>
      </c>
      <c r="L32" s="60">
        <f t="shared" ref="L32:L38" si="15">F32*350%</f>
        <v>267187.55</v>
      </c>
      <c r="M32" s="60">
        <v>0</v>
      </c>
      <c r="N32" s="60">
        <f t="shared" ref="N32:N38" si="16">F32*100%</f>
        <v>76339.3</v>
      </c>
      <c r="O32" s="60">
        <v>150000</v>
      </c>
      <c r="P32" s="60">
        <f t="shared" ref="P32:P38" si="17">F32*10%</f>
        <v>7633.93</v>
      </c>
      <c r="Q32" s="60">
        <v>20000</v>
      </c>
      <c r="R32" s="60">
        <v>0</v>
      </c>
      <c r="S32" s="61">
        <f t="shared" ref="S32:S38" si="18">SUM(F32:R32)</f>
        <v>950657.45750000014</v>
      </c>
      <c r="T32" s="61"/>
      <c r="U32" s="61">
        <f t="shared" si="2"/>
        <v>28627.237499999999</v>
      </c>
      <c r="V32" s="60">
        <v>52776.63</v>
      </c>
      <c r="W32" s="61">
        <f t="shared" ref="W32:W38" si="19">V32+U32+T32</f>
        <v>81403.867499999993</v>
      </c>
      <c r="X32" s="61">
        <v>869253.59</v>
      </c>
      <c r="Y32" s="61">
        <f t="shared" ref="Y32:Y37" si="20">S32-W32</f>
        <v>869253.59000000008</v>
      </c>
    </row>
    <row r="33" spans="1:26" ht="20.100000000000001" customHeight="1" x14ac:dyDescent="0.3">
      <c r="A33" s="181" t="s">
        <v>12</v>
      </c>
      <c r="B33" s="182"/>
      <c r="C33" s="183"/>
      <c r="D33" s="62" t="s">
        <v>235</v>
      </c>
      <c r="E33" s="63" t="s">
        <v>49</v>
      </c>
      <c r="F33" s="60">
        <v>39662.25</v>
      </c>
      <c r="G33" s="60"/>
      <c r="H33" s="60">
        <f t="shared" si="12"/>
        <v>118986.75</v>
      </c>
      <c r="I33" s="60">
        <f t="shared" si="13"/>
        <v>2974.6687499999998</v>
      </c>
      <c r="J33" s="60">
        <f>J12</f>
        <v>40122.19</v>
      </c>
      <c r="K33" s="60">
        <f t="shared" si="14"/>
        <v>19831.125</v>
      </c>
      <c r="L33" s="60">
        <f t="shared" si="15"/>
        <v>138817.875</v>
      </c>
      <c r="M33" s="60">
        <v>0</v>
      </c>
      <c r="N33" s="60">
        <f t="shared" si="16"/>
        <v>39662.25</v>
      </c>
      <c r="O33" s="60">
        <v>100000</v>
      </c>
      <c r="P33" s="60">
        <f t="shared" si="17"/>
        <v>3966.2250000000004</v>
      </c>
      <c r="Q33" s="60">
        <v>20000</v>
      </c>
      <c r="R33" s="60">
        <v>0</v>
      </c>
      <c r="S33" s="61">
        <f t="shared" si="18"/>
        <v>524023.33374999999</v>
      </c>
      <c r="T33" s="61"/>
      <c r="U33" s="61">
        <f t="shared" si="2"/>
        <v>14873.34375</v>
      </c>
      <c r="V33" s="60">
        <v>21618.09</v>
      </c>
      <c r="W33" s="61">
        <f t="shared" si="19"/>
        <v>36491.433749999997</v>
      </c>
      <c r="X33" s="61">
        <v>487531.9</v>
      </c>
      <c r="Y33" s="61">
        <f t="shared" si="20"/>
        <v>487531.9</v>
      </c>
    </row>
    <row r="34" spans="1:26" ht="20.100000000000001" customHeight="1" x14ac:dyDescent="0.3">
      <c r="A34" s="181" t="s">
        <v>232</v>
      </c>
      <c r="B34" s="182"/>
      <c r="C34" s="183"/>
      <c r="D34" s="62" t="s">
        <v>32</v>
      </c>
      <c r="E34" s="63" t="s">
        <v>231</v>
      </c>
      <c r="F34" s="60">
        <v>33507.5</v>
      </c>
      <c r="G34" s="60"/>
      <c r="H34" s="60">
        <f t="shared" si="12"/>
        <v>100522.5</v>
      </c>
      <c r="I34" s="60">
        <f t="shared" si="13"/>
        <v>2513.0625</v>
      </c>
      <c r="J34" s="60">
        <f>J13</f>
        <v>40122.19</v>
      </c>
      <c r="K34" s="60">
        <f t="shared" si="14"/>
        <v>16753.75</v>
      </c>
      <c r="L34" s="60">
        <f t="shared" si="15"/>
        <v>117276.25</v>
      </c>
      <c r="M34" s="60">
        <v>0</v>
      </c>
      <c r="N34" s="60">
        <f t="shared" si="16"/>
        <v>33507.5</v>
      </c>
      <c r="O34" s="60">
        <v>100000</v>
      </c>
      <c r="P34" s="60">
        <f t="shared" si="17"/>
        <v>3350.75</v>
      </c>
      <c r="Q34" s="60">
        <v>20000</v>
      </c>
      <c r="R34" s="60">
        <v>0</v>
      </c>
      <c r="S34" s="61">
        <f t="shared" si="18"/>
        <v>467553.5025</v>
      </c>
      <c r="T34" s="61"/>
      <c r="U34" s="61">
        <f t="shared" si="2"/>
        <v>12565.3125</v>
      </c>
      <c r="V34" s="60">
        <v>15548.33</v>
      </c>
      <c r="W34" s="61">
        <f t="shared" si="19"/>
        <v>28113.642500000002</v>
      </c>
      <c r="X34" s="61">
        <v>439439.86</v>
      </c>
      <c r="Y34" s="61">
        <f t="shared" si="20"/>
        <v>439439.86</v>
      </c>
    </row>
    <row r="35" spans="1:26" ht="20.100000000000001" customHeight="1" x14ac:dyDescent="0.3">
      <c r="A35" s="181" t="s">
        <v>221</v>
      </c>
      <c r="B35" s="182"/>
      <c r="C35" s="183"/>
      <c r="D35" s="58" t="s">
        <v>129</v>
      </c>
      <c r="E35" s="59" t="s">
        <v>189</v>
      </c>
      <c r="F35" s="60">
        <v>23891.119999999999</v>
      </c>
      <c r="G35" s="60">
        <v>0</v>
      </c>
      <c r="H35" s="60">
        <f t="shared" si="12"/>
        <v>71673.36</v>
      </c>
      <c r="I35" s="60">
        <f t="shared" si="13"/>
        <v>1791.8339999999998</v>
      </c>
      <c r="J35" s="60">
        <f>J50</f>
        <v>0</v>
      </c>
      <c r="K35" s="60">
        <f t="shared" si="14"/>
        <v>11945.56</v>
      </c>
      <c r="L35" s="60">
        <f t="shared" si="15"/>
        <v>83618.92</v>
      </c>
      <c r="M35" s="60">
        <v>0</v>
      </c>
      <c r="N35" s="60">
        <f t="shared" si="16"/>
        <v>23891.119999999999</v>
      </c>
      <c r="O35" s="60">
        <v>80000</v>
      </c>
      <c r="P35" s="60">
        <f t="shared" si="17"/>
        <v>2389.1120000000001</v>
      </c>
      <c r="Q35" s="60">
        <v>15000</v>
      </c>
      <c r="R35" s="60">
        <v>0</v>
      </c>
      <c r="S35" s="61">
        <f t="shared" si="18"/>
        <v>314201.02600000001</v>
      </c>
      <c r="T35" s="61"/>
      <c r="U35" s="61">
        <f t="shared" si="2"/>
        <v>8959.1699999999983</v>
      </c>
      <c r="V35" s="60">
        <v>7709.76</v>
      </c>
      <c r="W35" s="61">
        <f t="shared" si="19"/>
        <v>16668.93</v>
      </c>
      <c r="X35" s="61">
        <v>297532.09999999998</v>
      </c>
      <c r="Y35" s="61">
        <f t="shared" si="20"/>
        <v>297532.09600000002</v>
      </c>
    </row>
    <row r="36" spans="1:26" ht="20.100000000000001" customHeight="1" x14ac:dyDescent="0.3">
      <c r="A36" s="181" t="s">
        <v>214</v>
      </c>
      <c r="B36" s="182"/>
      <c r="C36" s="183"/>
      <c r="D36" s="58" t="s">
        <v>133</v>
      </c>
      <c r="E36" s="59" t="s">
        <v>168</v>
      </c>
      <c r="F36" s="60">
        <v>17286.330000000002</v>
      </c>
      <c r="G36" s="60">
        <v>0</v>
      </c>
      <c r="H36" s="60">
        <f t="shared" si="12"/>
        <v>51858.990000000005</v>
      </c>
      <c r="I36" s="60">
        <f t="shared" si="13"/>
        <v>1296.4747500000001</v>
      </c>
      <c r="J36" s="60">
        <v>0</v>
      </c>
      <c r="K36" s="60">
        <f t="shared" si="14"/>
        <v>8643.1650000000009</v>
      </c>
      <c r="L36" s="60">
        <f t="shared" si="15"/>
        <v>60502.155000000006</v>
      </c>
      <c r="M36" s="60">
        <v>0</v>
      </c>
      <c r="N36" s="60">
        <f t="shared" si="16"/>
        <v>17286.330000000002</v>
      </c>
      <c r="O36" s="60">
        <v>40000</v>
      </c>
      <c r="P36" s="60">
        <f t="shared" si="17"/>
        <v>1728.6330000000003</v>
      </c>
      <c r="Q36" s="60">
        <v>10000</v>
      </c>
      <c r="R36" s="60">
        <v>0</v>
      </c>
      <c r="S36" s="61">
        <f t="shared" si="18"/>
        <v>208602.07775000003</v>
      </c>
      <c r="T36" s="61"/>
      <c r="U36" s="61">
        <f t="shared" si="2"/>
        <v>6482.3737500000007</v>
      </c>
      <c r="V36" s="60">
        <v>3369.51</v>
      </c>
      <c r="W36" s="61">
        <f t="shared" si="19"/>
        <v>9851.8837500000009</v>
      </c>
      <c r="X36" s="61">
        <v>198750.19</v>
      </c>
      <c r="Y36" s="61">
        <f t="shared" si="20"/>
        <v>198750.19400000002</v>
      </c>
    </row>
    <row r="37" spans="1:26" ht="20.100000000000001" customHeight="1" x14ac:dyDescent="0.3">
      <c r="A37" s="116" t="s">
        <v>298</v>
      </c>
      <c r="B37" s="117"/>
      <c r="C37" s="118"/>
      <c r="D37" s="120" t="s">
        <v>133</v>
      </c>
      <c r="E37" s="59" t="s">
        <v>168</v>
      </c>
      <c r="F37" s="60">
        <v>17286.330000000002</v>
      </c>
      <c r="G37" s="60"/>
      <c r="H37" s="60">
        <f t="shared" si="12"/>
        <v>51858.990000000005</v>
      </c>
      <c r="I37" s="60">
        <f t="shared" si="13"/>
        <v>1296.4747500000001</v>
      </c>
      <c r="J37" s="60">
        <v>0</v>
      </c>
      <c r="K37" s="60">
        <f t="shared" si="14"/>
        <v>8643.1650000000009</v>
      </c>
      <c r="L37" s="60">
        <f t="shared" si="15"/>
        <v>60502.155000000006</v>
      </c>
      <c r="M37" s="60">
        <v>0</v>
      </c>
      <c r="N37" s="60">
        <f t="shared" si="16"/>
        <v>17286.330000000002</v>
      </c>
      <c r="O37" s="60">
        <v>40000</v>
      </c>
      <c r="P37" s="60">
        <f t="shared" si="17"/>
        <v>1728.6330000000003</v>
      </c>
      <c r="Q37" s="60">
        <v>10000</v>
      </c>
      <c r="R37" s="60">
        <v>0</v>
      </c>
      <c r="S37" s="61">
        <f t="shared" si="18"/>
        <v>208602.07775000003</v>
      </c>
      <c r="T37" s="61"/>
      <c r="U37" s="61">
        <f t="shared" si="2"/>
        <v>6482.3737500000007</v>
      </c>
      <c r="V37" s="60">
        <v>3369.51</v>
      </c>
      <c r="W37" s="61">
        <f t="shared" si="19"/>
        <v>9851.8837500000009</v>
      </c>
      <c r="X37" s="61">
        <v>198750.19</v>
      </c>
      <c r="Y37" s="61">
        <f t="shared" si="20"/>
        <v>198750.19400000002</v>
      </c>
      <c r="Z37" s="95"/>
    </row>
    <row r="38" spans="1:26" ht="20.100000000000001" customHeight="1" x14ac:dyDescent="0.3">
      <c r="A38" s="181" t="s">
        <v>212</v>
      </c>
      <c r="B38" s="182"/>
      <c r="C38" s="183"/>
      <c r="D38" s="58" t="s">
        <v>206</v>
      </c>
      <c r="E38" s="59" t="s">
        <v>207</v>
      </c>
      <c r="F38" s="60">
        <v>14736.14</v>
      </c>
      <c r="G38" s="60">
        <v>0</v>
      </c>
      <c r="H38" s="60">
        <f t="shared" si="12"/>
        <v>44208.42</v>
      </c>
      <c r="I38" s="60">
        <f t="shared" si="13"/>
        <v>1105.2104999999999</v>
      </c>
      <c r="J38" s="60">
        <f>J24</f>
        <v>0</v>
      </c>
      <c r="K38" s="60">
        <f t="shared" si="14"/>
        <v>7368.07</v>
      </c>
      <c r="L38" s="60">
        <f t="shared" si="15"/>
        <v>51576.49</v>
      </c>
      <c r="M38" s="60">
        <v>0</v>
      </c>
      <c r="N38" s="60">
        <f t="shared" si="16"/>
        <v>14736.14</v>
      </c>
      <c r="O38" s="60">
        <v>40000</v>
      </c>
      <c r="P38" s="60">
        <f t="shared" si="17"/>
        <v>1473.614</v>
      </c>
      <c r="Q38" s="60">
        <v>10000</v>
      </c>
      <c r="R38" s="60">
        <v>0</v>
      </c>
      <c r="S38" s="61">
        <f t="shared" si="18"/>
        <v>185204.0845</v>
      </c>
      <c r="T38" s="61">
        <v>0</v>
      </c>
      <c r="U38" s="61">
        <f t="shared" si="2"/>
        <v>5526.0524999999998</v>
      </c>
      <c r="V38" s="60">
        <v>2443.88</v>
      </c>
      <c r="W38" s="61">
        <f t="shared" si="19"/>
        <v>7969.9324999999999</v>
      </c>
      <c r="X38" s="61">
        <v>177234.15</v>
      </c>
      <c r="Y38" s="61">
        <v>177234.15</v>
      </c>
    </row>
    <row r="39" spans="1:26" ht="20.100000000000001" customHeight="1" x14ac:dyDescent="0.3">
      <c r="A39" s="187" t="s">
        <v>20</v>
      </c>
      <c r="B39" s="187"/>
      <c r="C39" s="187"/>
      <c r="D39" s="71">
        <v>7</v>
      </c>
      <c r="E39" s="71"/>
      <c r="F39" s="76">
        <f>SUM(F32:F38)</f>
        <v>222708.97000000003</v>
      </c>
      <c r="G39" s="76">
        <f t="shared" ref="G39:S39" si="21">SUM(G32:G38)</f>
        <v>0</v>
      </c>
      <c r="H39" s="76">
        <f t="shared" si="21"/>
        <v>668126.91</v>
      </c>
      <c r="I39" s="76">
        <f t="shared" si="21"/>
        <v>16703.172749999998</v>
      </c>
      <c r="J39" s="76">
        <f t="shared" si="21"/>
        <v>160488.76</v>
      </c>
      <c r="K39" s="76">
        <f t="shared" si="21"/>
        <v>111354.48500000002</v>
      </c>
      <c r="L39" s="76">
        <f t="shared" si="21"/>
        <v>779481.39500000002</v>
      </c>
      <c r="M39" s="76">
        <f t="shared" si="21"/>
        <v>0</v>
      </c>
      <c r="N39" s="76">
        <f t="shared" si="21"/>
        <v>222708.97000000003</v>
      </c>
      <c r="O39" s="76">
        <f t="shared" si="21"/>
        <v>550000</v>
      </c>
      <c r="P39" s="76">
        <f t="shared" si="21"/>
        <v>22270.897000000004</v>
      </c>
      <c r="Q39" s="76">
        <f t="shared" si="21"/>
        <v>105000</v>
      </c>
      <c r="R39" s="76">
        <f t="shared" si="21"/>
        <v>0</v>
      </c>
      <c r="S39" s="76">
        <f t="shared" si="21"/>
        <v>2858843.5597500005</v>
      </c>
      <c r="T39" s="76">
        <f t="shared" ref="T39:Y39" si="22">SUM(T32:T38)</f>
        <v>0</v>
      </c>
      <c r="U39" s="77">
        <f t="shared" si="22"/>
        <v>83515.863750000004</v>
      </c>
      <c r="V39" s="76">
        <f t="shared" si="22"/>
        <v>106835.70999999999</v>
      </c>
      <c r="W39" s="77">
        <f t="shared" si="22"/>
        <v>190351.57374999998</v>
      </c>
      <c r="X39" s="77">
        <f t="shared" si="22"/>
        <v>2668491.98</v>
      </c>
      <c r="Y39" s="76">
        <f t="shared" si="22"/>
        <v>2668491.9840000002</v>
      </c>
      <c r="Z39" s="95"/>
    </row>
    <row r="40" spans="1:26" ht="20.100000000000001" customHeight="1" x14ac:dyDescent="0.3">
      <c r="A40" s="184"/>
      <c r="B40" s="185"/>
      <c r="C40" s="186"/>
      <c r="D40" s="71"/>
      <c r="E40" s="71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7"/>
      <c r="T40" s="77"/>
      <c r="U40" s="61">
        <f t="shared" si="2"/>
        <v>0</v>
      </c>
      <c r="V40" s="76"/>
      <c r="W40" s="61">
        <f>SUM(T40:V40)*0.075</f>
        <v>0</v>
      </c>
      <c r="X40" s="61"/>
      <c r="Y40" s="61"/>
    </row>
    <row r="41" spans="1:26" ht="20.100000000000001" customHeight="1" x14ac:dyDescent="0.3">
      <c r="A41" s="150" t="s">
        <v>95</v>
      </c>
      <c r="B41" s="148"/>
      <c r="C41" s="149"/>
      <c r="D41" s="78"/>
      <c r="E41" s="71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7"/>
      <c r="T41" s="77"/>
      <c r="U41" s="61">
        <f t="shared" si="2"/>
        <v>0</v>
      </c>
      <c r="V41" s="76"/>
      <c r="W41" s="61">
        <f>SUM(T41:V41)*0.075</f>
        <v>0</v>
      </c>
      <c r="X41" s="61"/>
      <c r="Y41" s="61"/>
    </row>
    <row r="42" spans="1:26" ht="20.100000000000001" customHeight="1" x14ac:dyDescent="0.3">
      <c r="A42" s="181" t="s">
        <v>289</v>
      </c>
      <c r="B42" s="182"/>
      <c r="C42" s="183"/>
      <c r="D42" s="109" t="s">
        <v>290</v>
      </c>
      <c r="E42" s="63" t="s">
        <v>154</v>
      </c>
      <c r="F42" s="60">
        <v>76339.3</v>
      </c>
      <c r="G42" s="60">
        <v>0</v>
      </c>
      <c r="H42" s="60">
        <f>F42*300%</f>
        <v>229017.90000000002</v>
      </c>
      <c r="I42" s="60">
        <f>F42*7.5%</f>
        <v>5725.4475000000002</v>
      </c>
      <c r="J42" s="60">
        <v>80244.38</v>
      </c>
      <c r="K42" s="60">
        <f>F42*50%</f>
        <v>38169.65</v>
      </c>
      <c r="L42" s="60">
        <f>F42*350%</f>
        <v>267187.55</v>
      </c>
      <c r="M42" s="60">
        <v>0</v>
      </c>
      <c r="N42" s="60">
        <f>F42*100%</f>
        <v>76339.3</v>
      </c>
      <c r="O42" s="60">
        <v>150000</v>
      </c>
      <c r="P42" s="60">
        <f>F42*10%</f>
        <v>7633.93</v>
      </c>
      <c r="Q42" s="60">
        <v>20000</v>
      </c>
      <c r="R42" s="60">
        <v>0</v>
      </c>
      <c r="S42" s="61">
        <f>SUM(F42:R42)</f>
        <v>950657.45750000014</v>
      </c>
      <c r="T42" s="61"/>
      <c r="U42" s="61">
        <f t="shared" si="2"/>
        <v>28627.237499999999</v>
      </c>
      <c r="V42" s="60">
        <v>52776.63</v>
      </c>
      <c r="W42" s="61">
        <f t="shared" ref="W42:W60" si="23">V42+U42+T42</f>
        <v>81403.867499999993</v>
      </c>
      <c r="X42" s="61">
        <v>1738507.18</v>
      </c>
      <c r="Y42" s="61">
        <f>S42-W42</f>
        <v>869253.59000000008</v>
      </c>
    </row>
    <row r="43" spans="1:26" ht="20.100000000000001" customHeight="1" x14ac:dyDescent="0.3">
      <c r="A43" s="173" t="s">
        <v>31</v>
      </c>
      <c r="B43" s="173"/>
      <c r="C43" s="173"/>
      <c r="D43" s="58" t="s">
        <v>96</v>
      </c>
      <c r="E43" s="59" t="s">
        <v>49</v>
      </c>
      <c r="F43" s="60">
        <f>F33</f>
        <v>39662.25</v>
      </c>
      <c r="G43" s="60">
        <v>0</v>
      </c>
      <c r="H43" s="60">
        <f>H33</f>
        <v>118986.75</v>
      </c>
      <c r="I43" s="60">
        <f>I33</f>
        <v>2974.6687499999998</v>
      </c>
      <c r="J43" s="60">
        <f>J33</f>
        <v>40122.19</v>
      </c>
      <c r="K43" s="60">
        <f>K33</f>
        <v>19831.125</v>
      </c>
      <c r="L43" s="60">
        <f t="shared" ref="L43:L60" si="24">F43*350%</f>
        <v>138817.875</v>
      </c>
      <c r="M43" s="60">
        <v>0</v>
      </c>
      <c r="N43" s="60">
        <f t="shared" ref="N43:N60" si="25">F43*100%</f>
        <v>39662.25</v>
      </c>
      <c r="O43" s="60">
        <f>O33</f>
        <v>100000</v>
      </c>
      <c r="P43" s="60">
        <f t="shared" ref="P43:P60" si="26">F43*10%</f>
        <v>3966.2250000000004</v>
      </c>
      <c r="Q43" s="60">
        <v>20000</v>
      </c>
      <c r="R43" s="60">
        <v>0</v>
      </c>
      <c r="S43" s="61">
        <f t="shared" ref="S43:S60" si="27">SUM(F43:R43)</f>
        <v>524023.33374999999</v>
      </c>
      <c r="T43" s="61"/>
      <c r="U43" s="61">
        <f t="shared" si="2"/>
        <v>14873.34375</v>
      </c>
      <c r="V43" s="60">
        <v>21618.09</v>
      </c>
      <c r="W43" s="61">
        <f t="shared" si="23"/>
        <v>36491.433749999997</v>
      </c>
      <c r="X43" s="61">
        <v>975063.8</v>
      </c>
      <c r="Y43" s="61">
        <f>S43-W43</f>
        <v>487531.9</v>
      </c>
    </row>
    <row r="44" spans="1:26" ht="20.100000000000001" customHeight="1" x14ac:dyDescent="0.3">
      <c r="A44" s="181" t="s">
        <v>224</v>
      </c>
      <c r="B44" s="182"/>
      <c r="C44" s="183"/>
      <c r="D44" s="58" t="s">
        <v>237</v>
      </c>
      <c r="E44" s="59" t="s">
        <v>120</v>
      </c>
      <c r="F44" s="60">
        <v>33507.5</v>
      </c>
      <c r="G44" s="60">
        <v>155851.16</v>
      </c>
      <c r="H44" s="60">
        <f t="shared" ref="H44:H60" si="28">F44*300%</f>
        <v>100522.5</v>
      </c>
      <c r="I44" s="60">
        <f t="shared" ref="I44:I60" si="29">F44*7.5%</f>
        <v>2513.0625</v>
      </c>
      <c r="J44" s="60">
        <f>J43</f>
        <v>40122.19</v>
      </c>
      <c r="K44" s="60">
        <f t="shared" ref="K44:K60" si="30">F44*50%</f>
        <v>16753.75</v>
      </c>
      <c r="L44" s="60">
        <f t="shared" si="24"/>
        <v>117276.25</v>
      </c>
      <c r="M44" s="60">
        <v>0</v>
      </c>
      <c r="N44" s="60">
        <f t="shared" si="25"/>
        <v>33507.5</v>
      </c>
      <c r="O44" s="60">
        <v>100000</v>
      </c>
      <c r="P44" s="60">
        <f t="shared" si="26"/>
        <v>3350.75</v>
      </c>
      <c r="Q44" s="60">
        <v>20000</v>
      </c>
      <c r="R44" s="60">
        <v>0</v>
      </c>
      <c r="S44" s="61">
        <f t="shared" si="27"/>
        <v>623404.66250000009</v>
      </c>
      <c r="T44" s="61"/>
      <c r="U44" s="61">
        <f t="shared" si="2"/>
        <v>12565.3125</v>
      </c>
      <c r="V44" s="60">
        <v>15548.33</v>
      </c>
      <c r="W44" s="61">
        <f t="shared" si="23"/>
        <v>28113.642500000002</v>
      </c>
      <c r="X44" s="61">
        <v>567177.4</v>
      </c>
      <c r="Y44" s="61">
        <f>S44-W44</f>
        <v>595291.02000000014</v>
      </c>
      <c r="Z44" s="25">
        <f>Y44-X44</f>
        <v>28113.620000000112</v>
      </c>
    </row>
    <row r="45" spans="1:26" ht="20.100000000000001" customHeight="1" x14ac:dyDescent="0.3">
      <c r="A45" s="181" t="s">
        <v>210</v>
      </c>
      <c r="B45" s="182"/>
      <c r="C45" s="183"/>
      <c r="D45" s="58" t="s">
        <v>238</v>
      </c>
      <c r="E45" s="59" t="s">
        <v>148</v>
      </c>
      <c r="F45" s="60">
        <f>'14.7'!E4</f>
        <v>24975.81</v>
      </c>
      <c r="G45" s="60">
        <v>0</v>
      </c>
      <c r="H45" s="60">
        <f t="shared" si="28"/>
        <v>74927.430000000008</v>
      </c>
      <c r="I45" s="60">
        <f t="shared" si="29"/>
        <v>1873.1857500000001</v>
      </c>
      <c r="J45" s="60">
        <f>J16</f>
        <v>0</v>
      </c>
      <c r="K45" s="60">
        <f t="shared" si="30"/>
        <v>12487.905000000001</v>
      </c>
      <c r="L45" s="60">
        <f t="shared" si="24"/>
        <v>87415.335000000006</v>
      </c>
      <c r="M45" s="60">
        <v>0</v>
      </c>
      <c r="N45" s="60">
        <f t="shared" si="25"/>
        <v>24975.81</v>
      </c>
      <c r="O45" s="60">
        <v>100000</v>
      </c>
      <c r="P45" s="60">
        <f t="shared" si="26"/>
        <v>2497.5810000000001</v>
      </c>
      <c r="Q45" s="60">
        <v>20000</v>
      </c>
      <c r="R45" s="60">
        <v>0</v>
      </c>
      <c r="S45" s="61">
        <f t="shared" si="27"/>
        <v>349153.05674999999</v>
      </c>
      <c r="T45" s="61"/>
      <c r="U45" s="61">
        <f t="shared" si="2"/>
        <v>9365.9287499999991</v>
      </c>
      <c r="V45" s="60">
        <v>8998.33</v>
      </c>
      <c r="W45" s="61">
        <f t="shared" si="23"/>
        <v>18364.258750000001</v>
      </c>
      <c r="X45" s="61">
        <v>661577.6</v>
      </c>
      <c r="Y45" s="61">
        <f>S45-W45</f>
        <v>330788.79800000001</v>
      </c>
    </row>
    <row r="46" spans="1:26" ht="19.5" customHeight="1" x14ac:dyDescent="0.3">
      <c r="A46" s="177" t="s">
        <v>192</v>
      </c>
      <c r="B46" s="178"/>
      <c r="C46" s="179"/>
      <c r="D46" s="58" t="s">
        <v>239</v>
      </c>
      <c r="E46" s="59" t="s">
        <v>148</v>
      </c>
      <c r="F46" s="60">
        <v>24975.81</v>
      </c>
      <c r="G46" s="60">
        <v>0</v>
      </c>
      <c r="H46" s="60">
        <f t="shared" si="28"/>
        <v>74927.430000000008</v>
      </c>
      <c r="I46" s="60">
        <f t="shared" si="29"/>
        <v>1873.1857500000001</v>
      </c>
      <c r="J46" s="60">
        <f>J16</f>
        <v>0</v>
      </c>
      <c r="K46" s="60">
        <f t="shared" si="30"/>
        <v>12487.905000000001</v>
      </c>
      <c r="L46" s="60">
        <f t="shared" si="24"/>
        <v>87415.335000000006</v>
      </c>
      <c r="M46" s="60">
        <v>0</v>
      </c>
      <c r="N46" s="60">
        <f t="shared" si="25"/>
        <v>24975.81</v>
      </c>
      <c r="O46" s="60">
        <v>100000</v>
      </c>
      <c r="P46" s="60">
        <f t="shared" si="26"/>
        <v>2497.5810000000001</v>
      </c>
      <c r="Q46" s="60">
        <v>20000</v>
      </c>
      <c r="R46" s="60">
        <v>0</v>
      </c>
      <c r="S46" s="61">
        <f t="shared" si="27"/>
        <v>349153.05674999999</v>
      </c>
      <c r="T46" s="61"/>
      <c r="U46" s="61">
        <f t="shared" si="2"/>
        <v>9365.9287499999991</v>
      </c>
      <c r="V46" s="60">
        <v>8998.33</v>
      </c>
      <c r="W46" s="61">
        <f t="shared" si="23"/>
        <v>18364.258750000001</v>
      </c>
      <c r="X46" s="61">
        <v>661577.6</v>
      </c>
      <c r="Y46" s="61">
        <f t="shared" ref="Y46:Y54" si="31">S46-W46</f>
        <v>330788.79800000001</v>
      </c>
    </row>
    <row r="47" spans="1:26" ht="20.100000000000001" customHeight="1" x14ac:dyDescent="0.3">
      <c r="A47" s="181" t="s">
        <v>211</v>
      </c>
      <c r="B47" s="182"/>
      <c r="C47" s="183"/>
      <c r="D47" s="58" t="s">
        <v>129</v>
      </c>
      <c r="E47" s="59" t="s">
        <v>189</v>
      </c>
      <c r="F47" s="60">
        <v>23891.119999999999</v>
      </c>
      <c r="G47" s="60">
        <v>0</v>
      </c>
      <c r="H47" s="60">
        <f t="shared" si="28"/>
        <v>71673.36</v>
      </c>
      <c r="I47" s="60">
        <f t="shared" si="29"/>
        <v>1791.8339999999998</v>
      </c>
      <c r="J47" s="60">
        <f>J17</f>
        <v>0</v>
      </c>
      <c r="K47" s="60">
        <f t="shared" si="30"/>
        <v>11945.56</v>
      </c>
      <c r="L47" s="60">
        <f t="shared" si="24"/>
        <v>83618.92</v>
      </c>
      <c r="M47" s="60">
        <v>0</v>
      </c>
      <c r="N47" s="60">
        <f t="shared" si="25"/>
        <v>23891.119999999999</v>
      </c>
      <c r="O47" s="60">
        <v>80000</v>
      </c>
      <c r="P47" s="60">
        <f t="shared" si="26"/>
        <v>2389.1120000000001</v>
      </c>
      <c r="Q47" s="60">
        <v>15000</v>
      </c>
      <c r="R47" s="60">
        <v>0</v>
      </c>
      <c r="S47" s="61">
        <f t="shared" si="27"/>
        <v>314201.02600000001</v>
      </c>
      <c r="T47" s="61"/>
      <c r="U47" s="61">
        <f t="shared" si="2"/>
        <v>8959.1699999999983</v>
      </c>
      <c r="V47" s="60">
        <v>7709.76</v>
      </c>
      <c r="W47" s="61">
        <f t="shared" si="23"/>
        <v>16668.93</v>
      </c>
      <c r="X47" s="61">
        <v>595064.19999999995</v>
      </c>
      <c r="Y47" s="61">
        <f t="shared" si="31"/>
        <v>297532.09600000002</v>
      </c>
    </row>
    <row r="48" spans="1:26" ht="20.100000000000001" customHeight="1" x14ac:dyDescent="0.3">
      <c r="A48" s="181" t="s">
        <v>245</v>
      </c>
      <c r="B48" s="182"/>
      <c r="C48" s="183"/>
      <c r="D48" s="58" t="s">
        <v>129</v>
      </c>
      <c r="E48" s="59" t="s">
        <v>189</v>
      </c>
      <c r="F48" s="60">
        <v>23891.119999999999</v>
      </c>
      <c r="G48" s="60">
        <v>0</v>
      </c>
      <c r="H48" s="60">
        <f t="shared" si="28"/>
        <v>71673.36</v>
      </c>
      <c r="I48" s="60">
        <f t="shared" si="29"/>
        <v>1791.8339999999998</v>
      </c>
      <c r="J48" s="60">
        <f>J50</f>
        <v>0</v>
      </c>
      <c r="K48" s="60">
        <f t="shared" si="30"/>
        <v>11945.56</v>
      </c>
      <c r="L48" s="60">
        <f t="shared" si="24"/>
        <v>83618.92</v>
      </c>
      <c r="M48" s="60">
        <v>0</v>
      </c>
      <c r="N48" s="60">
        <f t="shared" si="25"/>
        <v>23891.119999999999</v>
      </c>
      <c r="O48" s="60">
        <v>80000</v>
      </c>
      <c r="P48" s="60">
        <f t="shared" si="26"/>
        <v>2389.1120000000001</v>
      </c>
      <c r="Q48" s="60">
        <v>15000</v>
      </c>
      <c r="R48" s="60">
        <v>0</v>
      </c>
      <c r="S48" s="61">
        <f t="shared" si="27"/>
        <v>314201.02600000001</v>
      </c>
      <c r="T48" s="61"/>
      <c r="U48" s="61">
        <f t="shared" si="2"/>
        <v>8959.1699999999983</v>
      </c>
      <c r="V48" s="60">
        <v>7709.76</v>
      </c>
      <c r="W48" s="61">
        <f t="shared" si="23"/>
        <v>16668.93</v>
      </c>
      <c r="X48" s="61">
        <v>297532.09999999998</v>
      </c>
      <c r="Y48" s="61">
        <f t="shared" si="31"/>
        <v>297532.09600000002</v>
      </c>
    </row>
    <row r="49" spans="1:26" ht="20.100000000000001" customHeight="1" x14ac:dyDescent="0.3">
      <c r="A49" s="181" t="s">
        <v>291</v>
      </c>
      <c r="B49" s="182"/>
      <c r="C49" s="183"/>
      <c r="D49" s="110" t="s">
        <v>129</v>
      </c>
      <c r="E49" s="59" t="s">
        <v>189</v>
      </c>
      <c r="F49" s="60">
        <v>23891.119999999999</v>
      </c>
      <c r="G49" s="60">
        <v>0</v>
      </c>
      <c r="H49" s="60">
        <f>F49*300%</f>
        <v>71673.36</v>
      </c>
      <c r="I49" s="60">
        <f>F49*7.5%</f>
        <v>1791.8339999999998</v>
      </c>
      <c r="J49" s="60">
        <f>J51</f>
        <v>0</v>
      </c>
      <c r="K49" s="60">
        <f>F49*50%</f>
        <v>11945.56</v>
      </c>
      <c r="L49" s="60">
        <f>F49*350%</f>
        <v>83618.92</v>
      </c>
      <c r="M49" s="60">
        <v>0</v>
      </c>
      <c r="N49" s="60">
        <f>F49*100%</f>
        <v>23891.119999999999</v>
      </c>
      <c r="O49" s="60">
        <v>80000</v>
      </c>
      <c r="P49" s="60">
        <f>F49*10%</f>
        <v>2389.1120000000001</v>
      </c>
      <c r="Q49" s="60">
        <v>15000</v>
      </c>
      <c r="R49" s="60">
        <v>0</v>
      </c>
      <c r="S49" s="61">
        <f>SUM(F49:R49)</f>
        <v>314201.02600000001</v>
      </c>
      <c r="T49" s="61"/>
      <c r="U49" s="61">
        <f t="shared" si="2"/>
        <v>8959.1699999999983</v>
      </c>
      <c r="V49" s="60">
        <v>7709.76</v>
      </c>
      <c r="W49" s="61">
        <f t="shared" si="23"/>
        <v>16668.93</v>
      </c>
      <c r="X49" s="61">
        <v>595064.19999999995</v>
      </c>
      <c r="Y49" s="61">
        <f t="shared" si="31"/>
        <v>297532.09600000002</v>
      </c>
    </row>
    <row r="50" spans="1:26" ht="20.100000000000001" customHeight="1" x14ac:dyDescent="0.3">
      <c r="A50" s="172" t="s">
        <v>24</v>
      </c>
      <c r="B50" s="172"/>
      <c r="C50" s="172"/>
      <c r="D50" s="58" t="s">
        <v>25</v>
      </c>
      <c r="E50" s="59" t="s">
        <v>47</v>
      </c>
      <c r="F50" s="60">
        <v>18234.419999999998</v>
      </c>
      <c r="G50" s="60">
        <v>0</v>
      </c>
      <c r="H50" s="60">
        <f>F50*300%</f>
        <v>54703.259999999995</v>
      </c>
      <c r="I50" s="60">
        <f>F50*7.5%</f>
        <v>1367.5814999999998</v>
      </c>
      <c r="J50" s="60">
        <v>0</v>
      </c>
      <c r="K50" s="60">
        <f>F50*50%</f>
        <v>9117.2099999999991</v>
      </c>
      <c r="L50" s="61">
        <f>F50*350%</f>
        <v>63820.469999999994</v>
      </c>
      <c r="M50" s="60">
        <v>0</v>
      </c>
      <c r="N50" s="60">
        <f>F50*100%</f>
        <v>18234.419999999998</v>
      </c>
      <c r="O50" s="60">
        <v>40000</v>
      </c>
      <c r="P50" s="60">
        <f>F50*10%</f>
        <v>1823.442</v>
      </c>
      <c r="Q50" s="60">
        <v>15000</v>
      </c>
      <c r="R50" s="60">
        <v>0</v>
      </c>
      <c r="S50" s="61">
        <f>SUM(F50:R50)</f>
        <v>222300.80350000001</v>
      </c>
      <c r="T50" s="61"/>
      <c r="U50" s="61">
        <f t="shared" si="2"/>
        <v>6837.9074999999993</v>
      </c>
      <c r="V50" s="61">
        <v>3369.51</v>
      </c>
      <c r="W50" s="61">
        <f t="shared" si="23"/>
        <v>10207.4175</v>
      </c>
      <c r="X50" s="61">
        <v>212093.39</v>
      </c>
      <c r="Y50" s="61">
        <f t="shared" si="31"/>
        <v>212093.386</v>
      </c>
    </row>
    <row r="51" spans="1:26" ht="20.100000000000001" customHeight="1" x14ac:dyDescent="0.3">
      <c r="A51" s="68" t="s">
        <v>190</v>
      </c>
      <c r="B51" s="69"/>
      <c r="C51" s="70"/>
      <c r="D51" s="58" t="s">
        <v>191</v>
      </c>
      <c r="E51" s="59" t="s">
        <v>168</v>
      </c>
      <c r="F51" s="60">
        <v>17286.330000000002</v>
      </c>
      <c r="G51" s="60">
        <v>0</v>
      </c>
      <c r="H51" s="60">
        <f t="shared" si="28"/>
        <v>51858.990000000005</v>
      </c>
      <c r="I51" s="60">
        <f t="shared" si="29"/>
        <v>1296.4747500000001</v>
      </c>
      <c r="J51" s="60">
        <f>J16</f>
        <v>0</v>
      </c>
      <c r="K51" s="60">
        <f t="shared" si="30"/>
        <v>8643.1650000000009</v>
      </c>
      <c r="L51" s="60">
        <f t="shared" si="24"/>
        <v>60502.155000000006</v>
      </c>
      <c r="M51" s="60">
        <v>0</v>
      </c>
      <c r="N51" s="60">
        <f t="shared" si="25"/>
        <v>17286.330000000002</v>
      </c>
      <c r="O51" s="60">
        <v>40000</v>
      </c>
      <c r="P51" s="60">
        <f t="shared" si="26"/>
        <v>1728.6330000000003</v>
      </c>
      <c r="Q51" s="60">
        <v>10000</v>
      </c>
      <c r="R51" s="60">
        <v>0</v>
      </c>
      <c r="S51" s="61">
        <f t="shared" si="27"/>
        <v>208602.07775000003</v>
      </c>
      <c r="T51" s="61"/>
      <c r="U51" s="61">
        <f t="shared" si="2"/>
        <v>6482.3737500000007</v>
      </c>
      <c r="V51" s="61">
        <v>3369.51</v>
      </c>
      <c r="W51" s="61">
        <f t="shared" si="23"/>
        <v>9851.8837500000009</v>
      </c>
      <c r="X51" s="61">
        <v>397500.38</v>
      </c>
      <c r="Y51" s="61">
        <f t="shared" si="31"/>
        <v>198750.19400000002</v>
      </c>
    </row>
    <row r="52" spans="1:26" ht="20.100000000000001" customHeight="1" x14ac:dyDescent="0.3">
      <c r="A52" s="181" t="s">
        <v>202</v>
      </c>
      <c r="B52" s="182"/>
      <c r="C52" s="183"/>
      <c r="D52" s="58" t="s">
        <v>133</v>
      </c>
      <c r="E52" s="59" t="s">
        <v>168</v>
      </c>
      <c r="F52" s="60">
        <v>17286.330000000002</v>
      </c>
      <c r="G52" s="60">
        <v>0</v>
      </c>
      <c r="H52" s="60">
        <f t="shared" si="28"/>
        <v>51858.990000000005</v>
      </c>
      <c r="I52" s="60">
        <f t="shared" si="29"/>
        <v>1296.4747500000001</v>
      </c>
      <c r="J52" s="60">
        <f>J17</f>
        <v>0</v>
      </c>
      <c r="K52" s="60">
        <f t="shared" si="30"/>
        <v>8643.1650000000009</v>
      </c>
      <c r="L52" s="60">
        <f t="shared" si="24"/>
        <v>60502.155000000006</v>
      </c>
      <c r="M52" s="60">
        <v>0</v>
      </c>
      <c r="N52" s="60">
        <f t="shared" si="25"/>
        <v>17286.330000000002</v>
      </c>
      <c r="O52" s="60">
        <v>40000</v>
      </c>
      <c r="P52" s="60">
        <f t="shared" si="26"/>
        <v>1728.6330000000003</v>
      </c>
      <c r="Q52" s="60">
        <v>10000</v>
      </c>
      <c r="R52" s="60">
        <v>0</v>
      </c>
      <c r="S52" s="61">
        <f t="shared" si="27"/>
        <v>208602.07775000003</v>
      </c>
      <c r="T52" s="61"/>
      <c r="U52" s="61">
        <f t="shared" si="2"/>
        <v>6482.3737500000007</v>
      </c>
      <c r="V52" s="61">
        <v>3369.51</v>
      </c>
      <c r="W52" s="61">
        <f t="shared" si="23"/>
        <v>9851.8837500000009</v>
      </c>
      <c r="X52" s="61">
        <v>397500.38</v>
      </c>
      <c r="Y52" s="61">
        <f t="shared" si="31"/>
        <v>198750.19400000002</v>
      </c>
    </row>
    <row r="53" spans="1:26" ht="20.100000000000001" customHeight="1" x14ac:dyDescent="0.3">
      <c r="A53" s="181" t="s">
        <v>216</v>
      </c>
      <c r="B53" s="182"/>
      <c r="C53" s="183"/>
      <c r="D53" s="58" t="s">
        <v>133</v>
      </c>
      <c r="E53" s="59" t="s">
        <v>168</v>
      </c>
      <c r="F53" s="60">
        <v>17286.330000000002</v>
      </c>
      <c r="G53" s="60">
        <v>0</v>
      </c>
      <c r="H53" s="60">
        <f t="shared" si="28"/>
        <v>51858.990000000005</v>
      </c>
      <c r="I53" s="60">
        <f t="shared" si="29"/>
        <v>1296.4747500000001</v>
      </c>
      <c r="J53" s="60">
        <f>J50</f>
        <v>0</v>
      </c>
      <c r="K53" s="60">
        <f t="shared" si="30"/>
        <v>8643.1650000000009</v>
      </c>
      <c r="L53" s="60">
        <f t="shared" si="24"/>
        <v>60502.155000000006</v>
      </c>
      <c r="M53" s="60">
        <v>0</v>
      </c>
      <c r="N53" s="60">
        <f t="shared" si="25"/>
        <v>17286.330000000002</v>
      </c>
      <c r="O53" s="60">
        <v>40000</v>
      </c>
      <c r="P53" s="60">
        <f t="shared" si="26"/>
        <v>1728.6330000000003</v>
      </c>
      <c r="Q53" s="60">
        <v>10000</v>
      </c>
      <c r="R53" s="60">
        <v>0</v>
      </c>
      <c r="S53" s="61">
        <f t="shared" si="27"/>
        <v>208602.07775000003</v>
      </c>
      <c r="T53" s="61"/>
      <c r="U53" s="61">
        <f t="shared" si="2"/>
        <v>6482.3737500000007</v>
      </c>
      <c r="V53" s="61">
        <v>3369.51</v>
      </c>
      <c r="W53" s="61">
        <f t="shared" si="23"/>
        <v>9851.8837500000009</v>
      </c>
      <c r="X53" s="61">
        <v>397500.38</v>
      </c>
      <c r="Y53" s="61">
        <f t="shared" si="31"/>
        <v>198750.19400000002</v>
      </c>
    </row>
    <row r="54" spans="1:26" ht="20.100000000000001" customHeight="1" x14ac:dyDescent="0.3">
      <c r="A54" s="181" t="s">
        <v>297</v>
      </c>
      <c r="B54" s="182"/>
      <c r="C54" s="183"/>
      <c r="D54" s="110" t="s">
        <v>133</v>
      </c>
      <c r="E54" s="59" t="s">
        <v>168</v>
      </c>
      <c r="F54" s="60">
        <v>17286.330000000002</v>
      </c>
      <c r="G54" s="60">
        <v>0</v>
      </c>
      <c r="H54" s="60">
        <f>F54*300%</f>
        <v>51858.990000000005</v>
      </c>
      <c r="I54" s="60">
        <f>F54*7.5%</f>
        <v>1296.4747500000001</v>
      </c>
      <c r="J54" s="60">
        <f>J51</f>
        <v>0</v>
      </c>
      <c r="K54" s="60">
        <f>F54*50%</f>
        <v>8643.1650000000009</v>
      </c>
      <c r="L54" s="60">
        <f>F54*350%</f>
        <v>60502.155000000006</v>
      </c>
      <c r="M54" s="60">
        <v>0</v>
      </c>
      <c r="N54" s="60">
        <f>F54*100%</f>
        <v>17286.330000000002</v>
      </c>
      <c r="O54" s="60">
        <v>40000</v>
      </c>
      <c r="P54" s="60">
        <f>F54*10%</f>
        <v>1728.6330000000003</v>
      </c>
      <c r="Q54" s="60">
        <v>10000</v>
      </c>
      <c r="R54" s="60">
        <v>0</v>
      </c>
      <c r="S54" s="61">
        <f>SUM(F54:R54)</f>
        <v>208602.07775000003</v>
      </c>
      <c r="T54" s="61"/>
      <c r="U54" s="61">
        <f t="shared" si="2"/>
        <v>6482.3737500000007</v>
      </c>
      <c r="V54" s="61">
        <v>3369.51</v>
      </c>
      <c r="W54" s="61">
        <f t="shared" si="23"/>
        <v>9851.8837500000009</v>
      </c>
      <c r="X54" s="61">
        <v>397500.38</v>
      </c>
      <c r="Y54" s="61">
        <f t="shared" si="31"/>
        <v>198750.19400000002</v>
      </c>
      <c r="Z54" s="95"/>
    </row>
    <row r="55" spans="1:26" ht="20.100000000000001" customHeight="1" x14ac:dyDescent="0.3">
      <c r="A55" s="158" t="s">
        <v>340</v>
      </c>
      <c r="B55" s="159"/>
      <c r="C55" s="164"/>
      <c r="D55" s="163" t="s">
        <v>341</v>
      </c>
      <c r="E55" s="59" t="s">
        <v>168</v>
      </c>
      <c r="F55" s="60">
        <v>17286.330000000002</v>
      </c>
      <c r="G55" s="60">
        <v>252000</v>
      </c>
      <c r="H55" s="60">
        <f>F55*300%</f>
        <v>51858.990000000005</v>
      </c>
      <c r="I55" s="60">
        <f>F55*7.5%</f>
        <v>1296.4747500000001</v>
      </c>
      <c r="J55" s="60"/>
      <c r="K55" s="60">
        <f>F55*50%</f>
        <v>8643.1650000000009</v>
      </c>
      <c r="L55" s="60">
        <f>F55*350%</f>
        <v>60502.155000000006</v>
      </c>
      <c r="M55" s="60"/>
      <c r="N55" s="60">
        <f>F55*100%</f>
        <v>17286.330000000002</v>
      </c>
      <c r="O55" s="60">
        <v>40000</v>
      </c>
      <c r="P55" s="60">
        <f>F55*10%</f>
        <v>1728.6330000000003</v>
      </c>
      <c r="Q55" s="60">
        <v>10000</v>
      </c>
      <c r="R55" s="60"/>
      <c r="S55" s="61">
        <f>SUM(F55:R55)</f>
        <v>460602.07775</v>
      </c>
      <c r="T55" s="61"/>
      <c r="U55" s="61">
        <f>U54</f>
        <v>6482.3737500000007</v>
      </c>
      <c r="V55" s="61">
        <f>V54</f>
        <v>3369.51</v>
      </c>
      <c r="W55" s="61">
        <f t="shared" si="23"/>
        <v>9851.8837500000009</v>
      </c>
      <c r="X55" s="61">
        <v>354911.05</v>
      </c>
      <c r="Y55" s="61">
        <f t="shared" ref="Y55:Y60" si="32">S55-W55</f>
        <v>450750.19400000002</v>
      </c>
      <c r="Z55" s="95">
        <f>Y55-X55</f>
        <v>95839.144000000029</v>
      </c>
    </row>
    <row r="56" spans="1:26" ht="20.100000000000001" customHeight="1" x14ac:dyDescent="0.3">
      <c r="A56" s="181" t="s">
        <v>205</v>
      </c>
      <c r="B56" s="182"/>
      <c r="C56" s="183"/>
      <c r="D56" s="58" t="s">
        <v>206</v>
      </c>
      <c r="E56" s="59" t="s">
        <v>207</v>
      </c>
      <c r="F56" s="60">
        <f>'9.7'!E4</f>
        <v>14736.14</v>
      </c>
      <c r="G56" s="60">
        <v>0</v>
      </c>
      <c r="H56" s="60">
        <f t="shared" si="28"/>
        <v>44208.42</v>
      </c>
      <c r="I56" s="60">
        <f t="shared" si="29"/>
        <v>1105.2104999999999</v>
      </c>
      <c r="J56" s="60">
        <f>J50</f>
        <v>0</v>
      </c>
      <c r="K56" s="60">
        <f t="shared" si="30"/>
        <v>7368.07</v>
      </c>
      <c r="L56" s="60">
        <f t="shared" si="24"/>
        <v>51576.49</v>
      </c>
      <c r="M56" s="60">
        <v>0</v>
      </c>
      <c r="N56" s="60">
        <f t="shared" si="25"/>
        <v>14736.14</v>
      </c>
      <c r="O56" s="60">
        <v>40000</v>
      </c>
      <c r="P56" s="60">
        <f t="shared" si="26"/>
        <v>1473.614</v>
      </c>
      <c r="Q56" s="60">
        <v>10000</v>
      </c>
      <c r="R56" s="60">
        <v>0</v>
      </c>
      <c r="S56" s="61">
        <f t="shared" si="27"/>
        <v>185204.0845</v>
      </c>
      <c r="T56" s="61"/>
      <c r="U56" s="61">
        <f t="shared" si="2"/>
        <v>5526.0524999999998</v>
      </c>
      <c r="V56" s="60">
        <v>2443.88</v>
      </c>
      <c r="W56" s="61">
        <f t="shared" si="23"/>
        <v>7969.9324999999999</v>
      </c>
      <c r="X56" s="61">
        <v>354468.3</v>
      </c>
      <c r="Y56" s="61">
        <f t="shared" si="32"/>
        <v>177234.152</v>
      </c>
      <c r="Z56" s="25"/>
    </row>
    <row r="57" spans="1:26" ht="20.100000000000001" customHeight="1" x14ac:dyDescent="0.3">
      <c r="A57" s="181" t="s">
        <v>215</v>
      </c>
      <c r="B57" s="182"/>
      <c r="C57" s="183"/>
      <c r="D57" s="58" t="s">
        <v>206</v>
      </c>
      <c r="E57" s="59" t="s">
        <v>207</v>
      </c>
      <c r="F57" s="60">
        <v>14736.14</v>
      </c>
      <c r="G57" s="60">
        <v>0</v>
      </c>
      <c r="H57" s="60">
        <f t="shared" si="28"/>
        <v>44208.42</v>
      </c>
      <c r="I57" s="60">
        <f t="shared" si="29"/>
        <v>1105.2104999999999</v>
      </c>
      <c r="J57" s="60">
        <f>J24</f>
        <v>0</v>
      </c>
      <c r="K57" s="60">
        <f t="shared" si="30"/>
        <v>7368.07</v>
      </c>
      <c r="L57" s="60">
        <f t="shared" si="24"/>
        <v>51576.49</v>
      </c>
      <c r="M57" s="60">
        <v>0</v>
      </c>
      <c r="N57" s="60">
        <f t="shared" si="25"/>
        <v>14736.14</v>
      </c>
      <c r="O57" s="60">
        <v>40000</v>
      </c>
      <c r="P57" s="60">
        <f t="shared" si="26"/>
        <v>1473.614</v>
      </c>
      <c r="Q57" s="60">
        <v>10000</v>
      </c>
      <c r="R57" s="60">
        <v>0</v>
      </c>
      <c r="S57" s="61">
        <f t="shared" si="27"/>
        <v>185204.0845</v>
      </c>
      <c r="T57" s="61"/>
      <c r="U57" s="61">
        <f t="shared" si="2"/>
        <v>5526.0524999999998</v>
      </c>
      <c r="V57" s="60">
        <v>2443.88</v>
      </c>
      <c r="W57" s="61">
        <f t="shared" si="23"/>
        <v>7969.9324999999999</v>
      </c>
      <c r="X57" s="61">
        <v>354468.3</v>
      </c>
      <c r="Y57" s="61">
        <f t="shared" si="32"/>
        <v>177234.152</v>
      </c>
      <c r="Z57" s="95"/>
    </row>
    <row r="58" spans="1:26" ht="20.100000000000001" customHeight="1" x14ac:dyDescent="0.3">
      <c r="A58" s="181" t="s">
        <v>213</v>
      </c>
      <c r="B58" s="182"/>
      <c r="C58" s="183"/>
      <c r="D58" s="58" t="s">
        <v>206</v>
      </c>
      <c r="E58" s="59" t="s">
        <v>207</v>
      </c>
      <c r="F58" s="60">
        <v>14736.14</v>
      </c>
      <c r="G58" s="60">
        <v>0</v>
      </c>
      <c r="H58" s="60">
        <f t="shared" si="28"/>
        <v>44208.42</v>
      </c>
      <c r="I58" s="60">
        <f t="shared" si="29"/>
        <v>1105.2104999999999</v>
      </c>
      <c r="J58" s="60"/>
      <c r="K58" s="60">
        <f t="shared" si="30"/>
        <v>7368.07</v>
      </c>
      <c r="L58" s="60">
        <f t="shared" si="24"/>
        <v>51576.49</v>
      </c>
      <c r="M58" s="60"/>
      <c r="N58" s="60">
        <f t="shared" si="25"/>
        <v>14736.14</v>
      </c>
      <c r="O58" s="60">
        <v>40000</v>
      </c>
      <c r="P58" s="60">
        <f t="shared" si="26"/>
        <v>1473.614</v>
      </c>
      <c r="Q58" s="60">
        <v>10000</v>
      </c>
      <c r="R58" s="60">
        <v>0</v>
      </c>
      <c r="S58" s="61">
        <f t="shared" si="27"/>
        <v>185204.0845</v>
      </c>
      <c r="T58" s="61"/>
      <c r="U58" s="61">
        <f t="shared" si="2"/>
        <v>5526.0524999999998</v>
      </c>
      <c r="V58" s="60">
        <v>2443.88</v>
      </c>
      <c r="W58" s="61">
        <f t="shared" si="23"/>
        <v>7969.9324999999999</v>
      </c>
      <c r="X58" s="61">
        <v>354468.3</v>
      </c>
      <c r="Y58" s="61">
        <f t="shared" si="32"/>
        <v>177234.152</v>
      </c>
    </row>
    <row r="59" spans="1:26" ht="20.100000000000001" customHeight="1" x14ac:dyDescent="0.3">
      <c r="A59" s="181" t="s">
        <v>295</v>
      </c>
      <c r="B59" s="182"/>
      <c r="C59" s="183"/>
      <c r="D59" s="110" t="s">
        <v>206</v>
      </c>
      <c r="E59" s="59" t="s">
        <v>207</v>
      </c>
      <c r="F59" s="60">
        <v>14736.14</v>
      </c>
      <c r="G59" s="60">
        <v>0</v>
      </c>
      <c r="H59" s="60">
        <f>F59*300%</f>
        <v>44208.42</v>
      </c>
      <c r="I59" s="60">
        <f>F59*7.5%</f>
        <v>1105.2104999999999</v>
      </c>
      <c r="J59" s="60"/>
      <c r="K59" s="60">
        <f>F59*50%</f>
        <v>7368.07</v>
      </c>
      <c r="L59" s="60">
        <f>F59*350%</f>
        <v>51576.49</v>
      </c>
      <c r="M59" s="60"/>
      <c r="N59" s="60">
        <f>F59*100%</f>
        <v>14736.14</v>
      </c>
      <c r="O59" s="60">
        <v>40000</v>
      </c>
      <c r="P59" s="60">
        <f>F59*10%</f>
        <v>1473.614</v>
      </c>
      <c r="Q59" s="60">
        <v>10000</v>
      </c>
      <c r="R59" s="60"/>
      <c r="S59" s="61">
        <f>SUM(F59:R59)</f>
        <v>185204.0845</v>
      </c>
      <c r="T59" s="61"/>
      <c r="U59" s="61">
        <f t="shared" si="2"/>
        <v>5526.0524999999998</v>
      </c>
      <c r="V59" s="60">
        <v>2443.88</v>
      </c>
      <c r="W59" s="61">
        <f t="shared" si="23"/>
        <v>7969.9324999999999</v>
      </c>
      <c r="X59" s="61">
        <v>177234.15</v>
      </c>
      <c r="Y59" s="61">
        <f t="shared" si="32"/>
        <v>177234.152</v>
      </c>
    </row>
    <row r="60" spans="1:26" ht="20.100000000000001" customHeight="1" x14ac:dyDescent="0.3">
      <c r="A60" s="181" t="s">
        <v>209</v>
      </c>
      <c r="B60" s="182"/>
      <c r="C60" s="183"/>
      <c r="D60" s="58" t="s">
        <v>206</v>
      </c>
      <c r="E60" s="59" t="s">
        <v>207</v>
      </c>
      <c r="F60" s="60">
        <v>14736.14</v>
      </c>
      <c r="G60" s="60">
        <v>0</v>
      </c>
      <c r="H60" s="60">
        <f t="shared" si="28"/>
        <v>44208.42</v>
      </c>
      <c r="I60" s="60">
        <f t="shared" si="29"/>
        <v>1105.2104999999999</v>
      </c>
      <c r="J60" s="60">
        <f>J24</f>
        <v>0</v>
      </c>
      <c r="K60" s="60">
        <f t="shared" si="30"/>
        <v>7368.07</v>
      </c>
      <c r="L60" s="60">
        <f t="shared" si="24"/>
        <v>51576.49</v>
      </c>
      <c r="M60" s="60">
        <v>0</v>
      </c>
      <c r="N60" s="60">
        <f t="shared" si="25"/>
        <v>14736.14</v>
      </c>
      <c r="O60" s="60">
        <v>40000</v>
      </c>
      <c r="P60" s="60">
        <f t="shared" si="26"/>
        <v>1473.614</v>
      </c>
      <c r="Q60" s="60">
        <v>10000</v>
      </c>
      <c r="R60" s="60">
        <v>0</v>
      </c>
      <c r="S60" s="61">
        <f t="shared" si="27"/>
        <v>185204.0845</v>
      </c>
      <c r="T60" s="61"/>
      <c r="U60" s="61">
        <f t="shared" si="2"/>
        <v>5526.0524999999998</v>
      </c>
      <c r="V60" s="60">
        <v>2443.88</v>
      </c>
      <c r="W60" s="61">
        <f t="shared" si="23"/>
        <v>7969.9324999999999</v>
      </c>
      <c r="X60" s="61">
        <v>354468.3</v>
      </c>
      <c r="Y60" s="61">
        <f t="shared" si="32"/>
        <v>177234.152</v>
      </c>
    </row>
    <row r="61" spans="1:26" ht="20.100000000000001" customHeight="1" x14ac:dyDescent="0.3">
      <c r="A61" s="187" t="s">
        <v>20</v>
      </c>
      <c r="B61" s="187"/>
      <c r="C61" s="187"/>
      <c r="D61" s="71">
        <v>20</v>
      </c>
      <c r="E61" s="71"/>
      <c r="F61" s="76">
        <f>SUM(F42:F60)</f>
        <v>449480.8000000001</v>
      </c>
      <c r="G61" s="76">
        <f t="shared" ref="G61:S61" si="33">SUM(G42:G60)</f>
        <v>407851.16000000003</v>
      </c>
      <c r="H61" s="76">
        <f t="shared" si="33"/>
        <v>1348442.3999999997</v>
      </c>
      <c r="I61" s="76">
        <f t="shared" si="33"/>
        <v>33711.060000000005</v>
      </c>
      <c r="J61" s="76">
        <f t="shared" si="33"/>
        <v>160488.76</v>
      </c>
      <c r="K61" s="76">
        <f t="shared" si="33"/>
        <v>224740.40000000005</v>
      </c>
      <c r="L61" s="76">
        <f t="shared" si="33"/>
        <v>1573182.8</v>
      </c>
      <c r="M61" s="76">
        <f t="shared" si="33"/>
        <v>0</v>
      </c>
      <c r="N61" s="76">
        <f t="shared" si="33"/>
        <v>449480.8000000001</v>
      </c>
      <c r="O61" s="76">
        <f t="shared" si="33"/>
        <v>1230000</v>
      </c>
      <c r="P61" s="76">
        <f t="shared" si="33"/>
        <v>44948.080000000016</v>
      </c>
      <c r="Q61" s="76">
        <f t="shared" si="33"/>
        <v>260000</v>
      </c>
      <c r="R61" s="76">
        <f t="shared" si="33"/>
        <v>0</v>
      </c>
      <c r="S61" s="76">
        <f t="shared" si="33"/>
        <v>6182326.2600000007</v>
      </c>
      <c r="T61" s="76">
        <f>SUM(T43:T60)</f>
        <v>0</v>
      </c>
      <c r="U61" s="77">
        <f>SUM(U42:U60)</f>
        <v>168555.29999999996</v>
      </c>
      <c r="V61" s="76">
        <f>SUM(V42:V60)</f>
        <v>163505.45000000007</v>
      </c>
      <c r="W61" s="76">
        <f>SUM(W42:W60)</f>
        <v>332060.74999999988</v>
      </c>
      <c r="X61" s="76">
        <f>SUM(X42:X60)</f>
        <v>9843677.3900000025</v>
      </c>
      <c r="Y61" s="76">
        <f>SUM(Y42:Y60)</f>
        <v>5850265.5099999988</v>
      </c>
      <c r="Z61" s="20">
        <f>Y61-X61</f>
        <v>-3993411.8800000036</v>
      </c>
    </row>
    <row r="62" spans="1:26" ht="20.100000000000001" customHeight="1" x14ac:dyDescent="0.3">
      <c r="A62" s="79"/>
      <c r="B62" s="80"/>
      <c r="C62" s="81"/>
      <c r="D62" s="71"/>
      <c r="E62" s="71"/>
      <c r="F62" s="76"/>
      <c r="G62" s="60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7"/>
      <c r="T62" s="77"/>
      <c r="U62" s="61">
        <f t="shared" si="2"/>
        <v>0</v>
      </c>
      <c r="V62" s="76"/>
      <c r="W62" s="61"/>
      <c r="X62" s="61"/>
      <c r="Y62" s="61"/>
    </row>
    <row r="63" spans="1:26" ht="20.100000000000001" customHeight="1" x14ac:dyDescent="0.3">
      <c r="A63" s="174" t="s">
        <v>156</v>
      </c>
      <c r="B63" s="175"/>
      <c r="C63" s="176"/>
      <c r="D63" s="71"/>
      <c r="E63" s="71"/>
      <c r="F63" s="76"/>
      <c r="G63" s="60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7"/>
      <c r="T63" s="77"/>
      <c r="U63" s="61">
        <f t="shared" si="2"/>
        <v>0</v>
      </c>
      <c r="V63" s="76"/>
      <c r="W63" s="61"/>
      <c r="X63" s="61"/>
      <c r="Y63" s="61"/>
    </row>
    <row r="64" spans="1:26" ht="20.100000000000001" customHeight="1" x14ac:dyDescent="0.3">
      <c r="A64" s="181" t="s">
        <v>152</v>
      </c>
      <c r="B64" s="182"/>
      <c r="C64" s="183"/>
      <c r="D64" s="62" t="s">
        <v>240</v>
      </c>
      <c r="E64" s="63" t="s">
        <v>154</v>
      </c>
      <c r="F64" s="60">
        <f>'17.7'!E4</f>
        <v>76339.3</v>
      </c>
      <c r="G64" s="60"/>
      <c r="H64" s="60">
        <f t="shared" ref="H64:H91" si="34">F64*300%</f>
        <v>229017.90000000002</v>
      </c>
      <c r="I64" s="60">
        <f t="shared" ref="I64:I70" si="35">F64*7.5%</f>
        <v>5725.4475000000002</v>
      </c>
      <c r="J64" s="60">
        <v>80244.38</v>
      </c>
      <c r="K64" s="60">
        <f t="shared" ref="K64:K91" si="36">F64*50%</f>
        <v>38169.65</v>
      </c>
      <c r="L64" s="60">
        <f t="shared" ref="L64:L91" si="37">F64*350%</f>
        <v>267187.55</v>
      </c>
      <c r="M64" s="60">
        <v>0</v>
      </c>
      <c r="N64" s="60">
        <f t="shared" ref="N64:N91" si="38">F64*100%</f>
        <v>76339.3</v>
      </c>
      <c r="O64" s="60">
        <v>0</v>
      </c>
      <c r="P64" s="60">
        <f t="shared" ref="P64:P91" si="39">F64*10%</f>
        <v>7633.93</v>
      </c>
      <c r="Q64" s="60">
        <v>20000</v>
      </c>
      <c r="R64" s="60">
        <v>0</v>
      </c>
      <c r="S64" s="61">
        <f t="shared" ref="S64:S129" si="40">SUM(F64:R64)</f>
        <v>800657.45750000014</v>
      </c>
      <c r="T64" s="61">
        <v>0</v>
      </c>
      <c r="U64" s="61">
        <f t="shared" si="2"/>
        <v>28627.237499999999</v>
      </c>
      <c r="V64" s="60">
        <v>52776.63</v>
      </c>
      <c r="W64" s="61">
        <f t="shared" ref="W64:W108" si="41">V64+U64+T64</f>
        <v>81403.867499999993</v>
      </c>
      <c r="X64" s="61">
        <v>719253.59</v>
      </c>
      <c r="Y64" s="61">
        <f t="shared" ref="Y64:Y93" si="42">S64-W64</f>
        <v>719253.59000000008</v>
      </c>
      <c r="Z64" s="95"/>
    </row>
    <row r="65" spans="1:26" ht="20.100000000000001" customHeight="1" x14ac:dyDescent="0.3">
      <c r="A65" s="173" t="s">
        <v>34</v>
      </c>
      <c r="B65" s="173"/>
      <c r="C65" s="173"/>
      <c r="D65" s="62" t="s">
        <v>35</v>
      </c>
      <c r="E65" s="63" t="s">
        <v>49</v>
      </c>
      <c r="F65" s="60">
        <v>39662.25</v>
      </c>
      <c r="G65" s="60"/>
      <c r="H65" s="60">
        <f>F65*300%</f>
        <v>118986.75</v>
      </c>
      <c r="I65" s="60">
        <f t="shared" si="35"/>
        <v>2974.6687499999998</v>
      </c>
      <c r="J65" s="60">
        <f>J66</f>
        <v>40122.19</v>
      </c>
      <c r="K65" s="60">
        <f>F65*50%</f>
        <v>19831.125</v>
      </c>
      <c r="L65" s="60">
        <f>F65*350%</f>
        <v>138817.875</v>
      </c>
      <c r="M65" s="60">
        <v>0</v>
      </c>
      <c r="N65" s="60">
        <f>F65*100%</f>
        <v>39662.25</v>
      </c>
      <c r="O65" s="60">
        <v>0</v>
      </c>
      <c r="P65" s="60">
        <f>F65*10%</f>
        <v>3966.2250000000004</v>
      </c>
      <c r="Q65" s="60">
        <v>20000</v>
      </c>
      <c r="R65" s="60">
        <v>0</v>
      </c>
      <c r="S65" s="61">
        <f t="shared" si="40"/>
        <v>424023.33374999999</v>
      </c>
      <c r="T65" s="61"/>
      <c r="U65" s="61">
        <f t="shared" si="2"/>
        <v>14873.34375</v>
      </c>
      <c r="V65" s="60">
        <v>21618.09</v>
      </c>
      <c r="W65" s="61">
        <f t="shared" si="41"/>
        <v>36491.433749999997</v>
      </c>
      <c r="X65" s="61">
        <v>387531.9</v>
      </c>
      <c r="Y65" s="61">
        <f t="shared" si="42"/>
        <v>387531.9</v>
      </c>
    </row>
    <row r="66" spans="1:26" ht="20.100000000000001" customHeight="1" x14ac:dyDescent="0.3">
      <c r="A66" s="173" t="s">
        <v>36</v>
      </c>
      <c r="B66" s="173"/>
      <c r="C66" s="173"/>
      <c r="D66" s="62" t="s">
        <v>51</v>
      </c>
      <c r="E66" s="63" t="s">
        <v>49</v>
      </c>
      <c r="F66" s="60">
        <v>39662.25</v>
      </c>
      <c r="G66" s="60"/>
      <c r="H66" s="60">
        <f t="shared" si="34"/>
        <v>118986.75</v>
      </c>
      <c r="I66" s="60">
        <f t="shared" si="35"/>
        <v>2974.6687499999998</v>
      </c>
      <c r="J66" s="60">
        <v>40122.19</v>
      </c>
      <c r="K66" s="60">
        <f t="shared" si="36"/>
        <v>19831.125</v>
      </c>
      <c r="L66" s="60">
        <f t="shared" si="37"/>
        <v>138817.875</v>
      </c>
      <c r="M66" s="60">
        <v>0</v>
      </c>
      <c r="N66" s="60">
        <f t="shared" si="38"/>
        <v>39662.25</v>
      </c>
      <c r="O66" s="60">
        <v>0</v>
      </c>
      <c r="P66" s="60">
        <f t="shared" si="39"/>
        <v>3966.2250000000004</v>
      </c>
      <c r="Q66" s="60">
        <v>20000</v>
      </c>
      <c r="R66" s="60">
        <v>0</v>
      </c>
      <c r="S66" s="61">
        <f t="shared" si="40"/>
        <v>424023.33374999999</v>
      </c>
      <c r="T66" s="61"/>
      <c r="U66" s="61">
        <f t="shared" si="2"/>
        <v>14873.34375</v>
      </c>
      <c r="V66" s="60">
        <v>21618.09</v>
      </c>
      <c r="W66" s="61">
        <f t="shared" si="41"/>
        <v>36491.433749999997</v>
      </c>
      <c r="X66" s="61">
        <v>387531.9</v>
      </c>
      <c r="Y66" s="61">
        <f t="shared" si="42"/>
        <v>387531.9</v>
      </c>
    </row>
    <row r="67" spans="1:26" ht="20.100000000000001" customHeight="1" x14ac:dyDescent="0.3">
      <c r="A67" s="181" t="s">
        <v>158</v>
      </c>
      <c r="B67" s="182"/>
      <c r="C67" s="183"/>
      <c r="D67" s="62" t="s">
        <v>159</v>
      </c>
      <c r="E67" s="63" t="s">
        <v>50</v>
      </c>
      <c r="F67" s="60">
        <v>31018.9</v>
      </c>
      <c r="G67" s="60"/>
      <c r="H67" s="60">
        <f t="shared" si="34"/>
        <v>93056.700000000012</v>
      </c>
      <c r="I67" s="60">
        <f t="shared" si="35"/>
        <v>2326.4175</v>
      </c>
      <c r="J67" s="60">
        <f>J66</f>
        <v>40122.19</v>
      </c>
      <c r="K67" s="60">
        <f t="shared" si="36"/>
        <v>15509.45</v>
      </c>
      <c r="L67" s="60">
        <f>F67*350%</f>
        <v>108566.15000000001</v>
      </c>
      <c r="M67" s="60">
        <v>0</v>
      </c>
      <c r="N67" s="60">
        <f t="shared" si="38"/>
        <v>31018.9</v>
      </c>
      <c r="O67" s="60">
        <v>0</v>
      </c>
      <c r="P67" s="60">
        <f t="shared" si="39"/>
        <v>3101.8900000000003</v>
      </c>
      <c r="Q67" s="60">
        <v>20000</v>
      </c>
      <c r="R67" s="60">
        <v>0</v>
      </c>
      <c r="S67" s="61">
        <f t="shared" si="40"/>
        <v>344720.59750000009</v>
      </c>
      <c r="T67" s="61"/>
      <c r="U67" s="61">
        <f t="shared" si="2"/>
        <v>11632.0875</v>
      </c>
      <c r="V67" s="60">
        <v>15548.33</v>
      </c>
      <c r="W67" s="61">
        <f t="shared" si="41"/>
        <v>27180.4175</v>
      </c>
      <c r="X67" s="61">
        <v>317540.18</v>
      </c>
      <c r="Y67" s="61">
        <f t="shared" si="42"/>
        <v>317540.18000000011</v>
      </c>
    </row>
    <row r="68" spans="1:26" ht="20.100000000000001" customHeight="1" x14ac:dyDescent="0.3">
      <c r="A68" s="177" t="s">
        <v>182</v>
      </c>
      <c r="B68" s="178"/>
      <c r="C68" s="179"/>
      <c r="D68" s="62" t="s">
        <v>183</v>
      </c>
      <c r="E68" s="63" t="s">
        <v>50</v>
      </c>
      <c r="F68" s="60">
        <v>31018.9</v>
      </c>
      <c r="G68" s="60"/>
      <c r="H68" s="60">
        <f t="shared" si="34"/>
        <v>93056.700000000012</v>
      </c>
      <c r="I68" s="60">
        <f t="shared" si="35"/>
        <v>2326.4175</v>
      </c>
      <c r="J68" s="60">
        <f>J14</f>
        <v>40122.19</v>
      </c>
      <c r="K68" s="60">
        <f t="shared" si="36"/>
        <v>15509.45</v>
      </c>
      <c r="L68" s="60">
        <f>F68*350%</f>
        <v>108566.15000000001</v>
      </c>
      <c r="M68" s="60">
        <v>0</v>
      </c>
      <c r="N68" s="60">
        <f t="shared" si="38"/>
        <v>31018.9</v>
      </c>
      <c r="O68" s="60">
        <v>0</v>
      </c>
      <c r="P68" s="60">
        <f t="shared" si="39"/>
        <v>3101.8900000000003</v>
      </c>
      <c r="Q68" s="60">
        <v>20000</v>
      </c>
      <c r="R68" s="60">
        <v>0</v>
      </c>
      <c r="S68" s="61">
        <f t="shared" si="40"/>
        <v>344720.59750000009</v>
      </c>
      <c r="T68" s="61"/>
      <c r="U68" s="61">
        <f t="shared" si="2"/>
        <v>11632.0875</v>
      </c>
      <c r="V68" s="60">
        <v>15548.33</v>
      </c>
      <c r="W68" s="61">
        <f t="shared" si="41"/>
        <v>27180.4175</v>
      </c>
      <c r="X68" s="61">
        <v>317540.18</v>
      </c>
      <c r="Y68" s="61">
        <f t="shared" si="42"/>
        <v>317540.18000000011</v>
      </c>
    </row>
    <row r="69" spans="1:26" ht="20.100000000000001" customHeight="1" x14ac:dyDescent="0.3">
      <c r="A69" s="173" t="s">
        <v>37</v>
      </c>
      <c r="B69" s="173"/>
      <c r="C69" s="173"/>
      <c r="D69" s="62" t="s">
        <v>38</v>
      </c>
      <c r="E69" s="63" t="s">
        <v>80</v>
      </c>
      <c r="F69" s="60">
        <v>18732</v>
      </c>
      <c r="G69" s="60"/>
      <c r="H69" s="60">
        <f t="shared" si="34"/>
        <v>56196</v>
      </c>
      <c r="I69" s="60">
        <f t="shared" si="35"/>
        <v>1404.8999999999999</v>
      </c>
      <c r="J69" s="60">
        <v>0</v>
      </c>
      <c r="K69" s="60">
        <f t="shared" si="36"/>
        <v>9366</v>
      </c>
      <c r="L69" s="61">
        <f t="shared" si="37"/>
        <v>65562</v>
      </c>
      <c r="M69" s="60">
        <v>0</v>
      </c>
      <c r="N69" s="60">
        <f t="shared" si="38"/>
        <v>18732</v>
      </c>
      <c r="O69" s="60">
        <v>0</v>
      </c>
      <c r="P69" s="60">
        <f t="shared" si="39"/>
        <v>1873.2</v>
      </c>
      <c r="Q69" s="60">
        <v>15000</v>
      </c>
      <c r="R69" s="60">
        <v>0</v>
      </c>
      <c r="S69" s="61">
        <f t="shared" si="40"/>
        <v>186866.1</v>
      </c>
      <c r="T69" s="61"/>
      <c r="U69" s="61">
        <f t="shared" si="2"/>
        <v>7024.5</v>
      </c>
      <c r="V69" s="60">
        <v>3369.51</v>
      </c>
      <c r="W69" s="61">
        <f t="shared" si="41"/>
        <v>10394.01</v>
      </c>
      <c r="X69" s="61">
        <v>176472.09</v>
      </c>
      <c r="Y69" s="61">
        <f t="shared" si="42"/>
        <v>176472.09</v>
      </c>
    </row>
    <row r="70" spans="1:26" ht="20.100000000000001" customHeight="1" x14ac:dyDescent="0.3">
      <c r="A70" s="181" t="s">
        <v>140</v>
      </c>
      <c r="B70" s="182"/>
      <c r="C70" s="183"/>
      <c r="D70" s="62" t="s">
        <v>141</v>
      </c>
      <c r="E70" s="63" t="s">
        <v>168</v>
      </c>
      <c r="F70" s="60">
        <v>17286.330000000002</v>
      </c>
      <c r="G70" s="60"/>
      <c r="H70" s="60">
        <f t="shared" si="34"/>
        <v>51858.990000000005</v>
      </c>
      <c r="I70" s="60">
        <f t="shared" si="35"/>
        <v>1296.4747500000001</v>
      </c>
      <c r="J70" s="60">
        <v>0</v>
      </c>
      <c r="K70" s="60">
        <f t="shared" si="36"/>
        <v>8643.1650000000009</v>
      </c>
      <c r="L70" s="61">
        <f t="shared" si="37"/>
        <v>60502.155000000006</v>
      </c>
      <c r="M70" s="60">
        <v>0</v>
      </c>
      <c r="N70" s="60">
        <f t="shared" si="38"/>
        <v>17286.330000000002</v>
      </c>
      <c r="O70" s="60">
        <v>0</v>
      </c>
      <c r="P70" s="60">
        <f t="shared" si="39"/>
        <v>1728.6330000000003</v>
      </c>
      <c r="Q70" s="60">
        <v>10000</v>
      </c>
      <c r="R70" s="60">
        <v>0</v>
      </c>
      <c r="S70" s="61">
        <f t="shared" si="40"/>
        <v>168602.07775000003</v>
      </c>
      <c r="T70" s="61"/>
      <c r="U70" s="61">
        <f t="shared" si="2"/>
        <v>6482.3737500000007</v>
      </c>
      <c r="V70" s="60">
        <v>3369.51</v>
      </c>
      <c r="W70" s="61">
        <f t="shared" si="41"/>
        <v>9851.8837500000009</v>
      </c>
      <c r="X70" s="61">
        <v>158750.19</v>
      </c>
      <c r="Y70" s="61">
        <f t="shared" si="42"/>
        <v>158750.19400000002</v>
      </c>
      <c r="Z70" s="95"/>
    </row>
    <row r="71" spans="1:26" ht="20.100000000000001" customHeight="1" x14ac:dyDescent="0.3">
      <c r="A71" s="181" t="s">
        <v>160</v>
      </c>
      <c r="B71" s="182"/>
      <c r="C71" s="183"/>
      <c r="D71" s="62" t="s">
        <v>167</v>
      </c>
      <c r="E71" s="63" t="s">
        <v>168</v>
      </c>
      <c r="F71" s="60">
        <v>17286.330000000002</v>
      </c>
      <c r="G71" s="60"/>
      <c r="H71" s="60">
        <f t="shared" si="34"/>
        <v>51858.990000000005</v>
      </c>
      <c r="I71" s="60">
        <f t="shared" ref="I71:I85" si="43">F71*7.5%</f>
        <v>1296.4747500000001</v>
      </c>
      <c r="J71" s="60">
        <v>0</v>
      </c>
      <c r="K71" s="60">
        <f t="shared" si="36"/>
        <v>8643.1650000000009</v>
      </c>
      <c r="L71" s="61">
        <f t="shared" si="37"/>
        <v>60502.155000000006</v>
      </c>
      <c r="M71" s="60">
        <v>0</v>
      </c>
      <c r="N71" s="60">
        <f t="shared" si="38"/>
        <v>17286.330000000002</v>
      </c>
      <c r="O71" s="60">
        <v>0</v>
      </c>
      <c r="P71" s="60">
        <f t="shared" si="39"/>
        <v>1728.6330000000003</v>
      </c>
      <c r="Q71" s="60">
        <v>10000</v>
      </c>
      <c r="R71" s="60">
        <v>0</v>
      </c>
      <c r="S71" s="61">
        <f t="shared" si="40"/>
        <v>168602.07775000003</v>
      </c>
      <c r="T71" s="61"/>
      <c r="U71" s="61">
        <f t="shared" si="2"/>
        <v>6482.3737500000007</v>
      </c>
      <c r="V71" s="60">
        <v>3369.51</v>
      </c>
      <c r="W71" s="61">
        <f t="shared" si="41"/>
        <v>9851.8837500000009</v>
      </c>
      <c r="X71" s="61">
        <v>158750.19</v>
      </c>
      <c r="Y71" s="61">
        <f t="shared" si="42"/>
        <v>158750.19400000002</v>
      </c>
    </row>
    <row r="72" spans="1:26" ht="20.100000000000001" customHeight="1" x14ac:dyDescent="0.3">
      <c r="A72" s="181" t="s">
        <v>161</v>
      </c>
      <c r="B72" s="182"/>
      <c r="C72" s="183"/>
      <c r="D72" s="62" t="s">
        <v>167</v>
      </c>
      <c r="E72" s="63" t="s">
        <v>168</v>
      </c>
      <c r="F72" s="60">
        <v>17286.330000000002</v>
      </c>
      <c r="G72" s="60"/>
      <c r="H72" s="60">
        <f t="shared" si="34"/>
        <v>51858.990000000005</v>
      </c>
      <c r="I72" s="60">
        <f t="shared" si="43"/>
        <v>1296.4747500000001</v>
      </c>
      <c r="J72" s="60">
        <v>0</v>
      </c>
      <c r="K72" s="60">
        <f t="shared" si="36"/>
        <v>8643.1650000000009</v>
      </c>
      <c r="L72" s="61">
        <f t="shared" si="37"/>
        <v>60502.155000000006</v>
      </c>
      <c r="M72" s="60">
        <v>0</v>
      </c>
      <c r="N72" s="60">
        <f t="shared" si="38"/>
        <v>17286.330000000002</v>
      </c>
      <c r="O72" s="60">
        <v>0</v>
      </c>
      <c r="P72" s="60">
        <f t="shared" si="39"/>
        <v>1728.6330000000003</v>
      </c>
      <c r="Q72" s="60">
        <v>10000</v>
      </c>
      <c r="R72" s="60">
        <v>0</v>
      </c>
      <c r="S72" s="61">
        <f t="shared" si="40"/>
        <v>168602.07775000003</v>
      </c>
      <c r="T72" s="61"/>
      <c r="U72" s="61">
        <f t="shared" si="2"/>
        <v>6482.3737500000007</v>
      </c>
      <c r="V72" s="60">
        <v>3369.51</v>
      </c>
      <c r="W72" s="61">
        <f t="shared" si="41"/>
        <v>9851.8837500000009</v>
      </c>
      <c r="X72" s="61">
        <v>158750.19</v>
      </c>
      <c r="Y72" s="61">
        <f t="shared" si="42"/>
        <v>158750.19400000002</v>
      </c>
      <c r="Z72" s="95"/>
    </row>
    <row r="73" spans="1:26" ht="20.100000000000001" customHeight="1" x14ac:dyDescent="0.3">
      <c r="A73" s="181" t="s">
        <v>171</v>
      </c>
      <c r="B73" s="182"/>
      <c r="C73" s="183"/>
      <c r="D73" s="62" t="s">
        <v>172</v>
      </c>
      <c r="E73" s="63" t="s">
        <v>168</v>
      </c>
      <c r="F73" s="60">
        <v>17286.330000000002</v>
      </c>
      <c r="G73" s="60"/>
      <c r="H73" s="60">
        <f t="shared" si="34"/>
        <v>51858.990000000005</v>
      </c>
      <c r="I73" s="60">
        <f t="shared" si="43"/>
        <v>1296.4747500000001</v>
      </c>
      <c r="J73" s="60">
        <v>0</v>
      </c>
      <c r="K73" s="60">
        <f t="shared" si="36"/>
        <v>8643.1650000000009</v>
      </c>
      <c r="L73" s="61">
        <f t="shared" si="37"/>
        <v>60502.155000000006</v>
      </c>
      <c r="M73" s="60">
        <v>0</v>
      </c>
      <c r="N73" s="60">
        <f t="shared" si="38"/>
        <v>17286.330000000002</v>
      </c>
      <c r="O73" s="60">
        <v>0</v>
      </c>
      <c r="P73" s="60">
        <f t="shared" si="39"/>
        <v>1728.6330000000003</v>
      </c>
      <c r="Q73" s="60">
        <v>10000</v>
      </c>
      <c r="R73" s="60">
        <v>0</v>
      </c>
      <c r="S73" s="61">
        <f t="shared" si="40"/>
        <v>168602.07775000003</v>
      </c>
      <c r="T73" s="61"/>
      <c r="U73" s="61">
        <f t="shared" ref="U73:U108" si="44">SUM(F73+H73+N73)*0.075</f>
        <v>6482.3737500000007</v>
      </c>
      <c r="V73" s="60">
        <v>3369.51</v>
      </c>
      <c r="W73" s="61">
        <f t="shared" si="41"/>
        <v>9851.8837500000009</v>
      </c>
      <c r="X73" s="61">
        <v>158750.19</v>
      </c>
      <c r="Y73" s="61">
        <f t="shared" si="42"/>
        <v>158750.19400000002</v>
      </c>
    </row>
    <row r="74" spans="1:26" ht="19.5" customHeight="1" x14ac:dyDescent="0.3">
      <c r="A74" s="181" t="s">
        <v>176</v>
      </c>
      <c r="B74" s="182"/>
      <c r="C74" s="183"/>
      <c r="D74" s="62" t="s">
        <v>177</v>
      </c>
      <c r="E74" s="63" t="s">
        <v>168</v>
      </c>
      <c r="F74" s="60">
        <v>17286.330000000002</v>
      </c>
      <c r="G74" s="60"/>
      <c r="H74" s="60">
        <f t="shared" si="34"/>
        <v>51858.990000000005</v>
      </c>
      <c r="I74" s="60">
        <f t="shared" si="43"/>
        <v>1296.4747500000001</v>
      </c>
      <c r="J74" s="60">
        <v>0</v>
      </c>
      <c r="K74" s="60">
        <f t="shared" si="36"/>
        <v>8643.1650000000009</v>
      </c>
      <c r="L74" s="61">
        <f t="shared" si="37"/>
        <v>60502.155000000006</v>
      </c>
      <c r="M74" s="60">
        <v>0</v>
      </c>
      <c r="N74" s="60">
        <f t="shared" si="38"/>
        <v>17286.330000000002</v>
      </c>
      <c r="O74" s="60">
        <v>0</v>
      </c>
      <c r="P74" s="60">
        <f t="shared" si="39"/>
        <v>1728.6330000000003</v>
      </c>
      <c r="Q74" s="60">
        <v>10000</v>
      </c>
      <c r="R74" s="60">
        <v>0</v>
      </c>
      <c r="S74" s="61">
        <f t="shared" si="40"/>
        <v>168602.07775000003</v>
      </c>
      <c r="T74" s="61"/>
      <c r="U74" s="61">
        <f t="shared" si="44"/>
        <v>6482.3737500000007</v>
      </c>
      <c r="V74" s="60">
        <v>3369.51</v>
      </c>
      <c r="W74" s="61">
        <f t="shared" si="41"/>
        <v>9851.8837500000009</v>
      </c>
      <c r="X74" s="61">
        <v>158750.19</v>
      </c>
      <c r="Y74" s="61">
        <f t="shared" si="42"/>
        <v>158750.19400000002</v>
      </c>
    </row>
    <row r="75" spans="1:26" ht="20.100000000000001" customHeight="1" x14ac:dyDescent="0.3">
      <c r="A75" s="181" t="s">
        <v>195</v>
      </c>
      <c r="B75" s="182"/>
      <c r="C75" s="183"/>
      <c r="D75" s="62" t="s">
        <v>196</v>
      </c>
      <c r="E75" s="63" t="s">
        <v>168</v>
      </c>
      <c r="F75" s="60">
        <v>17286.330000000002</v>
      </c>
      <c r="G75" s="60"/>
      <c r="H75" s="60">
        <f t="shared" si="34"/>
        <v>51858.990000000005</v>
      </c>
      <c r="I75" s="60">
        <f t="shared" si="43"/>
        <v>1296.4747500000001</v>
      </c>
      <c r="J75" s="60">
        <v>0</v>
      </c>
      <c r="K75" s="60">
        <f t="shared" si="36"/>
        <v>8643.1650000000009</v>
      </c>
      <c r="L75" s="61">
        <f t="shared" si="37"/>
        <v>60502.155000000006</v>
      </c>
      <c r="M75" s="60">
        <v>0</v>
      </c>
      <c r="N75" s="60">
        <f t="shared" si="38"/>
        <v>17286.330000000002</v>
      </c>
      <c r="O75" s="60">
        <v>0</v>
      </c>
      <c r="P75" s="60">
        <f t="shared" si="39"/>
        <v>1728.6330000000003</v>
      </c>
      <c r="Q75" s="60">
        <v>10000</v>
      </c>
      <c r="R75" s="60">
        <v>0</v>
      </c>
      <c r="S75" s="61">
        <f t="shared" si="40"/>
        <v>168602.07775000003</v>
      </c>
      <c r="T75" s="61"/>
      <c r="U75" s="61">
        <f t="shared" si="44"/>
        <v>6482.3737500000007</v>
      </c>
      <c r="V75" s="60">
        <v>3369.51</v>
      </c>
      <c r="W75" s="61">
        <f t="shared" si="41"/>
        <v>9851.8837500000009</v>
      </c>
      <c r="X75" s="61">
        <v>158750.19</v>
      </c>
      <c r="Y75" s="61">
        <f t="shared" si="42"/>
        <v>158750.19400000002</v>
      </c>
    </row>
    <row r="76" spans="1:26" ht="20.100000000000001" customHeight="1" x14ac:dyDescent="0.3">
      <c r="A76" s="181" t="s">
        <v>162</v>
      </c>
      <c r="B76" s="182"/>
      <c r="C76" s="183"/>
      <c r="D76" s="62" t="s">
        <v>169</v>
      </c>
      <c r="E76" s="63" t="s">
        <v>170</v>
      </c>
      <c r="F76" s="60">
        <v>12351.94</v>
      </c>
      <c r="G76" s="60"/>
      <c r="H76" s="60">
        <f t="shared" si="34"/>
        <v>37055.82</v>
      </c>
      <c r="I76" s="60">
        <f t="shared" si="43"/>
        <v>926.39549999999997</v>
      </c>
      <c r="J76" s="60">
        <v>0</v>
      </c>
      <c r="K76" s="60">
        <f t="shared" si="36"/>
        <v>6175.97</v>
      </c>
      <c r="L76" s="61">
        <f t="shared" si="37"/>
        <v>43231.79</v>
      </c>
      <c r="M76" s="60">
        <v>0</v>
      </c>
      <c r="N76" s="60">
        <f t="shared" si="38"/>
        <v>12351.94</v>
      </c>
      <c r="O76" s="60">
        <v>0</v>
      </c>
      <c r="P76" s="60">
        <f t="shared" si="39"/>
        <v>1235.1940000000002</v>
      </c>
      <c r="Q76" s="60">
        <v>10000</v>
      </c>
      <c r="R76" s="60">
        <v>0</v>
      </c>
      <c r="S76" s="61">
        <f t="shared" si="40"/>
        <v>123329.04950000001</v>
      </c>
      <c r="T76" s="61"/>
      <c r="U76" s="61">
        <f t="shared" si="44"/>
        <v>4631.9775</v>
      </c>
      <c r="V76" s="60">
        <v>1484.37</v>
      </c>
      <c r="W76" s="61">
        <f t="shared" si="41"/>
        <v>6116.3474999999999</v>
      </c>
      <c r="X76" s="61">
        <v>117212.7</v>
      </c>
      <c r="Y76" s="61">
        <f t="shared" si="42"/>
        <v>117212.702</v>
      </c>
    </row>
    <row r="77" spans="1:26" ht="20.100000000000001" customHeight="1" x14ac:dyDescent="0.3">
      <c r="A77" s="181" t="s">
        <v>163</v>
      </c>
      <c r="B77" s="182"/>
      <c r="C77" s="183"/>
      <c r="D77" s="62" t="s">
        <v>169</v>
      </c>
      <c r="E77" s="63" t="s">
        <v>170</v>
      </c>
      <c r="F77" s="60">
        <v>12351.94</v>
      </c>
      <c r="G77" s="60"/>
      <c r="H77" s="60">
        <f t="shared" si="34"/>
        <v>37055.82</v>
      </c>
      <c r="I77" s="60">
        <f t="shared" si="43"/>
        <v>926.39549999999997</v>
      </c>
      <c r="J77" s="60">
        <v>0</v>
      </c>
      <c r="K77" s="60">
        <f t="shared" si="36"/>
        <v>6175.97</v>
      </c>
      <c r="L77" s="61">
        <f t="shared" si="37"/>
        <v>43231.79</v>
      </c>
      <c r="M77" s="60">
        <v>0</v>
      </c>
      <c r="N77" s="60">
        <f t="shared" si="38"/>
        <v>12351.94</v>
      </c>
      <c r="O77" s="60">
        <v>0</v>
      </c>
      <c r="P77" s="60">
        <f t="shared" si="39"/>
        <v>1235.1940000000002</v>
      </c>
      <c r="Q77" s="60">
        <v>10000</v>
      </c>
      <c r="R77" s="60">
        <v>0</v>
      </c>
      <c r="S77" s="61">
        <f t="shared" si="40"/>
        <v>123329.04950000001</v>
      </c>
      <c r="T77" s="61"/>
      <c r="U77" s="61">
        <f t="shared" si="44"/>
        <v>4631.9775</v>
      </c>
      <c r="V77" s="60">
        <v>1484.37</v>
      </c>
      <c r="W77" s="61">
        <f t="shared" si="41"/>
        <v>6116.3474999999999</v>
      </c>
      <c r="X77" s="61">
        <v>117212.7</v>
      </c>
      <c r="Y77" s="61">
        <f t="shared" si="42"/>
        <v>117212.702</v>
      </c>
    </row>
    <row r="78" spans="1:26" ht="20.100000000000001" customHeight="1" x14ac:dyDescent="0.3">
      <c r="A78" s="181" t="s">
        <v>164</v>
      </c>
      <c r="B78" s="182"/>
      <c r="C78" s="183"/>
      <c r="D78" s="62" t="s">
        <v>169</v>
      </c>
      <c r="E78" s="63" t="s">
        <v>170</v>
      </c>
      <c r="F78" s="60">
        <v>12351.94</v>
      </c>
      <c r="G78" s="60"/>
      <c r="H78" s="60">
        <f t="shared" si="34"/>
        <v>37055.82</v>
      </c>
      <c r="I78" s="60">
        <f t="shared" si="43"/>
        <v>926.39549999999997</v>
      </c>
      <c r="J78" s="60">
        <v>0</v>
      </c>
      <c r="K78" s="60">
        <f t="shared" si="36"/>
        <v>6175.97</v>
      </c>
      <c r="L78" s="61">
        <f t="shared" si="37"/>
        <v>43231.79</v>
      </c>
      <c r="M78" s="60">
        <v>0</v>
      </c>
      <c r="N78" s="60">
        <f t="shared" si="38"/>
        <v>12351.94</v>
      </c>
      <c r="O78" s="60">
        <v>0</v>
      </c>
      <c r="P78" s="60">
        <f t="shared" si="39"/>
        <v>1235.1940000000002</v>
      </c>
      <c r="Q78" s="60">
        <v>10000</v>
      </c>
      <c r="R78" s="60">
        <v>0</v>
      </c>
      <c r="S78" s="61">
        <f t="shared" si="40"/>
        <v>123329.04950000001</v>
      </c>
      <c r="T78" s="61"/>
      <c r="U78" s="61">
        <f t="shared" si="44"/>
        <v>4631.9775</v>
      </c>
      <c r="V78" s="60">
        <v>1484.37</v>
      </c>
      <c r="W78" s="61">
        <f t="shared" si="41"/>
        <v>6116.3474999999999</v>
      </c>
      <c r="X78" s="61">
        <v>78141.8</v>
      </c>
      <c r="Y78" s="61">
        <f t="shared" si="42"/>
        <v>117212.702</v>
      </c>
      <c r="Z78" s="171">
        <f>Y78-X78</f>
        <v>39070.902000000002</v>
      </c>
    </row>
    <row r="79" spans="1:26" ht="20.100000000000001" customHeight="1" x14ac:dyDescent="0.3">
      <c r="A79" s="181" t="s">
        <v>165</v>
      </c>
      <c r="B79" s="182"/>
      <c r="C79" s="183"/>
      <c r="D79" s="62" t="s">
        <v>169</v>
      </c>
      <c r="E79" s="63" t="s">
        <v>170</v>
      </c>
      <c r="F79" s="60">
        <v>12351.94</v>
      </c>
      <c r="G79" s="60"/>
      <c r="H79" s="60">
        <f t="shared" si="34"/>
        <v>37055.82</v>
      </c>
      <c r="I79" s="60">
        <f t="shared" si="43"/>
        <v>926.39549999999997</v>
      </c>
      <c r="J79" s="60">
        <v>0</v>
      </c>
      <c r="K79" s="60">
        <f t="shared" si="36"/>
        <v>6175.97</v>
      </c>
      <c r="L79" s="61">
        <f t="shared" si="37"/>
        <v>43231.79</v>
      </c>
      <c r="M79" s="60">
        <v>0</v>
      </c>
      <c r="N79" s="60">
        <f t="shared" si="38"/>
        <v>12351.94</v>
      </c>
      <c r="O79" s="60">
        <v>0</v>
      </c>
      <c r="P79" s="60">
        <f t="shared" si="39"/>
        <v>1235.1940000000002</v>
      </c>
      <c r="Q79" s="60">
        <v>10000</v>
      </c>
      <c r="R79" s="60">
        <v>0</v>
      </c>
      <c r="S79" s="61">
        <f t="shared" si="40"/>
        <v>123329.04950000001</v>
      </c>
      <c r="T79" s="61"/>
      <c r="U79" s="61">
        <f t="shared" si="44"/>
        <v>4631.9775</v>
      </c>
      <c r="V79" s="60">
        <v>1484.37</v>
      </c>
      <c r="W79" s="61">
        <f t="shared" si="41"/>
        <v>6116.3474999999999</v>
      </c>
      <c r="X79" s="61">
        <v>117212.7</v>
      </c>
      <c r="Y79" s="61">
        <f t="shared" si="42"/>
        <v>117212.702</v>
      </c>
    </row>
    <row r="80" spans="1:26" ht="20.100000000000001" customHeight="1" x14ac:dyDescent="0.3">
      <c r="A80" s="181" t="s">
        <v>166</v>
      </c>
      <c r="B80" s="182"/>
      <c r="C80" s="183"/>
      <c r="D80" s="62" t="s">
        <v>169</v>
      </c>
      <c r="E80" s="63" t="s">
        <v>170</v>
      </c>
      <c r="F80" s="61">
        <v>12351.94</v>
      </c>
      <c r="G80" s="60">
        <v>0</v>
      </c>
      <c r="H80" s="60">
        <f t="shared" si="34"/>
        <v>37055.82</v>
      </c>
      <c r="I80" s="60">
        <f t="shared" si="43"/>
        <v>926.39549999999997</v>
      </c>
      <c r="J80" s="60">
        <v>0</v>
      </c>
      <c r="K80" s="60">
        <f t="shared" si="36"/>
        <v>6175.97</v>
      </c>
      <c r="L80" s="61">
        <f t="shared" si="37"/>
        <v>43231.79</v>
      </c>
      <c r="M80" s="60">
        <v>0</v>
      </c>
      <c r="N80" s="60">
        <f t="shared" si="38"/>
        <v>12351.94</v>
      </c>
      <c r="O80" s="60">
        <v>0</v>
      </c>
      <c r="P80" s="60">
        <f t="shared" ref="P80:P85" si="45">F80*10%</f>
        <v>1235.1940000000002</v>
      </c>
      <c r="Q80" s="60">
        <v>10000</v>
      </c>
      <c r="R80" s="60">
        <v>0</v>
      </c>
      <c r="S80" s="61">
        <f t="shared" si="40"/>
        <v>123329.04950000001</v>
      </c>
      <c r="T80" s="61"/>
      <c r="U80" s="61">
        <f t="shared" si="44"/>
        <v>4631.9775</v>
      </c>
      <c r="V80" s="60">
        <v>1484.37</v>
      </c>
      <c r="W80" s="61">
        <f t="shared" si="41"/>
        <v>6116.3474999999999</v>
      </c>
      <c r="X80" s="61">
        <v>117212.7</v>
      </c>
      <c r="Y80" s="61">
        <f t="shared" si="42"/>
        <v>117212.702</v>
      </c>
    </row>
    <row r="81" spans="1:26" ht="20.100000000000001" customHeight="1" x14ac:dyDescent="0.3">
      <c r="A81" s="177" t="s">
        <v>184</v>
      </c>
      <c r="B81" s="178"/>
      <c r="C81" s="179"/>
      <c r="D81" s="62" t="s">
        <v>185</v>
      </c>
      <c r="E81" s="63" t="s">
        <v>170</v>
      </c>
      <c r="F81" s="60">
        <v>12351.94</v>
      </c>
      <c r="G81" s="60"/>
      <c r="H81" s="60">
        <f t="shared" si="34"/>
        <v>37055.82</v>
      </c>
      <c r="I81" s="60">
        <f t="shared" si="43"/>
        <v>926.39549999999997</v>
      </c>
      <c r="J81" s="60">
        <v>0</v>
      </c>
      <c r="K81" s="60">
        <f t="shared" si="36"/>
        <v>6175.97</v>
      </c>
      <c r="L81" s="61">
        <f t="shared" si="37"/>
        <v>43231.79</v>
      </c>
      <c r="M81" s="60">
        <v>0</v>
      </c>
      <c r="N81" s="60">
        <f t="shared" si="38"/>
        <v>12351.94</v>
      </c>
      <c r="O81" s="60">
        <v>0</v>
      </c>
      <c r="P81" s="60">
        <f t="shared" si="45"/>
        <v>1235.1940000000002</v>
      </c>
      <c r="Q81" s="60">
        <v>10000</v>
      </c>
      <c r="R81" s="60">
        <v>0</v>
      </c>
      <c r="S81" s="61">
        <f t="shared" si="40"/>
        <v>123329.04950000001</v>
      </c>
      <c r="T81" s="61"/>
      <c r="U81" s="61">
        <f t="shared" si="44"/>
        <v>4631.9775</v>
      </c>
      <c r="V81" s="60">
        <v>1484.37</v>
      </c>
      <c r="W81" s="61">
        <f t="shared" si="41"/>
        <v>6116.3474999999999</v>
      </c>
      <c r="X81" s="61">
        <v>117212.7</v>
      </c>
      <c r="Y81" s="61">
        <f t="shared" si="42"/>
        <v>117212.702</v>
      </c>
    </row>
    <row r="82" spans="1:26" ht="20.100000000000001" customHeight="1" x14ac:dyDescent="0.3">
      <c r="A82" s="181" t="s">
        <v>308</v>
      </c>
      <c r="B82" s="182"/>
      <c r="C82" s="183"/>
      <c r="D82" s="126" t="s">
        <v>185</v>
      </c>
      <c r="E82" s="63" t="s">
        <v>170</v>
      </c>
      <c r="F82" s="60">
        <v>12351.94</v>
      </c>
      <c r="G82" s="60"/>
      <c r="H82" s="60">
        <f t="shared" si="34"/>
        <v>37055.82</v>
      </c>
      <c r="I82" s="60">
        <f t="shared" si="43"/>
        <v>926.39549999999997</v>
      </c>
      <c r="J82" s="60"/>
      <c r="K82" s="60">
        <f t="shared" si="36"/>
        <v>6175.97</v>
      </c>
      <c r="L82" s="61">
        <f t="shared" si="37"/>
        <v>43231.79</v>
      </c>
      <c r="M82" s="60"/>
      <c r="N82" s="60">
        <f t="shared" si="38"/>
        <v>12351.94</v>
      </c>
      <c r="O82" s="60"/>
      <c r="P82" s="60">
        <f t="shared" si="45"/>
        <v>1235.1940000000002</v>
      </c>
      <c r="Q82" s="60">
        <v>10000</v>
      </c>
      <c r="R82" s="60"/>
      <c r="S82" s="61">
        <f t="shared" si="40"/>
        <v>123329.04950000001</v>
      </c>
      <c r="T82" s="61"/>
      <c r="U82" s="61">
        <f t="shared" si="44"/>
        <v>4631.9775</v>
      </c>
      <c r="V82" s="60">
        <v>1484.37</v>
      </c>
      <c r="W82" s="61">
        <f t="shared" si="41"/>
        <v>6116.3474999999999</v>
      </c>
      <c r="X82" s="61">
        <v>117212.7</v>
      </c>
      <c r="Y82" s="61">
        <f t="shared" si="42"/>
        <v>117212.702</v>
      </c>
      <c r="Z82" s="95"/>
    </row>
    <row r="83" spans="1:26" ht="20.100000000000001" customHeight="1" x14ac:dyDescent="0.3">
      <c r="A83" s="181" t="s">
        <v>309</v>
      </c>
      <c r="B83" s="182"/>
      <c r="C83" s="183"/>
      <c r="D83" s="126" t="s">
        <v>185</v>
      </c>
      <c r="E83" s="63" t="s">
        <v>170</v>
      </c>
      <c r="F83" s="60">
        <v>12351.94</v>
      </c>
      <c r="G83" s="60"/>
      <c r="H83" s="60">
        <f t="shared" si="34"/>
        <v>37055.82</v>
      </c>
      <c r="I83" s="60">
        <f t="shared" si="43"/>
        <v>926.39549999999997</v>
      </c>
      <c r="J83" s="60"/>
      <c r="K83" s="60">
        <f t="shared" si="36"/>
        <v>6175.97</v>
      </c>
      <c r="L83" s="61">
        <f t="shared" si="37"/>
        <v>43231.79</v>
      </c>
      <c r="M83" s="60"/>
      <c r="N83" s="60">
        <f t="shared" si="38"/>
        <v>12351.94</v>
      </c>
      <c r="O83" s="60"/>
      <c r="P83" s="60">
        <f t="shared" si="45"/>
        <v>1235.1940000000002</v>
      </c>
      <c r="Q83" s="60">
        <v>10000</v>
      </c>
      <c r="R83" s="60"/>
      <c r="S83" s="61">
        <f t="shared" si="40"/>
        <v>123329.04950000001</v>
      </c>
      <c r="T83" s="61"/>
      <c r="U83" s="61">
        <f t="shared" si="44"/>
        <v>4631.9775</v>
      </c>
      <c r="V83" s="60">
        <v>1484.37</v>
      </c>
      <c r="W83" s="61">
        <f t="shared" si="41"/>
        <v>6116.3474999999999</v>
      </c>
      <c r="X83" s="61">
        <v>117212.7</v>
      </c>
      <c r="Y83" s="61">
        <f t="shared" si="42"/>
        <v>117212.702</v>
      </c>
      <c r="Z83" s="95"/>
    </row>
    <row r="84" spans="1:26" ht="20.100000000000001" customHeight="1" x14ac:dyDescent="0.3">
      <c r="A84" s="181" t="s">
        <v>173</v>
      </c>
      <c r="B84" s="182"/>
      <c r="C84" s="183"/>
      <c r="D84" s="62" t="s">
        <v>174</v>
      </c>
      <c r="E84" s="63" t="s">
        <v>170</v>
      </c>
      <c r="F84" s="60">
        <v>12351.94</v>
      </c>
      <c r="G84" s="60"/>
      <c r="H84" s="60">
        <f t="shared" si="34"/>
        <v>37055.82</v>
      </c>
      <c r="I84" s="60">
        <f t="shared" si="43"/>
        <v>926.39549999999997</v>
      </c>
      <c r="J84" s="60">
        <v>0</v>
      </c>
      <c r="K84" s="60">
        <f t="shared" si="36"/>
        <v>6175.97</v>
      </c>
      <c r="L84" s="61">
        <f t="shared" si="37"/>
        <v>43231.79</v>
      </c>
      <c r="M84" s="60">
        <v>0</v>
      </c>
      <c r="N84" s="60">
        <f t="shared" si="38"/>
        <v>12351.94</v>
      </c>
      <c r="O84" s="60">
        <v>0</v>
      </c>
      <c r="P84" s="60">
        <f t="shared" si="45"/>
        <v>1235.1940000000002</v>
      </c>
      <c r="Q84" s="60">
        <v>10000</v>
      </c>
      <c r="R84" s="60">
        <v>0</v>
      </c>
      <c r="S84" s="61">
        <f t="shared" si="40"/>
        <v>123329.04950000001</v>
      </c>
      <c r="T84" s="61"/>
      <c r="U84" s="61">
        <f t="shared" si="44"/>
        <v>4631.9775</v>
      </c>
      <c r="V84" s="60">
        <v>1484.37</v>
      </c>
      <c r="W84" s="61">
        <f t="shared" si="41"/>
        <v>6116.3474999999999</v>
      </c>
      <c r="X84" s="61">
        <v>117212.7</v>
      </c>
      <c r="Y84" s="61">
        <f t="shared" si="42"/>
        <v>117212.702</v>
      </c>
    </row>
    <row r="85" spans="1:26" ht="20.100000000000001" customHeight="1" x14ac:dyDescent="0.3">
      <c r="A85" s="177" t="s">
        <v>178</v>
      </c>
      <c r="B85" s="178"/>
      <c r="C85" s="179"/>
      <c r="D85" s="62" t="s">
        <v>179</v>
      </c>
      <c r="E85" s="63" t="s">
        <v>170</v>
      </c>
      <c r="F85" s="60">
        <v>12351.94</v>
      </c>
      <c r="G85" s="60"/>
      <c r="H85" s="60">
        <f t="shared" si="34"/>
        <v>37055.82</v>
      </c>
      <c r="I85" s="60">
        <f t="shared" si="43"/>
        <v>926.39549999999997</v>
      </c>
      <c r="J85" s="60">
        <v>0</v>
      </c>
      <c r="K85" s="60">
        <f t="shared" si="36"/>
        <v>6175.97</v>
      </c>
      <c r="L85" s="61">
        <f t="shared" si="37"/>
        <v>43231.79</v>
      </c>
      <c r="M85" s="60">
        <v>0</v>
      </c>
      <c r="N85" s="60">
        <f t="shared" si="38"/>
        <v>12351.94</v>
      </c>
      <c r="O85" s="60">
        <v>0</v>
      </c>
      <c r="P85" s="60">
        <f t="shared" si="45"/>
        <v>1235.1940000000002</v>
      </c>
      <c r="Q85" s="60">
        <v>10000</v>
      </c>
      <c r="R85" s="60">
        <v>0</v>
      </c>
      <c r="S85" s="61">
        <f t="shared" si="40"/>
        <v>123329.04950000001</v>
      </c>
      <c r="T85" s="61"/>
      <c r="U85" s="61">
        <f t="shared" si="44"/>
        <v>4631.9775</v>
      </c>
      <c r="V85" s="60">
        <v>1484.37</v>
      </c>
      <c r="W85" s="61">
        <f t="shared" si="41"/>
        <v>6116.3474999999999</v>
      </c>
      <c r="X85" s="61">
        <v>117212.7</v>
      </c>
      <c r="Y85" s="61">
        <f t="shared" si="42"/>
        <v>117212.702</v>
      </c>
    </row>
    <row r="86" spans="1:26" ht="20.100000000000001" customHeight="1" x14ac:dyDescent="0.3">
      <c r="A86" s="173" t="s">
        <v>6</v>
      </c>
      <c r="B86" s="173"/>
      <c r="C86" s="173"/>
      <c r="D86" s="62" t="s">
        <v>39</v>
      </c>
      <c r="E86" s="63" t="s">
        <v>79</v>
      </c>
      <c r="F86" s="60">
        <f>F87</f>
        <v>13112.2</v>
      </c>
      <c r="G86" s="60"/>
      <c r="H86" s="60">
        <f t="shared" si="34"/>
        <v>39336.600000000006</v>
      </c>
      <c r="I86" s="60">
        <f>F86*7.5%</f>
        <v>983.41499999999996</v>
      </c>
      <c r="J86" s="60">
        <v>0</v>
      </c>
      <c r="K86" s="60">
        <f t="shared" si="36"/>
        <v>6556.1</v>
      </c>
      <c r="L86" s="61">
        <f t="shared" si="37"/>
        <v>45892.700000000004</v>
      </c>
      <c r="M86" s="60">
        <v>0</v>
      </c>
      <c r="N86" s="60">
        <f t="shared" si="38"/>
        <v>13112.2</v>
      </c>
      <c r="O86" s="60">
        <v>0</v>
      </c>
      <c r="P86" s="60">
        <f t="shared" si="39"/>
        <v>1311.2200000000003</v>
      </c>
      <c r="Q86" s="60">
        <v>10000</v>
      </c>
      <c r="R86" s="60">
        <v>0</v>
      </c>
      <c r="S86" s="61">
        <f t="shared" si="40"/>
        <v>130304.43500000001</v>
      </c>
      <c r="T86" s="61"/>
      <c r="U86" s="61">
        <f t="shared" si="44"/>
        <v>4917.0749999999998</v>
      </c>
      <c r="V86" s="60">
        <v>1484.37</v>
      </c>
      <c r="W86" s="61">
        <f t="shared" si="41"/>
        <v>6401.4449999999997</v>
      </c>
      <c r="X86" s="61">
        <v>123902.99</v>
      </c>
      <c r="Y86" s="61">
        <f t="shared" si="42"/>
        <v>123902.99000000002</v>
      </c>
      <c r="Z86" s="95"/>
    </row>
    <row r="87" spans="1:26" ht="20.100000000000001" customHeight="1" x14ac:dyDescent="0.3">
      <c r="A87" s="181" t="s">
        <v>7</v>
      </c>
      <c r="B87" s="182"/>
      <c r="C87" s="183"/>
      <c r="D87" s="58" t="s">
        <v>30</v>
      </c>
      <c r="E87" s="59" t="s">
        <v>79</v>
      </c>
      <c r="F87" s="60">
        <f>F89</f>
        <v>13112.2</v>
      </c>
      <c r="G87" s="60"/>
      <c r="H87" s="60">
        <f t="shared" si="34"/>
        <v>39336.600000000006</v>
      </c>
      <c r="I87" s="60">
        <f>F87*7.5%</f>
        <v>983.41499999999996</v>
      </c>
      <c r="J87" s="60">
        <v>0</v>
      </c>
      <c r="K87" s="60">
        <f t="shared" si="36"/>
        <v>6556.1</v>
      </c>
      <c r="L87" s="61">
        <f t="shared" si="37"/>
        <v>45892.700000000004</v>
      </c>
      <c r="M87" s="60">
        <v>0</v>
      </c>
      <c r="N87" s="60">
        <f t="shared" si="38"/>
        <v>13112.2</v>
      </c>
      <c r="O87" s="60">
        <v>0</v>
      </c>
      <c r="P87" s="60">
        <f t="shared" si="39"/>
        <v>1311.2200000000003</v>
      </c>
      <c r="Q87" s="60">
        <f>Q89</f>
        <v>10000</v>
      </c>
      <c r="R87" s="60">
        <f>R89</f>
        <v>0</v>
      </c>
      <c r="S87" s="61">
        <f t="shared" si="40"/>
        <v>130304.43500000001</v>
      </c>
      <c r="T87" s="61"/>
      <c r="U87" s="61">
        <f t="shared" si="44"/>
        <v>4917.0749999999998</v>
      </c>
      <c r="V87" s="60">
        <v>1484.37</v>
      </c>
      <c r="W87" s="61">
        <f t="shared" si="41"/>
        <v>6401.4449999999997</v>
      </c>
      <c r="X87" s="61">
        <v>123902.99</v>
      </c>
      <c r="Y87" s="61">
        <f t="shared" si="42"/>
        <v>123902.99000000002</v>
      </c>
    </row>
    <row r="88" spans="1:26" ht="20.100000000000001" customHeight="1" x14ac:dyDescent="0.3">
      <c r="A88" s="173" t="s">
        <v>62</v>
      </c>
      <c r="B88" s="173"/>
      <c r="C88" s="173"/>
      <c r="D88" s="62" t="s">
        <v>30</v>
      </c>
      <c r="E88" s="63" t="s">
        <v>78</v>
      </c>
      <c r="F88" s="61">
        <v>13112.2</v>
      </c>
      <c r="G88" s="60"/>
      <c r="H88" s="60">
        <f>F88*300%</f>
        <v>39336.600000000006</v>
      </c>
      <c r="I88" s="60">
        <f t="shared" ref="I88:I94" si="46">F88*7.5%</f>
        <v>983.41499999999996</v>
      </c>
      <c r="J88" s="61">
        <v>0</v>
      </c>
      <c r="K88" s="60">
        <f>F88*50%</f>
        <v>6556.1</v>
      </c>
      <c r="L88" s="61">
        <f>F88*350%</f>
        <v>45892.700000000004</v>
      </c>
      <c r="M88" s="60">
        <v>0</v>
      </c>
      <c r="N88" s="60">
        <f>F88*100%</f>
        <v>13112.2</v>
      </c>
      <c r="O88" s="60">
        <v>0</v>
      </c>
      <c r="P88" s="60">
        <f>F88*10%</f>
        <v>1311.2200000000003</v>
      </c>
      <c r="Q88" s="60">
        <v>10000</v>
      </c>
      <c r="R88" s="60">
        <v>0</v>
      </c>
      <c r="S88" s="61">
        <f t="shared" si="40"/>
        <v>130304.43500000001</v>
      </c>
      <c r="T88" s="61"/>
      <c r="U88" s="61">
        <f t="shared" si="44"/>
        <v>4917.0749999999998</v>
      </c>
      <c r="V88" s="60">
        <v>1484.37</v>
      </c>
      <c r="W88" s="61">
        <f t="shared" si="41"/>
        <v>6401.4449999999997</v>
      </c>
      <c r="X88" s="61">
        <v>123902.99</v>
      </c>
      <c r="Y88" s="61">
        <f t="shared" si="42"/>
        <v>123902.99000000002</v>
      </c>
    </row>
    <row r="89" spans="1:26" ht="20.100000000000001" customHeight="1" x14ac:dyDescent="0.3">
      <c r="A89" s="173" t="s">
        <v>19</v>
      </c>
      <c r="B89" s="173"/>
      <c r="C89" s="173"/>
      <c r="D89" s="62" t="s">
        <v>30</v>
      </c>
      <c r="E89" s="63" t="s">
        <v>79</v>
      </c>
      <c r="F89" s="61">
        <f>F88</f>
        <v>13112.2</v>
      </c>
      <c r="G89" s="60">
        <v>0</v>
      </c>
      <c r="H89" s="60">
        <f>F89*300%</f>
        <v>39336.600000000006</v>
      </c>
      <c r="I89" s="60">
        <f t="shared" si="46"/>
        <v>983.41499999999996</v>
      </c>
      <c r="J89" s="61">
        <v>0</v>
      </c>
      <c r="K89" s="60">
        <f>F89*50%</f>
        <v>6556.1</v>
      </c>
      <c r="L89" s="61">
        <f>F89*350%</f>
        <v>45892.700000000004</v>
      </c>
      <c r="M89" s="60">
        <v>0</v>
      </c>
      <c r="N89" s="60">
        <f>F89*100%</f>
        <v>13112.2</v>
      </c>
      <c r="O89" s="60">
        <v>0</v>
      </c>
      <c r="P89" s="60">
        <f>F89*10%</f>
        <v>1311.2200000000003</v>
      </c>
      <c r="Q89" s="60">
        <v>10000</v>
      </c>
      <c r="R89" s="60">
        <v>0</v>
      </c>
      <c r="S89" s="61">
        <f t="shared" si="40"/>
        <v>130304.43500000001</v>
      </c>
      <c r="T89" s="61"/>
      <c r="U89" s="61">
        <f t="shared" si="44"/>
        <v>4917.0749999999998</v>
      </c>
      <c r="V89" s="60">
        <v>1484.37</v>
      </c>
      <c r="W89" s="61">
        <f t="shared" si="41"/>
        <v>6401.4449999999997</v>
      </c>
      <c r="X89" s="61">
        <v>123902.99</v>
      </c>
      <c r="Y89" s="61">
        <f t="shared" si="42"/>
        <v>123902.99000000002</v>
      </c>
      <c r="Z89" s="95">
        <f>Y89-X89</f>
        <v>0</v>
      </c>
    </row>
    <row r="90" spans="1:26" ht="20.100000000000001" customHeight="1" x14ac:dyDescent="0.3">
      <c r="A90" s="181" t="s">
        <v>278</v>
      </c>
      <c r="B90" s="182"/>
      <c r="C90" s="183"/>
      <c r="D90" s="98" t="s">
        <v>30</v>
      </c>
      <c r="E90" s="63" t="s">
        <v>79</v>
      </c>
      <c r="F90" s="61">
        <f>F89</f>
        <v>13112.2</v>
      </c>
      <c r="G90" s="60">
        <v>0</v>
      </c>
      <c r="H90" s="60">
        <f>F90*300%</f>
        <v>39336.600000000006</v>
      </c>
      <c r="I90" s="60">
        <f t="shared" si="46"/>
        <v>983.41499999999996</v>
      </c>
      <c r="J90" s="61">
        <v>0</v>
      </c>
      <c r="K90" s="60">
        <f>F90*50%</f>
        <v>6556.1</v>
      </c>
      <c r="L90" s="61">
        <f>F90*350%</f>
        <v>45892.700000000004</v>
      </c>
      <c r="M90" s="60">
        <v>0</v>
      </c>
      <c r="N90" s="60">
        <f>F90*100%</f>
        <v>13112.2</v>
      </c>
      <c r="O90" s="60">
        <v>0</v>
      </c>
      <c r="P90" s="60">
        <f>F90*10%</f>
        <v>1311.2200000000003</v>
      </c>
      <c r="Q90" s="60">
        <v>10000</v>
      </c>
      <c r="R90" s="60">
        <v>0</v>
      </c>
      <c r="S90" s="61">
        <f t="shared" si="40"/>
        <v>130304.43500000001</v>
      </c>
      <c r="T90" s="61"/>
      <c r="U90" s="61">
        <f t="shared" si="44"/>
        <v>4917.0749999999998</v>
      </c>
      <c r="V90" s="60">
        <v>1484.37</v>
      </c>
      <c r="W90" s="61">
        <f t="shared" si="41"/>
        <v>6401.4449999999997</v>
      </c>
      <c r="X90" s="61">
        <v>123902.99</v>
      </c>
      <c r="Y90" s="61">
        <f t="shared" si="42"/>
        <v>123902.99000000002</v>
      </c>
    </row>
    <row r="91" spans="1:26" ht="20.100000000000001" customHeight="1" x14ac:dyDescent="0.3">
      <c r="A91" s="173" t="s">
        <v>45</v>
      </c>
      <c r="B91" s="173"/>
      <c r="C91" s="173"/>
      <c r="D91" s="62" t="s">
        <v>15</v>
      </c>
      <c r="E91" s="63" t="s">
        <v>170</v>
      </c>
      <c r="F91" s="61">
        <f>F24</f>
        <v>12351.94</v>
      </c>
      <c r="G91" s="60"/>
      <c r="H91" s="60">
        <f t="shared" si="34"/>
        <v>37055.82</v>
      </c>
      <c r="I91" s="60">
        <f t="shared" si="46"/>
        <v>926.39549999999997</v>
      </c>
      <c r="J91" s="60">
        <v>0</v>
      </c>
      <c r="K91" s="60">
        <f t="shared" si="36"/>
        <v>6175.97</v>
      </c>
      <c r="L91" s="61">
        <f t="shared" si="37"/>
        <v>43231.79</v>
      </c>
      <c r="M91" s="60">
        <v>0</v>
      </c>
      <c r="N91" s="60">
        <f t="shared" si="38"/>
        <v>12351.94</v>
      </c>
      <c r="O91" s="60">
        <v>0</v>
      </c>
      <c r="P91" s="60">
        <f t="shared" si="39"/>
        <v>1235.1940000000002</v>
      </c>
      <c r="Q91" s="60">
        <v>10000</v>
      </c>
      <c r="R91" s="60">
        <v>0</v>
      </c>
      <c r="S91" s="61">
        <f t="shared" si="40"/>
        <v>123329.04950000001</v>
      </c>
      <c r="T91" s="61"/>
      <c r="U91" s="61">
        <f t="shared" si="44"/>
        <v>4631.9775</v>
      </c>
      <c r="V91" s="60">
        <v>1484.37</v>
      </c>
      <c r="W91" s="61">
        <f t="shared" si="41"/>
        <v>6116.3474999999999</v>
      </c>
      <c r="X91" s="61">
        <v>117212.7</v>
      </c>
      <c r="Y91" s="61">
        <f t="shared" si="42"/>
        <v>117212.702</v>
      </c>
    </row>
    <row r="92" spans="1:26" ht="20.100000000000001" customHeight="1" x14ac:dyDescent="0.3">
      <c r="A92" s="181" t="s">
        <v>40</v>
      </c>
      <c r="B92" s="182"/>
      <c r="C92" s="183"/>
      <c r="D92" s="62" t="s">
        <v>14</v>
      </c>
      <c r="E92" s="63" t="s">
        <v>48</v>
      </c>
      <c r="F92" s="82">
        <v>4542.3500000000004</v>
      </c>
      <c r="G92" s="60"/>
      <c r="H92" s="60">
        <f>F92*300%</f>
        <v>13627.050000000001</v>
      </c>
      <c r="I92" s="60">
        <f t="shared" si="46"/>
        <v>340.67625000000004</v>
      </c>
      <c r="J92" s="82">
        <v>0</v>
      </c>
      <c r="K92" s="60">
        <f>F92*50%</f>
        <v>2271.1750000000002</v>
      </c>
      <c r="L92" s="61">
        <f>F92*350%</f>
        <v>15898.225000000002</v>
      </c>
      <c r="M92" s="60">
        <v>0</v>
      </c>
      <c r="N92" s="60">
        <f>F92*100%</f>
        <v>4542.3500000000004</v>
      </c>
      <c r="O92" s="60">
        <v>0</v>
      </c>
      <c r="P92" s="60">
        <f>F92*10%</f>
        <v>454.23500000000007</v>
      </c>
      <c r="Q92" s="82">
        <v>5000</v>
      </c>
      <c r="R92" s="60">
        <v>0</v>
      </c>
      <c r="S92" s="61">
        <f t="shared" si="40"/>
        <v>46676.061250000006</v>
      </c>
      <c r="T92" s="61"/>
      <c r="U92" s="61">
        <f t="shared" si="44"/>
        <v>1703.3812499999999</v>
      </c>
      <c r="V92" s="61">
        <v>236.04</v>
      </c>
      <c r="W92" s="61">
        <f t="shared" si="41"/>
        <v>1939.4212499999999</v>
      </c>
      <c r="X92" s="61">
        <v>44736.639999999999</v>
      </c>
      <c r="Y92" s="61">
        <f t="shared" si="42"/>
        <v>44736.640000000007</v>
      </c>
      <c r="Z92" s="95"/>
    </row>
    <row r="93" spans="1:26" ht="20.100000000000001" customHeight="1" x14ac:dyDescent="0.3">
      <c r="A93" s="173" t="s">
        <v>17</v>
      </c>
      <c r="B93" s="173"/>
      <c r="C93" s="173"/>
      <c r="D93" s="62" t="s">
        <v>14</v>
      </c>
      <c r="E93" s="63" t="s">
        <v>48</v>
      </c>
      <c r="F93" s="82">
        <v>4542.3500000000004</v>
      </c>
      <c r="G93" s="60"/>
      <c r="H93" s="60">
        <f>F93*300%</f>
        <v>13627.050000000001</v>
      </c>
      <c r="I93" s="60">
        <f t="shared" si="46"/>
        <v>340.67625000000004</v>
      </c>
      <c r="J93" s="82">
        <v>0</v>
      </c>
      <c r="K93" s="60">
        <f>F93*50%</f>
        <v>2271.1750000000002</v>
      </c>
      <c r="L93" s="61">
        <f>F93*350%</f>
        <v>15898.225000000002</v>
      </c>
      <c r="M93" s="60">
        <v>0</v>
      </c>
      <c r="N93" s="60">
        <f>F93*100%</f>
        <v>4542.3500000000004</v>
      </c>
      <c r="O93" s="60">
        <v>0</v>
      </c>
      <c r="P93" s="60">
        <f>F93*10%</f>
        <v>454.23500000000007</v>
      </c>
      <c r="Q93" s="82">
        <v>5000</v>
      </c>
      <c r="R93" s="60">
        <v>0</v>
      </c>
      <c r="S93" s="61">
        <f t="shared" si="40"/>
        <v>46676.061250000006</v>
      </c>
      <c r="T93" s="61"/>
      <c r="U93" s="61">
        <f t="shared" si="44"/>
        <v>1703.3812499999999</v>
      </c>
      <c r="V93" s="61">
        <v>236.04</v>
      </c>
      <c r="W93" s="61">
        <f t="shared" si="41"/>
        <v>1939.4212499999999</v>
      </c>
      <c r="X93" s="61">
        <v>44736.639999999999</v>
      </c>
      <c r="Y93" s="61">
        <f t="shared" si="42"/>
        <v>44736.640000000007</v>
      </c>
      <c r="Z93" s="95"/>
    </row>
    <row r="94" spans="1:26" ht="20.100000000000001" customHeight="1" x14ac:dyDescent="0.3">
      <c r="A94" s="210" t="s">
        <v>312</v>
      </c>
      <c r="B94" s="210"/>
      <c r="C94" s="210"/>
      <c r="D94" s="129" t="s">
        <v>14</v>
      </c>
      <c r="E94" s="63" t="s">
        <v>48</v>
      </c>
      <c r="F94" s="82">
        <v>4542.3500000000004</v>
      </c>
      <c r="G94" s="60"/>
      <c r="H94" s="60">
        <f>F94*300%</f>
        <v>13627.050000000001</v>
      </c>
      <c r="I94" s="60">
        <f t="shared" si="46"/>
        <v>340.67625000000004</v>
      </c>
      <c r="J94" s="60"/>
      <c r="K94" s="60">
        <f>F94*50%</f>
        <v>2271.1750000000002</v>
      </c>
      <c r="L94" s="61">
        <f>F94*350%</f>
        <v>15898.225000000002</v>
      </c>
      <c r="M94" s="60"/>
      <c r="N94" s="60">
        <f>F94*100%</f>
        <v>4542.3500000000004</v>
      </c>
      <c r="O94" s="60"/>
      <c r="P94" s="60">
        <f>F94*10%</f>
        <v>454.23500000000007</v>
      </c>
      <c r="Q94" s="82">
        <v>5000</v>
      </c>
      <c r="R94" s="60"/>
      <c r="S94" s="61">
        <f t="shared" si="40"/>
        <v>46676.061250000006</v>
      </c>
      <c r="T94" s="61"/>
      <c r="U94" s="61">
        <v>0</v>
      </c>
      <c r="V94" s="61">
        <v>0</v>
      </c>
      <c r="W94" s="61">
        <f t="shared" si="41"/>
        <v>0</v>
      </c>
      <c r="X94" s="61">
        <v>0</v>
      </c>
      <c r="Y94" s="61">
        <v>0</v>
      </c>
      <c r="Z94" s="95">
        <f>Y94-X94</f>
        <v>0</v>
      </c>
    </row>
    <row r="95" spans="1:26" ht="20.100000000000001" customHeight="1" x14ac:dyDescent="0.3">
      <c r="A95" s="173" t="s">
        <v>41</v>
      </c>
      <c r="B95" s="173"/>
      <c r="C95" s="173"/>
      <c r="D95" s="62" t="s">
        <v>14</v>
      </c>
      <c r="E95" s="63" t="s">
        <v>48</v>
      </c>
      <c r="F95" s="60">
        <f>F94</f>
        <v>4542.3500000000004</v>
      </c>
      <c r="G95" s="60"/>
      <c r="H95" s="60">
        <f t="shared" ref="H95:H104" si="47">F95*300%</f>
        <v>13627.050000000001</v>
      </c>
      <c r="I95" s="60">
        <f t="shared" ref="I95:I104" si="48">F95*7.5%</f>
        <v>340.67625000000004</v>
      </c>
      <c r="J95" s="60">
        <v>0</v>
      </c>
      <c r="K95" s="60">
        <f t="shared" ref="K95:K104" si="49">F95*50%</f>
        <v>2271.1750000000002</v>
      </c>
      <c r="L95" s="61">
        <f t="shared" ref="L95:L104" si="50">F95*350%</f>
        <v>15898.225000000002</v>
      </c>
      <c r="M95" s="60">
        <v>0</v>
      </c>
      <c r="N95" s="60">
        <f t="shared" ref="N95:N104" si="51">F95*100%</f>
        <v>4542.3500000000004</v>
      </c>
      <c r="O95" s="60">
        <v>0</v>
      </c>
      <c r="P95" s="60">
        <f t="shared" ref="P95:P104" si="52">F95*10%</f>
        <v>454.23500000000007</v>
      </c>
      <c r="Q95" s="60">
        <v>5000</v>
      </c>
      <c r="R95" s="60">
        <v>0</v>
      </c>
      <c r="S95" s="61">
        <f t="shared" si="40"/>
        <v>46676.061250000006</v>
      </c>
      <c r="T95" s="61"/>
      <c r="U95" s="61">
        <f t="shared" si="44"/>
        <v>1703.3812499999999</v>
      </c>
      <c r="V95" s="61">
        <v>236.04</v>
      </c>
      <c r="W95" s="61">
        <f t="shared" si="41"/>
        <v>1939.4212499999999</v>
      </c>
      <c r="X95" s="61">
        <v>44736.639999999999</v>
      </c>
      <c r="Y95" s="61">
        <f t="shared" ref="Y95:Y101" si="53">S95-W95</f>
        <v>44736.640000000007</v>
      </c>
      <c r="Z95" s="95"/>
    </row>
    <row r="96" spans="1:26" ht="20.100000000000001" customHeight="1" x14ac:dyDescent="0.3">
      <c r="A96" s="173" t="s">
        <v>42</v>
      </c>
      <c r="B96" s="173"/>
      <c r="C96" s="173"/>
      <c r="D96" s="62" t="s">
        <v>14</v>
      </c>
      <c r="E96" s="63" t="s">
        <v>48</v>
      </c>
      <c r="F96" s="60">
        <f>F95</f>
        <v>4542.3500000000004</v>
      </c>
      <c r="G96" s="60"/>
      <c r="H96" s="60">
        <f t="shared" si="47"/>
        <v>13627.050000000001</v>
      </c>
      <c r="I96" s="60">
        <f t="shared" si="48"/>
        <v>340.67625000000004</v>
      </c>
      <c r="J96" s="60">
        <v>0</v>
      </c>
      <c r="K96" s="60">
        <f t="shared" si="49"/>
        <v>2271.1750000000002</v>
      </c>
      <c r="L96" s="61">
        <f t="shared" si="50"/>
        <v>15898.225000000002</v>
      </c>
      <c r="M96" s="60">
        <v>0</v>
      </c>
      <c r="N96" s="60">
        <f t="shared" si="51"/>
        <v>4542.3500000000004</v>
      </c>
      <c r="O96" s="60">
        <v>0</v>
      </c>
      <c r="P96" s="60">
        <f t="shared" si="52"/>
        <v>454.23500000000007</v>
      </c>
      <c r="Q96" s="60">
        <v>5000</v>
      </c>
      <c r="R96" s="60">
        <v>0</v>
      </c>
      <c r="S96" s="61">
        <f t="shared" si="40"/>
        <v>46676.061250000006</v>
      </c>
      <c r="T96" s="61"/>
      <c r="U96" s="61">
        <f t="shared" si="44"/>
        <v>1703.3812499999999</v>
      </c>
      <c r="V96" s="61">
        <v>236.04</v>
      </c>
      <c r="W96" s="61">
        <f t="shared" si="41"/>
        <v>1939.4212499999999</v>
      </c>
      <c r="X96" s="61">
        <v>44736.639999999999</v>
      </c>
      <c r="Y96" s="61">
        <f t="shared" si="53"/>
        <v>44736.640000000007</v>
      </c>
    </row>
    <row r="97" spans="1:26" ht="20.100000000000001" customHeight="1" x14ac:dyDescent="0.3">
      <c r="A97" s="173" t="s">
        <v>43</v>
      </c>
      <c r="B97" s="173"/>
      <c r="C97" s="173"/>
      <c r="D97" s="62" t="s">
        <v>14</v>
      </c>
      <c r="E97" s="63" t="s">
        <v>48</v>
      </c>
      <c r="F97" s="60">
        <f>F96</f>
        <v>4542.3500000000004</v>
      </c>
      <c r="G97" s="60"/>
      <c r="H97" s="60">
        <f t="shared" si="47"/>
        <v>13627.050000000001</v>
      </c>
      <c r="I97" s="60">
        <f t="shared" si="48"/>
        <v>340.67625000000004</v>
      </c>
      <c r="J97" s="60">
        <v>0</v>
      </c>
      <c r="K97" s="60">
        <f t="shared" si="49"/>
        <v>2271.1750000000002</v>
      </c>
      <c r="L97" s="61">
        <f t="shared" si="50"/>
        <v>15898.225000000002</v>
      </c>
      <c r="M97" s="60">
        <v>0</v>
      </c>
      <c r="N97" s="60">
        <f t="shared" si="51"/>
        <v>4542.3500000000004</v>
      </c>
      <c r="O97" s="60">
        <v>0</v>
      </c>
      <c r="P97" s="60">
        <f t="shared" si="52"/>
        <v>454.23500000000007</v>
      </c>
      <c r="Q97" s="60">
        <v>5000</v>
      </c>
      <c r="R97" s="60">
        <v>0</v>
      </c>
      <c r="S97" s="61">
        <f t="shared" si="40"/>
        <v>46676.061250000006</v>
      </c>
      <c r="T97" s="61"/>
      <c r="U97" s="61">
        <f t="shared" si="44"/>
        <v>1703.3812499999999</v>
      </c>
      <c r="V97" s="61">
        <v>236.04</v>
      </c>
      <c r="W97" s="61">
        <f t="shared" si="41"/>
        <v>1939.4212499999999</v>
      </c>
      <c r="X97" s="61">
        <v>44736.639999999999</v>
      </c>
      <c r="Y97" s="61">
        <f t="shared" si="53"/>
        <v>44736.640000000007</v>
      </c>
      <c r="Z97" s="95"/>
    </row>
    <row r="98" spans="1:26" ht="20.100000000000001" customHeight="1" x14ac:dyDescent="0.3">
      <c r="A98" s="173" t="s">
        <v>44</v>
      </c>
      <c r="B98" s="173"/>
      <c r="C98" s="173"/>
      <c r="D98" s="62" t="s">
        <v>14</v>
      </c>
      <c r="E98" s="63" t="s">
        <v>48</v>
      </c>
      <c r="F98" s="60">
        <f>F97</f>
        <v>4542.3500000000004</v>
      </c>
      <c r="G98" s="60"/>
      <c r="H98" s="60">
        <f t="shared" si="47"/>
        <v>13627.050000000001</v>
      </c>
      <c r="I98" s="60">
        <f t="shared" si="48"/>
        <v>340.67625000000004</v>
      </c>
      <c r="J98" s="60">
        <v>0</v>
      </c>
      <c r="K98" s="60">
        <f t="shared" si="49"/>
        <v>2271.1750000000002</v>
      </c>
      <c r="L98" s="61">
        <f t="shared" si="50"/>
        <v>15898.225000000002</v>
      </c>
      <c r="M98" s="60">
        <v>0</v>
      </c>
      <c r="N98" s="60">
        <f t="shared" si="51"/>
        <v>4542.3500000000004</v>
      </c>
      <c r="O98" s="60">
        <v>0</v>
      </c>
      <c r="P98" s="60">
        <f t="shared" si="52"/>
        <v>454.23500000000007</v>
      </c>
      <c r="Q98" s="60">
        <v>5000</v>
      </c>
      <c r="R98" s="60">
        <v>0</v>
      </c>
      <c r="S98" s="61">
        <f t="shared" si="40"/>
        <v>46676.061250000006</v>
      </c>
      <c r="T98" s="61"/>
      <c r="U98" s="61">
        <f t="shared" si="44"/>
        <v>1703.3812499999999</v>
      </c>
      <c r="V98" s="61">
        <v>236.04</v>
      </c>
      <c r="W98" s="61">
        <f t="shared" si="41"/>
        <v>1939.4212499999999</v>
      </c>
      <c r="X98" s="61">
        <v>44736.639999999999</v>
      </c>
      <c r="Y98" s="61">
        <f t="shared" si="53"/>
        <v>44736.640000000007</v>
      </c>
      <c r="Z98" s="95"/>
    </row>
    <row r="99" spans="1:26" ht="20.100000000000001" customHeight="1" x14ac:dyDescent="0.3">
      <c r="A99" s="181" t="s">
        <v>18</v>
      </c>
      <c r="B99" s="182"/>
      <c r="C99" s="183"/>
      <c r="D99" s="58" t="s">
        <v>14</v>
      </c>
      <c r="E99" s="59" t="s">
        <v>48</v>
      </c>
      <c r="F99" s="82">
        <v>4542.3500000000004</v>
      </c>
      <c r="G99" s="60"/>
      <c r="H99" s="60">
        <f>F99*300%</f>
        <v>13627.050000000001</v>
      </c>
      <c r="I99" s="60">
        <f>F99*7.5%</f>
        <v>340.67625000000004</v>
      </c>
      <c r="J99" s="82">
        <v>0</v>
      </c>
      <c r="K99" s="60">
        <f>F99*50%</f>
        <v>2271.1750000000002</v>
      </c>
      <c r="L99" s="61">
        <f>F99*350%</f>
        <v>15898.225000000002</v>
      </c>
      <c r="M99" s="60">
        <v>0</v>
      </c>
      <c r="N99" s="60">
        <f>F99*100%</f>
        <v>4542.3500000000004</v>
      </c>
      <c r="O99" s="60">
        <v>0</v>
      </c>
      <c r="P99" s="60">
        <f>F99*10%</f>
        <v>454.23500000000007</v>
      </c>
      <c r="Q99" s="82">
        <v>5000</v>
      </c>
      <c r="R99" s="60">
        <v>0</v>
      </c>
      <c r="S99" s="61">
        <f t="shared" si="40"/>
        <v>46676.061250000006</v>
      </c>
      <c r="T99" s="61"/>
      <c r="U99" s="61">
        <f t="shared" si="44"/>
        <v>1703.3812499999999</v>
      </c>
      <c r="V99" s="61">
        <v>236.04</v>
      </c>
      <c r="W99" s="61">
        <f t="shared" si="41"/>
        <v>1939.4212499999999</v>
      </c>
      <c r="X99" s="61">
        <v>44736.639999999999</v>
      </c>
      <c r="Y99" s="61">
        <f t="shared" si="53"/>
        <v>44736.640000000007</v>
      </c>
      <c r="Z99" s="95"/>
    </row>
    <row r="100" spans="1:26" ht="20.100000000000001" customHeight="1" x14ac:dyDescent="0.3">
      <c r="A100" s="173" t="s">
        <v>63</v>
      </c>
      <c r="B100" s="173"/>
      <c r="C100" s="173"/>
      <c r="D100" s="62" t="s">
        <v>14</v>
      </c>
      <c r="E100" s="63" t="s">
        <v>226</v>
      </c>
      <c r="F100" s="60">
        <v>4101.58</v>
      </c>
      <c r="G100" s="60"/>
      <c r="H100" s="60">
        <f t="shared" si="47"/>
        <v>12304.74</v>
      </c>
      <c r="I100" s="60">
        <f t="shared" si="48"/>
        <v>307.61849999999998</v>
      </c>
      <c r="J100" s="60">
        <v>0</v>
      </c>
      <c r="K100" s="60">
        <f t="shared" si="49"/>
        <v>2050.79</v>
      </c>
      <c r="L100" s="61">
        <f t="shared" si="50"/>
        <v>14355.529999999999</v>
      </c>
      <c r="M100" s="60">
        <v>0</v>
      </c>
      <c r="N100" s="60">
        <f t="shared" si="51"/>
        <v>4101.58</v>
      </c>
      <c r="O100" s="60">
        <v>0</v>
      </c>
      <c r="P100" s="60">
        <f t="shared" si="52"/>
        <v>410.15800000000002</v>
      </c>
      <c r="Q100" s="60">
        <v>5000</v>
      </c>
      <c r="R100" s="60">
        <v>0</v>
      </c>
      <c r="S100" s="61">
        <f t="shared" si="40"/>
        <v>42631.996500000001</v>
      </c>
      <c r="T100" s="61"/>
      <c r="U100" s="61">
        <f t="shared" si="44"/>
        <v>1538.0925</v>
      </c>
      <c r="V100" s="61">
        <v>236.04</v>
      </c>
      <c r="W100" s="61">
        <f t="shared" si="41"/>
        <v>1774.1324999999999</v>
      </c>
      <c r="X100" s="61">
        <v>40857.86</v>
      </c>
      <c r="Y100" s="61">
        <f t="shared" si="53"/>
        <v>40857.864000000001</v>
      </c>
      <c r="Z100" s="95"/>
    </row>
    <row r="101" spans="1:26" ht="20.100000000000001" customHeight="1" x14ac:dyDescent="0.3">
      <c r="A101" s="173" t="s">
        <v>64</v>
      </c>
      <c r="B101" s="173"/>
      <c r="C101" s="173"/>
      <c r="D101" s="62" t="s">
        <v>14</v>
      </c>
      <c r="E101" s="63" t="s">
        <v>226</v>
      </c>
      <c r="F101" s="60">
        <v>4101.58</v>
      </c>
      <c r="G101" s="60"/>
      <c r="H101" s="60">
        <f t="shared" si="47"/>
        <v>12304.74</v>
      </c>
      <c r="I101" s="60">
        <f t="shared" si="48"/>
        <v>307.61849999999998</v>
      </c>
      <c r="J101" s="60">
        <v>0</v>
      </c>
      <c r="K101" s="60">
        <f t="shared" si="49"/>
        <v>2050.79</v>
      </c>
      <c r="L101" s="61">
        <f t="shared" si="50"/>
        <v>14355.529999999999</v>
      </c>
      <c r="M101" s="60">
        <v>0</v>
      </c>
      <c r="N101" s="60">
        <f t="shared" si="51"/>
        <v>4101.58</v>
      </c>
      <c r="O101" s="60">
        <v>0</v>
      </c>
      <c r="P101" s="60">
        <f t="shared" si="52"/>
        <v>410.15800000000002</v>
      </c>
      <c r="Q101" s="60">
        <v>5000</v>
      </c>
      <c r="R101" s="60">
        <v>0</v>
      </c>
      <c r="S101" s="61">
        <f t="shared" si="40"/>
        <v>42631.996500000001</v>
      </c>
      <c r="T101" s="61"/>
      <c r="U101" s="61">
        <f t="shared" si="44"/>
        <v>1538.0925</v>
      </c>
      <c r="V101" s="61">
        <v>236.04</v>
      </c>
      <c r="W101" s="61">
        <f t="shared" si="41"/>
        <v>1774.1324999999999</v>
      </c>
      <c r="X101" s="61">
        <v>40857.86</v>
      </c>
      <c r="Y101" s="61">
        <f t="shared" si="53"/>
        <v>40857.864000000001</v>
      </c>
      <c r="Z101" s="95"/>
    </row>
    <row r="102" spans="1:26" ht="20.100000000000001" customHeight="1" x14ac:dyDescent="0.3">
      <c r="A102" s="207" t="s">
        <v>243</v>
      </c>
      <c r="B102" s="208"/>
      <c r="C102" s="209"/>
      <c r="D102" s="62" t="s">
        <v>14</v>
      </c>
      <c r="E102" s="63" t="s">
        <v>226</v>
      </c>
      <c r="F102" s="60">
        <v>4101.58</v>
      </c>
      <c r="G102" s="60">
        <v>0</v>
      </c>
      <c r="H102" s="60">
        <f t="shared" si="47"/>
        <v>12304.74</v>
      </c>
      <c r="I102" s="60">
        <f t="shared" si="48"/>
        <v>307.61849999999998</v>
      </c>
      <c r="J102" s="60">
        <v>0</v>
      </c>
      <c r="K102" s="60">
        <f t="shared" si="49"/>
        <v>2050.79</v>
      </c>
      <c r="L102" s="61">
        <f t="shared" si="50"/>
        <v>14355.529999999999</v>
      </c>
      <c r="M102" s="60">
        <v>0</v>
      </c>
      <c r="N102" s="60">
        <f t="shared" si="51"/>
        <v>4101.58</v>
      </c>
      <c r="O102" s="60">
        <v>0</v>
      </c>
      <c r="P102" s="60">
        <f t="shared" si="52"/>
        <v>410.15800000000002</v>
      </c>
      <c r="Q102" s="60">
        <v>5000</v>
      </c>
      <c r="R102" s="60">
        <v>0</v>
      </c>
      <c r="S102" s="61">
        <f t="shared" si="40"/>
        <v>42631.996500000001</v>
      </c>
      <c r="T102" s="61"/>
      <c r="U102" s="61">
        <v>0</v>
      </c>
      <c r="V102" s="61">
        <v>0</v>
      </c>
      <c r="W102" s="61">
        <f t="shared" si="41"/>
        <v>0</v>
      </c>
      <c r="X102" s="61">
        <v>0</v>
      </c>
      <c r="Y102" s="61">
        <v>0</v>
      </c>
      <c r="Z102" s="95">
        <f>Y102-X102</f>
        <v>0</v>
      </c>
    </row>
    <row r="103" spans="1:26" ht="20.100000000000001" customHeight="1" x14ac:dyDescent="0.3">
      <c r="A103" s="181" t="s">
        <v>225</v>
      </c>
      <c r="B103" s="182"/>
      <c r="C103" s="183"/>
      <c r="D103" s="62" t="s">
        <v>14</v>
      </c>
      <c r="E103" s="63" t="s">
        <v>226</v>
      </c>
      <c r="F103" s="60">
        <v>4101.58</v>
      </c>
      <c r="G103" s="60">
        <v>0</v>
      </c>
      <c r="H103" s="60">
        <f t="shared" si="47"/>
        <v>12304.74</v>
      </c>
      <c r="I103" s="60">
        <f t="shared" si="48"/>
        <v>307.61849999999998</v>
      </c>
      <c r="J103" s="60">
        <v>0</v>
      </c>
      <c r="K103" s="60">
        <f t="shared" si="49"/>
        <v>2050.79</v>
      </c>
      <c r="L103" s="61">
        <f t="shared" si="50"/>
        <v>14355.529999999999</v>
      </c>
      <c r="M103" s="60">
        <v>0</v>
      </c>
      <c r="N103" s="60">
        <f t="shared" si="51"/>
        <v>4101.58</v>
      </c>
      <c r="O103" s="60">
        <v>0</v>
      </c>
      <c r="P103" s="60">
        <f t="shared" si="52"/>
        <v>410.15800000000002</v>
      </c>
      <c r="Q103" s="60">
        <v>5000</v>
      </c>
      <c r="S103" s="61">
        <f t="shared" si="40"/>
        <v>42631.996500000001</v>
      </c>
      <c r="T103" s="61"/>
      <c r="U103" s="61">
        <f t="shared" si="44"/>
        <v>1538.0925</v>
      </c>
      <c r="V103" s="61">
        <v>236.04</v>
      </c>
      <c r="W103" s="61">
        <f t="shared" si="41"/>
        <v>1774.1324999999999</v>
      </c>
      <c r="X103" s="61">
        <v>40857.86</v>
      </c>
      <c r="Y103" s="61">
        <f t="shared" ref="Y103:Y108" si="54">S103-W103</f>
        <v>40857.864000000001</v>
      </c>
      <c r="Z103" s="121"/>
    </row>
    <row r="104" spans="1:26" ht="20.100000000000001" customHeight="1" x14ac:dyDescent="0.3">
      <c r="A104" s="181" t="s">
        <v>277</v>
      </c>
      <c r="B104" s="182"/>
      <c r="C104" s="183"/>
      <c r="D104" s="98" t="s">
        <v>14</v>
      </c>
      <c r="E104" s="63" t="s">
        <v>226</v>
      </c>
      <c r="F104" s="60">
        <v>4101.58</v>
      </c>
      <c r="G104" s="60">
        <v>0</v>
      </c>
      <c r="H104" s="60">
        <f t="shared" si="47"/>
        <v>12304.74</v>
      </c>
      <c r="I104" s="60">
        <f t="shared" si="48"/>
        <v>307.61849999999998</v>
      </c>
      <c r="J104" s="60">
        <v>0</v>
      </c>
      <c r="K104" s="60">
        <f t="shared" si="49"/>
        <v>2050.79</v>
      </c>
      <c r="L104" s="61">
        <f t="shared" si="50"/>
        <v>14355.529999999999</v>
      </c>
      <c r="M104" s="60">
        <v>0</v>
      </c>
      <c r="N104" s="60">
        <f t="shared" si="51"/>
        <v>4101.58</v>
      </c>
      <c r="O104" s="60">
        <v>0</v>
      </c>
      <c r="P104" s="60">
        <f t="shared" si="52"/>
        <v>410.15800000000002</v>
      </c>
      <c r="Q104" s="60">
        <v>5000</v>
      </c>
      <c r="R104" s="60">
        <v>0</v>
      </c>
      <c r="S104" s="61">
        <f t="shared" si="40"/>
        <v>42631.996500000001</v>
      </c>
      <c r="T104" s="61"/>
      <c r="U104" s="61">
        <f t="shared" si="44"/>
        <v>1538.0925</v>
      </c>
      <c r="V104" s="61">
        <v>236.04</v>
      </c>
      <c r="W104" s="61">
        <f t="shared" si="41"/>
        <v>1774.1324999999999</v>
      </c>
      <c r="X104" s="61">
        <v>40857.86</v>
      </c>
      <c r="Y104" s="61">
        <f t="shared" si="54"/>
        <v>40857.864000000001</v>
      </c>
      <c r="Z104" s="95"/>
    </row>
    <row r="105" spans="1:26" ht="20.100000000000001" customHeight="1" x14ac:dyDescent="0.3">
      <c r="A105" s="181" t="s">
        <v>292</v>
      </c>
      <c r="B105" s="182"/>
      <c r="C105" s="183"/>
      <c r="D105" s="109" t="s">
        <v>14</v>
      </c>
      <c r="E105" s="63" t="s">
        <v>226</v>
      </c>
      <c r="F105" s="60">
        <v>4101.58</v>
      </c>
      <c r="G105" s="60">
        <v>0</v>
      </c>
      <c r="H105" s="60">
        <f>F105*300%</f>
        <v>12304.74</v>
      </c>
      <c r="I105" s="60">
        <f>F105*7.5%</f>
        <v>307.61849999999998</v>
      </c>
      <c r="J105" s="60">
        <v>0</v>
      </c>
      <c r="K105" s="60">
        <f>F105*50%</f>
        <v>2050.79</v>
      </c>
      <c r="L105" s="61">
        <f>F105*350%</f>
        <v>14355.529999999999</v>
      </c>
      <c r="M105" s="60">
        <v>0</v>
      </c>
      <c r="N105" s="60">
        <f>F105*100%</f>
        <v>4101.58</v>
      </c>
      <c r="O105" s="60">
        <v>0</v>
      </c>
      <c r="P105" s="60">
        <f>F105*10%</f>
        <v>410.15800000000002</v>
      </c>
      <c r="Q105" s="60">
        <v>5000</v>
      </c>
      <c r="R105" s="60">
        <v>0</v>
      </c>
      <c r="S105" s="61">
        <f>SUM(F105:R105)</f>
        <v>42631.996500000001</v>
      </c>
      <c r="T105" s="61"/>
      <c r="U105" s="61">
        <f t="shared" si="44"/>
        <v>1538.0925</v>
      </c>
      <c r="V105" s="61">
        <v>236.04</v>
      </c>
      <c r="W105" s="61">
        <f t="shared" si="41"/>
        <v>1774.1324999999999</v>
      </c>
      <c r="X105" s="61">
        <v>90857.86</v>
      </c>
      <c r="Y105" s="61">
        <f t="shared" si="54"/>
        <v>40857.864000000001</v>
      </c>
      <c r="Z105" s="95">
        <f>Y105-X105</f>
        <v>-49999.995999999999</v>
      </c>
    </row>
    <row r="106" spans="1:26" ht="20.100000000000001" customHeight="1" x14ac:dyDescent="0.3">
      <c r="A106" s="181" t="s">
        <v>293</v>
      </c>
      <c r="B106" s="182"/>
      <c r="C106" s="183"/>
      <c r="D106" s="109" t="s">
        <v>14</v>
      </c>
      <c r="E106" s="63" t="s">
        <v>226</v>
      </c>
      <c r="F106" s="60">
        <v>4101.58</v>
      </c>
      <c r="G106" s="60">
        <v>0</v>
      </c>
      <c r="H106" s="60">
        <f>F106*300%</f>
        <v>12304.74</v>
      </c>
      <c r="I106" s="60">
        <f>F106*7.5%</f>
        <v>307.61849999999998</v>
      </c>
      <c r="J106" s="60">
        <v>0</v>
      </c>
      <c r="K106" s="60">
        <f>F106*50%</f>
        <v>2050.79</v>
      </c>
      <c r="L106" s="61">
        <f>F106*350%</f>
        <v>14355.529999999999</v>
      </c>
      <c r="M106" s="60">
        <v>0</v>
      </c>
      <c r="N106" s="60">
        <f>F106*100%</f>
        <v>4101.58</v>
      </c>
      <c r="O106" s="60">
        <v>0</v>
      </c>
      <c r="P106" s="60">
        <f>F106*10%</f>
        <v>410.15800000000002</v>
      </c>
      <c r="Q106" s="60">
        <v>5000</v>
      </c>
      <c r="S106" s="61">
        <f>SUM(F106:R106)</f>
        <v>42631.996500000001</v>
      </c>
      <c r="T106" s="61"/>
      <c r="U106" s="61">
        <f t="shared" si="44"/>
        <v>1538.0925</v>
      </c>
      <c r="V106" s="61">
        <v>236.04</v>
      </c>
      <c r="W106" s="61">
        <f t="shared" si="41"/>
        <v>1774.1324999999999</v>
      </c>
      <c r="X106" s="61">
        <v>40857.86</v>
      </c>
      <c r="Y106" s="61">
        <f t="shared" si="54"/>
        <v>40857.864000000001</v>
      </c>
      <c r="Z106" s="95"/>
    </row>
    <row r="107" spans="1:26" ht="20.100000000000001" customHeight="1" x14ac:dyDescent="0.3">
      <c r="A107" s="181" t="s">
        <v>301</v>
      </c>
      <c r="B107" s="182"/>
      <c r="C107" s="183"/>
      <c r="D107" s="119" t="s">
        <v>14</v>
      </c>
      <c r="E107" s="63" t="s">
        <v>226</v>
      </c>
      <c r="F107" s="60">
        <v>4101.58</v>
      </c>
      <c r="G107" s="60">
        <v>0</v>
      </c>
      <c r="H107" s="60">
        <f>F107*300%</f>
        <v>12304.74</v>
      </c>
      <c r="I107" s="60">
        <f>F107*7.5%</f>
        <v>307.61849999999998</v>
      </c>
      <c r="J107" s="60">
        <v>0</v>
      </c>
      <c r="K107" s="60">
        <f>F107*50%</f>
        <v>2050.79</v>
      </c>
      <c r="L107" s="61">
        <f>F107*350%</f>
        <v>14355.529999999999</v>
      </c>
      <c r="M107" s="60">
        <v>0</v>
      </c>
      <c r="N107" s="60">
        <f>F107*100%</f>
        <v>4101.58</v>
      </c>
      <c r="O107" s="60">
        <v>0</v>
      </c>
      <c r="P107" s="60">
        <f>F107*10%</f>
        <v>410.15800000000002</v>
      </c>
      <c r="Q107" s="60">
        <v>5000</v>
      </c>
      <c r="S107" s="61">
        <f>SUM(F107:R107)</f>
        <v>42631.996500000001</v>
      </c>
      <c r="T107" s="61"/>
      <c r="U107" s="61">
        <f t="shared" si="44"/>
        <v>1538.0925</v>
      </c>
      <c r="V107" s="61">
        <v>236.04</v>
      </c>
      <c r="W107" s="61">
        <f t="shared" si="41"/>
        <v>1774.1324999999999</v>
      </c>
      <c r="X107" s="61">
        <v>40857.86</v>
      </c>
      <c r="Y107" s="61">
        <f t="shared" si="54"/>
        <v>40857.864000000001</v>
      </c>
      <c r="Z107" s="95"/>
    </row>
    <row r="108" spans="1:26" ht="20.100000000000001" customHeight="1" x14ac:dyDescent="0.3">
      <c r="A108" s="181" t="s">
        <v>294</v>
      </c>
      <c r="B108" s="182"/>
      <c r="C108" s="183"/>
      <c r="D108" s="109" t="s">
        <v>14</v>
      </c>
      <c r="E108" s="63" t="s">
        <v>226</v>
      </c>
      <c r="F108" s="60">
        <v>4101.58</v>
      </c>
      <c r="G108" s="60">
        <v>0</v>
      </c>
      <c r="H108" s="60">
        <f>F108*300%</f>
        <v>12304.74</v>
      </c>
      <c r="I108" s="60">
        <f>F108*7.5%</f>
        <v>307.61849999999998</v>
      </c>
      <c r="J108" s="60">
        <v>0</v>
      </c>
      <c r="K108" s="60">
        <f>F108*50%</f>
        <v>2050.79</v>
      </c>
      <c r="L108" s="61">
        <f>F108*350%</f>
        <v>14355.529999999999</v>
      </c>
      <c r="M108" s="60">
        <v>0</v>
      </c>
      <c r="N108" s="60">
        <f>F108*100%</f>
        <v>4101.58</v>
      </c>
      <c r="O108" s="60">
        <v>0</v>
      </c>
      <c r="P108" s="60">
        <f>F108*10%</f>
        <v>410.15800000000002</v>
      </c>
      <c r="Q108" s="60">
        <v>5000</v>
      </c>
      <c r="R108" s="60">
        <v>0</v>
      </c>
      <c r="S108" s="61">
        <f>SUM(F108:R108)</f>
        <v>42631.996500000001</v>
      </c>
      <c r="T108" s="61"/>
      <c r="U108" s="61">
        <f t="shared" si="44"/>
        <v>1538.0925</v>
      </c>
      <c r="V108" s="61">
        <v>236.04</v>
      </c>
      <c r="W108" s="61">
        <f t="shared" si="41"/>
        <v>1774.1324999999999</v>
      </c>
      <c r="X108" s="61">
        <v>40857.86</v>
      </c>
      <c r="Y108" s="61">
        <f t="shared" si="54"/>
        <v>40857.864000000001</v>
      </c>
      <c r="Z108" s="95"/>
    </row>
    <row r="109" spans="1:26" ht="20.100000000000001" customHeight="1" x14ac:dyDescent="0.3">
      <c r="A109" s="111"/>
      <c r="B109" s="112"/>
      <c r="C109" s="113"/>
      <c r="D109" s="83" t="s">
        <v>310</v>
      </c>
      <c r="E109" s="63"/>
      <c r="F109" s="76">
        <f>SUM(F64:F108)</f>
        <v>614836.93999999948</v>
      </c>
      <c r="G109" s="76">
        <f t="shared" ref="G109:S109" si="55">SUM(G64:G108)</f>
        <v>0</v>
      </c>
      <c r="H109" s="76">
        <f t="shared" si="55"/>
        <v>1844510.8200000015</v>
      </c>
      <c r="I109" s="76">
        <f t="shared" si="55"/>
        <v>46112.770499999948</v>
      </c>
      <c r="J109" s="76">
        <f t="shared" si="55"/>
        <v>240733.14</v>
      </c>
      <c r="K109" s="76">
        <f t="shared" si="55"/>
        <v>307418.46999999974</v>
      </c>
      <c r="L109" s="76">
        <f t="shared" si="55"/>
        <v>2151929.2900000005</v>
      </c>
      <c r="M109" s="76">
        <f t="shared" si="55"/>
        <v>0</v>
      </c>
      <c r="N109" s="76">
        <f t="shared" si="55"/>
        <v>614836.93999999948</v>
      </c>
      <c r="O109" s="76">
        <f t="shared" si="55"/>
        <v>0</v>
      </c>
      <c r="P109" s="76">
        <f t="shared" si="55"/>
        <v>61483.694000000083</v>
      </c>
      <c r="Q109" s="76">
        <f t="shared" si="55"/>
        <v>420000</v>
      </c>
      <c r="R109" s="76">
        <f t="shared" si="55"/>
        <v>0</v>
      </c>
      <c r="S109" s="76">
        <f t="shared" si="55"/>
        <v>6301862.0645000041</v>
      </c>
      <c r="T109" s="76">
        <f t="shared" ref="T109:Y109" si="56">SUM(T64:T108)</f>
        <v>0</v>
      </c>
      <c r="U109" s="77">
        <f t="shared" si="56"/>
        <v>227322.37875000015</v>
      </c>
      <c r="V109" s="76">
        <f t="shared" si="56"/>
        <v>177986.56000000008</v>
      </c>
      <c r="W109" s="76">
        <f t="shared" si="56"/>
        <v>405308.93874999991</v>
      </c>
      <c r="X109" s="76">
        <f t="shared" si="56"/>
        <v>5818174.0900000026</v>
      </c>
      <c r="Y109" s="76">
        <f t="shared" si="56"/>
        <v>5807245.067999999</v>
      </c>
      <c r="Z109" s="21">
        <f>Y109-X109</f>
        <v>-10929.022000003606</v>
      </c>
    </row>
    <row r="110" spans="1:26" ht="20.100000000000001" customHeight="1" x14ac:dyDescent="0.3">
      <c r="A110" s="111"/>
      <c r="B110" s="112"/>
      <c r="C110" s="113"/>
      <c r="D110" s="114"/>
      <c r="E110" s="63"/>
      <c r="F110" s="60"/>
      <c r="G110" s="60"/>
      <c r="H110" s="60"/>
      <c r="I110" s="60"/>
      <c r="J110" s="60"/>
      <c r="K110" s="60"/>
      <c r="L110" s="61"/>
      <c r="M110" s="60"/>
      <c r="N110" s="60"/>
      <c r="O110" s="60"/>
      <c r="P110" s="60"/>
      <c r="Q110" s="60"/>
      <c r="R110" s="60"/>
      <c r="S110" s="61"/>
      <c r="T110" s="61"/>
      <c r="U110" s="61">
        <f>S110*7.5/100</f>
        <v>0</v>
      </c>
      <c r="V110" s="60"/>
      <c r="W110" s="61"/>
      <c r="X110" s="61"/>
      <c r="Y110" s="61"/>
      <c r="Z110" s="122"/>
    </row>
    <row r="111" spans="1:26" ht="20.100000000000001" customHeight="1" x14ac:dyDescent="0.3">
      <c r="A111" s="174" t="s">
        <v>296</v>
      </c>
      <c r="B111" s="175"/>
      <c r="C111" s="176"/>
      <c r="D111" s="114"/>
      <c r="E111" s="63"/>
      <c r="F111" s="60"/>
      <c r="G111" s="60"/>
      <c r="H111" s="60"/>
      <c r="I111" s="60"/>
      <c r="J111" s="60"/>
      <c r="K111" s="60"/>
      <c r="L111" s="61"/>
      <c r="M111" s="60"/>
      <c r="N111" s="60"/>
      <c r="O111" s="60"/>
      <c r="P111" s="60"/>
      <c r="Q111" s="60"/>
      <c r="R111" s="60"/>
      <c r="S111" s="61"/>
      <c r="T111" s="61"/>
      <c r="U111" s="61">
        <f>S111*7.5/100</f>
        <v>0</v>
      </c>
      <c r="V111" s="60"/>
      <c r="W111" s="61"/>
      <c r="X111" s="61"/>
      <c r="Y111" s="61"/>
    </row>
    <row r="112" spans="1:26" ht="20.100000000000001" customHeight="1" x14ac:dyDescent="0.3">
      <c r="A112" s="172" t="s">
        <v>85</v>
      </c>
      <c r="B112" s="172"/>
      <c r="C112" s="172"/>
      <c r="D112" s="62" t="s">
        <v>89</v>
      </c>
      <c r="E112" s="63" t="s">
        <v>227</v>
      </c>
      <c r="F112" s="60">
        <v>90000</v>
      </c>
      <c r="G112" s="60"/>
      <c r="H112" s="60">
        <v>0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0</v>
      </c>
      <c r="R112" s="60">
        <v>0</v>
      </c>
      <c r="S112" s="61">
        <f t="shared" si="40"/>
        <v>90000</v>
      </c>
      <c r="T112" s="61"/>
      <c r="U112" s="61">
        <v>0</v>
      </c>
      <c r="V112" s="60">
        <v>0</v>
      </c>
      <c r="W112" s="61">
        <f>SUM(T112:V112)</f>
        <v>0</v>
      </c>
      <c r="X112" s="61">
        <v>90000</v>
      </c>
      <c r="Y112" s="61">
        <f t="shared" ref="Y112:Y117" si="57">S112-W112</f>
        <v>90000</v>
      </c>
      <c r="Z112" s="95"/>
    </row>
    <row r="113" spans="1:26" ht="20.100000000000001" customHeight="1" x14ac:dyDescent="0.3">
      <c r="A113" s="172" t="s">
        <v>98</v>
      </c>
      <c r="B113" s="172"/>
      <c r="C113" s="172"/>
      <c r="D113" s="62" t="s">
        <v>89</v>
      </c>
      <c r="E113" s="63" t="s">
        <v>227</v>
      </c>
      <c r="F113" s="60">
        <v>90000</v>
      </c>
      <c r="G113" s="60"/>
      <c r="H113" s="60">
        <v>0</v>
      </c>
      <c r="I113" s="60">
        <v>0</v>
      </c>
      <c r="J113" s="60">
        <v>0</v>
      </c>
      <c r="K113" s="60">
        <v>0</v>
      </c>
      <c r="L113" s="60">
        <v>0</v>
      </c>
      <c r="M113" s="60">
        <v>0</v>
      </c>
      <c r="N113" s="60">
        <v>0</v>
      </c>
      <c r="O113" s="60">
        <v>0</v>
      </c>
      <c r="P113" s="60">
        <v>0</v>
      </c>
      <c r="Q113" s="60">
        <v>0</v>
      </c>
      <c r="R113" s="60">
        <v>0</v>
      </c>
      <c r="S113" s="61">
        <f t="shared" si="40"/>
        <v>90000</v>
      </c>
      <c r="T113" s="61"/>
      <c r="U113" s="61">
        <v>0</v>
      </c>
      <c r="V113" s="60">
        <v>0</v>
      </c>
      <c r="W113" s="61">
        <f>SUM(T113:V113)</f>
        <v>0</v>
      </c>
      <c r="X113" s="61">
        <v>90000</v>
      </c>
      <c r="Y113" s="61">
        <f t="shared" si="57"/>
        <v>90000</v>
      </c>
    </row>
    <row r="114" spans="1:26" ht="20.100000000000001" customHeight="1" x14ac:dyDescent="0.3">
      <c r="A114" s="172" t="s">
        <v>86</v>
      </c>
      <c r="B114" s="172"/>
      <c r="C114" s="172"/>
      <c r="D114" s="62" t="s">
        <v>90</v>
      </c>
      <c r="E114" s="63" t="s">
        <v>227</v>
      </c>
      <c r="F114" s="60">
        <v>45000</v>
      </c>
      <c r="G114" s="60"/>
      <c r="H114" s="60">
        <v>0</v>
      </c>
      <c r="I114" s="60">
        <v>0</v>
      </c>
      <c r="J114" s="60">
        <v>0</v>
      </c>
      <c r="K114" s="60">
        <v>0</v>
      </c>
      <c r="L114" s="60">
        <v>0</v>
      </c>
      <c r="M114" s="60">
        <v>0</v>
      </c>
      <c r="N114" s="60">
        <v>0</v>
      </c>
      <c r="O114" s="60">
        <v>0</v>
      </c>
      <c r="P114" s="60">
        <v>0</v>
      </c>
      <c r="Q114" s="60">
        <v>0</v>
      </c>
      <c r="R114" s="60">
        <v>0</v>
      </c>
      <c r="S114" s="61">
        <f t="shared" si="40"/>
        <v>45000</v>
      </c>
      <c r="T114" s="61"/>
      <c r="U114" s="61">
        <v>0</v>
      </c>
      <c r="V114" s="60">
        <v>0</v>
      </c>
      <c r="W114" s="61">
        <f>SUM(T114:V114)</f>
        <v>0</v>
      </c>
      <c r="X114" s="61">
        <v>45000</v>
      </c>
      <c r="Y114" s="61">
        <f t="shared" si="57"/>
        <v>45000</v>
      </c>
    </row>
    <row r="115" spans="1:26" ht="20.100000000000001" customHeight="1" x14ac:dyDescent="0.3">
      <c r="A115" s="172" t="s">
        <v>87</v>
      </c>
      <c r="B115" s="172"/>
      <c r="C115" s="172"/>
      <c r="D115" s="62" t="s">
        <v>90</v>
      </c>
      <c r="E115" s="63" t="s">
        <v>227</v>
      </c>
      <c r="F115" s="60">
        <v>45000</v>
      </c>
      <c r="G115" s="60"/>
      <c r="H115" s="60">
        <v>0</v>
      </c>
      <c r="I115" s="60">
        <v>0</v>
      </c>
      <c r="J115" s="60">
        <v>0</v>
      </c>
      <c r="K115" s="60">
        <v>0</v>
      </c>
      <c r="L115" s="60">
        <v>0</v>
      </c>
      <c r="M115" s="60">
        <v>0</v>
      </c>
      <c r="N115" s="60">
        <v>0</v>
      </c>
      <c r="O115" s="60">
        <v>0</v>
      </c>
      <c r="P115" s="60">
        <v>0</v>
      </c>
      <c r="Q115" s="60">
        <v>0</v>
      </c>
      <c r="R115" s="60">
        <v>0</v>
      </c>
      <c r="S115" s="61">
        <f t="shared" si="40"/>
        <v>45000</v>
      </c>
      <c r="T115" s="61"/>
      <c r="U115" s="61">
        <v>0</v>
      </c>
      <c r="V115" s="60">
        <v>0</v>
      </c>
      <c r="W115" s="61">
        <f>SUM(T115:V115)</f>
        <v>0</v>
      </c>
      <c r="X115" s="61">
        <v>45000</v>
      </c>
      <c r="Y115" s="61">
        <f t="shared" si="57"/>
        <v>45000</v>
      </c>
      <c r="Z115" s="95"/>
    </row>
    <row r="116" spans="1:26" ht="20.100000000000001" customHeight="1" x14ac:dyDescent="0.3">
      <c r="A116" s="172" t="s">
        <v>88</v>
      </c>
      <c r="B116" s="172"/>
      <c r="C116" s="172"/>
      <c r="D116" s="155" t="s">
        <v>89</v>
      </c>
      <c r="E116" s="105">
        <v>0</v>
      </c>
      <c r="F116" s="60">
        <v>90000</v>
      </c>
      <c r="G116" s="60"/>
      <c r="H116" s="60">
        <v>0</v>
      </c>
      <c r="I116" s="60">
        <v>0</v>
      </c>
      <c r="J116" s="60">
        <v>0</v>
      </c>
      <c r="K116" s="60">
        <v>0</v>
      </c>
      <c r="L116" s="60">
        <v>0</v>
      </c>
      <c r="M116" s="60">
        <v>0</v>
      </c>
      <c r="N116" s="60">
        <v>0</v>
      </c>
      <c r="O116" s="60">
        <v>0</v>
      </c>
      <c r="P116" s="60">
        <v>0</v>
      </c>
      <c r="Q116" s="60">
        <v>0</v>
      </c>
      <c r="R116" s="60">
        <v>0</v>
      </c>
      <c r="S116" s="61">
        <f t="shared" si="40"/>
        <v>90000</v>
      </c>
      <c r="T116" s="61"/>
      <c r="U116" s="61">
        <v>0</v>
      </c>
      <c r="V116" s="60">
        <v>0</v>
      </c>
      <c r="W116" s="61">
        <f>SUM(T116:V116)</f>
        <v>0</v>
      </c>
      <c r="X116" s="61">
        <v>90000</v>
      </c>
      <c r="Y116" s="61">
        <f t="shared" si="57"/>
        <v>90000</v>
      </c>
    </row>
    <row r="117" spans="1:26" ht="20.100000000000001" customHeight="1" x14ac:dyDescent="0.3">
      <c r="A117" s="197" t="s">
        <v>311</v>
      </c>
      <c r="B117" s="198"/>
      <c r="C117" s="199"/>
      <c r="D117" s="127" t="s">
        <v>90</v>
      </c>
      <c r="E117" s="105">
        <v>0</v>
      </c>
      <c r="F117" s="60">
        <v>45000</v>
      </c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1">
        <f t="shared" si="40"/>
        <v>45000</v>
      </c>
      <c r="T117" s="61"/>
      <c r="U117" s="61"/>
      <c r="V117" s="60"/>
      <c r="W117" s="61"/>
      <c r="X117" s="61">
        <v>45000</v>
      </c>
      <c r="Y117" s="61">
        <f t="shared" si="57"/>
        <v>45000</v>
      </c>
    </row>
    <row r="118" spans="1:26" ht="20.100000000000001" customHeight="1" x14ac:dyDescent="0.3">
      <c r="A118" s="197" t="s">
        <v>313</v>
      </c>
      <c r="B118" s="198"/>
      <c r="C118" s="199"/>
      <c r="D118" s="129" t="s">
        <v>89</v>
      </c>
      <c r="E118" s="63" t="s">
        <v>227</v>
      </c>
      <c r="F118" s="60">
        <v>90000</v>
      </c>
      <c r="G118" s="60">
        <v>0</v>
      </c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1">
        <f t="shared" si="40"/>
        <v>90000</v>
      </c>
      <c r="T118" s="61"/>
      <c r="U118" s="61"/>
      <c r="V118" s="60"/>
      <c r="W118" s="61"/>
      <c r="X118" s="61">
        <v>90000</v>
      </c>
      <c r="Y118" s="61">
        <v>90000</v>
      </c>
    </row>
    <row r="119" spans="1:26" ht="20.100000000000001" customHeight="1" x14ac:dyDescent="0.3">
      <c r="A119" s="197" t="s">
        <v>330</v>
      </c>
      <c r="B119" s="198"/>
      <c r="C119" s="156"/>
      <c r="D119" s="155" t="s">
        <v>331</v>
      </c>
      <c r="E119" s="63"/>
      <c r="F119" s="60">
        <v>45000</v>
      </c>
      <c r="G119" s="60">
        <v>0</v>
      </c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1">
        <f t="shared" si="40"/>
        <v>45000</v>
      </c>
      <c r="T119" s="61"/>
      <c r="U119" s="61"/>
      <c r="V119" s="60"/>
      <c r="W119" s="61"/>
      <c r="X119" s="61">
        <v>45000</v>
      </c>
      <c r="Y119" s="61">
        <f t="shared" ref="Y119:Y129" si="58">S119</f>
        <v>45000</v>
      </c>
      <c r="Z119" s="95"/>
    </row>
    <row r="120" spans="1:26" ht="20.100000000000001" customHeight="1" x14ac:dyDescent="0.3">
      <c r="A120" s="197" t="s">
        <v>343</v>
      </c>
      <c r="B120" s="198"/>
      <c r="C120" s="162"/>
      <c r="D120" s="157" t="s">
        <v>331</v>
      </c>
      <c r="E120" s="63"/>
      <c r="F120" s="60">
        <v>45000</v>
      </c>
      <c r="G120" s="60">
        <v>0</v>
      </c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1">
        <f>F120+G120</f>
        <v>45000</v>
      </c>
      <c r="T120" s="61"/>
      <c r="U120" s="61"/>
      <c r="V120" s="60"/>
      <c r="W120" s="61"/>
      <c r="X120" s="61">
        <v>225000</v>
      </c>
      <c r="Y120" s="61">
        <f t="shared" si="58"/>
        <v>45000</v>
      </c>
      <c r="Z120" s="95">
        <f>X120-Y120</f>
        <v>180000</v>
      </c>
    </row>
    <row r="121" spans="1:26" ht="20.100000000000001" customHeight="1" x14ac:dyDescent="0.3">
      <c r="A121" s="197" t="s">
        <v>342</v>
      </c>
      <c r="B121" s="198"/>
      <c r="C121" s="162"/>
      <c r="D121" s="157" t="s">
        <v>14</v>
      </c>
      <c r="E121" s="63"/>
      <c r="F121" s="60">
        <v>45000</v>
      </c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1">
        <f>F121</f>
        <v>45000</v>
      </c>
      <c r="T121" s="61"/>
      <c r="U121" s="61"/>
      <c r="V121" s="60"/>
      <c r="W121" s="61"/>
      <c r="X121" s="61">
        <v>45000</v>
      </c>
      <c r="Y121" s="61">
        <f t="shared" si="58"/>
        <v>45000</v>
      </c>
      <c r="Z121" s="95"/>
    </row>
    <row r="122" spans="1:26" ht="20.100000000000001" customHeight="1" x14ac:dyDescent="0.3">
      <c r="A122" s="197" t="s">
        <v>323</v>
      </c>
      <c r="B122" s="198"/>
      <c r="C122" s="153"/>
      <c r="D122" s="154" t="s">
        <v>75</v>
      </c>
      <c r="E122" s="63"/>
      <c r="F122" s="60">
        <v>15000</v>
      </c>
      <c r="G122" s="60">
        <v>0</v>
      </c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1">
        <f t="shared" si="40"/>
        <v>15000</v>
      </c>
      <c r="T122" s="61"/>
      <c r="U122" s="61"/>
      <c r="V122" s="60"/>
      <c r="W122" s="61"/>
      <c r="X122" s="61">
        <v>30000</v>
      </c>
      <c r="Y122" s="61">
        <f t="shared" si="58"/>
        <v>15000</v>
      </c>
      <c r="Z122" s="25">
        <f t="shared" ref="Z122:Z127" si="59">X122-Y122</f>
        <v>15000</v>
      </c>
    </row>
    <row r="123" spans="1:26" ht="20.100000000000001" customHeight="1" x14ac:dyDescent="0.3">
      <c r="A123" s="197" t="s">
        <v>324</v>
      </c>
      <c r="B123" s="198"/>
      <c r="C123" s="153"/>
      <c r="D123" s="154" t="s">
        <v>75</v>
      </c>
      <c r="E123" s="63"/>
      <c r="F123" s="60">
        <v>15000</v>
      </c>
      <c r="G123" s="60">
        <v>30000</v>
      </c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1">
        <f t="shared" si="40"/>
        <v>45000</v>
      </c>
      <c r="T123" s="61"/>
      <c r="U123" s="61"/>
      <c r="V123" s="60"/>
      <c r="W123" s="61"/>
      <c r="X123" s="61">
        <v>30000</v>
      </c>
      <c r="Y123" s="61">
        <f t="shared" si="58"/>
        <v>45000</v>
      </c>
      <c r="Z123" s="25">
        <f t="shared" si="59"/>
        <v>-15000</v>
      </c>
    </row>
    <row r="124" spans="1:26" ht="20.100000000000001" customHeight="1" x14ac:dyDescent="0.3">
      <c r="A124" s="197" t="s">
        <v>325</v>
      </c>
      <c r="B124" s="198"/>
      <c r="C124" s="153"/>
      <c r="D124" s="154" t="s">
        <v>75</v>
      </c>
      <c r="E124" s="63"/>
      <c r="F124" s="60">
        <v>15000</v>
      </c>
      <c r="G124" s="60">
        <v>0</v>
      </c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1">
        <f t="shared" si="40"/>
        <v>15000</v>
      </c>
      <c r="T124" s="61"/>
      <c r="U124" s="61"/>
      <c r="V124" s="60"/>
      <c r="W124" s="61"/>
      <c r="X124" s="61">
        <v>30000</v>
      </c>
      <c r="Y124" s="61">
        <f t="shared" si="58"/>
        <v>15000</v>
      </c>
      <c r="Z124" s="25">
        <f t="shared" si="59"/>
        <v>15000</v>
      </c>
    </row>
    <row r="125" spans="1:26" ht="20.100000000000001" customHeight="1" x14ac:dyDescent="0.3">
      <c r="A125" s="151" t="s">
        <v>326</v>
      </c>
      <c r="B125" s="152"/>
      <c r="C125" s="153"/>
      <c r="D125" s="154" t="s">
        <v>75</v>
      </c>
      <c r="E125" s="63"/>
      <c r="F125" s="60">
        <v>15000</v>
      </c>
      <c r="G125" s="60">
        <v>0</v>
      </c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1">
        <f t="shared" si="40"/>
        <v>15000</v>
      </c>
      <c r="T125" s="61"/>
      <c r="U125" s="61"/>
      <c r="V125" s="60"/>
      <c r="W125" s="61"/>
      <c r="X125" s="61">
        <v>30000</v>
      </c>
      <c r="Y125" s="61">
        <f t="shared" si="58"/>
        <v>15000</v>
      </c>
      <c r="Z125" s="25">
        <f t="shared" si="59"/>
        <v>15000</v>
      </c>
    </row>
    <row r="126" spans="1:26" ht="20.100000000000001" customHeight="1" x14ac:dyDescent="0.3">
      <c r="A126" s="151" t="s">
        <v>327</v>
      </c>
      <c r="B126" s="152"/>
      <c r="C126" s="153"/>
      <c r="D126" s="154" t="s">
        <v>75</v>
      </c>
      <c r="E126" s="63"/>
      <c r="F126" s="60">
        <v>15000</v>
      </c>
      <c r="G126" s="60">
        <v>0</v>
      </c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1">
        <f t="shared" si="40"/>
        <v>15000</v>
      </c>
      <c r="T126" s="61"/>
      <c r="U126" s="61"/>
      <c r="V126" s="60"/>
      <c r="W126" s="61"/>
      <c r="X126" s="61">
        <v>30000</v>
      </c>
      <c r="Y126" s="61">
        <f t="shared" si="58"/>
        <v>15000</v>
      </c>
      <c r="Z126" s="25">
        <f t="shared" si="59"/>
        <v>15000</v>
      </c>
    </row>
    <row r="127" spans="1:26" ht="20.100000000000001" customHeight="1" x14ac:dyDescent="0.3">
      <c r="A127" s="151" t="s">
        <v>328</v>
      </c>
      <c r="B127" s="152"/>
      <c r="C127" s="153"/>
      <c r="D127" s="154" t="s">
        <v>75</v>
      </c>
      <c r="E127" s="63"/>
      <c r="F127" s="60">
        <v>15000</v>
      </c>
      <c r="G127" s="60">
        <v>0</v>
      </c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1">
        <f t="shared" si="40"/>
        <v>15000</v>
      </c>
      <c r="T127" s="61"/>
      <c r="U127" s="61"/>
      <c r="V127" s="60"/>
      <c r="W127" s="61"/>
      <c r="X127" s="61">
        <v>30000</v>
      </c>
      <c r="Y127" s="61">
        <f t="shared" si="58"/>
        <v>15000</v>
      </c>
      <c r="Z127" s="25">
        <f t="shared" si="59"/>
        <v>15000</v>
      </c>
    </row>
    <row r="128" spans="1:26" ht="20.100000000000001" customHeight="1" x14ac:dyDescent="0.3">
      <c r="A128" s="197" t="s">
        <v>329</v>
      </c>
      <c r="B128" s="198"/>
      <c r="C128" s="199"/>
      <c r="D128" s="155" t="s">
        <v>75</v>
      </c>
      <c r="E128" s="63"/>
      <c r="F128" s="60">
        <v>15000</v>
      </c>
      <c r="G128" s="60">
        <v>0</v>
      </c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1">
        <f t="shared" si="40"/>
        <v>15000</v>
      </c>
      <c r="T128" s="61"/>
      <c r="U128" s="61"/>
      <c r="V128" s="60"/>
      <c r="W128" s="61"/>
      <c r="X128" s="61">
        <v>15000</v>
      </c>
      <c r="Y128" s="61">
        <f t="shared" si="58"/>
        <v>15000</v>
      </c>
    </row>
    <row r="129" spans="1:27" ht="20.100000000000001" customHeight="1" x14ac:dyDescent="0.3">
      <c r="A129" s="160" t="s">
        <v>339</v>
      </c>
      <c r="B129" s="161"/>
      <c r="C129" s="162"/>
      <c r="D129" s="157" t="s">
        <v>75</v>
      </c>
      <c r="E129" s="63"/>
      <c r="F129" s="60">
        <v>15000</v>
      </c>
      <c r="G129" s="60">
        <v>0</v>
      </c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1">
        <f t="shared" si="40"/>
        <v>15000</v>
      </c>
      <c r="T129" s="61"/>
      <c r="U129" s="61"/>
      <c r="V129" s="60"/>
      <c r="W129" s="61"/>
      <c r="X129" s="61">
        <v>19285</v>
      </c>
      <c r="Y129" s="61">
        <f t="shared" si="58"/>
        <v>15000</v>
      </c>
      <c r="Z129" s="122">
        <f>X129-Y129</f>
        <v>4285</v>
      </c>
    </row>
    <row r="130" spans="1:27" ht="20.100000000000001" customHeight="1" x14ac:dyDescent="0.3">
      <c r="A130" s="174" t="s">
        <v>20</v>
      </c>
      <c r="B130" s="175"/>
      <c r="C130" s="176"/>
      <c r="D130" s="83" t="s">
        <v>333</v>
      </c>
      <c r="E130" s="83"/>
      <c r="F130" s="76">
        <f>SUM(F112:F129)</f>
        <v>750000</v>
      </c>
      <c r="G130" s="76">
        <f>SUM(G112:G129)</f>
        <v>30000</v>
      </c>
      <c r="H130" s="76">
        <f t="shared" ref="H130:R130" si="60">SUM(H112:H118)</f>
        <v>0</v>
      </c>
      <c r="I130" s="76">
        <f t="shared" si="60"/>
        <v>0</v>
      </c>
      <c r="J130" s="76">
        <f t="shared" si="60"/>
        <v>0</v>
      </c>
      <c r="K130" s="76">
        <f t="shared" si="60"/>
        <v>0</v>
      </c>
      <c r="L130" s="76">
        <f t="shared" si="60"/>
        <v>0</v>
      </c>
      <c r="M130" s="76">
        <f t="shared" si="60"/>
        <v>0</v>
      </c>
      <c r="N130" s="76">
        <f t="shared" si="60"/>
        <v>0</v>
      </c>
      <c r="O130" s="76">
        <f t="shared" si="60"/>
        <v>0</v>
      </c>
      <c r="P130" s="76">
        <f t="shared" si="60"/>
        <v>0</v>
      </c>
      <c r="Q130" s="76">
        <f t="shared" si="60"/>
        <v>0</v>
      </c>
      <c r="R130" s="76">
        <f t="shared" si="60"/>
        <v>0</v>
      </c>
      <c r="S130" s="76">
        <f>SUM(S112:S129)</f>
        <v>780000</v>
      </c>
      <c r="T130" s="76">
        <f>SUM(T112:T118)</f>
        <v>0</v>
      </c>
      <c r="U130" s="61">
        <v>0</v>
      </c>
      <c r="V130" s="76">
        <f>SUM(V112:V118)</f>
        <v>0</v>
      </c>
      <c r="W130" s="76">
        <f>SUM(W112:W118)</f>
        <v>0</v>
      </c>
      <c r="X130" s="76">
        <f>SUM(X112:X129)</f>
        <v>1024285</v>
      </c>
      <c r="Y130" s="165">
        <f>SUM(Y112:Y129)</f>
        <v>780000</v>
      </c>
      <c r="Z130" s="122">
        <f>Y130-X130</f>
        <v>-244285</v>
      </c>
      <c r="AA130" s="123"/>
    </row>
    <row r="131" spans="1:27" ht="20.100000000000001" customHeight="1" x14ac:dyDescent="0.3">
      <c r="A131" s="79"/>
      <c r="B131" s="80"/>
      <c r="C131" s="81"/>
      <c r="D131" s="83"/>
      <c r="E131" s="83"/>
      <c r="F131" s="76"/>
      <c r="G131" s="76"/>
      <c r="H131" s="76"/>
      <c r="I131" s="76"/>
      <c r="J131" s="76"/>
      <c r="K131" s="76"/>
      <c r="L131" s="76"/>
      <c r="M131" s="76"/>
      <c r="N131" s="76"/>
      <c r="O131" s="60"/>
      <c r="P131" s="76"/>
      <c r="Q131" s="76"/>
      <c r="R131" s="76"/>
      <c r="S131" s="76"/>
      <c r="T131" s="76"/>
      <c r="U131" s="61">
        <f>S131*7.5/100</f>
        <v>0</v>
      </c>
      <c r="V131" s="76"/>
      <c r="W131" s="61"/>
      <c r="X131" s="61"/>
      <c r="Y131" s="166"/>
      <c r="Z131" s="123"/>
      <c r="AA131" s="123"/>
    </row>
    <row r="132" spans="1:27" ht="20.100000000000001" customHeight="1" x14ac:dyDescent="0.3">
      <c r="A132" s="174" t="s">
        <v>228</v>
      </c>
      <c r="B132" s="175"/>
      <c r="C132" s="176"/>
      <c r="D132" s="62"/>
      <c r="E132" s="63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1">
        <f>S132*7.5/100</f>
        <v>0</v>
      </c>
      <c r="V132" s="60"/>
      <c r="W132" s="61"/>
      <c r="X132" s="61"/>
      <c r="Y132" s="166"/>
      <c r="Z132" s="123"/>
      <c r="AA132" s="123"/>
    </row>
    <row r="133" spans="1:27" ht="20.100000000000001" customHeight="1" x14ac:dyDescent="0.3">
      <c r="A133" s="181" t="s">
        <v>229</v>
      </c>
      <c r="B133" s="182"/>
      <c r="C133" s="183"/>
      <c r="D133" s="62" t="s">
        <v>141</v>
      </c>
      <c r="E133" s="63" t="s">
        <v>168</v>
      </c>
      <c r="F133" s="60">
        <f>168602.08*60%</f>
        <v>101161.24799999999</v>
      </c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>
        <f t="shared" ref="S133:S141" si="61">F133</f>
        <v>101161.24799999999</v>
      </c>
      <c r="T133" s="60"/>
      <c r="U133" s="61">
        <v>0</v>
      </c>
      <c r="V133" s="60">
        <v>0</v>
      </c>
      <c r="W133" s="61">
        <f>SUM(T133:V133)</f>
        <v>0</v>
      </c>
      <c r="X133" s="61">
        <v>101161.25</v>
      </c>
      <c r="Y133" s="166">
        <f>S133-W133</f>
        <v>101161.24799999999</v>
      </c>
      <c r="Z133" s="123"/>
      <c r="AA133" s="123"/>
    </row>
    <row r="134" spans="1:27" ht="20.100000000000001" customHeight="1" x14ac:dyDescent="0.3">
      <c r="A134" s="181" t="s">
        <v>230</v>
      </c>
      <c r="B134" s="182"/>
      <c r="C134" s="183"/>
      <c r="D134" s="62" t="s">
        <v>233</v>
      </c>
      <c r="E134" s="63" t="s">
        <v>168</v>
      </c>
      <c r="F134" s="60">
        <f>168602.08*60%</f>
        <v>101161.24799999999</v>
      </c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>
        <f t="shared" si="61"/>
        <v>101161.24799999999</v>
      </c>
      <c r="T134" s="60"/>
      <c r="U134" s="61">
        <v>0</v>
      </c>
      <c r="V134" s="60">
        <v>0</v>
      </c>
      <c r="W134" s="61">
        <f>SUM(T134:V134)</f>
        <v>0</v>
      </c>
      <c r="X134" s="61">
        <v>101161.25</v>
      </c>
      <c r="Y134" s="166">
        <f>S134-W134</f>
        <v>101161.24799999999</v>
      </c>
      <c r="Z134" s="123"/>
      <c r="AA134" s="123"/>
    </row>
    <row r="135" spans="1:27" ht="20.100000000000001" customHeight="1" x14ac:dyDescent="0.3">
      <c r="A135" s="181" t="s">
        <v>286</v>
      </c>
      <c r="B135" s="182"/>
      <c r="C135" s="183"/>
      <c r="D135" s="109" t="s">
        <v>287</v>
      </c>
      <c r="E135" s="63" t="s">
        <v>50</v>
      </c>
      <c r="F135" s="60">
        <v>206832.42</v>
      </c>
      <c r="G135" s="60">
        <v>206832.36</v>
      </c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>
        <f>F135+G135</f>
        <v>413664.78</v>
      </c>
      <c r="T135" s="60"/>
      <c r="U135" s="61">
        <v>0</v>
      </c>
      <c r="V135" s="60"/>
      <c r="W135" s="61"/>
      <c r="X135" s="61">
        <v>206832.42</v>
      </c>
      <c r="Y135" s="166">
        <f>S135-W135</f>
        <v>413664.78</v>
      </c>
      <c r="Z135" s="122">
        <f>Y135-X135</f>
        <v>206832.36000000002</v>
      </c>
      <c r="AA135" s="123"/>
    </row>
    <row r="136" spans="1:27" ht="20.100000000000001" customHeight="1" x14ac:dyDescent="0.3">
      <c r="A136" s="181" t="s">
        <v>250</v>
      </c>
      <c r="B136" s="182"/>
      <c r="C136" s="183"/>
      <c r="D136" s="109" t="s">
        <v>288</v>
      </c>
      <c r="E136" s="63" t="s">
        <v>50</v>
      </c>
      <c r="F136" s="60">
        <f>344720.6*60%</f>
        <v>206832.36</v>
      </c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>
        <f t="shared" si="61"/>
        <v>206832.36</v>
      </c>
      <c r="T136" s="60"/>
      <c r="U136" s="61">
        <v>0</v>
      </c>
      <c r="V136" s="60">
        <v>0</v>
      </c>
      <c r="W136" s="61">
        <f>SUM(T136:V136)</f>
        <v>0</v>
      </c>
      <c r="X136" s="61">
        <v>206832.42</v>
      </c>
      <c r="Y136" s="166">
        <f>S136-W136</f>
        <v>206832.36</v>
      </c>
      <c r="Z136" s="123"/>
      <c r="AA136" s="123"/>
    </row>
    <row r="137" spans="1:27" ht="20.100000000000001" customHeight="1" x14ac:dyDescent="0.3">
      <c r="A137" s="181" t="s">
        <v>306</v>
      </c>
      <c r="B137" s="182"/>
      <c r="C137" s="183"/>
      <c r="D137" s="126" t="s">
        <v>307</v>
      </c>
      <c r="E137" s="63" t="s">
        <v>168</v>
      </c>
      <c r="F137" s="60">
        <v>101161.25</v>
      </c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>
        <f t="shared" si="61"/>
        <v>101161.25</v>
      </c>
      <c r="T137" s="60"/>
      <c r="U137" s="61">
        <v>0</v>
      </c>
      <c r="V137" s="60"/>
      <c r="W137" s="61"/>
      <c r="X137" s="61">
        <v>101161.25</v>
      </c>
      <c r="Y137" s="166">
        <f>S137</f>
        <v>101161.25</v>
      </c>
      <c r="Z137" s="123"/>
      <c r="AA137" s="123"/>
    </row>
    <row r="138" spans="1:27" ht="20.100000000000001" customHeight="1" x14ac:dyDescent="0.3">
      <c r="A138" s="181" t="s">
        <v>304</v>
      </c>
      <c r="B138" s="182"/>
      <c r="C138" s="183"/>
      <c r="D138" s="126" t="s">
        <v>305</v>
      </c>
      <c r="E138" s="63" t="s">
        <v>168</v>
      </c>
      <c r="F138" s="60">
        <v>125161.25</v>
      </c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>
        <f t="shared" si="61"/>
        <v>125161.25</v>
      </c>
      <c r="T138" s="60"/>
      <c r="U138" s="61">
        <v>0</v>
      </c>
      <c r="V138" s="60"/>
      <c r="W138" s="61"/>
      <c r="X138" s="61">
        <v>125161.25</v>
      </c>
      <c r="Y138" s="166">
        <f>S138</f>
        <v>125161.25</v>
      </c>
      <c r="Z138" s="123"/>
      <c r="AA138" s="123"/>
    </row>
    <row r="139" spans="1:27" ht="20.100000000000001" customHeight="1" x14ac:dyDescent="0.3">
      <c r="A139" s="181" t="s">
        <v>315</v>
      </c>
      <c r="B139" s="182"/>
      <c r="C139" s="147"/>
      <c r="D139" s="146" t="s">
        <v>318</v>
      </c>
      <c r="E139" s="63" t="s">
        <v>49</v>
      </c>
      <c r="F139" s="60">
        <f>424023.33*60%</f>
        <v>254413.99799999999</v>
      </c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>
        <f t="shared" si="61"/>
        <v>254413.99799999999</v>
      </c>
      <c r="T139" s="60"/>
      <c r="U139" s="61"/>
      <c r="V139" s="60"/>
      <c r="W139" s="61"/>
      <c r="X139" s="61">
        <v>254414</v>
      </c>
      <c r="Y139" s="166">
        <f>S139</f>
        <v>254413.99799999999</v>
      </c>
      <c r="Z139" s="123"/>
      <c r="AA139" s="123"/>
    </row>
    <row r="140" spans="1:27" ht="20.100000000000001" customHeight="1" x14ac:dyDescent="0.3">
      <c r="A140" s="181" t="s">
        <v>316</v>
      </c>
      <c r="B140" s="182"/>
      <c r="C140" s="147"/>
      <c r="D140" s="146" t="s">
        <v>319</v>
      </c>
      <c r="E140" s="63" t="s">
        <v>189</v>
      </c>
      <c r="F140" s="60">
        <f>314201.03*60%</f>
        <v>188520.61800000002</v>
      </c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>
        <f t="shared" si="61"/>
        <v>188520.61800000002</v>
      </c>
      <c r="T140" s="60"/>
      <c r="U140" s="61"/>
      <c r="V140" s="60"/>
      <c r="W140" s="61"/>
      <c r="X140" s="61">
        <v>188520.62</v>
      </c>
      <c r="Y140" s="166">
        <f>S140</f>
        <v>188520.61800000002</v>
      </c>
      <c r="Z140" s="123"/>
      <c r="AA140" s="123"/>
    </row>
    <row r="141" spans="1:27" ht="20.100000000000001" customHeight="1" x14ac:dyDescent="0.3">
      <c r="A141" s="181" t="s">
        <v>317</v>
      </c>
      <c r="B141" s="182"/>
      <c r="C141" s="147"/>
      <c r="D141" s="146" t="s">
        <v>320</v>
      </c>
      <c r="E141" s="63" t="s">
        <v>168</v>
      </c>
      <c r="F141" s="60">
        <f>168602.08*60%</f>
        <v>101161.24799999999</v>
      </c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>
        <f t="shared" si="61"/>
        <v>101161.24799999999</v>
      </c>
      <c r="T141" s="60"/>
      <c r="U141" s="61"/>
      <c r="V141" s="60"/>
      <c r="W141" s="61"/>
      <c r="X141" s="61">
        <v>101161.25</v>
      </c>
      <c r="Y141" s="166">
        <f>S141</f>
        <v>101161.24799999999</v>
      </c>
      <c r="Z141" s="123"/>
      <c r="AA141" s="123"/>
    </row>
    <row r="142" spans="1:27" ht="20.100000000000001" customHeight="1" x14ac:dyDescent="0.3">
      <c r="A142" s="68"/>
      <c r="B142" s="69"/>
      <c r="C142" s="70"/>
      <c r="D142" s="83" t="s">
        <v>322</v>
      </c>
      <c r="E142" s="63"/>
      <c r="F142" s="76">
        <f>SUM(F133:F141)</f>
        <v>1386405.64</v>
      </c>
      <c r="G142" s="76">
        <f t="shared" ref="G142:R142" si="62">SUM(G133:G136)</f>
        <v>206832.36</v>
      </c>
      <c r="H142" s="76">
        <f t="shared" si="62"/>
        <v>0</v>
      </c>
      <c r="I142" s="76">
        <f t="shared" si="62"/>
        <v>0</v>
      </c>
      <c r="J142" s="76">
        <f t="shared" si="62"/>
        <v>0</v>
      </c>
      <c r="K142" s="76">
        <f t="shared" si="62"/>
        <v>0</v>
      </c>
      <c r="L142" s="76">
        <f t="shared" si="62"/>
        <v>0</v>
      </c>
      <c r="M142" s="76">
        <f t="shared" si="62"/>
        <v>0</v>
      </c>
      <c r="N142" s="76">
        <f t="shared" si="62"/>
        <v>0</v>
      </c>
      <c r="O142" s="76">
        <f t="shared" si="62"/>
        <v>0</v>
      </c>
      <c r="P142" s="76">
        <f t="shared" si="62"/>
        <v>0</v>
      </c>
      <c r="Q142" s="76">
        <f t="shared" si="62"/>
        <v>0</v>
      </c>
      <c r="R142" s="76">
        <f t="shared" si="62"/>
        <v>0</v>
      </c>
      <c r="S142" s="76">
        <f>SUM(S133:S141)</f>
        <v>1593237.9999999998</v>
      </c>
      <c r="T142" s="76">
        <f>SUM(T133:T136)</f>
        <v>0</v>
      </c>
      <c r="U142" s="61">
        <v>0</v>
      </c>
      <c r="V142" s="76">
        <f>SUM(V133:V136)</f>
        <v>0</v>
      </c>
      <c r="W142" s="76">
        <f>SUM(W133:W136)</f>
        <v>0</v>
      </c>
      <c r="X142" s="76">
        <f>SUM(X133:X141)</f>
        <v>1386405.71</v>
      </c>
      <c r="Y142" s="165">
        <f>SUM(Y133:Y141)</f>
        <v>1593237.9999999998</v>
      </c>
      <c r="Z142" s="122">
        <f>Y142-X142</f>
        <v>206832.2899999998</v>
      </c>
      <c r="AA142" s="123"/>
    </row>
    <row r="143" spans="1:27" ht="20.100000000000001" customHeight="1" x14ac:dyDescent="0.3">
      <c r="A143" s="79"/>
      <c r="B143" s="80"/>
      <c r="C143" s="81"/>
      <c r="D143" s="83"/>
      <c r="E143" s="83"/>
      <c r="F143" s="76"/>
      <c r="G143" s="76"/>
      <c r="H143" s="76"/>
      <c r="I143" s="76"/>
      <c r="J143" s="76"/>
      <c r="K143" s="76"/>
      <c r="L143" s="76"/>
      <c r="M143" s="76"/>
      <c r="N143" s="76"/>
      <c r="O143" s="60"/>
      <c r="P143" s="76"/>
      <c r="Q143" s="76"/>
      <c r="R143" s="76"/>
      <c r="S143" s="76"/>
      <c r="T143" s="76"/>
      <c r="U143" s="61">
        <f>S143*7.5/100</f>
        <v>0</v>
      </c>
      <c r="V143" s="76"/>
      <c r="W143" s="61"/>
      <c r="X143" s="61"/>
      <c r="Y143" s="166"/>
      <c r="Z143" s="123"/>
      <c r="AA143" s="123"/>
    </row>
    <row r="144" spans="1:27" ht="20.100000000000001" customHeight="1" x14ac:dyDescent="0.3">
      <c r="A144" s="212" t="s">
        <v>8</v>
      </c>
      <c r="B144" s="212"/>
      <c r="C144" s="212"/>
      <c r="D144" s="84"/>
      <c r="E144" s="85"/>
      <c r="F144" s="86">
        <f t="shared" ref="F144:S144" si="63">F142+F130+F109+F61+F39+F28</f>
        <v>3989899.5799999996</v>
      </c>
      <c r="G144" s="86">
        <f t="shared" si="63"/>
        <v>694683.52</v>
      </c>
      <c r="H144" s="86">
        <f t="shared" si="63"/>
        <v>5399993.0700000012</v>
      </c>
      <c r="I144" s="86">
        <f t="shared" si="63"/>
        <v>175122.01924999992</v>
      </c>
      <c r="J144" s="86">
        <f t="shared" si="63"/>
        <v>922810.37000000011</v>
      </c>
      <c r="K144" s="86">
        <f t="shared" si="63"/>
        <v>918722.5399999998</v>
      </c>
      <c r="L144" s="86">
        <f t="shared" si="63"/>
        <v>6406984.4200000018</v>
      </c>
      <c r="M144" s="86">
        <f t="shared" si="63"/>
        <v>40122.19</v>
      </c>
      <c r="N144" s="86">
        <f t="shared" si="63"/>
        <v>1813371.7599999995</v>
      </c>
      <c r="O144" s="86">
        <f t="shared" si="63"/>
        <v>2050000</v>
      </c>
      <c r="P144" s="86">
        <f t="shared" si="63"/>
        <v>185349.4040000001</v>
      </c>
      <c r="Q144" s="86">
        <f t="shared" si="63"/>
        <v>1065000</v>
      </c>
      <c r="R144" s="86">
        <f t="shared" si="63"/>
        <v>25235</v>
      </c>
      <c r="S144" s="86">
        <f t="shared" si="63"/>
        <v>23687293.854500007</v>
      </c>
      <c r="T144" s="86">
        <f>T109+T61+T28</f>
        <v>0</v>
      </c>
      <c r="U144" s="86">
        <f>U109+U61+U39+U28</f>
        <v>667813.76400000008</v>
      </c>
      <c r="V144" s="86">
        <f>V109+V61+V39+V28</f>
        <v>703252.08000000007</v>
      </c>
      <c r="W144" s="86">
        <f>W109+W61+W39+W28</f>
        <v>1371065.8439999996</v>
      </c>
      <c r="X144" s="86">
        <f>X142+X130+X109+X61+X39+X28</f>
        <v>26095588.650000006</v>
      </c>
      <c r="Y144" s="167">
        <f>Y142+Y130+Y109+Y61+Y39+Y28</f>
        <v>21992718.92475</v>
      </c>
      <c r="Z144" s="122"/>
      <c r="AA144" s="123"/>
    </row>
    <row r="145" spans="1:27" ht="20.100000000000001" customHeight="1" x14ac:dyDescent="0.3">
      <c r="A145" s="214"/>
      <c r="B145" s="215"/>
      <c r="C145" s="216"/>
      <c r="D145" s="87"/>
      <c r="E145" s="88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168"/>
      <c r="Z145" s="122"/>
      <c r="AA145" s="123"/>
    </row>
    <row r="146" spans="1:27" ht="20.100000000000001" customHeight="1" x14ac:dyDescent="0.3">
      <c r="A146" s="217"/>
      <c r="B146" s="218"/>
      <c r="C146" s="219"/>
      <c r="D146" s="211" t="s">
        <v>9</v>
      </c>
      <c r="E146" s="211"/>
      <c r="F146" s="211"/>
      <c r="G146" s="211"/>
      <c r="H146" s="211"/>
      <c r="I146" s="211"/>
      <c r="J146" s="211"/>
      <c r="K146" s="213" t="s">
        <v>91</v>
      </c>
      <c r="L146" s="213"/>
      <c r="M146" s="213"/>
      <c r="N146" s="213"/>
      <c r="O146" s="90"/>
      <c r="P146" s="213" t="s">
        <v>92</v>
      </c>
      <c r="Q146" s="213"/>
      <c r="R146" s="213"/>
      <c r="S146" s="213"/>
      <c r="T146" s="93"/>
      <c r="U146" s="125"/>
      <c r="V146" s="91"/>
      <c r="W146" s="91"/>
      <c r="X146" s="91"/>
      <c r="Y146" s="169"/>
      <c r="Z146" s="123"/>
      <c r="AA146" s="123"/>
    </row>
    <row r="147" spans="1:27" ht="20.100000000000001" customHeight="1" x14ac:dyDescent="0.3">
      <c r="A147" s="217"/>
      <c r="B147" s="218"/>
      <c r="C147" s="219"/>
      <c r="D147" s="211"/>
      <c r="E147" s="211"/>
      <c r="F147" s="211"/>
      <c r="G147" s="211"/>
      <c r="H147" s="211"/>
      <c r="I147" s="211"/>
      <c r="J147" s="211"/>
      <c r="K147" s="213"/>
      <c r="L147" s="213"/>
      <c r="M147" s="213"/>
      <c r="N147" s="213"/>
      <c r="O147" s="90"/>
      <c r="P147" s="213"/>
      <c r="Q147" s="213"/>
      <c r="R147" s="213"/>
      <c r="S147" s="213"/>
      <c r="T147" s="93"/>
      <c r="U147" s="125"/>
      <c r="V147" s="91"/>
      <c r="W147" s="91"/>
      <c r="X147" s="91"/>
      <c r="Y147" s="169"/>
      <c r="Z147" s="123"/>
      <c r="AA147" s="123"/>
    </row>
    <row r="148" spans="1:27" ht="20.100000000000001" customHeight="1" x14ac:dyDescent="0.3">
      <c r="A148" s="65" t="s">
        <v>241</v>
      </c>
      <c r="B148" s="66"/>
      <c r="C148" s="67"/>
      <c r="D148" s="44"/>
      <c r="E148" s="56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</row>
    <row r="153" spans="1:27" ht="20.100000000000001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7" ht="20.100000000000001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7" ht="20.100000000000001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7" ht="20.100000000000001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7" ht="20.100000000000001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7" ht="20.100000000000001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7" ht="20.100000000000001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7" ht="20.100000000000001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20.100000000000001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20.100000000000001" customHeight="1" x14ac:dyDescent="0.3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</sheetData>
  <mergeCells count="138">
    <mergeCell ref="A119:B119"/>
    <mergeCell ref="P146:P147"/>
    <mergeCell ref="A138:C138"/>
    <mergeCell ref="A139:B139"/>
    <mergeCell ref="A140:B140"/>
    <mergeCell ref="A141:B141"/>
    <mergeCell ref="A121:B121"/>
    <mergeCell ref="A120:B120"/>
    <mergeCell ref="L146:N147"/>
    <mergeCell ref="K146:K147"/>
    <mergeCell ref="A117:C117"/>
    <mergeCell ref="A103:C103"/>
    <mergeCell ref="A118:C118"/>
    <mergeCell ref="A104:C104"/>
    <mergeCell ref="A114:C114"/>
    <mergeCell ref="Q146:S147"/>
    <mergeCell ref="A130:C130"/>
    <mergeCell ref="A145:C145"/>
    <mergeCell ref="A146:C146"/>
    <mergeCell ref="A147:C147"/>
    <mergeCell ref="A135:C135"/>
    <mergeCell ref="A137:C137"/>
    <mergeCell ref="A134:C134"/>
    <mergeCell ref="A122:B122"/>
    <mergeCell ref="A123:B123"/>
    <mergeCell ref="A124:B124"/>
    <mergeCell ref="A128:C128"/>
    <mergeCell ref="A107:C107"/>
    <mergeCell ref="A96:C96"/>
    <mergeCell ref="E146:J147"/>
    <mergeCell ref="D146:D147"/>
    <mergeCell ref="A136:C136"/>
    <mergeCell ref="A132:C132"/>
    <mergeCell ref="A133:C133"/>
    <mergeCell ref="A144:C144"/>
    <mergeCell ref="A116:C116"/>
    <mergeCell ref="A115:C115"/>
    <mergeCell ref="A98:C98"/>
    <mergeCell ref="A92:C92"/>
    <mergeCell ref="A99:C99"/>
    <mergeCell ref="A90:C90"/>
    <mergeCell ref="A94:C94"/>
    <mergeCell ref="A87:C87"/>
    <mergeCell ref="A81:C81"/>
    <mergeCell ref="A113:C113"/>
    <mergeCell ref="A79:C79"/>
    <mergeCell ref="A105:C105"/>
    <mergeCell ref="A106:C106"/>
    <mergeCell ref="A108:C108"/>
    <mergeCell ref="A80:C80"/>
    <mergeCell ref="A86:C86"/>
    <mergeCell ref="A93:C93"/>
    <mergeCell ref="A83:C83"/>
    <mergeCell ref="A8:C8"/>
    <mergeCell ref="A29:C29"/>
    <mergeCell ref="A32:C32"/>
    <mergeCell ref="A102:C102"/>
    <mergeCell ref="A49:C49"/>
    <mergeCell ref="A48:C48"/>
    <mergeCell ref="A84:C84"/>
    <mergeCell ref="A66:C66"/>
    <mergeCell ref="A70:C70"/>
    <mergeCell ref="A75:C75"/>
    <mergeCell ref="A34:C34"/>
    <mergeCell ref="A30:C30"/>
    <mergeCell ref="A33:C33"/>
    <mergeCell ref="A35:C35"/>
    <mergeCell ref="A3:E3"/>
    <mergeCell ref="A9:C9"/>
    <mergeCell ref="A12:C12"/>
    <mergeCell ref="A24:C24"/>
    <mergeCell ref="A11:C11"/>
    <mergeCell ref="A21:C21"/>
    <mergeCell ref="A13:C13"/>
    <mergeCell ref="A22:C22"/>
    <mergeCell ref="A27:C27"/>
    <mergeCell ref="A31:C31"/>
    <mergeCell ref="A19:C19"/>
    <mergeCell ref="A20:C20"/>
    <mergeCell ref="A26:C26"/>
    <mergeCell ref="A14:C14"/>
    <mergeCell ref="A18:C18"/>
    <mergeCell ref="A72:C72"/>
    <mergeCell ref="A54:C54"/>
    <mergeCell ref="F5:S5"/>
    <mergeCell ref="A6:C6"/>
    <mergeCell ref="A5:C5"/>
    <mergeCell ref="A16:C16"/>
    <mergeCell ref="A7:C7"/>
    <mergeCell ref="A28:C28"/>
    <mergeCell ref="A25:C25"/>
    <mergeCell ref="A17:C17"/>
    <mergeCell ref="A56:C56"/>
    <mergeCell ref="A47:C47"/>
    <mergeCell ref="A38:C38"/>
    <mergeCell ref="A42:C42"/>
    <mergeCell ref="A50:C50"/>
    <mergeCell ref="A63:C63"/>
    <mergeCell ref="A82:C82"/>
    <mergeCell ref="A59:C59"/>
    <mergeCell ref="A73:C73"/>
    <mergeCell ref="A77:C77"/>
    <mergeCell ref="A71:C71"/>
    <mergeCell ref="A65:C65"/>
    <mergeCell ref="A61:C61"/>
    <mergeCell ref="A74:C74"/>
    <mergeCell ref="A64:C64"/>
    <mergeCell ref="A67:C67"/>
    <mergeCell ref="A78:C78"/>
    <mergeCell ref="A15:C15"/>
    <mergeCell ref="A68:C68"/>
    <mergeCell ref="A57:C57"/>
    <mergeCell ref="A52:C52"/>
    <mergeCell ref="A58:C58"/>
    <mergeCell ref="A39:C39"/>
    <mergeCell ref="A45:C45"/>
    <mergeCell ref="A36:C36"/>
    <mergeCell ref="A53:C53"/>
    <mergeCell ref="T5:W5"/>
    <mergeCell ref="A76:C76"/>
    <mergeCell ref="A60:C60"/>
    <mergeCell ref="A23:C23"/>
    <mergeCell ref="A69:C69"/>
    <mergeCell ref="A40:C40"/>
    <mergeCell ref="A44:C44"/>
    <mergeCell ref="A43:C43"/>
    <mergeCell ref="A10:C10"/>
    <mergeCell ref="A46:C46"/>
    <mergeCell ref="A112:C112"/>
    <mergeCell ref="A100:C100"/>
    <mergeCell ref="A97:C97"/>
    <mergeCell ref="A111:C111"/>
    <mergeCell ref="A85:C85"/>
    <mergeCell ref="A88:C88"/>
    <mergeCell ref="A101:C101"/>
    <mergeCell ref="A95:C95"/>
    <mergeCell ref="A89:C89"/>
    <mergeCell ref="A91:C91"/>
  </mergeCells>
  <phoneticPr fontId="0" type="noConversion"/>
  <pageMargins left="0.17" right="0" top="0.17" bottom="0.06" header="0.13" footer="0.01"/>
  <pageSetup paperSize="9" scale="3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8824-8CC4-478D-AC8E-879C8CE2E9B1}">
  <dimension ref="A1:N51"/>
  <sheetViews>
    <sheetView topLeftCell="A34" zoomScaleNormal="100" workbookViewId="0">
      <selection activeCell="A47" sqref="A47:F47"/>
    </sheetView>
  </sheetViews>
  <sheetFormatPr defaultRowHeight="12.75" x14ac:dyDescent="0.2"/>
  <cols>
    <col min="1" max="1" width="4.5703125" customWidth="1"/>
    <col min="4" max="4" width="9.5703125" customWidth="1"/>
    <col min="5" max="5" width="19" customWidth="1"/>
    <col min="6" max="6" width="22.5703125" customWidth="1"/>
    <col min="7" max="7" width="18.42578125" customWidth="1"/>
    <col min="8" max="8" width="20.7109375" customWidth="1"/>
  </cols>
  <sheetData>
    <row r="1" spans="1:8" ht="20.25" x14ac:dyDescent="0.3">
      <c r="A1" s="229" t="s">
        <v>76</v>
      </c>
      <c r="B1" s="229"/>
      <c r="C1" s="229"/>
      <c r="D1" s="229"/>
      <c r="E1" s="229"/>
      <c r="F1" s="229"/>
      <c r="G1" s="229"/>
      <c r="H1" s="229"/>
    </row>
    <row r="2" spans="1:8" ht="14.25" customHeight="1" x14ac:dyDescent="0.3">
      <c r="A2" s="4"/>
      <c r="B2" s="4"/>
      <c r="C2" s="4"/>
      <c r="D2" s="4"/>
      <c r="E2" s="4"/>
      <c r="F2" s="4"/>
      <c r="G2" s="4"/>
      <c r="H2" s="4"/>
    </row>
    <row r="3" spans="1:8" ht="12.75" customHeight="1" x14ac:dyDescent="0.3">
      <c r="A3" s="1"/>
      <c r="B3" s="1"/>
      <c r="C3" s="1"/>
      <c r="D3" s="1"/>
      <c r="E3" s="1"/>
      <c r="F3" s="1"/>
      <c r="G3" s="1"/>
      <c r="H3" s="24"/>
    </row>
    <row r="4" spans="1:8" ht="20.25" x14ac:dyDescent="0.3">
      <c r="A4" s="230" t="s">
        <v>10</v>
      </c>
      <c r="B4" s="230"/>
      <c r="C4" s="230"/>
      <c r="D4" s="230"/>
      <c r="E4" s="230"/>
      <c r="F4" s="230"/>
      <c r="G4" s="230"/>
      <c r="H4" s="230"/>
    </row>
    <row r="5" spans="1:8" ht="15" customHeight="1" x14ac:dyDescent="0.3">
      <c r="A5" s="1"/>
      <c r="B5" s="1"/>
      <c r="C5" s="1"/>
      <c r="D5" s="1"/>
      <c r="E5" s="1"/>
      <c r="F5" s="1"/>
      <c r="G5" s="1"/>
      <c r="H5" s="1"/>
    </row>
    <row r="6" spans="1:8" ht="18.75" x14ac:dyDescent="0.3">
      <c r="A6" s="12" t="s">
        <v>282</v>
      </c>
      <c r="B6" s="12"/>
      <c r="C6" s="12"/>
      <c r="D6" s="12"/>
      <c r="E6" s="12"/>
      <c r="F6" s="12"/>
      <c r="G6" s="1"/>
      <c r="H6" s="1"/>
    </row>
    <row r="7" spans="1:8" ht="18.75" x14ac:dyDescent="0.3">
      <c r="A7" s="223" t="s">
        <v>283</v>
      </c>
      <c r="B7" s="223"/>
      <c r="C7" s="223"/>
      <c r="D7" s="223"/>
      <c r="E7" s="223"/>
      <c r="F7" s="223"/>
      <c r="G7" s="1"/>
      <c r="H7" s="1"/>
    </row>
    <row r="8" spans="1:8" ht="18.75" x14ac:dyDescent="0.3">
      <c r="A8" s="223" t="s">
        <v>284</v>
      </c>
      <c r="B8" s="223"/>
      <c r="C8" s="223"/>
      <c r="D8" s="223"/>
      <c r="E8" s="223"/>
      <c r="F8" s="223"/>
      <c r="G8" s="1"/>
      <c r="H8" s="1"/>
    </row>
    <row r="9" spans="1:8" ht="18.75" x14ac:dyDescent="0.3">
      <c r="A9" s="223" t="s">
        <v>349</v>
      </c>
      <c r="B9" s="223"/>
      <c r="C9" s="223"/>
      <c r="D9" s="223"/>
      <c r="E9" s="223"/>
      <c r="F9" s="1"/>
      <c r="G9" s="1"/>
      <c r="H9" s="1"/>
    </row>
    <row r="10" spans="1:8" ht="18.75" x14ac:dyDescent="0.3">
      <c r="A10" s="1"/>
      <c r="B10" s="1"/>
      <c r="C10" s="1"/>
      <c r="D10" s="1"/>
      <c r="E10" s="1"/>
      <c r="F10" s="1"/>
      <c r="G10" s="1"/>
      <c r="H10" s="1"/>
    </row>
    <row r="11" spans="1:8" ht="20.25" x14ac:dyDescent="0.3">
      <c r="A11" s="232" t="s">
        <v>350</v>
      </c>
      <c r="B11" s="232"/>
      <c r="C11" s="232"/>
      <c r="D11" s="232"/>
      <c r="E11" s="232"/>
      <c r="F11" s="232"/>
      <c r="G11" s="1"/>
      <c r="H11" s="1"/>
    </row>
    <row r="12" spans="1:8" ht="23.25" customHeight="1" x14ac:dyDescent="0.3">
      <c r="A12" s="1"/>
      <c r="B12" s="1"/>
      <c r="C12" s="1"/>
      <c r="D12" s="1"/>
      <c r="E12" s="1"/>
      <c r="F12" s="1"/>
      <c r="G12" s="1"/>
      <c r="H12" s="1"/>
    </row>
    <row r="13" spans="1:8" ht="22.5" customHeight="1" x14ac:dyDescent="0.3">
      <c r="A13" s="223" t="s">
        <v>352</v>
      </c>
      <c r="B13" s="223"/>
      <c r="C13" s="223"/>
      <c r="D13" s="223"/>
      <c r="E13" s="223"/>
      <c r="F13" s="223"/>
      <c r="G13" s="223"/>
      <c r="H13" s="223"/>
    </row>
    <row r="14" spans="1:8" ht="13.15" customHeight="1" x14ac:dyDescent="0.3">
      <c r="A14" s="10"/>
      <c r="B14" s="10"/>
      <c r="C14" s="10"/>
      <c r="D14" s="10"/>
      <c r="E14" s="10"/>
      <c r="F14" s="10"/>
      <c r="G14" s="10"/>
      <c r="H14" s="10"/>
    </row>
    <row r="15" spans="1:8" ht="18.75" x14ac:dyDescent="0.3">
      <c r="A15" s="1"/>
      <c r="B15" s="1"/>
      <c r="C15" s="1"/>
      <c r="D15" s="1"/>
      <c r="E15" s="227" t="s">
        <v>334</v>
      </c>
      <c r="F15" s="228"/>
      <c r="G15" s="227" t="s">
        <v>351</v>
      </c>
      <c r="H15" s="228"/>
    </row>
    <row r="16" spans="1:8" ht="18.75" x14ac:dyDescent="0.3">
      <c r="A16" s="1"/>
      <c r="B16" s="1"/>
      <c r="C16" s="1"/>
      <c r="D16" s="1"/>
      <c r="E16" s="14" t="s">
        <v>252</v>
      </c>
      <c r="F16" s="92" t="s">
        <v>254</v>
      </c>
      <c r="G16" s="14" t="s">
        <v>252</v>
      </c>
      <c r="H16" s="92" t="s">
        <v>254</v>
      </c>
    </row>
    <row r="17" spans="1:8" ht="18.75" x14ac:dyDescent="0.3">
      <c r="A17" s="1"/>
      <c r="B17" s="1"/>
      <c r="C17" s="1"/>
      <c r="D17" s="1"/>
      <c r="E17" s="14" t="s">
        <v>253</v>
      </c>
      <c r="F17" s="128" t="s">
        <v>5</v>
      </c>
      <c r="G17" s="14" t="s">
        <v>253</v>
      </c>
      <c r="H17" s="128" t="s">
        <v>5</v>
      </c>
    </row>
    <row r="18" spans="1:8" ht="18.75" x14ac:dyDescent="0.3">
      <c r="A18" s="19">
        <v>1</v>
      </c>
      <c r="B18" s="233" t="s">
        <v>77</v>
      </c>
      <c r="C18" s="223"/>
      <c r="D18" s="226"/>
      <c r="E18" s="3">
        <v>18</v>
      </c>
      <c r="F18" s="20">
        <f>'April 2013'!X28</f>
        <v>5354554.4800000023</v>
      </c>
      <c r="G18" s="3">
        <v>18</v>
      </c>
      <c r="H18" s="20">
        <f>'April 2013'!Y28</f>
        <v>5293478.3627499994</v>
      </c>
    </row>
    <row r="19" spans="1:8" ht="18.75" x14ac:dyDescent="0.3">
      <c r="A19" s="19">
        <v>2</v>
      </c>
      <c r="B19" s="223" t="s">
        <v>99</v>
      </c>
      <c r="C19" s="223"/>
      <c r="D19" s="226"/>
      <c r="E19" s="3">
        <v>7</v>
      </c>
      <c r="F19" s="20">
        <f>'April 2013'!X39</f>
        <v>2668491.98</v>
      </c>
      <c r="G19" s="3">
        <v>7</v>
      </c>
      <c r="H19" s="20">
        <f>'April 2013'!Y39</f>
        <v>2668491.9840000002</v>
      </c>
    </row>
    <row r="20" spans="1:8" ht="18.75" x14ac:dyDescent="0.3">
      <c r="A20" s="19">
        <v>3</v>
      </c>
      <c r="B20" s="223" t="s">
        <v>100</v>
      </c>
      <c r="C20" s="223"/>
      <c r="D20" s="226"/>
      <c r="E20" s="3">
        <v>20</v>
      </c>
      <c r="F20" s="20">
        <f>'April 2013'!X61</f>
        <v>9843677.3900000025</v>
      </c>
      <c r="G20" s="3">
        <v>20</v>
      </c>
      <c r="H20" s="20">
        <f>'April 2013'!Y61</f>
        <v>5850265.5099999988</v>
      </c>
    </row>
    <row r="21" spans="1:8" ht="18.75" x14ac:dyDescent="0.3">
      <c r="A21" s="19">
        <v>4</v>
      </c>
      <c r="B21" s="223" t="s">
        <v>105</v>
      </c>
      <c r="C21" s="223"/>
      <c r="D21" s="226"/>
      <c r="E21" s="3">
        <v>46</v>
      </c>
      <c r="F21" s="20">
        <f>'April 2013'!X109</f>
        <v>5818174.0900000026</v>
      </c>
      <c r="G21" s="3">
        <v>46</v>
      </c>
      <c r="H21" s="20">
        <f>'April 2013'!Y109</f>
        <v>5807245.067999999</v>
      </c>
    </row>
    <row r="22" spans="1:8" ht="18.75" x14ac:dyDescent="0.3">
      <c r="A22" s="19">
        <v>5</v>
      </c>
      <c r="B22" s="223" t="s">
        <v>332</v>
      </c>
      <c r="C22" s="223"/>
      <c r="D22" s="226"/>
      <c r="E22" s="3">
        <v>14</v>
      </c>
      <c r="F22" s="20">
        <f>'April 2013'!X130</f>
        <v>1024285</v>
      </c>
      <c r="G22" s="3">
        <v>14</v>
      </c>
      <c r="H22" s="20">
        <f>'April 2013'!Y130</f>
        <v>780000</v>
      </c>
    </row>
    <row r="23" spans="1:8" ht="18.75" x14ac:dyDescent="0.3">
      <c r="A23" s="19">
        <v>6</v>
      </c>
      <c r="B23" s="223" t="s">
        <v>242</v>
      </c>
      <c r="C23" s="223"/>
      <c r="D23" s="226"/>
      <c r="E23" s="3">
        <v>9</v>
      </c>
      <c r="F23" s="20">
        <f>'April 2013'!X142</f>
        <v>1386405.71</v>
      </c>
      <c r="G23" s="3">
        <v>9</v>
      </c>
      <c r="H23" s="20">
        <f>'April 2013'!Y142</f>
        <v>1593237.9999999998</v>
      </c>
    </row>
    <row r="24" spans="1:8" ht="18.75" x14ac:dyDescent="0.3">
      <c r="A24" s="1"/>
      <c r="B24" s="1"/>
      <c r="C24" s="1"/>
      <c r="D24" s="1"/>
      <c r="E24" s="14">
        <f>SUM(E18:E23)</f>
        <v>114</v>
      </c>
      <c r="F24" s="21">
        <f>SUM(F18:F23)</f>
        <v>26095588.65000001</v>
      </c>
      <c r="G24" s="14">
        <f>SUM(G18:G23)</f>
        <v>114</v>
      </c>
      <c r="H24" s="21">
        <f>SUM(H18:H23)</f>
        <v>21992718.924749997</v>
      </c>
    </row>
    <row r="25" spans="1:8" ht="18.75" x14ac:dyDescent="0.3">
      <c r="A25" s="1"/>
      <c r="B25" s="1"/>
      <c r="C25" s="1"/>
      <c r="D25" s="1"/>
      <c r="E25" s="1"/>
      <c r="F25" s="1"/>
      <c r="G25" s="1"/>
      <c r="H25" s="1"/>
    </row>
    <row r="26" spans="1:8" ht="18.75" x14ac:dyDescent="0.3">
      <c r="A26" s="231" t="s">
        <v>335</v>
      </c>
      <c r="B26" s="231"/>
      <c r="C26" s="231"/>
      <c r="D26" s="231"/>
      <c r="E26" s="231"/>
      <c r="F26" s="231"/>
      <c r="G26" s="231"/>
      <c r="H26" s="231"/>
    </row>
    <row r="27" spans="1:8" ht="18.75" x14ac:dyDescent="0.3">
      <c r="A27" s="5"/>
      <c r="B27" s="1"/>
      <c r="C27" s="1"/>
      <c r="D27" s="1"/>
      <c r="E27" s="1"/>
      <c r="F27" s="1"/>
      <c r="G27" s="1"/>
      <c r="H27" s="1"/>
    </row>
    <row r="28" spans="1:8" ht="18.75" x14ac:dyDescent="0.3">
      <c r="A28" s="223" t="s">
        <v>353</v>
      </c>
      <c r="B28" s="223"/>
      <c r="C28" s="223"/>
      <c r="D28" s="223"/>
      <c r="E28" s="223"/>
      <c r="F28" s="223"/>
      <c r="G28" s="1"/>
      <c r="H28" s="9">
        <f>H24</f>
        <v>21992718.924749997</v>
      </c>
    </row>
    <row r="29" spans="1:8" ht="18.75" x14ac:dyDescent="0.3">
      <c r="A29" s="223" t="s">
        <v>336</v>
      </c>
      <c r="B29" s="223"/>
      <c r="C29" s="223"/>
      <c r="D29" s="223"/>
      <c r="E29" s="223"/>
      <c r="F29" s="223"/>
      <c r="G29" s="223"/>
      <c r="H29" s="11">
        <f>F24</f>
        <v>26095588.65000001</v>
      </c>
    </row>
    <row r="30" spans="1:8" ht="18.75" x14ac:dyDescent="0.3">
      <c r="A30" s="225" t="s">
        <v>337</v>
      </c>
      <c r="B30" s="225"/>
      <c r="C30" s="225"/>
      <c r="D30" s="225"/>
      <c r="E30" s="225"/>
      <c r="F30" s="225"/>
      <c r="G30" s="225"/>
      <c r="H30" s="13">
        <f>H28-H29</f>
        <v>-4102869.7252500132</v>
      </c>
    </row>
    <row r="31" spans="1:8" ht="12" customHeight="1" x14ac:dyDescent="0.3">
      <c r="A31" s="1"/>
      <c r="B31" s="1"/>
      <c r="C31" s="1"/>
      <c r="D31" s="1"/>
      <c r="E31" s="1"/>
      <c r="F31" s="1"/>
      <c r="G31" s="1"/>
      <c r="H31" s="1"/>
    </row>
    <row r="32" spans="1:8" ht="18.75" x14ac:dyDescent="0.3">
      <c r="A32" s="224" t="s">
        <v>360</v>
      </c>
      <c r="B32" s="224"/>
      <c r="C32" s="224"/>
      <c r="D32" s="224"/>
      <c r="E32" s="224"/>
      <c r="F32" s="224"/>
      <c r="G32" s="1"/>
      <c r="H32" s="1"/>
    </row>
    <row r="33" spans="1:14" ht="18.75" x14ac:dyDescent="0.3">
      <c r="A33" s="223" t="s">
        <v>354</v>
      </c>
      <c r="B33" s="223"/>
      <c r="C33" s="223"/>
      <c r="D33" s="223"/>
      <c r="E33" s="223"/>
      <c r="F33" s="223"/>
      <c r="G33" s="25">
        <v>-108770.09</v>
      </c>
      <c r="H33" s="17"/>
    </row>
    <row r="34" spans="1:14" ht="18.75" x14ac:dyDescent="0.3">
      <c r="A34" s="223" t="s">
        <v>362</v>
      </c>
      <c r="B34" s="223"/>
      <c r="C34" s="223"/>
      <c r="D34" s="223"/>
      <c r="E34" s="223"/>
      <c r="F34" s="223"/>
      <c r="G34" s="25">
        <v>50000</v>
      </c>
      <c r="H34" s="17"/>
    </row>
    <row r="35" spans="1:14" ht="18.75" x14ac:dyDescent="0.3">
      <c r="A35" s="223" t="s">
        <v>363</v>
      </c>
      <c r="B35" s="223"/>
      <c r="C35" s="223"/>
      <c r="D35" s="223"/>
      <c r="E35" s="223"/>
      <c r="F35" s="223"/>
      <c r="G35" s="25">
        <v>309828.71999999997</v>
      </c>
      <c r="H35" s="17"/>
    </row>
    <row r="36" spans="1:14" ht="18.75" x14ac:dyDescent="0.3">
      <c r="A36" s="223" t="s">
        <v>355</v>
      </c>
      <c r="B36" s="223"/>
      <c r="C36" s="223"/>
      <c r="D36" s="223"/>
      <c r="E36" s="223"/>
      <c r="F36" s="223"/>
      <c r="G36" s="25">
        <v>155851.16</v>
      </c>
      <c r="H36" s="17"/>
    </row>
    <row r="37" spans="1:14" ht="18.75" x14ac:dyDescent="0.3">
      <c r="A37" s="223" t="s">
        <v>359</v>
      </c>
      <c r="B37" s="223"/>
      <c r="C37" s="223"/>
      <c r="D37" s="223"/>
      <c r="E37" s="223"/>
      <c r="F37" s="223"/>
      <c r="G37" s="25">
        <v>-156160.85999999999</v>
      </c>
      <c r="H37" s="17"/>
    </row>
    <row r="38" spans="1:14" ht="18.75" x14ac:dyDescent="0.3">
      <c r="A38" s="223" t="s">
        <v>356</v>
      </c>
      <c r="B38" s="223"/>
      <c r="C38" s="223"/>
      <c r="D38" s="223"/>
      <c r="E38" s="223"/>
      <c r="F38" s="223"/>
      <c r="G38" s="25">
        <v>252000</v>
      </c>
      <c r="H38" s="17"/>
    </row>
    <row r="39" spans="1:14" ht="18.75" x14ac:dyDescent="0.3">
      <c r="A39" s="223" t="s">
        <v>357</v>
      </c>
      <c r="B39" s="223"/>
      <c r="C39" s="223"/>
      <c r="D39" s="223"/>
      <c r="E39" s="223"/>
      <c r="F39" s="223"/>
      <c r="G39" s="25">
        <v>-274285</v>
      </c>
      <c r="H39" s="17"/>
    </row>
    <row r="40" spans="1:14" ht="18.75" x14ac:dyDescent="0.3">
      <c r="A40" s="223" t="s">
        <v>361</v>
      </c>
      <c r="B40" s="223"/>
      <c r="C40" s="223"/>
      <c r="D40" s="223"/>
      <c r="E40" s="223"/>
      <c r="F40" s="223"/>
      <c r="G40" s="25">
        <v>206832.29</v>
      </c>
      <c r="H40" s="17"/>
    </row>
    <row r="41" spans="1:14" ht="18.75" x14ac:dyDescent="0.3">
      <c r="A41" s="223" t="s">
        <v>364</v>
      </c>
      <c r="B41" s="223"/>
      <c r="C41" s="223"/>
      <c r="D41" s="223"/>
      <c r="E41" s="223"/>
      <c r="F41" s="223"/>
      <c r="G41" s="25">
        <v>30000</v>
      </c>
      <c r="H41" s="17"/>
    </row>
    <row r="42" spans="1:14" ht="18.75" x14ac:dyDescent="0.3">
      <c r="A42" s="223" t="s">
        <v>365</v>
      </c>
      <c r="B42" s="223"/>
      <c r="C42" s="223"/>
      <c r="D42" s="223"/>
      <c r="E42" s="223"/>
      <c r="F42" s="223"/>
      <c r="G42" s="25">
        <v>-117234.15</v>
      </c>
      <c r="H42" s="17"/>
    </row>
    <row r="43" spans="1:14" ht="18.75" x14ac:dyDescent="0.3">
      <c r="A43" s="223" t="s">
        <v>358</v>
      </c>
      <c r="B43" s="223"/>
      <c r="C43" s="223"/>
      <c r="D43" s="223"/>
      <c r="E43" s="223"/>
      <c r="F43" s="223"/>
      <c r="G43" s="25">
        <v>-4450953.3499999996</v>
      </c>
      <c r="H43" s="17"/>
    </row>
    <row r="44" spans="1:14" ht="18.75" customHeight="1" x14ac:dyDescent="0.45">
      <c r="A44" s="221" t="s">
        <v>338</v>
      </c>
      <c r="B44" s="221"/>
      <c r="C44" s="221"/>
      <c r="D44" s="221"/>
      <c r="E44" s="221"/>
      <c r="F44" s="221"/>
      <c r="G44" s="124"/>
      <c r="H44" s="17">
        <f>SUM(G33:G43)</f>
        <v>-4102891.28</v>
      </c>
    </row>
    <row r="45" spans="1:14" ht="18.75" customHeight="1" x14ac:dyDescent="0.3">
      <c r="A45" s="12"/>
      <c r="B45" s="12"/>
      <c r="C45" s="12"/>
      <c r="D45" s="12"/>
      <c r="E45" s="12"/>
      <c r="F45" s="12"/>
      <c r="G45" s="25"/>
      <c r="H45" s="17"/>
    </row>
    <row r="46" spans="1:14" ht="54" customHeight="1" x14ac:dyDescent="0.3">
      <c r="A46" s="222" t="s">
        <v>366</v>
      </c>
      <c r="B46" s="222"/>
      <c r="C46" s="222"/>
      <c r="D46" s="222"/>
      <c r="E46" s="222"/>
      <c r="F46" s="222"/>
      <c r="G46" s="222"/>
      <c r="H46" s="222"/>
      <c r="I46" s="10"/>
      <c r="J46" s="10"/>
      <c r="K46" s="10"/>
      <c r="L46" s="10"/>
      <c r="M46" s="10"/>
      <c r="N46" s="10"/>
    </row>
    <row r="47" spans="1:14" ht="25.5" customHeight="1" x14ac:dyDescent="0.3">
      <c r="A47" s="223"/>
      <c r="B47" s="223"/>
      <c r="C47" s="223"/>
      <c r="D47" s="223"/>
      <c r="E47" s="223"/>
      <c r="F47" s="223"/>
      <c r="G47" s="10"/>
      <c r="H47" s="10"/>
      <c r="I47" s="10"/>
      <c r="J47" s="10"/>
      <c r="K47" s="10"/>
      <c r="L47" s="10"/>
      <c r="M47" s="10"/>
      <c r="N47" s="10"/>
    </row>
    <row r="48" spans="1:14" ht="21" customHeight="1" x14ac:dyDescent="0.3">
      <c r="A48" s="1"/>
      <c r="B48" s="1"/>
      <c r="C48" s="1"/>
      <c r="D48" s="1"/>
      <c r="E48" s="1"/>
      <c r="F48" s="1"/>
      <c r="G48" s="1"/>
      <c r="H48" s="1"/>
    </row>
    <row r="49" spans="1:8" ht="18.75" x14ac:dyDescent="0.3">
      <c r="A49" s="221" t="s">
        <v>83</v>
      </c>
      <c r="B49" s="221"/>
      <c r="C49" s="221"/>
      <c r="D49" s="221"/>
      <c r="E49" s="221"/>
      <c r="F49" s="1"/>
      <c r="G49" s="1"/>
      <c r="H49" s="1"/>
    </row>
    <row r="50" spans="1:8" x14ac:dyDescent="0.2">
      <c r="A50" s="220" t="s">
        <v>143</v>
      </c>
      <c r="B50" s="220"/>
      <c r="C50" s="220"/>
      <c r="D50" s="220"/>
      <c r="E50" s="220"/>
      <c r="F50" s="16"/>
      <c r="G50" s="16"/>
      <c r="H50" s="16"/>
    </row>
    <row r="51" spans="1:8" x14ac:dyDescent="0.2">
      <c r="A51" s="16"/>
      <c r="B51" s="16"/>
      <c r="C51" s="16"/>
      <c r="D51" s="16" t="s">
        <v>155</v>
      </c>
      <c r="E51" s="16"/>
      <c r="F51" s="16"/>
    </row>
  </sheetData>
  <mergeCells count="36">
    <mergeCell ref="B23:D23"/>
    <mergeCell ref="A40:F40"/>
    <mergeCell ref="A1:H1"/>
    <mergeCell ref="A4:H4"/>
    <mergeCell ref="A8:F8"/>
    <mergeCell ref="A26:H26"/>
    <mergeCell ref="A7:F7"/>
    <mergeCell ref="A29:G29"/>
    <mergeCell ref="A11:F11"/>
    <mergeCell ref="B18:D18"/>
    <mergeCell ref="B22:D22"/>
    <mergeCell ref="B21:D21"/>
    <mergeCell ref="G15:H15"/>
    <mergeCell ref="A9:E9"/>
    <mergeCell ref="A13:H13"/>
    <mergeCell ref="B20:D20"/>
    <mergeCell ref="E15:F15"/>
    <mergeCell ref="B19:D19"/>
    <mergeCell ref="A33:F33"/>
    <mergeCell ref="A35:F35"/>
    <mergeCell ref="A37:F37"/>
    <mergeCell ref="A43:F43"/>
    <mergeCell ref="A36:F36"/>
    <mergeCell ref="A28:F28"/>
    <mergeCell ref="A30:G30"/>
    <mergeCell ref="A42:F42"/>
    <mergeCell ref="A50:E50"/>
    <mergeCell ref="A49:E49"/>
    <mergeCell ref="A46:H46"/>
    <mergeCell ref="A47:F47"/>
    <mergeCell ref="A41:F41"/>
    <mergeCell ref="A32:F32"/>
    <mergeCell ref="A38:F38"/>
    <mergeCell ref="A44:F44"/>
    <mergeCell ref="A39:F39"/>
    <mergeCell ref="A34:F34"/>
  </mergeCells>
  <phoneticPr fontId="14" type="noConversion"/>
  <pageMargins left="0.34" right="0.19" top="0.41" bottom="0.27" header="0.27" footer="0.21"/>
  <pageSetup paperSize="9"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CCC7-FE7C-4CB2-A59A-A0E475E610F2}">
  <dimension ref="A1:F14"/>
  <sheetViews>
    <sheetView workbookViewId="0">
      <selection activeCell="G12" sqref="G12"/>
    </sheetView>
  </sheetViews>
  <sheetFormatPr defaultRowHeight="12.75" x14ac:dyDescent="0.2"/>
  <cols>
    <col min="3" max="3" width="11.85546875" customWidth="1"/>
    <col min="4" max="5" width="28.140625" customWidth="1"/>
  </cols>
  <sheetData>
    <row r="1" spans="1:6" ht="18.75" x14ac:dyDescent="0.3">
      <c r="A1" s="239" t="s">
        <v>285</v>
      </c>
      <c r="B1" s="239"/>
      <c r="C1" s="239"/>
      <c r="D1" s="239"/>
      <c r="E1" s="239"/>
      <c r="F1" s="239"/>
    </row>
    <row r="2" spans="1:6" ht="18.75" x14ac:dyDescent="0.3">
      <c r="A2" s="240" t="s">
        <v>106</v>
      </c>
      <c r="B2" s="240"/>
      <c r="C2" s="240"/>
      <c r="D2" s="240"/>
      <c r="E2" s="240"/>
      <c r="F2" s="240"/>
    </row>
    <row r="3" spans="1:6" ht="18.75" x14ac:dyDescent="0.3">
      <c r="A3" s="234"/>
      <c r="B3" s="234"/>
      <c r="C3" s="234"/>
      <c r="D3" s="3" t="s">
        <v>116</v>
      </c>
      <c r="E3" s="3" t="s">
        <v>117</v>
      </c>
      <c r="F3" s="19"/>
    </row>
    <row r="4" spans="1:6" ht="18.75" x14ac:dyDescent="0.3">
      <c r="A4" s="234" t="s">
        <v>108</v>
      </c>
      <c r="B4" s="234"/>
      <c r="C4" s="234"/>
      <c r="D4" s="20">
        <f>E4*12</f>
        <v>916071.60000000009</v>
      </c>
      <c r="E4" s="20">
        <f>sUMMARY!F3</f>
        <v>76339.3</v>
      </c>
      <c r="F4" s="1"/>
    </row>
    <row r="5" spans="1:6" ht="18.75" x14ac:dyDescent="0.3">
      <c r="A5" s="234" t="s">
        <v>109</v>
      </c>
      <c r="B5" s="234"/>
      <c r="C5" s="234"/>
      <c r="D5" s="20">
        <f t="shared" ref="D5:D14" si="0">E5*12</f>
        <v>2748214.8000000003</v>
      </c>
      <c r="E5" s="20">
        <f>sUMMARY!H3</f>
        <v>229017.90000000002</v>
      </c>
      <c r="F5" s="1"/>
    </row>
    <row r="6" spans="1:6" ht="18.75" x14ac:dyDescent="0.3">
      <c r="A6" s="234" t="s">
        <v>110</v>
      </c>
      <c r="B6" s="234"/>
      <c r="C6" s="234"/>
      <c r="D6" s="20">
        <f t="shared" si="0"/>
        <v>68705.37</v>
      </c>
      <c r="E6" s="20">
        <f>sUMMARY!I3</f>
        <v>5725.4475000000002</v>
      </c>
      <c r="F6" s="1"/>
    </row>
    <row r="7" spans="1:6" ht="18.75" x14ac:dyDescent="0.3">
      <c r="A7" s="234" t="s">
        <v>107</v>
      </c>
      <c r="B7" s="234"/>
      <c r="C7" s="234"/>
      <c r="D7" s="20">
        <f t="shared" si="0"/>
        <v>962932.56</v>
      </c>
      <c r="E7" s="20">
        <f>sUMMARY!J3</f>
        <v>80244.38</v>
      </c>
      <c r="F7" s="1"/>
    </row>
    <row r="8" spans="1:6" ht="18.75" x14ac:dyDescent="0.3">
      <c r="A8" s="234" t="s">
        <v>111</v>
      </c>
      <c r="B8" s="234"/>
      <c r="C8" s="234"/>
      <c r="D8" s="20">
        <f t="shared" si="0"/>
        <v>458035.80000000005</v>
      </c>
      <c r="E8" s="20">
        <f>sUMMARY!K3</f>
        <v>38169.65</v>
      </c>
      <c r="F8" s="1"/>
    </row>
    <row r="9" spans="1:6" ht="18.75" x14ac:dyDescent="0.3">
      <c r="A9" s="234" t="s">
        <v>112</v>
      </c>
      <c r="B9" s="234"/>
      <c r="C9" s="234"/>
      <c r="D9" s="20">
        <f t="shared" si="0"/>
        <v>3206250.5999999996</v>
      </c>
      <c r="E9" s="20">
        <f>sUMMARY!L3</f>
        <v>267187.55</v>
      </c>
      <c r="F9" s="1"/>
    </row>
    <row r="10" spans="1:6" ht="18.75" x14ac:dyDescent="0.3">
      <c r="A10" s="236" t="s">
        <v>144</v>
      </c>
      <c r="B10" s="237"/>
      <c r="C10" s="238"/>
      <c r="D10" s="20">
        <f>E10*12</f>
        <v>1800000</v>
      </c>
      <c r="E10" s="20">
        <v>150000</v>
      </c>
      <c r="F10" s="1"/>
    </row>
    <row r="11" spans="1:6" ht="18.75" x14ac:dyDescent="0.3">
      <c r="A11" s="234" t="s">
        <v>113</v>
      </c>
      <c r="B11" s="234"/>
      <c r="C11" s="234"/>
      <c r="D11" s="20">
        <f t="shared" si="0"/>
        <v>916071.60000000009</v>
      </c>
      <c r="E11" s="20">
        <f>sUMMARY!N3</f>
        <v>76339.3</v>
      </c>
      <c r="F11" s="1"/>
    </row>
    <row r="12" spans="1:6" ht="18.75" x14ac:dyDescent="0.3">
      <c r="A12" s="234" t="s">
        <v>114</v>
      </c>
      <c r="B12" s="234"/>
      <c r="C12" s="234"/>
      <c r="D12" s="20">
        <f t="shared" si="0"/>
        <v>91607.16</v>
      </c>
      <c r="E12" s="20">
        <f>sUMMARY!O3</f>
        <v>7633.93</v>
      </c>
      <c r="F12" s="1"/>
    </row>
    <row r="13" spans="1:6" ht="18.75" x14ac:dyDescent="0.3">
      <c r="A13" s="234" t="s">
        <v>115</v>
      </c>
      <c r="B13" s="234"/>
      <c r="C13" s="234"/>
      <c r="D13" s="20">
        <f t="shared" si="0"/>
        <v>240000</v>
      </c>
      <c r="E13" s="20">
        <f>sUMMARY!P3</f>
        <v>20000</v>
      </c>
      <c r="F13" s="1"/>
    </row>
    <row r="14" spans="1:6" ht="18.75" x14ac:dyDescent="0.3">
      <c r="A14" s="235" t="s">
        <v>118</v>
      </c>
      <c r="B14" s="235"/>
      <c r="C14" s="235"/>
      <c r="D14" s="21">
        <f t="shared" si="0"/>
        <v>11407889.490000002</v>
      </c>
      <c r="E14" s="21">
        <f>SUM(E4:E13)</f>
        <v>950657.45750000014</v>
      </c>
      <c r="F14" s="1"/>
    </row>
  </sheetData>
  <mergeCells count="14">
    <mergeCell ref="A1:F1"/>
    <mergeCell ref="A2:F2"/>
    <mergeCell ref="A4:C4"/>
    <mergeCell ref="A5:C5"/>
    <mergeCell ref="A6:C6"/>
    <mergeCell ref="A7:C7"/>
    <mergeCell ref="A3:C3"/>
    <mergeCell ref="A8:C8"/>
    <mergeCell ref="A9:C9"/>
    <mergeCell ref="A11:C11"/>
    <mergeCell ref="A12:C12"/>
    <mergeCell ref="A13:C13"/>
    <mergeCell ref="A14:C14"/>
    <mergeCell ref="A10:C10"/>
  </mergeCells>
  <pageMargins left="1.02" right="0.7" top="1.1399999999999999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A340-4E3B-40A6-A339-C3ADDAFA0930}">
  <dimension ref="A1:F13"/>
  <sheetViews>
    <sheetView workbookViewId="0">
      <selection activeCell="A3" sqref="A3:C3"/>
    </sheetView>
  </sheetViews>
  <sheetFormatPr defaultRowHeight="12.75" x14ac:dyDescent="0.2"/>
  <cols>
    <col min="3" max="3" width="11.5703125" customWidth="1"/>
    <col min="4" max="4" width="19.85546875" customWidth="1"/>
    <col min="5" max="5" width="19.140625" customWidth="1"/>
  </cols>
  <sheetData>
    <row r="1" spans="1:6" ht="18.75" x14ac:dyDescent="0.3">
      <c r="A1" s="241" t="s">
        <v>121</v>
      </c>
      <c r="B1" s="241"/>
      <c r="C1" s="241"/>
      <c r="D1" s="241"/>
      <c r="E1" s="241"/>
      <c r="F1" s="241"/>
    </row>
    <row r="2" spans="1:6" ht="18.75" x14ac:dyDescent="0.3">
      <c r="A2" s="240" t="s">
        <v>122</v>
      </c>
      <c r="B2" s="240"/>
      <c r="C2" s="240"/>
      <c r="D2" s="240"/>
      <c r="E2" s="240"/>
      <c r="F2" s="240"/>
    </row>
    <row r="3" spans="1:6" ht="18.75" x14ac:dyDescent="0.3">
      <c r="A3" s="234"/>
      <c r="B3" s="234"/>
      <c r="C3" s="234"/>
      <c r="D3" s="3" t="s">
        <v>116</v>
      </c>
      <c r="E3" s="3" t="s">
        <v>117</v>
      </c>
      <c r="F3" s="19"/>
    </row>
    <row r="4" spans="1:6" ht="18.75" x14ac:dyDescent="0.3">
      <c r="A4" s="234" t="s">
        <v>108</v>
      </c>
      <c r="B4" s="234"/>
      <c r="C4" s="234"/>
      <c r="D4" s="20">
        <f>E4*12</f>
        <v>475947</v>
      </c>
      <c r="E4" s="20">
        <f>'April 2013'!F10</f>
        <v>39662.25</v>
      </c>
      <c r="F4" s="1"/>
    </row>
    <row r="5" spans="1:6" ht="18.75" x14ac:dyDescent="0.3">
      <c r="A5" s="234" t="s">
        <v>109</v>
      </c>
      <c r="B5" s="234"/>
      <c r="C5" s="234"/>
      <c r="D5" s="20">
        <f t="shared" ref="D5:D13" si="0">E5*12</f>
        <v>1427841</v>
      </c>
      <c r="E5" s="20">
        <f>'April 2013'!H10</f>
        <v>118986.75</v>
      </c>
      <c r="F5" s="1"/>
    </row>
    <row r="6" spans="1:6" ht="18.75" x14ac:dyDescent="0.3">
      <c r="A6" s="234" t="s">
        <v>110</v>
      </c>
      <c r="B6" s="234"/>
      <c r="C6" s="234"/>
      <c r="D6" s="20">
        <f t="shared" si="0"/>
        <v>35696.024999999994</v>
      </c>
      <c r="E6" s="20">
        <f>'April 2013'!I10</f>
        <v>2974.6687499999998</v>
      </c>
      <c r="F6" s="1"/>
    </row>
    <row r="7" spans="1:6" ht="18.75" x14ac:dyDescent="0.3">
      <c r="A7" s="234" t="s">
        <v>107</v>
      </c>
      <c r="B7" s="234"/>
      <c r="C7" s="234"/>
      <c r="D7" s="20">
        <f t="shared" si="0"/>
        <v>481466.28</v>
      </c>
      <c r="E7" s="20">
        <f>'April 2013'!J10</f>
        <v>40122.19</v>
      </c>
      <c r="F7" s="1"/>
    </row>
    <row r="8" spans="1:6" ht="18.75" x14ac:dyDescent="0.3">
      <c r="A8" s="234" t="s">
        <v>111</v>
      </c>
      <c r="B8" s="234"/>
      <c r="C8" s="234"/>
      <c r="D8" s="20">
        <f t="shared" si="0"/>
        <v>237973.5</v>
      </c>
      <c r="E8" s="20">
        <f>'April 2013'!K10</f>
        <v>19831.125</v>
      </c>
      <c r="F8" s="1"/>
    </row>
    <row r="9" spans="1:6" ht="18.75" x14ac:dyDescent="0.3">
      <c r="A9" s="234" t="s">
        <v>112</v>
      </c>
      <c r="B9" s="234"/>
      <c r="C9" s="234"/>
      <c r="D9" s="20">
        <f t="shared" si="0"/>
        <v>1665814.5</v>
      </c>
      <c r="E9" s="20">
        <f>'April 2013'!L10</f>
        <v>138817.875</v>
      </c>
      <c r="F9" s="1"/>
    </row>
    <row r="10" spans="1:6" ht="18.75" x14ac:dyDescent="0.3">
      <c r="A10" s="234" t="s">
        <v>113</v>
      </c>
      <c r="B10" s="234"/>
      <c r="C10" s="234"/>
      <c r="D10" s="20">
        <f t="shared" si="0"/>
        <v>475947</v>
      </c>
      <c r="E10" s="20">
        <f>'April 2013'!N10</f>
        <v>39662.25</v>
      </c>
      <c r="F10" s="1"/>
    </row>
    <row r="11" spans="1:6" ht="18.75" x14ac:dyDescent="0.3">
      <c r="A11" s="234" t="s">
        <v>114</v>
      </c>
      <c r="B11" s="234"/>
      <c r="C11" s="234"/>
      <c r="D11" s="20">
        <f t="shared" si="0"/>
        <v>47594.700000000004</v>
      </c>
      <c r="E11" s="20">
        <f>'April 2013'!P10</f>
        <v>3966.2250000000004</v>
      </c>
      <c r="F11" s="1"/>
    </row>
    <row r="12" spans="1:6" ht="18.75" x14ac:dyDescent="0.3">
      <c r="A12" s="234" t="s">
        <v>115</v>
      </c>
      <c r="B12" s="234"/>
      <c r="C12" s="234"/>
      <c r="D12" s="20">
        <f t="shared" si="0"/>
        <v>240000</v>
      </c>
      <c r="E12" s="20">
        <f>sUMMARY!P3</f>
        <v>20000</v>
      </c>
      <c r="F12" s="1"/>
    </row>
    <row r="13" spans="1:6" ht="18.75" x14ac:dyDescent="0.3">
      <c r="A13" s="235" t="s">
        <v>118</v>
      </c>
      <c r="B13" s="235"/>
      <c r="C13" s="235"/>
      <c r="D13" s="21">
        <f t="shared" si="0"/>
        <v>5088280.0049999999</v>
      </c>
      <c r="E13" s="21">
        <f>SUM(E4:E12)</f>
        <v>424023.33374999999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D52E-5DF6-4589-B332-8B9632D3753A}">
  <dimension ref="A1:F14"/>
  <sheetViews>
    <sheetView workbookViewId="0">
      <selection activeCell="D11" sqref="D11"/>
    </sheetView>
  </sheetViews>
  <sheetFormatPr defaultRowHeight="12.75" x14ac:dyDescent="0.2"/>
  <cols>
    <col min="3" max="3" width="11.28515625" customWidth="1"/>
    <col min="4" max="4" width="19" customWidth="1"/>
    <col min="5" max="5" width="19.140625" customWidth="1"/>
  </cols>
  <sheetData>
    <row r="1" spans="1:6" ht="18.75" x14ac:dyDescent="0.3">
      <c r="A1" s="241" t="s">
        <v>123</v>
      </c>
      <c r="B1" s="241"/>
      <c r="C1" s="241"/>
      <c r="D1" s="241"/>
      <c r="E1" s="241"/>
      <c r="F1" s="241"/>
    </row>
    <row r="2" spans="1:6" ht="18.75" x14ac:dyDescent="0.3">
      <c r="A2" s="240" t="s">
        <v>124</v>
      </c>
      <c r="B2" s="240"/>
      <c r="C2" s="240"/>
      <c r="D2" s="240"/>
      <c r="E2" s="240"/>
      <c r="F2" s="240"/>
    </row>
    <row r="3" spans="1:6" ht="18.75" x14ac:dyDescent="0.3">
      <c r="A3" s="234"/>
      <c r="B3" s="234"/>
      <c r="C3" s="234"/>
      <c r="D3" s="3" t="s">
        <v>116</v>
      </c>
      <c r="E3" s="3" t="s">
        <v>117</v>
      </c>
      <c r="F3" s="19"/>
    </row>
    <row r="4" spans="1:6" ht="18.75" x14ac:dyDescent="0.3">
      <c r="A4" s="234" t="s">
        <v>108</v>
      </c>
      <c r="B4" s="234"/>
      <c r="C4" s="234"/>
      <c r="D4" s="20" t="e">
        <f>E4*12</f>
        <v>#REF!</v>
      </c>
      <c r="E4" s="20" t="e">
        <f>'April 2013'!#REF!</f>
        <v>#REF!</v>
      </c>
      <c r="F4" s="1"/>
    </row>
    <row r="5" spans="1:6" ht="18.75" x14ac:dyDescent="0.3">
      <c r="A5" s="234" t="s">
        <v>109</v>
      </c>
      <c r="B5" s="234"/>
      <c r="C5" s="234"/>
      <c r="D5" s="20" t="e">
        <f t="shared" ref="D5:D14" si="0">E5*12</f>
        <v>#REF!</v>
      </c>
      <c r="E5" s="20" t="e">
        <f>'April 2013'!#REF!</f>
        <v>#REF!</v>
      </c>
      <c r="F5" s="1"/>
    </row>
    <row r="6" spans="1:6" ht="18.75" x14ac:dyDescent="0.3">
      <c r="A6" s="234" t="s">
        <v>110</v>
      </c>
      <c r="B6" s="234"/>
      <c r="C6" s="234"/>
      <c r="D6" s="20" t="e">
        <f t="shared" si="0"/>
        <v>#REF!</v>
      </c>
      <c r="E6" s="20" t="e">
        <f>'April 2013'!#REF!</f>
        <v>#REF!</v>
      </c>
      <c r="F6" s="1"/>
    </row>
    <row r="7" spans="1:6" ht="18.75" x14ac:dyDescent="0.3">
      <c r="A7" s="234" t="s">
        <v>107</v>
      </c>
      <c r="B7" s="234"/>
      <c r="C7" s="234"/>
      <c r="D7" s="20" t="e">
        <f t="shared" si="0"/>
        <v>#REF!</v>
      </c>
      <c r="E7" s="20" t="e">
        <f>'April 2013'!#REF!</f>
        <v>#REF!</v>
      </c>
      <c r="F7" s="1"/>
    </row>
    <row r="8" spans="1:6" ht="18.75" x14ac:dyDescent="0.3">
      <c r="A8" s="234" t="s">
        <v>111</v>
      </c>
      <c r="B8" s="234"/>
      <c r="C8" s="234"/>
      <c r="D8" s="20" t="e">
        <f t="shared" si="0"/>
        <v>#REF!</v>
      </c>
      <c r="E8" s="20" t="e">
        <f>'April 2013'!#REF!</f>
        <v>#REF!</v>
      </c>
      <c r="F8" s="1"/>
    </row>
    <row r="9" spans="1:6" ht="18.75" x14ac:dyDescent="0.3">
      <c r="A9" s="234" t="s">
        <v>112</v>
      </c>
      <c r="B9" s="234"/>
      <c r="C9" s="234"/>
      <c r="D9" s="20" t="e">
        <f t="shared" si="0"/>
        <v>#REF!</v>
      </c>
      <c r="E9" s="20" t="e">
        <f>'April 2013'!#REF!</f>
        <v>#REF!</v>
      </c>
      <c r="F9" s="1"/>
    </row>
    <row r="10" spans="1:6" ht="18.75" x14ac:dyDescent="0.3">
      <c r="A10" s="234" t="s">
        <v>113</v>
      </c>
      <c r="B10" s="234"/>
      <c r="C10" s="234"/>
      <c r="D10" s="20" t="e">
        <f t="shared" si="0"/>
        <v>#REF!</v>
      </c>
      <c r="E10" s="20" t="e">
        <f>'April 2013'!#REF!</f>
        <v>#REF!</v>
      </c>
      <c r="F10" s="1"/>
    </row>
    <row r="11" spans="1:6" ht="18.75" x14ac:dyDescent="0.3">
      <c r="A11" s="236" t="s">
        <v>144</v>
      </c>
      <c r="B11" s="237"/>
      <c r="C11" s="238"/>
      <c r="D11" s="20">
        <f t="shared" si="0"/>
        <v>1200000</v>
      </c>
      <c r="E11" s="20">
        <v>100000</v>
      </c>
      <c r="F11" s="1"/>
    </row>
    <row r="12" spans="1:6" ht="18.75" x14ac:dyDescent="0.3">
      <c r="A12" s="234" t="s">
        <v>114</v>
      </c>
      <c r="B12" s="234"/>
      <c r="C12" s="234"/>
      <c r="D12" s="20" t="e">
        <f t="shared" si="0"/>
        <v>#REF!</v>
      </c>
      <c r="E12" s="20" t="e">
        <f>'April 2013'!#REF!</f>
        <v>#REF!</v>
      </c>
      <c r="F12" s="1"/>
    </row>
    <row r="13" spans="1:6" ht="18.75" x14ac:dyDescent="0.3">
      <c r="A13" s="234" t="s">
        <v>115</v>
      </c>
      <c r="B13" s="234"/>
      <c r="C13" s="234"/>
      <c r="D13" s="20" t="e">
        <f t="shared" si="0"/>
        <v>#REF!</v>
      </c>
      <c r="E13" s="20" t="e">
        <f>'April 2013'!#REF!</f>
        <v>#REF!</v>
      </c>
      <c r="F13" s="1"/>
    </row>
    <row r="14" spans="1:6" ht="18.75" x14ac:dyDescent="0.3">
      <c r="A14" s="235" t="s">
        <v>118</v>
      </c>
      <c r="B14" s="235"/>
      <c r="C14" s="235"/>
      <c r="D14" s="21" t="e">
        <f t="shared" si="0"/>
        <v>#REF!</v>
      </c>
      <c r="E14" s="21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09A2-8104-4B3B-864F-8962D1F46D90}">
  <dimension ref="A1:F14"/>
  <sheetViews>
    <sheetView workbookViewId="0">
      <selection activeCell="H20" sqref="H20"/>
    </sheetView>
  </sheetViews>
  <sheetFormatPr defaultRowHeight="12.75" x14ac:dyDescent="0.2"/>
  <cols>
    <col min="3" max="3" width="11.140625" customWidth="1"/>
    <col min="4" max="4" width="19.28515625" customWidth="1"/>
    <col min="5" max="5" width="19.140625" customWidth="1"/>
  </cols>
  <sheetData>
    <row r="1" spans="1:6" ht="18.75" x14ac:dyDescent="0.3">
      <c r="A1" s="241" t="s">
        <v>197</v>
      </c>
      <c r="B1" s="241"/>
      <c r="C1" s="241"/>
      <c r="D1" s="241"/>
      <c r="E1" s="241"/>
      <c r="F1" s="241"/>
    </row>
    <row r="2" spans="1:6" ht="18.75" x14ac:dyDescent="0.3">
      <c r="A2" s="240" t="s">
        <v>128</v>
      </c>
      <c r="B2" s="240"/>
      <c r="C2" s="240"/>
      <c r="D2" s="240"/>
      <c r="E2" s="240"/>
      <c r="F2" s="240"/>
    </row>
    <row r="3" spans="1:6" ht="18.75" x14ac:dyDescent="0.3">
      <c r="A3" s="234"/>
      <c r="B3" s="234"/>
      <c r="C3" s="234"/>
      <c r="D3" s="3" t="s">
        <v>116</v>
      </c>
      <c r="E3" s="3" t="s">
        <v>117</v>
      </c>
      <c r="F3" s="19"/>
    </row>
    <row r="4" spans="1:6" ht="18.75" x14ac:dyDescent="0.3">
      <c r="A4" s="234" t="s">
        <v>108</v>
      </c>
      <c r="B4" s="234"/>
      <c r="C4" s="234"/>
      <c r="D4" s="20">
        <f>E4*12</f>
        <v>286693.44</v>
      </c>
      <c r="E4" s="20">
        <f>sUMMARY!F5</f>
        <v>23891.119999999999</v>
      </c>
      <c r="F4" s="1"/>
    </row>
    <row r="5" spans="1:6" ht="18.75" x14ac:dyDescent="0.3">
      <c r="A5" s="234" t="s">
        <v>109</v>
      </c>
      <c r="B5" s="234"/>
      <c r="C5" s="234"/>
      <c r="D5" s="20">
        <f t="shared" ref="D5:D14" si="0">E5*12</f>
        <v>860080.32000000007</v>
      </c>
      <c r="E5" s="20">
        <f>sUMMARY!H5</f>
        <v>71673.36</v>
      </c>
      <c r="F5" s="1"/>
    </row>
    <row r="6" spans="1:6" ht="18.75" x14ac:dyDescent="0.3">
      <c r="A6" s="234" t="s">
        <v>110</v>
      </c>
      <c r="B6" s="234"/>
      <c r="C6" s="234"/>
      <c r="D6" s="20">
        <f t="shared" si="0"/>
        <v>21502.007999999998</v>
      </c>
      <c r="E6" s="20">
        <f>sUMMARY!I5</f>
        <v>1791.8339999999998</v>
      </c>
      <c r="F6" s="1"/>
    </row>
    <row r="7" spans="1:6" ht="18.75" x14ac:dyDescent="0.3">
      <c r="A7" s="234" t="s">
        <v>107</v>
      </c>
      <c r="B7" s="234"/>
      <c r="C7" s="234"/>
      <c r="D7" s="20">
        <f t="shared" si="0"/>
        <v>0</v>
      </c>
      <c r="E7" s="20">
        <f>sUMMARY!J5</f>
        <v>0</v>
      </c>
      <c r="F7" s="1"/>
    </row>
    <row r="8" spans="1:6" ht="18.75" x14ac:dyDescent="0.3">
      <c r="A8" s="234" t="s">
        <v>111</v>
      </c>
      <c r="B8" s="234"/>
      <c r="C8" s="234"/>
      <c r="D8" s="20">
        <f t="shared" si="0"/>
        <v>143346.72</v>
      </c>
      <c r="E8" s="20">
        <f>sUMMARY!K5</f>
        <v>11945.56</v>
      </c>
      <c r="F8" s="1"/>
    </row>
    <row r="9" spans="1:6" ht="18.75" x14ac:dyDescent="0.3">
      <c r="A9" s="234" t="s">
        <v>112</v>
      </c>
      <c r="B9" s="234"/>
      <c r="C9" s="234"/>
      <c r="D9" s="20">
        <f t="shared" si="0"/>
        <v>1003427.04</v>
      </c>
      <c r="E9" s="20">
        <f>sUMMARY!L5</f>
        <v>83618.92</v>
      </c>
      <c r="F9" s="1"/>
    </row>
    <row r="10" spans="1:6" ht="18.75" x14ac:dyDescent="0.3">
      <c r="A10" s="234" t="s">
        <v>113</v>
      </c>
      <c r="B10" s="234"/>
      <c r="C10" s="234"/>
      <c r="D10" s="20">
        <f t="shared" si="0"/>
        <v>286693.44</v>
      </c>
      <c r="E10" s="20">
        <f>sUMMARY!N5</f>
        <v>23891.119999999999</v>
      </c>
      <c r="F10" s="1"/>
    </row>
    <row r="11" spans="1:6" ht="18.75" x14ac:dyDescent="0.3">
      <c r="A11" s="236" t="s">
        <v>144</v>
      </c>
      <c r="B11" s="237"/>
      <c r="C11" s="238"/>
      <c r="D11" s="20">
        <f t="shared" si="0"/>
        <v>0</v>
      </c>
      <c r="E11" s="20">
        <v>0</v>
      </c>
      <c r="F11" s="1"/>
    </row>
    <row r="12" spans="1:6" ht="18.75" x14ac:dyDescent="0.3">
      <c r="A12" s="234" t="s">
        <v>114</v>
      </c>
      <c r="B12" s="234"/>
      <c r="C12" s="234"/>
      <c r="D12" s="20">
        <f t="shared" si="0"/>
        <v>28669.344000000001</v>
      </c>
      <c r="E12" s="20">
        <f>sUMMARY!O5</f>
        <v>2389.1120000000001</v>
      </c>
      <c r="F12" s="1"/>
    </row>
    <row r="13" spans="1:6" ht="18.75" x14ac:dyDescent="0.3">
      <c r="A13" s="234" t="s">
        <v>115</v>
      </c>
      <c r="B13" s="234"/>
      <c r="C13" s="234"/>
      <c r="D13" s="20">
        <f t="shared" si="0"/>
        <v>180000</v>
      </c>
      <c r="E13" s="20">
        <f>sUMMARY!P5</f>
        <v>15000</v>
      </c>
      <c r="F13" s="1"/>
    </row>
    <row r="14" spans="1:6" ht="18.75" x14ac:dyDescent="0.3">
      <c r="A14" s="235" t="s">
        <v>118</v>
      </c>
      <c r="B14" s="235"/>
      <c r="C14" s="235"/>
      <c r="D14" s="21">
        <f t="shared" si="0"/>
        <v>2810412.3119999999</v>
      </c>
      <c r="E14" s="21">
        <f>SUM(E4:E13)</f>
        <v>234201.02599999998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F6A1-2833-4153-8F8E-572EBE539090}">
  <dimension ref="A1:F13"/>
  <sheetViews>
    <sheetView workbookViewId="0">
      <selection sqref="A1:F1"/>
    </sheetView>
  </sheetViews>
  <sheetFormatPr defaultRowHeight="12.75" x14ac:dyDescent="0.2"/>
  <cols>
    <col min="3" max="3" width="11.140625" customWidth="1"/>
    <col min="4" max="4" width="19.28515625" customWidth="1"/>
    <col min="5" max="5" width="18.7109375" customWidth="1"/>
  </cols>
  <sheetData>
    <row r="1" spans="1:6" ht="18.75" x14ac:dyDescent="0.3">
      <c r="A1" s="241"/>
      <c r="B1" s="241"/>
      <c r="C1" s="241"/>
      <c r="D1" s="241"/>
      <c r="E1" s="241"/>
      <c r="F1" s="241"/>
    </row>
    <row r="2" spans="1:6" ht="18.75" x14ac:dyDescent="0.3">
      <c r="A2" s="240"/>
      <c r="B2" s="240"/>
      <c r="C2" s="240"/>
      <c r="D2" s="240"/>
      <c r="E2" s="240"/>
      <c r="F2" s="240"/>
    </row>
    <row r="3" spans="1:6" ht="18.75" x14ac:dyDescent="0.3">
      <c r="A3" s="234"/>
      <c r="B3" s="234"/>
      <c r="C3" s="234"/>
      <c r="D3" s="3" t="s">
        <v>116</v>
      </c>
      <c r="E3" s="3" t="s">
        <v>117</v>
      </c>
      <c r="F3" s="19"/>
    </row>
    <row r="4" spans="1:6" ht="18.75" x14ac:dyDescent="0.3">
      <c r="A4" s="234" t="s">
        <v>108</v>
      </c>
      <c r="B4" s="234"/>
      <c r="C4" s="234"/>
      <c r="D4" s="20">
        <f>E4*12</f>
        <v>255527.52</v>
      </c>
      <c r="E4" s="20">
        <f>sUMMARY!F6</f>
        <v>21293.96</v>
      </c>
      <c r="F4" s="1"/>
    </row>
    <row r="5" spans="1:6" ht="18.75" x14ac:dyDescent="0.3">
      <c r="A5" s="234" t="s">
        <v>109</v>
      </c>
      <c r="B5" s="234"/>
      <c r="C5" s="234"/>
      <c r="D5" s="20">
        <f t="shared" ref="D5:D13" si="0">E5*12</f>
        <v>766582.55999999994</v>
      </c>
      <c r="E5" s="20">
        <f>sUMMARY!H6</f>
        <v>63881.88</v>
      </c>
      <c r="F5" s="1"/>
    </row>
    <row r="6" spans="1:6" ht="18.75" x14ac:dyDescent="0.3">
      <c r="A6" s="234" t="s">
        <v>110</v>
      </c>
      <c r="B6" s="234"/>
      <c r="C6" s="234"/>
      <c r="D6" s="20">
        <f t="shared" si="0"/>
        <v>19164.563999999998</v>
      </c>
      <c r="E6" s="20">
        <f>sUMMARY!I6</f>
        <v>1597.0469999999998</v>
      </c>
      <c r="F6" s="1"/>
    </row>
    <row r="7" spans="1:6" ht="18.75" x14ac:dyDescent="0.3">
      <c r="A7" s="234" t="s">
        <v>107</v>
      </c>
      <c r="B7" s="234"/>
      <c r="C7" s="234"/>
      <c r="D7" s="20">
        <f t="shared" si="0"/>
        <v>0</v>
      </c>
      <c r="E7" s="20">
        <f>sUMMARY!J5</f>
        <v>0</v>
      </c>
      <c r="F7" s="1"/>
    </row>
    <row r="8" spans="1:6" ht="18.75" x14ac:dyDescent="0.3">
      <c r="A8" s="234" t="s">
        <v>111</v>
      </c>
      <c r="B8" s="234"/>
      <c r="C8" s="234"/>
      <c r="D8" s="20">
        <f t="shared" si="0"/>
        <v>127763.76</v>
      </c>
      <c r="E8" s="20">
        <f>sUMMARY!K6</f>
        <v>10646.98</v>
      </c>
      <c r="F8" s="1"/>
    </row>
    <row r="9" spans="1:6" ht="18.75" x14ac:dyDescent="0.3">
      <c r="A9" s="234" t="s">
        <v>112</v>
      </c>
      <c r="B9" s="234"/>
      <c r="C9" s="234"/>
      <c r="D9" s="20">
        <f t="shared" si="0"/>
        <v>894346.32000000007</v>
      </c>
      <c r="E9" s="20">
        <f>sUMMARY!L6</f>
        <v>74528.86</v>
      </c>
      <c r="F9" s="1"/>
    </row>
    <row r="10" spans="1:6" ht="18.75" x14ac:dyDescent="0.3">
      <c r="A10" s="234" t="s">
        <v>113</v>
      </c>
      <c r="B10" s="234"/>
      <c r="C10" s="234"/>
      <c r="D10" s="20">
        <f t="shared" si="0"/>
        <v>255527.52</v>
      </c>
      <c r="E10" s="20">
        <f>sUMMARY!N6</f>
        <v>21293.96</v>
      </c>
      <c r="F10" s="1"/>
    </row>
    <row r="11" spans="1:6" ht="18.75" x14ac:dyDescent="0.3">
      <c r="A11" s="234" t="s">
        <v>114</v>
      </c>
      <c r="B11" s="234"/>
      <c r="C11" s="234"/>
      <c r="D11" s="20">
        <f t="shared" si="0"/>
        <v>25552.752</v>
      </c>
      <c r="E11" s="20">
        <f>sUMMARY!O6</f>
        <v>2129.3960000000002</v>
      </c>
      <c r="F11" s="1"/>
    </row>
    <row r="12" spans="1:6" ht="18.75" x14ac:dyDescent="0.3">
      <c r="A12" s="234" t="s">
        <v>115</v>
      </c>
      <c r="B12" s="234"/>
      <c r="C12" s="234"/>
      <c r="D12" s="20">
        <f t="shared" si="0"/>
        <v>120000</v>
      </c>
      <c r="E12" s="20">
        <f>sUMMARY!P6</f>
        <v>10000</v>
      </c>
      <c r="F12" s="1"/>
    </row>
    <row r="13" spans="1:6" ht="18.75" x14ac:dyDescent="0.3">
      <c r="A13" s="235" t="s">
        <v>118</v>
      </c>
      <c r="B13" s="235"/>
      <c r="C13" s="235"/>
      <c r="D13" s="21">
        <f t="shared" si="0"/>
        <v>2464464.9960000003</v>
      </c>
      <c r="E13" s="21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AF0-5C3D-4BEB-B562-5A8D1FF84ADB}">
  <dimension ref="A1:F14"/>
  <sheetViews>
    <sheetView workbookViewId="0">
      <selection activeCell="D34" sqref="D34"/>
    </sheetView>
  </sheetViews>
  <sheetFormatPr defaultRowHeight="12.75" x14ac:dyDescent="0.2"/>
  <cols>
    <col min="3" max="3" width="11.7109375" customWidth="1"/>
    <col min="4" max="4" width="19.42578125" customWidth="1"/>
    <col min="5" max="5" width="18.85546875" customWidth="1"/>
  </cols>
  <sheetData>
    <row r="1" spans="1:6" ht="18.75" x14ac:dyDescent="0.3">
      <c r="A1" s="241" t="s">
        <v>131</v>
      </c>
      <c r="B1" s="241"/>
      <c r="C1" s="241"/>
      <c r="D1" s="241"/>
      <c r="E1" s="241"/>
      <c r="F1" s="241"/>
    </row>
    <row r="2" spans="1:6" ht="18.75" x14ac:dyDescent="0.3">
      <c r="A2" s="240" t="s">
        <v>132</v>
      </c>
      <c r="B2" s="240"/>
      <c r="C2" s="240"/>
      <c r="D2" s="240"/>
      <c r="E2" s="240"/>
      <c r="F2" s="240"/>
    </row>
    <row r="3" spans="1:6" ht="18.75" x14ac:dyDescent="0.3">
      <c r="A3" s="234"/>
      <c r="B3" s="234"/>
      <c r="C3" s="234"/>
      <c r="D3" s="3" t="s">
        <v>116</v>
      </c>
      <c r="E3" s="3" t="s">
        <v>117</v>
      </c>
      <c r="F3" s="19"/>
    </row>
    <row r="4" spans="1:6" ht="18.75" x14ac:dyDescent="0.3">
      <c r="A4" s="234" t="s">
        <v>108</v>
      </c>
      <c r="B4" s="234"/>
      <c r="C4" s="234"/>
      <c r="D4" s="20">
        <f>E4*12</f>
        <v>207435.96000000002</v>
      </c>
      <c r="E4" s="20">
        <f>sUMMARY!F7</f>
        <v>17286.330000000002</v>
      </c>
      <c r="F4" s="1"/>
    </row>
    <row r="5" spans="1:6" ht="18.75" x14ac:dyDescent="0.3">
      <c r="A5" s="234" t="s">
        <v>109</v>
      </c>
      <c r="B5" s="234"/>
      <c r="C5" s="234"/>
      <c r="D5" s="20">
        <f t="shared" ref="D5:D14" si="0">E5*12</f>
        <v>622307.88000000012</v>
      </c>
      <c r="E5" s="20">
        <f>sUMMARY!H7</f>
        <v>51858.990000000005</v>
      </c>
      <c r="F5" s="1"/>
    </row>
    <row r="6" spans="1:6" ht="18.75" x14ac:dyDescent="0.3">
      <c r="A6" s="234" t="s">
        <v>110</v>
      </c>
      <c r="B6" s="234"/>
      <c r="C6" s="234"/>
      <c r="D6" s="20">
        <f t="shared" si="0"/>
        <v>15557.697</v>
      </c>
      <c r="E6" s="20">
        <f>sUMMARY!I7</f>
        <v>1296.4747500000001</v>
      </c>
      <c r="F6" s="1"/>
    </row>
    <row r="7" spans="1:6" ht="18.75" x14ac:dyDescent="0.3">
      <c r="A7" s="234" t="s">
        <v>107</v>
      </c>
      <c r="B7" s="234"/>
      <c r="C7" s="234"/>
      <c r="D7" s="20">
        <f t="shared" si="0"/>
        <v>0</v>
      </c>
      <c r="E7" s="20">
        <f>sUMMARY!J5</f>
        <v>0</v>
      </c>
      <c r="F7" s="1"/>
    </row>
    <row r="8" spans="1:6" ht="18.75" x14ac:dyDescent="0.3">
      <c r="A8" s="234" t="s">
        <v>111</v>
      </c>
      <c r="B8" s="234"/>
      <c r="C8" s="234"/>
      <c r="D8" s="20">
        <f t="shared" si="0"/>
        <v>103717.98000000001</v>
      </c>
      <c r="E8" s="20">
        <f>sUMMARY!K7</f>
        <v>8643.1650000000009</v>
      </c>
      <c r="F8" s="1"/>
    </row>
    <row r="9" spans="1:6" ht="18.75" x14ac:dyDescent="0.3">
      <c r="A9" s="234" t="s">
        <v>112</v>
      </c>
      <c r="B9" s="234"/>
      <c r="C9" s="234"/>
      <c r="D9" s="20">
        <f t="shared" si="0"/>
        <v>726025.8600000001</v>
      </c>
      <c r="E9" s="20">
        <f>sUMMARY!L7</f>
        <v>60502.155000000006</v>
      </c>
      <c r="F9" s="1"/>
    </row>
    <row r="10" spans="1:6" ht="18.75" x14ac:dyDescent="0.3">
      <c r="A10" s="234" t="s">
        <v>113</v>
      </c>
      <c r="B10" s="234"/>
      <c r="C10" s="234"/>
      <c r="D10" s="20">
        <f t="shared" si="0"/>
        <v>207435.96000000002</v>
      </c>
      <c r="E10" s="20">
        <f>sUMMARY!N7</f>
        <v>17286.330000000002</v>
      </c>
      <c r="F10" s="1"/>
    </row>
    <row r="11" spans="1:6" ht="18.75" x14ac:dyDescent="0.3">
      <c r="A11" s="236" t="s">
        <v>144</v>
      </c>
      <c r="B11" s="237"/>
      <c r="C11" s="238"/>
      <c r="D11" s="20">
        <f t="shared" si="0"/>
        <v>480000</v>
      </c>
      <c r="E11" s="20">
        <v>40000</v>
      </c>
      <c r="F11" s="1"/>
    </row>
    <row r="12" spans="1:6" ht="18.75" x14ac:dyDescent="0.3">
      <c r="A12" s="234" t="s">
        <v>114</v>
      </c>
      <c r="B12" s="234"/>
      <c r="C12" s="234"/>
      <c r="D12" s="20">
        <f t="shared" si="0"/>
        <v>20743.596000000005</v>
      </c>
      <c r="E12" s="20">
        <f>sUMMARY!O7</f>
        <v>1728.6330000000003</v>
      </c>
      <c r="F12" s="1"/>
    </row>
    <row r="13" spans="1:6" ht="18.75" x14ac:dyDescent="0.3">
      <c r="A13" s="234" t="s">
        <v>115</v>
      </c>
      <c r="B13" s="234"/>
      <c r="C13" s="234"/>
      <c r="D13" s="20">
        <f t="shared" si="0"/>
        <v>120000</v>
      </c>
      <c r="E13" s="20">
        <f>sUMMARY!P6</f>
        <v>10000</v>
      </c>
      <c r="F13" s="1"/>
    </row>
    <row r="14" spans="1:6" ht="18.75" x14ac:dyDescent="0.3">
      <c r="A14" s="235" t="s">
        <v>118</v>
      </c>
      <c r="B14" s="235"/>
      <c r="C14" s="235"/>
      <c r="D14" s="21">
        <f t="shared" si="0"/>
        <v>2503224.9330000002</v>
      </c>
      <c r="E14" s="21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0FB0-8053-4145-8686-1E0198C32685}">
  <dimension ref="A1:F14"/>
  <sheetViews>
    <sheetView workbookViewId="0">
      <selection activeCell="I11" sqref="I11"/>
    </sheetView>
  </sheetViews>
  <sheetFormatPr defaultRowHeight="12.75" x14ac:dyDescent="0.2"/>
  <cols>
    <col min="3" max="3" width="11.140625" customWidth="1"/>
    <col min="4" max="4" width="19" customWidth="1"/>
    <col min="5" max="5" width="18.85546875" customWidth="1"/>
  </cols>
  <sheetData>
    <row r="1" spans="1:6" ht="18.75" x14ac:dyDescent="0.3">
      <c r="A1" s="241" t="s">
        <v>135</v>
      </c>
      <c r="B1" s="241"/>
      <c r="C1" s="241"/>
      <c r="D1" s="241"/>
      <c r="E1" s="241"/>
      <c r="F1" s="241"/>
    </row>
    <row r="2" spans="1:6" ht="18.75" x14ac:dyDescent="0.3">
      <c r="A2" s="240" t="s">
        <v>138</v>
      </c>
      <c r="B2" s="240"/>
      <c r="C2" s="240"/>
      <c r="D2" s="240"/>
      <c r="E2" s="240"/>
      <c r="F2" s="240"/>
    </row>
    <row r="3" spans="1:6" ht="18.75" x14ac:dyDescent="0.3">
      <c r="A3" s="234"/>
      <c r="B3" s="234"/>
      <c r="C3" s="234"/>
      <c r="D3" s="3" t="s">
        <v>116</v>
      </c>
      <c r="E3" s="3" t="s">
        <v>117</v>
      </c>
      <c r="F3" s="19"/>
    </row>
    <row r="4" spans="1:6" ht="18.75" x14ac:dyDescent="0.3">
      <c r="A4" s="234" t="s">
        <v>108</v>
      </c>
      <c r="B4" s="234"/>
      <c r="C4" s="234"/>
      <c r="D4" s="20">
        <f>E4*12</f>
        <v>176833.68</v>
      </c>
      <c r="E4" s="20">
        <f>sUMMARY!F8</f>
        <v>14736.14</v>
      </c>
      <c r="F4" s="1"/>
    </row>
    <row r="5" spans="1:6" ht="18.75" x14ac:dyDescent="0.3">
      <c r="A5" s="234" t="s">
        <v>109</v>
      </c>
      <c r="B5" s="234"/>
      <c r="C5" s="234"/>
      <c r="D5" s="20">
        <f t="shared" ref="D5:D14" si="0">E5*12</f>
        <v>530501.04</v>
      </c>
      <c r="E5" s="20">
        <f>sUMMARY!H8</f>
        <v>44208.42</v>
      </c>
      <c r="F5" s="1"/>
    </row>
    <row r="6" spans="1:6" ht="18.75" x14ac:dyDescent="0.3">
      <c r="A6" s="234" t="s">
        <v>110</v>
      </c>
      <c r="B6" s="234"/>
      <c r="C6" s="234"/>
      <c r="D6" s="20">
        <f t="shared" si="0"/>
        <v>13262.525999999998</v>
      </c>
      <c r="E6" s="20">
        <f>sUMMARY!I8</f>
        <v>1105.2104999999999</v>
      </c>
      <c r="F6" s="1"/>
    </row>
    <row r="7" spans="1:6" ht="18.75" x14ac:dyDescent="0.3">
      <c r="A7" s="234" t="s">
        <v>107</v>
      </c>
      <c r="B7" s="234"/>
      <c r="C7" s="234"/>
      <c r="D7" s="20">
        <f t="shared" si="0"/>
        <v>0</v>
      </c>
      <c r="E7" s="20">
        <f>sUMMARY!J5</f>
        <v>0</v>
      </c>
      <c r="F7" s="1"/>
    </row>
    <row r="8" spans="1:6" ht="18.75" x14ac:dyDescent="0.3">
      <c r="A8" s="234" t="s">
        <v>111</v>
      </c>
      <c r="B8" s="234"/>
      <c r="C8" s="234"/>
      <c r="D8" s="20">
        <f t="shared" si="0"/>
        <v>88416.84</v>
      </c>
      <c r="E8" s="20">
        <f>sUMMARY!K8</f>
        <v>7368.07</v>
      </c>
      <c r="F8" s="1"/>
    </row>
    <row r="9" spans="1:6" ht="18.75" x14ac:dyDescent="0.3">
      <c r="A9" s="234" t="s">
        <v>112</v>
      </c>
      <c r="B9" s="234"/>
      <c r="C9" s="234"/>
      <c r="D9" s="20">
        <f t="shared" si="0"/>
        <v>618917.88</v>
      </c>
      <c r="E9" s="20">
        <f>sUMMARY!L8</f>
        <v>51576.49</v>
      </c>
      <c r="F9" s="1"/>
    </row>
    <row r="10" spans="1:6" ht="18.75" x14ac:dyDescent="0.3">
      <c r="A10" s="234" t="s">
        <v>113</v>
      </c>
      <c r="B10" s="234"/>
      <c r="C10" s="234"/>
      <c r="D10" s="20">
        <f t="shared" si="0"/>
        <v>176833.68</v>
      </c>
      <c r="E10" s="20">
        <f>sUMMARY!N8</f>
        <v>14736.14</v>
      </c>
      <c r="F10" s="1"/>
    </row>
    <row r="11" spans="1:6" ht="18.75" x14ac:dyDescent="0.3">
      <c r="A11" s="236" t="s">
        <v>149</v>
      </c>
      <c r="B11" s="237"/>
      <c r="C11" s="238"/>
      <c r="D11" s="20">
        <f t="shared" si="0"/>
        <v>480000</v>
      </c>
      <c r="E11" s="20">
        <v>40000</v>
      </c>
      <c r="F11" s="1"/>
    </row>
    <row r="12" spans="1:6" ht="18.75" x14ac:dyDescent="0.3">
      <c r="A12" s="234" t="s">
        <v>114</v>
      </c>
      <c r="B12" s="234"/>
      <c r="C12" s="234"/>
      <c r="D12" s="20">
        <f t="shared" si="0"/>
        <v>17683.368000000002</v>
      </c>
      <c r="E12" s="20">
        <f>sUMMARY!O8</f>
        <v>1473.614</v>
      </c>
      <c r="F12" s="1"/>
    </row>
    <row r="13" spans="1:6" ht="18.75" x14ac:dyDescent="0.3">
      <c r="A13" s="234" t="s">
        <v>115</v>
      </c>
      <c r="B13" s="234"/>
      <c r="C13" s="234"/>
      <c r="D13" s="20">
        <f t="shared" si="0"/>
        <v>120000</v>
      </c>
      <c r="E13" s="20">
        <f>sUMMARY!P6</f>
        <v>10000</v>
      </c>
      <c r="F13" s="1"/>
    </row>
    <row r="14" spans="1:6" ht="18.75" x14ac:dyDescent="0.3">
      <c r="A14" s="235" t="s">
        <v>118</v>
      </c>
      <c r="B14" s="235"/>
      <c r="C14" s="235"/>
      <c r="D14" s="21">
        <f t="shared" si="0"/>
        <v>2222449.014</v>
      </c>
      <c r="E14" s="21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43BF-65B3-44BD-ACB8-B153F5327FA7}">
  <dimension ref="A1:F12"/>
  <sheetViews>
    <sheetView workbookViewId="0">
      <selection activeCell="O5" sqref="O5"/>
    </sheetView>
  </sheetViews>
  <sheetFormatPr defaultRowHeight="12.75" x14ac:dyDescent="0.2"/>
  <cols>
    <col min="3" max="3" width="11.42578125" customWidth="1"/>
    <col min="4" max="4" width="22.140625" customWidth="1"/>
    <col min="5" max="5" width="22.28515625" customWidth="1"/>
  </cols>
  <sheetData>
    <row r="1" spans="1:6" ht="18.75" x14ac:dyDescent="0.3">
      <c r="A1" s="241" t="s">
        <v>302</v>
      </c>
      <c r="B1" s="241"/>
      <c r="C1" s="241"/>
      <c r="D1" s="241"/>
      <c r="E1" s="241"/>
      <c r="F1" s="241"/>
    </row>
    <row r="2" spans="1:6" ht="18.75" x14ac:dyDescent="0.3">
      <c r="A2" s="240"/>
      <c r="B2" s="240"/>
      <c r="C2" s="240"/>
      <c r="D2" s="240"/>
      <c r="E2" s="240"/>
      <c r="F2" s="240"/>
    </row>
    <row r="3" spans="1:6" ht="18.75" x14ac:dyDescent="0.3">
      <c r="A3" s="234"/>
      <c r="B3" s="234"/>
      <c r="C3" s="234"/>
      <c r="D3" s="3" t="s">
        <v>116</v>
      </c>
      <c r="E3" s="3" t="s">
        <v>117</v>
      </c>
      <c r="F3" s="19"/>
    </row>
    <row r="4" spans="1:6" ht="18.75" x14ac:dyDescent="0.3">
      <c r="A4" s="234" t="s">
        <v>108</v>
      </c>
      <c r="B4" s="234"/>
      <c r="C4" s="234"/>
      <c r="D4" s="20">
        <f>E4*12</f>
        <v>148223.28</v>
      </c>
      <c r="E4" s="20">
        <f>'April 2013'!F91</f>
        <v>12351.94</v>
      </c>
      <c r="F4" s="1"/>
    </row>
    <row r="5" spans="1:6" ht="18.75" x14ac:dyDescent="0.3">
      <c r="A5" s="234" t="s">
        <v>109</v>
      </c>
      <c r="B5" s="234"/>
      <c r="C5" s="234"/>
      <c r="D5" s="20">
        <f t="shared" ref="D5:D12" si="0">E5*12</f>
        <v>444669.83999999997</v>
      </c>
      <c r="E5" s="20">
        <f>'April 2013'!H80</f>
        <v>37055.82</v>
      </c>
      <c r="F5" s="1"/>
    </row>
    <row r="6" spans="1:6" ht="18.75" x14ac:dyDescent="0.3">
      <c r="A6" s="234" t="s">
        <v>110</v>
      </c>
      <c r="B6" s="234"/>
      <c r="C6" s="234"/>
      <c r="D6" s="20">
        <f t="shared" si="0"/>
        <v>11116.745999999999</v>
      </c>
      <c r="E6" s="20">
        <f>'April 2013'!I85</f>
        <v>926.39549999999997</v>
      </c>
      <c r="F6" s="1"/>
    </row>
    <row r="7" spans="1:6" ht="18.75" x14ac:dyDescent="0.3">
      <c r="A7" s="234" t="s">
        <v>111</v>
      </c>
      <c r="B7" s="234"/>
      <c r="C7" s="234"/>
      <c r="D7" s="20">
        <f t="shared" si="0"/>
        <v>74111.64</v>
      </c>
      <c r="E7" s="20">
        <f>'April 2013'!K81</f>
        <v>6175.97</v>
      </c>
      <c r="F7" s="1"/>
    </row>
    <row r="8" spans="1:6" ht="18.75" x14ac:dyDescent="0.3">
      <c r="A8" s="234" t="s">
        <v>112</v>
      </c>
      <c r="B8" s="234"/>
      <c r="C8" s="234"/>
      <c r="D8" s="20">
        <f t="shared" si="0"/>
        <v>518781.48</v>
      </c>
      <c r="E8" s="20">
        <f>'April 2013'!L80</f>
        <v>43231.79</v>
      </c>
      <c r="F8" s="1"/>
    </row>
    <row r="9" spans="1:6" ht="18.75" x14ac:dyDescent="0.3">
      <c r="A9" s="234" t="s">
        <v>113</v>
      </c>
      <c r="B9" s="234"/>
      <c r="C9" s="234"/>
      <c r="D9" s="20">
        <f t="shared" si="0"/>
        <v>148223.28</v>
      </c>
      <c r="E9" s="20">
        <f>'April 2013'!N81</f>
        <v>12351.94</v>
      </c>
      <c r="F9" s="1"/>
    </row>
    <row r="10" spans="1:6" ht="18.75" x14ac:dyDescent="0.3">
      <c r="A10" s="234" t="s">
        <v>114</v>
      </c>
      <c r="B10" s="234"/>
      <c r="C10" s="234"/>
      <c r="D10" s="20">
        <f t="shared" si="0"/>
        <v>14822.328000000001</v>
      </c>
      <c r="E10" s="20">
        <f>'April 2013'!P78</f>
        <v>1235.1940000000002</v>
      </c>
      <c r="F10" s="1"/>
    </row>
    <row r="11" spans="1:6" ht="18.75" x14ac:dyDescent="0.3">
      <c r="A11" s="234" t="s">
        <v>115</v>
      </c>
      <c r="B11" s="234"/>
      <c r="C11" s="234"/>
      <c r="D11" s="20">
        <f t="shared" si="0"/>
        <v>120000</v>
      </c>
      <c r="E11" s="20">
        <f>'April 2013'!Q81</f>
        <v>10000</v>
      </c>
      <c r="F11" s="1"/>
    </row>
    <row r="12" spans="1:6" ht="18.75" x14ac:dyDescent="0.3">
      <c r="A12" s="235" t="s">
        <v>118</v>
      </c>
      <c r="B12" s="235"/>
      <c r="C12" s="235"/>
      <c r="D12" s="21">
        <f t="shared" si="0"/>
        <v>1479948.594</v>
      </c>
      <c r="E12" s="21">
        <f>SUM(E4:E11)</f>
        <v>123329.04950000001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4146-7219-450B-AF72-F370C9C7F3B6}">
  <dimension ref="A1:V9"/>
  <sheetViews>
    <sheetView topLeftCell="D1" workbookViewId="0">
      <selection activeCell="O3" sqref="O3"/>
    </sheetView>
  </sheetViews>
  <sheetFormatPr defaultRowHeight="12.75" x14ac:dyDescent="0.2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 x14ac:dyDescent="0.3">
      <c r="F1" s="2" t="s">
        <v>1</v>
      </c>
      <c r="G1" s="2" t="s">
        <v>102</v>
      </c>
      <c r="H1" s="2"/>
      <c r="I1" s="2"/>
      <c r="J1" s="2"/>
      <c r="K1" s="2"/>
      <c r="L1" s="2"/>
      <c r="M1" s="2" t="s">
        <v>52</v>
      </c>
      <c r="N1" s="2" t="s">
        <v>70</v>
      </c>
      <c r="O1" s="2" t="s">
        <v>145</v>
      </c>
      <c r="P1" s="2" t="s">
        <v>66</v>
      </c>
      <c r="Q1" s="2" t="s">
        <v>72</v>
      </c>
      <c r="R1" s="2" t="s">
        <v>73</v>
      </c>
      <c r="S1" s="2" t="s">
        <v>4</v>
      </c>
      <c r="T1" s="14"/>
      <c r="U1" s="8" t="s">
        <v>104</v>
      </c>
      <c r="V1" s="7" t="s">
        <v>103</v>
      </c>
    </row>
    <row r="2" spans="1:22" ht="18.75" x14ac:dyDescent="0.3">
      <c r="F2" s="2" t="s">
        <v>58</v>
      </c>
      <c r="G2" s="2" t="s">
        <v>101</v>
      </c>
      <c r="H2" s="2" t="s">
        <v>2</v>
      </c>
      <c r="I2" s="2" t="s">
        <v>3</v>
      </c>
      <c r="J2" s="2" t="s">
        <v>53</v>
      </c>
      <c r="K2" s="2" t="s">
        <v>67</v>
      </c>
      <c r="L2" s="2" t="s">
        <v>68</v>
      </c>
      <c r="M2" s="2" t="s">
        <v>69</v>
      </c>
      <c r="N2" s="2" t="s">
        <v>71</v>
      </c>
      <c r="O2" s="2" t="s">
        <v>146</v>
      </c>
      <c r="P2" s="2" t="s">
        <v>54</v>
      </c>
      <c r="Q2" s="2" t="s">
        <v>54</v>
      </c>
      <c r="R2" s="2" t="s">
        <v>74</v>
      </c>
      <c r="S2" s="2" t="s">
        <v>58</v>
      </c>
      <c r="T2" s="2" t="s">
        <v>60</v>
      </c>
      <c r="U2" s="8"/>
      <c r="V2" s="7"/>
    </row>
    <row r="3" spans="1:22" ht="18.75" x14ac:dyDescent="0.3">
      <c r="A3" s="242" t="s">
        <v>125</v>
      </c>
      <c r="B3" s="243"/>
      <c r="C3" s="244"/>
      <c r="D3" s="22"/>
      <c r="E3" s="22" t="s">
        <v>119</v>
      </c>
      <c r="F3" s="23">
        <v>76339.3</v>
      </c>
      <c r="G3" s="23"/>
      <c r="H3" s="23">
        <f t="shared" ref="H3:H9" si="0">F3*300%</f>
        <v>229017.90000000002</v>
      </c>
      <c r="I3" s="23">
        <f t="shared" ref="I3:I9" si="1">F3*7.5%</f>
        <v>5725.4475000000002</v>
      </c>
      <c r="J3" s="23">
        <v>80244.38</v>
      </c>
      <c r="K3" s="23">
        <f t="shared" ref="K3:K9" si="2">F3*50%</f>
        <v>38169.65</v>
      </c>
      <c r="L3" s="23">
        <f t="shared" ref="L3:L9" si="3">F3*350%</f>
        <v>267187.55</v>
      </c>
      <c r="M3" s="23">
        <v>0</v>
      </c>
      <c r="N3" s="23">
        <f t="shared" ref="N3:N9" si="4">F3*100%</f>
        <v>76339.3</v>
      </c>
      <c r="O3" s="23">
        <f t="shared" ref="O3:O9" si="5">F3*10%</f>
        <v>7633.93</v>
      </c>
      <c r="P3" s="23">
        <v>20000</v>
      </c>
      <c r="Q3" s="23">
        <v>0</v>
      </c>
      <c r="R3" s="23">
        <f t="shared" ref="R3:R9" si="6">SUM(F3:Q3)</f>
        <v>800657.45750000014</v>
      </c>
      <c r="S3" s="23"/>
      <c r="T3" s="15"/>
      <c r="U3" s="18"/>
    </row>
    <row r="4" spans="1:22" ht="18.75" x14ac:dyDescent="0.3">
      <c r="A4" s="245" t="s">
        <v>126</v>
      </c>
      <c r="B4" s="246"/>
      <c r="C4" s="247"/>
      <c r="D4" s="26"/>
      <c r="E4" s="29" t="s">
        <v>148</v>
      </c>
      <c r="F4" s="27">
        <v>24975.81</v>
      </c>
      <c r="G4" s="23">
        <v>0</v>
      </c>
      <c r="H4" s="27">
        <f>F4*300%</f>
        <v>74927.430000000008</v>
      </c>
      <c r="I4" s="27">
        <f>F4*7.5%</f>
        <v>1873.1857500000001</v>
      </c>
      <c r="J4" s="27">
        <v>0</v>
      </c>
      <c r="K4" s="27">
        <f>F4*50%</f>
        <v>12487.905000000001</v>
      </c>
      <c r="L4" s="27">
        <f>F4*350%</f>
        <v>87415.335000000006</v>
      </c>
      <c r="M4" s="27">
        <v>0</v>
      </c>
      <c r="N4" s="27">
        <f>F4*100%</f>
        <v>24975.81</v>
      </c>
      <c r="O4" s="27">
        <v>100000</v>
      </c>
      <c r="P4" s="27">
        <f>F4*10%</f>
        <v>2497.5810000000001</v>
      </c>
      <c r="Q4" s="27">
        <v>20000</v>
      </c>
      <c r="R4" s="27">
        <v>0</v>
      </c>
      <c r="S4" s="23">
        <f>SUM(F4:R4)</f>
        <v>349153.05674999999</v>
      </c>
      <c r="T4" s="23">
        <v>0</v>
      </c>
      <c r="U4" s="28">
        <f>S4-T4</f>
        <v>349153.05674999999</v>
      </c>
      <c r="V4" s="23">
        <v>344720.6</v>
      </c>
    </row>
    <row r="5" spans="1:22" ht="18.75" x14ac:dyDescent="0.3">
      <c r="A5" s="242" t="s">
        <v>129</v>
      </c>
      <c r="B5" s="243"/>
      <c r="C5" s="244"/>
      <c r="D5" s="22"/>
      <c r="E5" s="22" t="s">
        <v>127</v>
      </c>
      <c r="F5" s="23">
        <v>23891.119999999999</v>
      </c>
      <c r="G5" s="23"/>
      <c r="H5" s="23">
        <f t="shared" si="0"/>
        <v>71673.36</v>
      </c>
      <c r="I5" s="23">
        <f t="shared" si="1"/>
        <v>1791.8339999999998</v>
      </c>
      <c r="J5" s="23">
        <v>0</v>
      </c>
      <c r="K5" s="23">
        <f t="shared" si="2"/>
        <v>11945.56</v>
      </c>
      <c r="L5" s="23">
        <f t="shared" si="3"/>
        <v>83618.92</v>
      </c>
      <c r="M5" s="23">
        <v>0</v>
      </c>
      <c r="N5" s="23">
        <f t="shared" si="4"/>
        <v>23891.119999999999</v>
      </c>
      <c r="O5" s="23">
        <f t="shared" si="5"/>
        <v>2389.1120000000001</v>
      </c>
      <c r="P5" s="23">
        <v>15000</v>
      </c>
      <c r="Q5" s="23">
        <v>0</v>
      </c>
      <c r="R5" s="23">
        <f t="shared" si="6"/>
        <v>234201.02599999998</v>
      </c>
      <c r="S5" s="23"/>
      <c r="T5" s="15"/>
      <c r="U5" s="18"/>
    </row>
    <row r="6" spans="1:22" ht="18.75" x14ac:dyDescent="0.3">
      <c r="A6" s="242" t="s">
        <v>147</v>
      </c>
      <c r="B6" s="243"/>
      <c r="C6" s="244"/>
      <c r="D6" s="22"/>
      <c r="E6" s="22" t="s">
        <v>130</v>
      </c>
      <c r="F6" s="23">
        <v>21293.96</v>
      </c>
      <c r="G6" s="23"/>
      <c r="H6" s="23">
        <f t="shared" si="0"/>
        <v>63881.88</v>
      </c>
      <c r="I6" s="23">
        <f t="shared" si="1"/>
        <v>1597.0469999999998</v>
      </c>
      <c r="J6" s="23">
        <v>0</v>
      </c>
      <c r="K6" s="23">
        <f t="shared" si="2"/>
        <v>10646.98</v>
      </c>
      <c r="L6" s="23">
        <f t="shared" si="3"/>
        <v>74528.86</v>
      </c>
      <c r="M6" s="23">
        <v>0</v>
      </c>
      <c r="N6" s="23">
        <f t="shared" si="4"/>
        <v>21293.96</v>
      </c>
      <c r="O6" s="23">
        <f t="shared" si="5"/>
        <v>2129.3960000000002</v>
      </c>
      <c r="P6" s="23">
        <v>10000</v>
      </c>
      <c r="Q6" s="23">
        <v>0</v>
      </c>
      <c r="R6" s="23">
        <f t="shared" si="6"/>
        <v>205372.08300000001</v>
      </c>
      <c r="S6" s="23"/>
      <c r="T6" s="15"/>
      <c r="U6" s="18"/>
    </row>
    <row r="7" spans="1:22" ht="18.75" x14ac:dyDescent="0.3">
      <c r="A7" s="242" t="s">
        <v>133</v>
      </c>
      <c r="B7" s="243"/>
      <c r="C7" s="244"/>
      <c r="D7" s="22"/>
      <c r="E7" s="22" t="s">
        <v>134</v>
      </c>
      <c r="F7" s="23">
        <v>17286.330000000002</v>
      </c>
      <c r="G7" s="23"/>
      <c r="H7" s="23">
        <f t="shared" si="0"/>
        <v>51858.990000000005</v>
      </c>
      <c r="I7" s="23">
        <f t="shared" si="1"/>
        <v>1296.4747500000001</v>
      </c>
      <c r="J7" s="23">
        <v>0</v>
      </c>
      <c r="K7" s="23">
        <f t="shared" si="2"/>
        <v>8643.1650000000009</v>
      </c>
      <c r="L7" s="23">
        <f t="shared" si="3"/>
        <v>60502.155000000006</v>
      </c>
      <c r="M7" s="23">
        <v>0</v>
      </c>
      <c r="N7" s="23">
        <f t="shared" si="4"/>
        <v>17286.330000000002</v>
      </c>
      <c r="O7" s="23">
        <f t="shared" si="5"/>
        <v>1728.6330000000003</v>
      </c>
      <c r="P7" s="23">
        <v>10000</v>
      </c>
      <c r="Q7" s="23">
        <v>0</v>
      </c>
      <c r="R7" s="23">
        <f t="shared" si="6"/>
        <v>168602.07775000003</v>
      </c>
      <c r="S7" s="23"/>
      <c r="T7" s="15"/>
      <c r="U7" s="18"/>
    </row>
    <row r="8" spans="1:22" ht="18.75" x14ac:dyDescent="0.3">
      <c r="A8" s="242" t="s">
        <v>136</v>
      </c>
      <c r="B8" s="243"/>
      <c r="C8" s="244"/>
      <c r="D8" s="22"/>
      <c r="E8" s="22" t="s">
        <v>137</v>
      </c>
      <c r="F8" s="23">
        <v>14736.14</v>
      </c>
      <c r="G8" s="23"/>
      <c r="H8" s="23">
        <f t="shared" si="0"/>
        <v>44208.42</v>
      </c>
      <c r="I8" s="23">
        <f t="shared" si="1"/>
        <v>1105.2104999999999</v>
      </c>
      <c r="J8" s="23">
        <v>0</v>
      </c>
      <c r="K8" s="23">
        <f t="shared" si="2"/>
        <v>7368.07</v>
      </c>
      <c r="L8" s="23">
        <f t="shared" si="3"/>
        <v>51576.49</v>
      </c>
      <c r="M8" s="23">
        <v>0</v>
      </c>
      <c r="N8" s="23">
        <f t="shared" si="4"/>
        <v>14736.14</v>
      </c>
      <c r="O8" s="23">
        <f t="shared" si="5"/>
        <v>1473.614</v>
      </c>
      <c r="P8" s="23">
        <v>10000</v>
      </c>
      <c r="Q8" s="23">
        <v>0</v>
      </c>
      <c r="R8" s="23">
        <f t="shared" si="6"/>
        <v>145204.0845</v>
      </c>
      <c r="S8" s="23"/>
      <c r="T8" s="15"/>
      <c r="U8" s="18"/>
    </row>
    <row r="9" spans="1:22" ht="18.75" x14ac:dyDescent="0.3">
      <c r="A9" s="242"/>
      <c r="B9" s="243"/>
      <c r="C9" s="244"/>
      <c r="D9" s="22"/>
      <c r="E9" s="22" t="s">
        <v>139</v>
      </c>
      <c r="F9" s="23">
        <v>12351.94</v>
      </c>
      <c r="G9" s="23"/>
      <c r="H9" s="23">
        <f t="shared" si="0"/>
        <v>37055.82</v>
      </c>
      <c r="I9" s="23">
        <f t="shared" si="1"/>
        <v>926.39549999999997</v>
      </c>
      <c r="J9" s="23">
        <v>0</v>
      </c>
      <c r="K9" s="23">
        <f t="shared" si="2"/>
        <v>6175.97</v>
      </c>
      <c r="L9" s="23">
        <f t="shared" si="3"/>
        <v>43231.79</v>
      </c>
      <c r="M9" s="23">
        <v>0</v>
      </c>
      <c r="N9" s="23">
        <f t="shared" si="4"/>
        <v>12351.94</v>
      </c>
      <c r="O9" s="23">
        <f t="shared" si="5"/>
        <v>1235.1940000000002</v>
      </c>
      <c r="P9" s="23">
        <v>10000</v>
      </c>
      <c r="Q9" s="23">
        <v>0</v>
      </c>
      <c r="R9" s="23">
        <f t="shared" si="6"/>
        <v>123329.04950000001</v>
      </c>
      <c r="S9" s="23"/>
      <c r="T9" s="15"/>
      <c r="U9" s="18"/>
    </row>
  </sheetData>
  <mergeCells count="7">
    <mergeCell ref="A9:C9"/>
    <mergeCell ref="A5:C5"/>
    <mergeCell ref="A6:C6"/>
    <mergeCell ref="A7:C7"/>
    <mergeCell ref="A8:C8"/>
    <mergeCell ref="A3:C3"/>
    <mergeCell ref="A4:C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69BF-A792-408E-AECD-BE859C5EAC8E}">
  <dimension ref="A1:F14"/>
  <sheetViews>
    <sheetView workbookViewId="0">
      <selection activeCell="E4" sqref="E4"/>
    </sheetView>
  </sheetViews>
  <sheetFormatPr defaultRowHeight="12.75" x14ac:dyDescent="0.2"/>
  <cols>
    <col min="3" max="3" width="15.28515625" customWidth="1"/>
    <col min="4" max="4" width="18.7109375" customWidth="1"/>
    <col min="5" max="5" width="18.85546875" customWidth="1"/>
  </cols>
  <sheetData>
    <row r="1" spans="1:6" ht="18.75" x14ac:dyDescent="0.3">
      <c r="A1" s="241" t="s">
        <v>150</v>
      </c>
      <c r="B1" s="241"/>
      <c r="C1" s="241"/>
      <c r="D1" s="241"/>
      <c r="E1" s="241"/>
      <c r="F1" s="241"/>
    </row>
    <row r="2" spans="1:6" ht="18.75" x14ac:dyDescent="0.3">
      <c r="A2" s="240" t="s">
        <v>151</v>
      </c>
      <c r="B2" s="240"/>
      <c r="C2" s="240"/>
      <c r="D2" s="240"/>
      <c r="E2" s="240"/>
      <c r="F2" s="240"/>
    </row>
    <row r="3" spans="1:6" ht="18.75" x14ac:dyDescent="0.3">
      <c r="A3" s="234"/>
      <c r="B3" s="234"/>
      <c r="C3" s="234"/>
      <c r="D3" s="3" t="s">
        <v>116</v>
      </c>
      <c r="E3" s="3" t="s">
        <v>117</v>
      </c>
      <c r="F3" s="19"/>
    </row>
    <row r="4" spans="1:6" ht="18.75" x14ac:dyDescent="0.3">
      <c r="A4" s="234" t="s">
        <v>108</v>
      </c>
      <c r="B4" s="234"/>
      <c r="C4" s="234"/>
      <c r="D4" s="20">
        <f>E4*12</f>
        <v>299709.72000000003</v>
      </c>
      <c r="E4" s="20">
        <f>sUMMARY!F4</f>
        <v>24975.81</v>
      </c>
      <c r="F4" s="1"/>
    </row>
    <row r="5" spans="1:6" ht="18.75" x14ac:dyDescent="0.3">
      <c r="A5" s="234" t="s">
        <v>109</v>
      </c>
      <c r="B5" s="234"/>
      <c r="C5" s="234"/>
      <c r="D5" s="20">
        <f t="shared" ref="D5:D14" si="0">E5*12</f>
        <v>899129.16000000015</v>
      </c>
      <c r="E5" s="20">
        <f>sUMMARY!H4</f>
        <v>74927.430000000008</v>
      </c>
      <c r="F5" s="1"/>
    </row>
    <row r="6" spans="1:6" ht="18.75" x14ac:dyDescent="0.3">
      <c r="A6" s="234" t="s">
        <v>110</v>
      </c>
      <c r="B6" s="234"/>
      <c r="C6" s="234"/>
      <c r="D6" s="20">
        <f t="shared" si="0"/>
        <v>22478.228999999999</v>
      </c>
      <c r="E6" s="20">
        <f>sUMMARY!I4</f>
        <v>1873.1857500000001</v>
      </c>
      <c r="F6" s="1"/>
    </row>
    <row r="7" spans="1:6" ht="18.75" x14ac:dyDescent="0.3">
      <c r="A7" s="234" t="s">
        <v>107</v>
      </c>
      <c r="B7" s="234"/>
      <c r="C7" s="234"/>
      <c r="D7" s="20">
        <f t="shared" si="0"/>
        <v>0</v>
      </c>
      <c r="E7" s="20">
        <f>sUMMARY!J5</f>
        <v>0</v>
      </c>
      <c r="F7" s="1"/>
    </row>
    <row r="8" spans="1:6" ht="18.75" x14ac:dyDescent="0.3">
      <c r="A8" s="234" t="s">
        <v>111</v>
      </c>
      <c r="B8" s="234"/>
      <c r="C8" s="234"/>
      <c r="D8" s="20">
        <f t="shared" si="0"/>
        <v>149854.86000000002</v>
      </c>
      <c r="E8" s="20">
        <f>sUMMARY!K4</f>
        <v>12487.905000000001</v>
      </c>
      <c r="F8" s="1"/>
    </row>
    <row r="9" spans="1:6" ht="18.75" x14ac:dyDescent="0.3">
      <c r="A9" s="234" t="s">
        <v>112</v>
      </c>
      <c r="B9" s="234"/>
      <c r="C9" s="234"/>
      <c r="D9" s="20">
        <f t="shared" si="0"/>
        <v>1048984.02</v>
      </c>
      <c r="E9" s="20">
        <f>sUMMARY!L4</f>
        <v>87415.335000000006</v>
      </c>
      <c r="F9" s="1"/>
    </row>
    <row r="10" spans="1:6" ht="18.75" x14ac:dyDescent="0.3">
      <c r="A10" s="234" t="s">
        <v>113</v>
      </c>
      <c r="B10" s="234"/>
      <c r="C10" s="234"/>
      <c r="D10" s="20">
        <f t="shared" si="0"/>
        <v>299709.72000000003</v>
      </c>
      <c r="E10" s="20">
        <f>sUMMARY!N4</f>
        <v>24975.81</v>
      </c>
      <c r="F10" s="1"/>
    </row>
    <row r="11" spans="1:6" ht="18.75" x14ac:dyDescent="0.3">
      <c r="A11" s="236" t="s">
        <v>144</v>
      </c>
      <c r="B11" s="237"/>
      <c r="C11" s="238"/>
      <c r="D11" s="20">
        <f t="shared" si="0"/>
        <v>1200000</v>
      </c>
      <c r="E11" s="20">
        <f>sUMMARY!O4</f>
        <v>100000</v>
      </c>
      <c r="F11" s="1"/>
    </row>
    <row r="12" spans="1:6" ht="18.75" x14ac:dyDescent="0.3">
      <c r="A12" s="234" t="s">
        <v>114</v>
      </c>
      <c r="B12" s="234"/>
      <c r="C12" s="234"/>
      <c r="D12" s="20">
        <f t="shared" si="0"/>
        <v>29970.972000000002</v>
      </c>
      <c r="E12" s="20">
        <f>sUMMARY!P4</f>
        <v>2497.5810000000001</v>
      </c>
      <c r="F12" s="1"/>
    </row>
    <row r="13" spans="1:6" ht="18.75" x14ac:dyDescent="0.3">
      <c r="A13" s="234" t="s">
        <v>115</v>
      </c>
      <c r="B13" s="234"/>
      <c r="C13" s="234"/>
      <c r="D13" s="20">
        <f t="shared" si="0"/>
        <v>240000</v>
      </c>
      <c r="E13" s="20">
        <f>sUMMARY!Q4</f>
        <v>20000</v>
      </c>
      <c r="F13" s="1"/>
    </row>
    <row r="14" spans="1:6" ht="18.75" x14ac:dyDescent="0.3">
      <c r="A14" s="235" t="s">
        <v>118</v>
      </c>
      <c r="B14" s="235"/>
      <c r="C14" s="235"/>
      <c r="D14" s="21">
        <f t="shared" si="0"/>
        <v>4189836.6809999999</v>
      </c>
      <c r="E14" s="21">
        <f>SUM(E4:E13)</f>
        <v>349153.05674999999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3D39-908C-4687-B259-50F5B014EC9F}">
  <dimension ref="A1:E46"/>
  <sheetViews>
    <sheetView view="pageBreakPreview" topLeftCell="A10" zoomScale="60" zoomScaleNormal="100" workbookViewId="0">
      <selection activeCell="H28" sqref="H28"/>
    </sheetView>
  </sheetViews>
  <sheetFormatPr defaultRowHeight="12.75" x14ac:dyDescent="0.2"/>
  <cols>
    <col min="3" max="3" width="25.42578125" customWidth="1"/>
    <col min="4" max="4" width="36.85546875" customWidth="1"/>
    <col min="5" max="5" width="21.42578125" customWidth="1"/>
  </cols>
  <sheetData>
    <row r="1" spans="1:5" ht="20.25" customHeight="1" x14ac:dyDescent="0.3">
      <c r="A1" s="250" t="s">
        <v>157</v>
      </c>
      <c r="B1" s="250"/>
      <c r="C1" s="250"/>
      <c r="D1" s="250"/>
      <c r="E1" s="250"/>
    </row>
    <row r="2" spans="1:5" ht="18" x14ac:dyDescent="0.25">
      <c r="A2" s="190" t="s">
        <v>0</v>
      </c>
      <c r="B2" s="191"/>
      <c r="C2" s="191"/>
      <c r="D2" s="38"/>
      <c r="E2" s="38"/>
    </row>
    <row r="3" spans="1:5" ht="18" x14ac:dyDescent="0.25">
      <c r="A3" s="189"/>
      <c r="B3" s="189"/>
      <c r="C3" s="189"/>
      <c r="D3" s="39" t="s">
        <v>13</v>
      </c>
      <c r="E3" s="39" t="s">
        <v>59</v>
      </c>
    </row>
    <row r="4" spans="1:5" ht="18" x14ac:dyDescent="0.25">
      <c r="A4" s="195"/>
      <c r="B4" s="195"/>
      <c r="C4" s="195"/>
      <c r="D4" s="39"/>
      <c r="E4" s="39" t="s">
        <v>57</v>
      </c>
    </row>
    <row r="5" spans="1:5" ht="18" x14ac:dyDescent="0.25">
      <c r="A5" s="205" t="s">
        <v>22</v>
      </c>
      <c r="B5" s="205"/>
      <c r="C5" s="205"/>
      <c r="D5" s="42"/>
      <c r="E5" s="42"/>
    </row>
    <row r="6" spans="1:5" ht="18" x14ac:dyDescent="0.25">
      <c r="A6" s="249" t="s">
        <v>46</v>
      </c>
      <c r="B6" s="249"/>
      <c r="C6" s="249"/>
      <c r="D6" s="44" t="s">
        <v>21</v>
      </c>
      <c r="E6" s="44" t="s">
        <v>55</v>
      </c>
    </row>
    <row r="7" spans="1:5" ht="18" x14ac:dyDescent="0.25">
      <c r="A7" s="249" t="s">
        <v>81</v>
      </c>
      <c r="B7" s="249"/>
      <c r="C7" s="249"/>
      <c r="D7" s="44" t="s">
        <v>82</v>
      </c>
      <c r="E7" s="44" t="s">
        <v>49</v>
      </c>
    </row>
    <row r="8" spans="1:5" ht="18" x14ac:dyDescent="0.25">
      <c r="A8" s="249" t="s">
        <v>93</v>
      </c>
      <c r="B8" s="249"/>
      <c r="C8" s="249"/>
      <c r="D8" s="44" t="s">
        <v>84</v>
      </c>
      <c r="E8" s="44" t="s">
        <v>49</v>
      </c>
    </row>
    <row r="9" spans="1:5" ht="18" x14ac:dyDescent="0.25">
      <c r="A9" s="248" t="s">
        <v>23</v>
      </c>
      <c r="B9" s="248"/>
      <c r="C9" s="248"/>
      <c r="D9" s="46" t="s">
        <v>29</v>
      </c>
      <c r="E9" s="47" t="s">
        <v>50</v>
      </c>
    </row>
    <row r="10" spans="1:5" ht="18" x14ac:dyDescent="0.25">
      <c r="A10" s="248" t="s">
        <v>24</v>
      </c>
      <c r="B10" s="248"/>
      <c r="C10" s="248"/>
      <c r="D10" s="46" t="s">
        <v>25</v>
      </c>
      <c r="E10" s="46" t="s">
        <v>47</v>
      </c>
    </row>
    <row r="11" spans="1:5" ht="18" x14ac:dyDescent="0.25">
      <c r="A11" s="249" t="s">
        <v>26</v>
      </c>
      <c r="B11" s="249"/>
      <c r="C11" s="249"/>
      <c r="D11" s="44" t="s">
        <v>27</v>
      </c>
      <c r="E11" s="44" t="s">
        <v>56</v>
      </c>
    </row>
    <row r="12" spans="1:5" ht="18" x14ac:dyDescent="0.25">
      <c r="A12" s="261"/>
      <c r="B12" s="261"/>
      <c r="C12" s="261"/>
      <c r="D12" s="46"/>
      <c r="E12" s="46"/>
    </row>
    <row r="13" spans="1:5" ht="18" x14ac:dyDescent="0.25">
      <c r="A13" s="254" t="s">
        <v>94</v>
      </c>
      <c r="B13" s="254"/>
      <c r="C13" s="254"/>
      <c r="D13" s="49"/>
      <c r="E13" s="49"/>
    </row>
    <row r="14" spans="1:5" ht="18" x14ac:dyDescent="0.25">
      <c r="A14" s="50" t="s">
        <v>12</v>
      </c>
      <c r="B14" s="50"/>
      <c r="C14" s="50"/>
      <c r="D14" s="44" t="s">
        <v>28</v>
      </c>
      <c r="E14" s="44" t="s">
        <v>49</v>
      </c>
    </row>
    <row r="15" spans="1:5" ht="18" x14ac:dyDescent="0.25">
      <c r="A15" s="255"/>
      <c r="B15" s="256"/>
      <c r="C15" s="257"/>
      <c r="D15" s="41"/>
      <c r="E15" s="48"/>
    </row>
    <row r="16" spans="1:5" ht="18" x14ac:dyDescent="0.25">
      <c r="A16" s="51" t="s">
        <v>95</v>
      </c>
      <c r="B16" s="51"/>
      <c r="C16" s="51"/>
      <c r="D16" s="51"/>
      <c r="E16" s="48"/>
    </row>
    <row r="17" spans="1:5" ht="18" x14ac:dyDescent="0.25">
      <c r="A17" s="249" t="s">
        <v>31</v>
      </c>
      <c r="B17" s="249"/>
      <c r="C17" s="249"/>
      <c r="D17" s="46" t="s">
        <v>96</v>
      </c>
      <c r="E17" s="46" t="s">
        <v>49</v>
      </c>
    </row>
    <row r="18" spans="1:5" ht="18" x14ac:dyDescent="0.25">
      <c r="A18" s="258" t="s">
        <v>33</v>
      </c>
      <c r="B18" s="259"/>
      <c r="C18" s="260"/>
      <c r="D18" s="46" t="s">
        <v>97</v>
      </c>
      <c r="E18" s="52" t="s">
        <v>49</v>
      </c>
    </row>
    <row r="19" spans="1:5" ht="18" x14ac:dyDescent="0.25">
      <c r="A19" s="249" t="s">
        <v>11</v>
      </c>
      <c r="B19" s="249"/>
      <c r="C19" s="249"/>
      <c r="D19" s="46" t="s">
        <v>32</v>
      </c>
      <c r="E19" s="46" t="s">
        <v>120</v>
      </c>
    </row>
    <row r="20" spans="1:5" ht="18" x14ac:dyDescent="0.25">
      <c r="A20" s="53"/>
      <c r="B20" s="54"/>
      <c r="C20" s="55"/>
      <c r="D20" s="41"/>
      <c r="E20" s="48"/>
    </row>
    <row r="21" spans="1:5" ht="18" x14ac:dyDescent="0.25">
      <c r="A21" s="251" t="s">
        <v>156</v>
      </c>
      <c r="B21" s="252"/>
      <c r="C21" s="253"/>
      <c r="D21" s="41"/>
      <c r="E21" s="48"/>
    </row>
    <row r="22" spans="1:5" ht="18" x14ac:dyDescent="0.25">
      <c r="A22" s="251" t="s">
        <v>152</v>
      </c>
      <c r="B22" s="252"/>
      <c r="C22" s="253"/>
      <c r="D22" s="44" t="s">
        <v>153</v>
      </c>
      <c r="E22" s="44" t="s">
        <v>154</v>
      </c>
    </row>
    <row r="23" spans="1:5" ht="18" x14ac:dyDescent="0.25">
      <c r="A23" s="249" t="s">
        <v>34</v>
      </c>
      <c r="B23" s="249"/>
      <c r="C23" s="249"/>
      <c r="D23" s="44" t="s">
        <v>35</v>
      </c>
      <c r="E23" s="44" t="s">
        <v>49</v>
      </c>
    </row>
    <row r="24" spans="1:5" ht="18" x14ac:dyDescent="0.25">
      <c r="A24" s="249" t="s">
        <v>36</v>
      </c>
      <c r="B24" s="249"/>
      <c r="C24" s="249"/>
      <c r="D24" s="44" t="s">
        <v>51</v>
      </c>
      <c r="E24" s="44" t="s">
        <v>49</v>
      </c>
    </row>
    <row r="25" spans="1:5" ht="18" x14ac:dyDescent="0.25">
      <c r="A25" s="249" t="s">
        <v>37</v>
      </c>
      <c r="B25" s="249"/>
      <c r="C25" s="249"/>
      <c r="D25" s="44" t="s">
        <v>38</v>
      </c>
      <c r="E25" s="44" t="s">
        <v>80</v>
      </c>
    </row>
    <row r="26" spans="1:5" ht="18" x14ac:dyDescent="0.25">
      <c r="A26" s="251" t="s">
        <v>140</v>
      </c>
      <c r="B26" s="252"/>
      <c r="C26" s="253"/>
      <c r="D26" s="44" t="s">
        <v>141</v>
      </c>
      <c r="E26" s="44" t="s">
        <v>142</v>
      </c>
    </row>
    <row r="27" spans="1:5" ht="18" x14ac:dyDescent="0.25">
      <c r="A27" s="249" t="s">
        <v>6</v>
      </c>
      <c r="B27" s="249"/>
      <c r="C27" s="249"/>
      <c r="D27" s="44" t="s">
        <v>39</v>
      </c>
      <c r="E27" s="44" t="s">
        <v>79</v>
      </c>
    </row>
    <row r="28" spans="1:5" ht="18" x14ac:dyDescent="0.25">
      <c r="A28" s="50" t="s">
        <v>7</v>
      </c>
      <c r="B28" s="50"/>
      <c r="C28" s="50"/>
      <c r="D28" s="46" t="s">
        <v>30</v>
      </c>
      <c r="E28" s="46" t="s">
        <v>79</v>
      </c>
    </row>
    <row r="29" spans="1:5" ht="18" x14ac:dyDescent="0.25">
      <c r="A29" s="249" t="s">
        <v>62</v>
      </c>
      <c r="B29" s="249"/>
      <c r="C29" s="249"/>
      <c r="D29" s="44" t="s">
        <v>30</v>
      </c>
      <c r="E29" s="44" t="s">
        <v>78</v>
      </c>
    </row>
    <row r="30" spans="1:5" ht="18" x14ac:dyDescent="0.25">
      <c r="A30" s="249" t="s">
        <v>19</v>
      </c>
      <c r="B30" s="249"/>
      <c r="C30" s="249"/>
      <c r="D30" s="44" t="s">
        <v>30</v>
      </c>
      <c r="E30" s="44" t="s">
        <v>79</v>
      </c>
    </row>
    <row r="31" spans="1:5" ht="18" x14ac:dyDescent="0.25">
      <c r="A31" s="249" t="s">
        <v>45</v>
      </c>
      <c r="B31" s="249"/>
      <c r="C31" s="249"/>
      <c r="D31" s="44" t="s">
        <v>15</v>
      </c>
      <c r="E31" s="44" t="s">
        <v>56</v>
      </c>
    </row>
    <row r="32" spans="1:5" ht="18" x14ac:dyDescent="0.25">
      <c r="A32" s="50" t="s">
        <v>40</v>
      </c>
      <c r="B32" s="50"/>
      <c r="C32" s="50"/>
      <c r="D32" s="44" t="s">
        <v>14</v>
      </c>
      <c r="E32" s="44" t="s">
        <v>48</v>
      </c>
    </row>
    <row r="33" spans="1:5" ht="18" x14ac:dyDescent="0.25">
      <c r="A33" s="249" t="s">
        <v>17</v>
      </c>
      <c r="B33" s="249"/>
      <c r="C33" s="249"/>
      <c r="D33" s="44" t="s">
        <v>14</v>
      </c>
      <c r="E33" s="44" t="s">
        <v>48</v>
      </c>
    </row>
    <row r="34" spans="1:5" ht="18" x14ac:dyDescent="0.25">
      <c r="A34" s="249" t="s">
        <v>16</v>
      </c>
      <c r="B34" s="249"/>
      <c r="C34" s="249"/>
      <c r="D34" s="44" t="s">
        <v>14</v>
      </c>
      <c r="E34" s="44" t="s">
        <v>48</v>
      </c>
    </row>
    <row r="35" spans="1:5" ht="18" x14ac:dyDescent="0.25">
      <c r="A35" s="249" t="s">
        <v>41</v>
      </c>
      <c r="B35" s="249"/>
      <c r="C35" s="249"/>
      <c r="D35" s="44" t="s">
        <v>14</v>
      </c>
      <c r="E35" s="44" t="s">
        <v>48</v>
      </c>
    </row>
    <row r="36" spans="1:5" ht="18" x14ac:dyDescent="0.25">
      <c r="A36" s="249" t="s">
        <v>42</v>
      </c>
      <c r="B36" s="249"/>
      <c r="C36" s="249"/>
      <c r="D36" s="44" t="s">
        <v>14</v>
      </c>
      <c r="E36" s="44" t="s">
        <v>48</v>
      </c>
    </row>
    <row r="37" spans="1:5" ht="18" x14ac:dyDescent="0.25">
      <c r="A37" s="249" t="s">
        <v>43</v>
      </c>
      <c r="B37" s="249"/>
      <c r="C37" s="249"/>
      <c r="D37" s="44" t="s">
        <v>14</v>
      </c>
      <c r="E37" s="44" t="s">
        <v>48</v>
      </c>
    </row>
    <row r="38" spans="1:5" ht="18" x14ac:dyDescent="0.25">
      <c r="A38" s="249" t="s">
        <v>44</v>
      </c>
      <c r="B38" s="249"/>
      <c r="C38" s="249"/>
      <c r="D38" s="44" t="s">
        <v>14</v>
      </c>
      <c r="E38" s="44" t="s">
        <v>48</v>
      </c>
    </row>
    <row r="39" spans="1:5" ht="18" x14ac:dyDescent="0.25">
      <c r="A39" s="44" t="s">
        <v>18</v>
      </c>
      <c r="B39" s="44"/>
      <c r="C39" s="44"/>
      <c r="D39" s="46" t="s">
        <v>14</v>
      </c>
      <c r="E39" s="46" t="s">
        <v>48</v>
      </c>
    </row>
    <row r="40" spans="1:5" ht="18" x14ac:dyDescent="0.25">
      <c r="A40" s="249" t="s">
        <v>63</v>
      </c>
      <c r="B40" s="249"/>
      <c r="C40" s="249"/>
      <c r="D40" s="44" t="s">
        <v>14</v>
      </c>
      <c r="E40" s="44" t="s">
        <v>65</v>
      </c>
    </row>
    <row r="41" spans="1:5" ht="18" x14ac:dyDescent="0.25">
      <c r="A41" s="249" t="s">
        <v>64</v>
      </c>
      <c r="B41" s="249"/>
      <c r="C41" s="249"/>
      <c r="D41" s="44" t="s">
        <v>14</v>
      </c>
      <c r="E41" s="44" t="s">
        <v>65</v>
      </c>
    </row>
    <row r="42" spans="1:5" ht="18" x14ac:dyDescent="0.25">
      <c r="A42" s="248" t="s">
        <v>85</v>
      </c>
      <c r="B42" s="248"/>
      <c r="C42" s="248"/>
      <c r="D42" s="44" t="s">
        <v>89</v>
      </c>
      <c r="E42" s="44"/>
    </row>
    <row r="43" spans="1:5" ht="18" x14ac:dyDescent="0.25">
      <c r="A43" s="248" t="s">
        <v>98</v>
      </c>
      <c r="B43" s="248"/>
      <c r="C43" s="248"/>
      <c r="D43" s="44" t="s">
        <v>89</v>
      </c>
      <c r="E43" s="44"/>
    </row>
    <row r="44" spans="1:5" ht="18" x14ac:dyDescent="0.25">
      <c r="A44" s="248" t="s">
        <v>86</v>
      </c>
      <c r="B44" s="248"/>
      <c r="C44" s="248"/>
      <c r="D44" s="44" t="s">
        <v>90</v>
      </c>
      <c r="E44" s="44"/>
    </row>
    <row r="45" spans="1:5" ht="18" x14ac:dyDescent="0.25">
      <c r="A45" s="248" t="s">
        <v>87</v>
      </c>
      <c r="B45" s="248"/>
      <c r="C45" s="248"/>
      <c r="D45" s="44" t="s">
        <v>90</v>
      </c>
      <c r="E45" s="44"/>
    </row>
    <row r="46" spans="1:5" ht="18" x14ac:dyDescent="0.25">
      <c r="A46" s="248" t="s">
        <v>88</v>
      </c>
      <c r="B46" s="248"/>
      <c r="C46" s="248"/>
      <c r="D46" s="44" t="s">
        <v>90</v>
      </c>
      <c r="E46" s="44"/>
    </row>
  </sheetData>
  <mergeCells count="40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22:C22"/>
    <mergeCell ref="A11:C11"/>
    <mergeCell ref="A12:C12"/>
    <mergeCell ref="A23:C23"/>
    <mergeCell ref="A24:C24"/>
    <mergeCell ref="A25:C25"/>
    <mergeCell ref="A13:C13"/>
    <mergeCell ref="A15:C15"/>
    <mergeCell ref="A17:C17"/>
    <mergeCell ref="A18:C18"/>
    <mergeCell ref="A19:C19"/>
    <mergeCell ref="A21:C21"/>
    <mergeCell ref="A37:C37"/>
    <mergeCell ref="A38:C38"/>
    <mergeCell ref="A40:C40"/>
    <mergeCell ref="A26:C26"/>
    <mergeCell ref="A27:C27"/>
    <mergeCell ref="A29:C29"/>
    <mergeCell ref="A30:C30"/>
    <mergeCell ref="A31:C31"/>
    <mergeCell ref="A33:C33"/>
    <mergeCell ref="A46:C46"/>
    <mergeCell ref="A34:C34"/>
    <mergeCell ref="A35:C35"/>
    <mergeCell ref="A1:E1"/>
    <mergeCell ref="A41:C41"/>
    <mergeCell ref="A42:C42"/>
    <mergeCell ref="A43:C43"/>
    <mergeCell ref="A44:C44"/>
    <mergeCell ref="A45:C45"/>
    <mergeCell ref="A36:C36"/>
  </mergeCells>
  <pageMargins left="0.7" right="0.7" top="0.75" bottom="0.75" header="0.3" footer="0.3"/>
  <pageSetup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8139-B68E-4E01-810D-2AE344AB077A}">
  <dimension ref="A1:F14"/>
  <sheetViews>
    <sheetView workbookViewId="0">
      <selection activeCell="E14" sqref="E14"/>
    </sheetView>
  </sheetViews>
  <sheetFormatPr defaultRowHeight="12.75" x14ac:dyDescent="0.2"/>
  <cols>
    <col min="3" max="3" width="19" customWidth="1"/>
    <col min="4" max="4" width="22" customWidth="1"/>
    <col min="5" max="5" width="20.85546875" customWidth="1"/>
    <col min="6" max="6" width="15.5703125" customWidth="1"/>
  </cols>
  <sheetData>
    <row r="1" spans="1:6" ht="18.75" x14ac:dyDescent="0.3">
      <c r="A1" s="241" t="s">
        <v>198</v>
      </c>
      <c r="B1" s="241"/>
      <c r="C1" s="241"/>
      <c r="D1" s="241"/>
      <c r="E1" s="241"/>
      <c r="F1" s="241"/>
    </row>
    <row r="2" spans="1:6" ht="18.75" x14ac:dyDescent="0.3">
      <c r="A2" s="240" t="s">
        <v>199</v>
      </c>
      <c r="B2" s="240"/>
      <c r="C2" s="240"/>
      <c r="D2" s="240"/>
      <c r="E2" s="240"/>
      <c r="F2" s="240"/>
    </row>
    <row r="3" spans="1:6" ht="18.75" x14ac:dyDescent="0.3">
      <c r="A3" s="234"/>
      <c r="B3" s="234"/>
      <c r="C3" s="234"/>
      <c r="D3" s="3" t="s">
        <v>116</v>
      </c>
      <c r="E3" s="3" t="s">
        <v>117</v>
      </c>
      <c r="F3" s="19"/>
    </row>
    <row r="4" spans="1:6" ht="18.75" x14ac:dyDescent="0.3">
      <c r="A4" s="234" t="s">
        <v>108</v>
      </c>
      <c r="B4" s="234"/>
      <c r="C4" s="234"/>
      <c r="D4" s="20" t="e">
        <f>E4*12</f>
        <v>#REF!</v>
      </c>
      <c r="E4" s="20" t="e">
        <f>'April 2013'!#REF!</f>
        <v>#REF!</v>
      </c>
      <c r="F4" s="1"/>
    </row>
    <row r="5" spans="1:6" ht="18.75" x14ac:dyDescent="0.3">
      <c r="A5" s="234" t="s">
        <v>109</v>
      </c>
      <c r="B5" s="234"/>
      <c r="C5" s="234"/>
      <c r="D5" s="20" t="e">
        <f t="shared" ref="D5:D14" si="0">E5*12</f>
        <v>#REF!</v>
      </c>
      <c r="E5" s="20" t="e">
        <f>'April 2013'!#REF!</f>
        <v>#REF!</v>
      </c>
      <c r="F5" s="1"/>
    </row>
    <row r="6" spans="1:6" ht="18.75" x14ac:dyDescent="0.3">
      <c r="A6" s="234" t="s">
        <v>110</v>
      </c>
      <c r="B6" s="234"/>
      <c r="C6" s="234"/>
      <c r="D6" s="20" t="e">
        <f t="shared" si="0"/>
        <v>#REF!</v>
      </c>
      <c r="E6" s="20" t="e">
        <f>'April 2013'!#REF!</f>
        <v>#REF!</v>
      </c>
      <c r="F6" s="1"/>
    </row>
    <row r="7" spans="1:6" ht="18.75" x14ac:dyDescent="0.3">
      <c r="A7" s="234" t="s">
        <v>107</v>
      </c>
      <c r="B7" s="234"/>
      <c r="C7" s="234"/>
      <c r="D7" s="20">
        <f t="shared" si="0"/>
        <v>0</v>
      </c>
      <c r="E7" s="20">
        <f>sUMMARY!J5</f>
        <v>0</v>
      </c>
      <c r="F7" s="1"/>
    </row>
    <row r="8" spans="1:6" ht="18.75" x14ac:dyDescent="0.3">
      <c r="A8" s="234" t="s">
        <v>111</v>
      </c>
      <c r="B8" s="234"/>
      <c r="C8" s="234"/>
      <c r="D8" s="20" t="e">
        <f t="shared" si="0"/>
        <v>#REF!</v>
      </c>
      <c r="E8" s="20" t="e">
        <f>'April 2013'!#REF!</f>
        <v>#REF!</v>
      </c>
      <c r="F8" s="1"/>
    </row>
    <row r="9" spans="1:6" ht="18.75" x14ac:dyDescent="0.3">
      <c r="A9" s="234" t="s">
        <v>112</v>
      </c>
      <c r="B9" s="234"/>
      <c r="C9" s="234"/>
      <c r="D9" s="20" t="e">
        <f t="shared" si="0"/>
        <v>#REF!</v>
      </c>
      <c r="E9" s="20" t="e">
        <f>'April 2013'!#REF!</f>
        <v>#REF!</v>
      </c>
      <c r="F9" s="1"/>
    </row>
    <row r="10" spans="1:6" ht="18.75" x14ac:dyDescent="0.3">
      <c r="A10" s="234" t="s">
        <v>113</v>
      </c>
      <c r="B10" s="234"/>
      <c r="C10" s="234"/>
      <c r="D10" s="20" t="e">
        <f t="shared" si="0"/>
        <v>#REF!</v>
      </c>
      <c r="E10" s="20" t="e">
        <f>'April 2013'!#REF!</f>
        <v>#REF!</v>
      </c>
      <c r="F10" s="1"/>
    </row>
    <row r="11" spans="1:6" ht="18.75" x14ac:dyDescent="0.3">
      <c r="A11" s="236" t="s">
        <v>144</v>
      </c>
      <c r="B11" s="237"/>
      <c r="C11" s="238"/>
      <c r="D11" s="20">
        <f t="shared" si="0"/>
        <v>0</v>
      </c>
      <c r="E11" s="20">
        <v>0</v>
      </c>
      <c r="F11" s="1"/>
    </row>
    <row r="12" spans="1:6" ht="18.75" x14ac:dyDescent="0.3">
      <c r="A12" s="234" t="s">
        <v>114</v>
      </c>
      <c r="B12" s="234"/>
      <c r="C12" s="234"/>
      <c r="D12" s="20" t="e">
        <f t="shared" si="0"/>
        <v>#REF!</v>
      </c>
      <c r="E12" s="20" t="e">
        <f>'April 2013'!#REF!</f>
        <v>#REF!</v>
      </c>
      <c r="F12" s="1"/>
    </row>
    <row r="13" spans="1:6" ht="18.75" x14ac:dyDescent="0.3">
      <c r="A13" s="234" t="s">
        <v>115</v>
      </c>
      <c r="B13" s="234"/>
      <c r="C13" s="234"/>
      <c r="D13" s="20" t="e">
        <f t="shared" si="0"/>
        <v>#REF!</v>
      </c>
      <c r="E13" s="20" t="e">
        <f>'April 2013'!#REF!</f>
        <v>#REF!</v>
      </c>
      <c r="F13" s="1"/>
    </row>
    <row r="14" spans="1:6" ht="18.75" x14ac:dyDescent="0.3">
      <c r="A14" s="235" t="s">
        <v>118</v>
      </c>
      <c r="B14" s="235"/>
      <c r="C14" s="235"/>
      <c r="D14" s="21" t="e">
        <f t="shared" si="0"/>
        <v>#REF!</v>
      </c>
      <c r="E14" s="21" t="e">
        <f>SUM(E4:E13)</f>
        <v>#REF!</v>
      </c>
      <c r="F14" s="1"/>
    </row>
  </sheetData>
  <mergeCells count="14">
    <mergeCell ref="A13:C13"/>
    <mergeCell ref="A14:C14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93AB-2EBD-48D2-AA85-6792A1CF0EB7}">
  <dimension ref="A1:F18"/>
  <sheetViews>
    <sheetView workbookViewId="0">
      <selection activeCell="D14" sqref="D14"/>
    </sheetView>
  </sheetViews>
  <sheetFormatPr defaultRowHeight="12.75" x14ac:dyDescent="0.2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 x14ac:dyDescent="0.3">
      <c r="A1" s="266" t="s">
        <v>263</v>
      </c>
      <c r="B1" s="266"/>
      <c r="C1" s="266"/>
      <c r="D1" s="266"/>
      <c r="E1" s="266"/>
    </row>
    <row r="2" spans="1:6" ht="18.75" x14ac:dyDescent="0.3">
      <c r="A2" s="240" t="s">
        <v>258</v>
      </c>
      <c r="B2" s="240"/>
      <c r="C2" s="240"/>
      <c r="D2" s="240"/>
      <c r="E2" s="240"/>
    </row>
    <row r="3" spans="1:6" ht="18.75" customHeight="1" x14ac:dyDescent="0.2">
      <c r="A3" s="265" t="s">
        <v>262</v>
      </c>
      <c r="B3" s="267" t="s">
        <v>13</v>
      </c>
      <c r="C3" s="263" t="s">
        <v>259</v>
      </c>
      <c r="D3" s="263" t="s">
        <v>264</v>
      </c>
      <c r="E3" s="263" t="s">
        <v>260</v>
      </c>
      <c r="F3" s="262" t="s">
        <v>20</v>
      </c>
    </row>
    <row r="4" spans="1:6" ht="16.5" customHeight="1" x14ac:dyDescent="0.2">
      <c r="A4" s="265"/>
      <c r="B4" s="268"/>
      <c r="C4" s="264"/>
      <c r="D4" s="264"/>
      <c r="E4" s="264"/>
      <c r="F4" s="262"/>
    </row>
    <row r="5" spans="1:6" ht="18.75" x14ac:dyDescent="0.3">
      <c r="A5" s="3">
        <v>1</v>
      </c>
      <c r="B5" s="100" t="s">
        <v>234</v>
      </c>
      <c r="C5" s="101" t="s">
        <v>261</v>
      </c>
      <c r="D5" s="101" t="s">
        <v>265</v>
      </c>
      <c r="E5" s="105">
        <f>1580439.5*12</f>
        <v>18965274</v>
      </c>
      <c r="F5" s="105">
        <f>E5*D5</f>
        <v>18965274</v>
      </c>
    </row>
    <row r="6" spans="1:6" ht="18.75" x14ac:dyDescent="0.3">
      <c r="A6" s="3">
        <v>2</v>
      </c>
      <c r="B6" s="100" t="s">
        <v>266</v>
      </c>
      <c r="C6" s="101" t="s">
        <v>154</v>
      </c>
      <c r="D6" s="101" t="s">
        <v>251</v>
      </c>
      <c r="E6" s="105">
        <v>9607889.5199999996</v>
      </c>
      <c r="F6" s="105">
        <f t="shared" ref="F6:F17" si="0">E6*D6</f>
        <v>38431558.079999998</v>
      </c>
    </row>
    <row r="7" spans="1:6" ht="18.75" x14ac:dyDescent="0.3">
      <c r="A7" s="3">
        <v>3</v>
      </c>
      <c r="B7" s="100" t="s">
        <v>82</v>
      </c>
      <c r="C7" s="101" t="s">
        <v>49</v>
      </c>
      <c r="D7" s="101" t="s">
        <v>265</v>
      </c>
      <c r="E7" s="102">
        <f>424023.33*12</f>
        <v>5088279.96</v>
      </c>
      <c r="F7" s="105">
        <f t="shared" si="0"/>
        <v>5088279.96</v>
      </c>
    </row>
    <row r="8" spans="1:6" ht="18.75" x14ac:dyDescent="0.3">
      <c r="A8" s="3">
        <v>4</v>
      </c>
      <c r="B8" s="100" t="s">
        <v>84</v>
      </c>
      <c r="C8" s="101" t="s">
        <v>49</v>
      </c>
      <c r="D8" s="101" t="s">
        <v>268</v>
      </c>
      <c r="E8" s="102">
        <f>424023.33*12</f>
        <v>5088279.96</v>
      </c>
      <c r="F8" s="105">
        <f t="shared" si="0"/>
        <v>10176559.92</v>
      </c>
    </row>
    <row r="9" spans="1:6" ht="18.75" x14ac:dyDescent="0.3">
      <c r="A9" s="3">
        <v>5</v>
      </c>
      <c r="B9" s="97" t="s">
        <v>267</v>
      </c>
      <c r="C9" s="103" t="s">
        <v>49</v>
      </c>
      <c r="D9" s="107">
        <v>10</v>
      </c>
      <c r="E9" s="104">
        <v>5088279.96</v>
      </c>
      <c r="F9" s="105">
        <f t="shared" si="0"/>
        <v>50882799.600000001</v>
      </c>
    </row>
    <row r="10" spans="1:6" ht="18.75" x14ac:dyDescent="0.3">
      <c r="A10" s="3">
        <v>6</v>
      </c>
      <c r="B10" s="97" t="s">
        <v>270</v>
      </c>
      <c r="C10" s="103" t="s">
        <v>49</v>
      </c>
      <c r="D10" s="107">
        <v>10</v>
      </c>
      <c r="E10" s="104">
        <v>4136647.2</v>
      </c>
      <c r="F10" s="105">
        <f t="shared" si="0"/>
        <v>41366472</v>
      </c>
    </row>
    <row r="11" spans="1:6" ht="18.75" x14ac:dyDescent="0.3">
      <c r="A11" s="3">
        <v>7</v>
      </c>
      <c r="B11" s="97" t="s">
        <v>269</v>
      </c>
      <c r="C11" s="103" t="s">
        <v>50</v>
      </c>
      <c r="D11" s="107">
        <v>12</v>
      </c>
      <c r="E11" s="104">
        <f>344720.6*12</f>
        <v>4136647.1999999997</v>
      </c>
      <c r="F11" s="105">
        <f t="shared" si="0"/>
        <v>49639766.399999999</v>
      </c>
    </row>
    <row r="12" spans="1:6" ht="18.75" x14ac:dyDescent="0.3">
      <c r="A12" s="3">
        <v>8</v>
      </c>
      <c r="B12" s="97" t="s">
        <v>126</v>
      </c>
      <c r="C12" s="103" t="s">
        <v>148</v>
      </c>
      <c r="D12" s="107">
        <v>10</v>
      </c>
      <c r="E12" s="104">
        <f>249153.06*12</f>
        <v>2989836.7199999997</v>
      </c>
      <c r="F12" s="105">
        <f t="shared" si="0"/>
        <v>29898367.199999996</v>
      </c>
    </row>
    <row r="13" spans="1:6" ht="18.75" x14ac:dyDescent="0.3">
      <c r="A13" s="3">
        <v>9</v>
      </c>
      <c r="B13" s="97" t="s">
        <v>271</v>
      </c>
      <c r="C13" s="103" t="s">
        <v>189</v>
      </c>
      <c r="D13" s="107">
        <v>8</v>
      </c>
      <c r="E13" s="104">
        <v>2810412.36</v>
      </c>
      <c r="F13" s="105">
        <f t="shared" si="0"/>
        <v>22483298.879999999</v>
      </c>
    </row>
    <row r="14" spans="1:6" ht="18.75" x14ac:dyDescent="0.3">
      <c r="A14" s="3">
        <v>10</v>
      </c>
      <c r="B14" s="97" t="s">
        <v>272</v>
      </c>
      <c r="C14" s="103" t="s">
        <v>168</v>
      </c>
      <c r="D14" s="107">
        <v>15</v>
      </c>
      <c r="E14" s="104">
        <f>168602.08*12</f>
        <v>2023224.96</v>
      </c>
      <c r="F14" s="105">
        <f t="shared" si="0"/>
        <v>30348374.399999999</v>
      </c>
    </row>
    <row r="15" spans="1:6" ht="18.75" x14ac:dyDescent="0.3">
      <c r="A15" s="3">
        <v>11</v>
      </c>
      <c r="B15" s="100" t="s">
        <v>273</v>
      </c>
      <c r="C15" s="101" t="s">
        <v>170</v>
      </c>
      <c r="D15" s="101" t="s">
        <v>274</v>
      </c>
      <c r="E15" s="104">
        <f>123329.05*12</f>
        <v>1479948.6</v>
      </c>
      <c r="F15" s="105">
        <f t="shared" si="0"/>
        <v>29598972</v>
      </c>
    </row>
    <row r="16" spans="1:6" ht="18.75" x14ac:dyDescent="0.3">
      <c r="A16" s="3">
        <v>12</v>
      </c>
      <c r="B16" s="97" t="s">
        <v>275</v>
      </c>
      <c r="C16" s="103" t="s">
        <v>79</v>
      </c>
      <c r="D16" s="107">
        <v>15</v>
      </c>
      <c r="E16" s="104">
        <f>130304.44*12</f>
        <v>1563653.28</v>
      </c>
      <c r="F16" s="105">
        <f t="shared" si="0"/>
        <v>23454799.199999999</v>
      </c>
    </row>
    <row r="17" spans="1:6" ht="18.75" x14ac:dyDescent="0.3">
      <c r="A17" s="3">
        <v>13</v>
      </c>
      <c r="B17" s="97" t="s">
        <v>276</v>
      </c>
      <c r="C17" s="103" t="s">
        <v>48</v>
      </c>
      <c r="D17" s="107">
        <v>20</v>
      </c>
      <c r="E17" s="104">
        <f>46676.06*12</f>
        <v>560112.72</v>
      </c>
      <c r="F17" s="105">
        <f t="shared" si="0"/>
        <v>11202254.399999999</v>
      </c>
    </row>
    <row r="18" spans="1:6" ht="18.75" x14ac:dyDescent="0.3">
      <c r="A18" s="99"/>
      <c r="B18" s="99"/>
      <c r="C18" s="14"/>
      <c r="D18" s="14">
        <f>SUM(D9:D17)</f>
        <v>100</v>
      </c>
      <c r="E18" s="106"/>
      <c r="F18" s="21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C726-4045-414D-9FA8-54A5E48AC927}">
  <dimension ref="A1:N100"/>
  <sheetViews>
    <sheetView workbookViewId="0">
      <selection activeCell="E76" sqref="E76"/>
    </sheetView>
  </sheetViews>
  <sheetFormatPr defaultRowHeight="12.75" x14ac:dyDescent="0.2"/>
  <cols>
    <col min="3" max="3" width="17.85546875" customWidth="1"/>
    <col min="4" max="4" width="31.28515625" customWidth="1"/>
    <col min="5" max="5" width="22.28515625" customWidth="1"/>
  </cols>
  <sheetData>
    <row r="1" spans="1:10" ht="18" x14ac:dyDescent="0.25">
      <c r="A1" s="190" t="s">
        <v>0</v>
      </c>
      <c r="B1" s="191"/>
      <c r="C1" s="191"/>
      <c r="D1" s="38"/>
    </row>
    <row r="2" spans="1:10" ht="18" x14ac:dyDescent="0.25">
      <c r="A2" s="205" t="s">
        <v>22</v>
      </c>
      <c r="B2" s="205"/>
      <c r="C2" s="205"/>
      <c r="D2" s="42"/>
      <c r="E2" s="42"/>
    </row>
    <row r="3" spans="1:10" ht="18" x14ac:dyDescent="0.25">
      <c r="A3" s="173" t="s">
        <v>46</v>
      </c>
      <c r="B3" s="173"/>
      <c r="C3" s="173"/>
      <c r="D3" s="133" t="s">
        <v>234</v>
      </c>
      <c r="E3" s="133" t="s">
        <v>55</v>
      </c>
    </row>
    <row r="4" spans="1:10" ht="18" x14ac:dyDescent="0.25">
      <c r="A4" s="173" t="s">
        <v>81</v>
      </c>
      <c r="B4" s="173"/>
      <c r="C4" s="173"/>
      <c r="D4" s="133" t="s">
        <v>82</v>
      </c>
      <c r="E4" s="135" t="s">
        <v>49</v>
      </c>
    </row>
    <row r="5" spans="1:10" ht="18" x14ac:dyDescent="0.25">
      <c r="A5" s="173" t="s">
        <v>93</v>
      </c>
      <c r="B5" s="173"/>
      <c r="C5" s="173"/>
      <c r="D5" s="133" t="s">
        <v>84</v>
      </c>
      <c r="E5" s="135" t="s">
        <v>49</v>
      </c>
    </row>
    <row r="6" spans="1:10" ht="18" x14ac:dyDescent="0.25">
      <c r="A6" s="172" t="s">
        <v>23</v>
      </c>
      <c r="B6" s="172"/>
      <c r="C6" s="172"/>
      <c r="D6" s="134" t="s">
        <v>187</v>
      </c>
      <c r="E6" s="137" t="s">
        <v>50</v>
      </c>
    </row>
    <row r="7" spans="1:10" ht="18" x14ac:dyDescent="0.25">
      <c r="A7" s="197" t="s">
        <v>217</v>
      </c>
      <c r="B7" s="198"/>
      <c r="C7" s="199"/>
      <c r="D7" s="134" t="s">
        <v>218</v>
      </c>
      <c r="E7" s="137" t="s">
        <v>50</v>
      </c>
    </row>
    <row r="8" spans="1:10" ht="18" x14ac:dyDescent="0.25">
      <c r="A8" s="177" t="s">
        <v>180</v>
      </c>
      <c r="B8" s="178"/>
      <c r="C8" s="179"/>
      <c r="D8" s="133" t="s">
        <v>181</v>
      </c>
      <c r="E8" s="138" t="s">
        <v>50</v>
      </c>
    </row>
    <row r="9" spans="1:10" ht="18" x14ac:dyDescent="0.25">
      <c r="A9" s="269" t="s">
        <v>186</v>
      </c>
      <c r="B9" s="270"/>
      <c r="C9" s="271"/>
      <c r="D9" s="134" t="s">
        <v>188</v>
      </c>
      <c r="E9" s="142" t="s">
        <v>189</v>
      </c>
    </row>
    <row r="10" spans="1:10" ht="18" x14ac:dyDescent="0.25">
      <c r="A10" s="197" t="s">
        <v>200</v>
      </c>
      <c r="B10" s="198"/>
      <c r="C10" s="199"/>
      <c r="D10" s="134" t="s">
        <v>201</v>
      </c>
      <c r="E10" s="142" t="s">
        <v>189</v>
      </c>
    </row>
    <row r="11" spans="1:10" ht="18.75" x14ac:dyDescent="0.3">
      <c r="A11" s="272" t="s">
        <v>248</v>
      </c>
      <c r="B11" s="272"/>
      <c r="C11" s="272"/>
      <c r="D11" s="97" t="s">
        <v>249</v>
      </c>
      <c r="E11" s="143" t="s">
        <v>189</v>
      </c>
      <c r="J11" s="115"/>
    </row>
    <row r="12" spans="1:10" ht="18" x14ac:dyDescent="0.25">
      <c r="A12" s="197" t="s">
        <v>219</v>
      </c>
      <c r="B12" s="198"/>
      <c r="C12" s="199"/>
      <c r="D12" s="134" t="s">
        <v>220</v>
      </c>
      <c r="E12" s="140" t="s">
        <v>168</v>
      </c>
    </row>
    <row r="13" spans="1:10" ht="18" x14ac:dyDescent="0.25">
      <c r="A13" s="197" t="s">
        <v>222</v>
      </c>
      <c r="B13" s="198"/>
      <c r="C13" s="199"/>
      <c r="D13" s="134" t="s">
        <v>223</v>
      </c>
      <c r="E13" s="140" t="s">
        <v>168</v>
      </c>
    </row>
    <row r="14" spans="1:10" ht="18" x14ac:dyDescent="0.25">
      <c r="A14" s="197" t="s">
        <v>246</v>
      </c>
      <c r="B14" s="198"/>
      <c r="C14" s="199"/>
      <c r="D14" s="134" t="s">
        <v>247</v>
      </c>
      <c r="E14" s="140" t="s">
        <v>168</v>
      </c>
    </row>
    <row r="15" spans="1:10" ht="18" x14ac:dyDescent="0.25">
      <c r="A15" s="197" t="s">
        <v>281</v>
      </c>
      <c r="B15" s="198"/>
      <c r="C15" s="199"/>
      <c r="D15" s="134" t="s">
        <v>280</v>
      </c>
      <c r="E15" s="140" t="s">
        <v>168</v>
      </c>
    </row>
    <row r="16" spans="1:10" ht="18" x14ac:dyDescent="0.25">
      <c r="A16" s="177" t="s">
        <v>193</v>
      </c>
      <c r="B16" s="178"/>
      <c r="C16" s="179"/>
      <c r="D16" s="133" t="s">
        <v>194</v>
      </c>
      <c r="E16" s="63" t="s">
        <v>170</v>
      </c>
    </row>
    <row r="17" spans="1:5" ht="18" x14ac:dyDescent="0.25">
      <c r="A17" s="173" t="s">
        <v>26</v>
      </c>
      <c r="B17" s="173"/>
      <c r="C17" s="173"/>
      <c r="D17" s="133" t="s">
        <v>27</v>
      </c>
      <c r="E17" s="63" t="s">
        <v>170</v>
      </c>
    </row>
    <row r="18" spans="1:5" ht="18" x14ac:dyDescent="0.25">
      <c r="A18" s="181" t="s">
        <v>203</v>
      </c>
      <c r="B18" s="182"/>
      <c r="C18" s="183"/>
      <c r="D18" s="133" t="s">
        <v>204</v>
      </c>
      <c r="E18" s="63" t="s">
        <v>170</v>
      </c>
    </row>
    <row r="19" spans="1:5" ht="18" x14ac:dyDescent="0.25">
      <c r="A19" s="181" t="s">
        <v>208</v>
      </c>
      <c r="B19" s="182"/>
      <c r="C19" s="183"/>
      <c r="D19" s="133" t="s">
        <v>204</v>
      </c>
      <c r="E19" s="63" t="s">
        <v>170</v>
      </c>
    </row>
    <row r="20" spans="1:5" ht="18" x14ac:dyDescent="0.25">
      <c r="A20" s="181" t="s">
        <v>299</v>
      </c>
      <c r="B20" s="182"/>
      <c r="C20" s="183"/>
      <c r="D20" s="133" t="s">
        <v>300</v>
      </c>
      <c r="E20" s="63" t="s">
        <v>170</v>
      </c>
    </row>
    <row r="21" spans="1:5" ht="18" x14ac:dyDescent="0.25">
      <c r="A21" s="181" t="s">
        <v>256</v>
      </c>
      <c r="B21" s="182"/>
      <c r="C21" s="183"/>
      <c r="D21" s="133" t="s">
        <v>257</v>
      </c>
      <c r="E21" s="144" t="s">
        <v>154</v>
      </c>
    </row>
    <row r="22" spans="1:5" ht="18" x14ac:dyDescent="0.25">
      <c r="A22" s="181" t="s">
        <v>12</v>
      </c>
      <c r="B22" s="182"/>
      <c r="C22" s="183"/>
      <c r="D22" s="133" t="s">
        <v>235</v>
      </c>
      <c r="E22" s="135" t="s">
        <v>49</v>
      </c>
    </row>
    <row r="23" spans="1:5" ht="18" x14ac:dyDescent="0.25">
      <c r="A23" s="181" t="s">
        <v>232</v>
      </c>
      <c r="B23" s="182"/>
      <c r="C23" s="183"/>
      <c r="D23" s="133" t="s">
        <v>32</v>
      </c>
      <c r="E23" s="138" t="s">
        <v>231</v>
      </c>
    </row>
    <row r="24" spans="1:5" ht="18" x14ac:dyDescent="0.25">
      <c r="A24" s="181" t="s">
        <v>221</v>
      </c>
      <c r="B24" s="182"/>
      <c r="C24" s="183"/>
      <c r="D24" s="134" t="s">
        <v>129</v>
      </c>
      <c r="E24" s="140" t="s">
        <v>189</v>
      </c>
    </row>
    <row r="25" spans="1:5" ht="18" x14ac:dyDescent="0.25">
      <c r="A25" s="181" t="s">
        <v>214</v>
      </c>
      <c r="B25" s="182"/>
      <c r="C25" s="183"/>
      <c r="D25" s="134" t="s">
        <v>133</v>
      </c>
      <c r="E25" s="140" t="s">
        <v>168</v>
      </c>
    </row>
    <row r="26" spans="1:5" ht="18" x14ac:dyDescent="0.25">
      <c r="A26" s="130" t="s">
        <v>298</v>
      </c>
      <c r="B26" s="131"/>
      <c r="C26" s="132"/>
      <c r="D26" s="134" t="s">
        <v>133</v>
      </c>
      <c r="E26" s="140" t="s">
        <v>168</v>
      </c>
    </row>
    <row r="27" spans="1:5" ht="18" x14ac:dyDescent="0.25">
      <c r="A27" s="181" t="s">
        <v>212</v>
      </c>
      <c r="B27" s="182"/>
      <c r="C27" s="183"/>
      <c r="D27" s="134" t="s">
        <v>206</v>
      </c>
      <c r="E27" s="59" t="s">
        <v>207</v>
      </c>
    </row>
    <row r="28" spans="1:5" ht="18" x14ac:dyDescent="0.25">
      <c r="A28" s="181" t="s">
        <v>289</v>
      </c>
      <c r="B28" s="182"/>
      <c r="C28" s="183"/>
      <c r="D28" s="133" t="s">
        <v>290</v>
      </c>
      <c r="E28" s="144" t="s">
        <v>154</v>
      </c>
    </row>
    <row r="29" spans="1:5" ht="18" x14ac:dyDescent="0.25">
      <c r="A29" s="173" t="s">
        <v>31</v>
      </c>
      <c r="B29" s="173"/>
      <c r="C29" s="173"/>
      <c r="D29" s="134" t="s">
        <v>96</v>
      </c>
      <c r="E29" s="136" t="s">
        <v>49</v>
      </c>
    </row>
    <row r="30" spans="1:5" ht="18" x14ac:dyDescent="0.25">
      <c r="A30" s="173" t="s">
        <v>11</v>
      </c>
      <c r="B30" s="173"/>
      <c r="C30" s="173"/>
      <c r="D30" s="134" t="s">
        <v>236</v>
      </c>
      <c r="E30" s="139" t="s">
        <v>120</v>
      </c>
    </row>
    <row r="31" spans="1:5" ht="18" x14ac:dyDescent="0.25">
      <c r="A31" s="181" t="s">
        <v>224</v>
      </c>
      <c r="B31" s="182"/>
      <c r="C31" s="183"/>
      <c r="D31" s="134" t="s">
        <v>237</v>
      </c>
      <c r="E31" s="139" t="s">
        <v>120</v>
      </c>
    </row>
    <row r="32" spans="1:5" ht="18" x14ac:dyDescent="0.25">
      <c r="A32" s="181" t="s">
        <v>210</v>
      </c>
      <c r="B32" s="182"/>
      <c r="C32" s="183"/>
      <c r="D32" s="134" t="s">
        <v>238</v>
      </c>
      <c r="E32" s="140" t="s">
        <v>148</v>
      </c>
    </row>
    <row r="33" spans="1:14" ht="18" x14ac:dyDescent="0.25">
      <c r="A33" s="177" t="s">
        <v>192</v>
      </c>
      <c r="B33" s="178"/>
      <c r="C33" s="179"/>
      <c r="D33" s="134" t="s">
        <v>239</v>
      </c>
      <c r="E33" s="140" t="s">
        <v>148</v>
      </c>
    </row>
    <row r="34" spans="1:14" ht="18" x14ac:dyDescent="0.25">
      <c r="A34" s="181" t="s">
        <v>211</v>
      </c>
      <c r="B34" s="182"/>
      <c r="C34" s="183"/>
      <c r="D34" s="134" t="s">
        <v>129</v>
      </c>
      <c r="E34" s="140" t="s">
        <v>189</v>
      </c>
    </row>
    <row r="35" spans="1:14" ht="18" x14ac:dyDescent="0.25">
      <c r="A35" s="181" t="s">
        <v>245</v>
      </c>
      <c r="B35" s="182"/>
      <c r="C35" s="183"/>
      <c r="D35" s="134" t="s">
        <v>129</v>
      </c>
      <c r="E35" s="140" t="s">
        <v>189</v>
      </c>
    </row>
    <row r="36" spans="1:14" ht="18" x14ac:dyDescent="0.25">
      <c r="A36" s="181" t="s">
        <v>291</v>
      </c>
      <c r="B36" s="182"/>
      <c r="C36" s="183"/>
      <c r="D36" s="134" t="s">
        <v>129</v>
      </c>
      <c r="E36" s="140" t="s">
        <v>189</v>
      </c>
    </row>
    <row r="37" spans="1:14" ht="18" x14ac:dyDescent="0.25">
      <c r="A37" s="172" t="s">
        <v>24</v>
      </c>
      <c r="B37" s="172"/>
      <c r="C37" s="172"/>
      <c r="D37" s="134" t="s">
        <v>25</v>
      </c>
      <c r="E37" s="140" t="s">
        <v>47</v>
      </c>
    </row>
    <row r="38" spans="1:14" ht="18" x14ac:dyDescent="0.25">
      <c r="A38" s="130" t="s">
        <v>190</v>
      </c>
      <c r="B38" s="131"/>
      <c r="C38" s="132"/>
      <c r="D38" s="134" t="s">
        <v>191</v>
      </c>
      <c r="E38" s="140" t="s">
        <v>168</v>
      </c>
    </row>
    <row r="39" spans="1:14" ht="18" x14ac:dyDescent="0.25">
      <c r="A39" s="181" t="s">
        <v>202</v>
      </c>
      <c r="B39" s="182"/>
      <c r="C39" s="183"/>
      <c r="D39" s="134" t="s">
        <v>133</v>
      </c>
      <c r="E39" s="140" t="s">
        <v>168</v>
      </c>
    </row>
    <row r="40" spans="1:14" ht="18" x14ac:dyDescent="0.25">
      <c r="A40" s="181" t="s">
        <v>216</v>
      </c>
      <c r="B40" s="182"/>
      <c r="C40" s="183"/>
      <c r="D40" s="134" t="s">
        <v>133</v>
      </c>
      <c r="E40" s="140" t="s">
        <v>168</v>
      </c>
      <c r="N40" t="s">
        <v>314</v>
      </c>
    </row>
    <row r="41" spans="1:14" ht="18" x14ac:dyDescent="0.25">
      <c r="A41" s="181" t="s">
        <v>297</v>
      </c>
      <c r="B41" s="182"/>
      <c r="C41" s="183"/>
      <c r="D41" s="134" t="s">
        <v>133</v>
      </c>
      <c r="E41" s="140" t="s">
        <v>168</v>
      </c>
    </row>
    <row r="42" spans="1:14" ht="18" x14ac:dyDescent="0.25">
      <c r="A42" s="181" t="s">
        <v>279</v>
      </c>
      <c r="B42" s="182"/>
      <c r="C42" s="183"/>
      <c r="D42" s="134" t="s">
        <v>206</v>
      </c>
      <c r="E42" s="140" t="s">
        <v>168</v>
      </c>
    </row>
    <row r="43" spans="1:14" ht="18" x14ac:dyDescent="0.25">
      <c r="A43" s="181" t="s">
        <v>205</v>
      </c>
      <c r="B43" s="182"/>
      <c r="C43" s="183"/>
      <c r="D43" s="134" t="s">
        <v>206</v>
      </c>
      <c r="E43" s="59" t="s">
        <v>207</v>
      </c>
    </row>
    <row r="44" spans="1:14" ht="18" x14ac:dyDescent="0.25">
      <c r="A44" s="181" t="s">
        <v>215</v>
      </c>
      <c r="B44" s="182"/>
      <c r="C44" s="183"/>
      <c r="D44" s="134" t="s">
        <v>206</v>
      </c>
      <c r="E44" s="59" t="s">
        <v>207</v>
      </c>
    </row>
    <row r="45" spans="1:14" ht="18" x14ac:dyDescent="0.25">
      <c r="A45" s="181" t="s">
        <v>213</v>
      </c>
      <c r="B45" s="182"/>
      <c r="C45" s="183"/>
      <c r="D45" s="134" t="s">
        <v>206</v>
      </c>
      <c r="E45" s="59" t="s">
        <v>207</v>
      </c>
    </row>
    <row r="46" spans="1:14" ht="18" x14ac:dyDescent="0.25">
      <c r="A46" s="181" t="s">
        <v>295</v>
      </c>
      <c r="B46" s="182"/>
      <c r="C46" s="183"/>
      <c r="D46" s="134" t="s">
        <v>206</v>
      </c>
      <c r="E46" s="59" t="s">
        <v>207</v>
      </c>
    </row>
    <row r="47" spans="1:14" ht="18" x14ac:dyDescent="0.25">
      <c r="A47" s="181" t="s">
        <v>209</v>
      </c>
      <c r="B47" s="182"/>
      <c r="C47" s="183"/>
      <c r="D47" s="134" t="s">
        <v>206</v>
      </c>
      <c r="E47" s="59" t="s">
        <v>207</v>
      </c>
    </row>
    <row r="48" spans="1:14" ht="18" x14ac:dyDescent="0.25">
      <c r="A48" s="181" t="s">
        <v>152</v>
      </c>
      <c r="B48" s="182"/>
      <c r="C48" s="183"/>
      <c r="D48" s="133" t="s">
        <v>240</v>
      </c>
      <c r="E48" s="144" t="s">
        <v>154</v>
      </c>
    </row>
    <row r="49" spans="1:9" ht="18" x14ac:dyDescent="0.25">
      <c r="A49" s="173" t="s">
        <v>34</v>
      </c>
      <c r="B49" s="173"/>
      <c r="C49" s="173"/>
      <c r="D49" s="133" t="s">
        <v>35</v>
      </c>
      <c r="E49" s="145" t="s">
        <v>49</v>
      </c>
      <c r="I49" s="115"/>
    </row>
    <row r="50" spans="1:9" ht="18" x14ac:dyDescent="0.25">
      <c r="A50" s="173" t="s">
        <v>36</v>
      </c>
      <c r="B50" s="173"/>
      <c r="C50" s="173"/>
      <c r="D50" s="133" t="s">
        <v>51</v>
      </c>
      <c r="E50" s="135" t="s">
        <v>49</v>
      </c>
    </row>
    <row r="51" spans="1:9" ht="18" x14ac:dyDescent="0.25">
      <c r="A51" s="181" t="s">
        <v>158</v>
      </c>
      <c r="B51" s="182"/>
      <c r="C51" s="183"/>
      <c r="D51" s="133" t="s">
        <v>159</v>
      </c>
      <c r="E51" s="138" t="s">
        <v>50</v>
      </c>
    </row>
    <row r="52" spans="1:9" ht="18" x14ac:dyDescent="0.25">
      <c r="A52" s="181" t="s">
        <v>244</v>
      </c>
      <c r="B52" s="182"/>
      <c r="C52" s="183"/>
      <c r="D52" s="133" t="s">
        <v>175</v>
      </c>
      <c r="E52" s="138" t="s">
        <v>50</v>
      </c>
    </row>
    <row r="53" spans="1:9" ht="18" x14ac:dyDescent="0.25">
      <c r="A53" s="177" t="s">
        <v>182</v>
      </c>
      <c r="B53" s="178"/>
      <c r="C53" s="179"/>
      <c r="D53" s="133" t="s">
        <v>183</v>
      </c>
      <c r="E53" s="138" t="s">
        <v>50</v>
      </c>
    </row>
    <row r="54" spans="1:9" ht="18" x14ac:dyDescent="0.25">
      <c r="A54" s="173" t="s">
        <v>37</v>
      </c>
      <c r="B54" s="173"/>
      <c r="C54" s="173"/>
      <c r="D54" s="133" t="s">
        <v>38</v>
      </c>
      <c r="E54" s="141" t="s">
        <v>80</v>
      </c>
    </row>
    <row r="55" spans="1:9" ht="18" x14ac:dyDescent="0.25">
      <c r="A55" s="181" t="s">
        <v>140</v>
      </c>
      <c r="B55" s="182"/>
      <c r="C55" s="183"/>
      <c r="D55" s="133" t="s">
        <v>141</v>
      </c>
      <c r="E55" s="141" t="s">
        <v>168</v>
      </c>
    </row>
    <row r="56" spans="1:9" ht="18" x14ac:dyDescent="0.25">
      <c r="A56" s="181" t="s">
        <v>160</v>
      </c>
      <c r="B56" s="182"/>
      <c r="C56" s="183"/>
      <c r="D56" s="133" t="s">
        <v>167</v>
      </c>
      <c r="E56" s="141" t="s">
        <v>168</v>
      </c>
    </row>
    <row r="57" spans="1:9" ht="18" x14ac:dyDescent="0.25">
      <c r="A57" s="181" t="s">
        <v>161</v>
      </c>
      <c r="B57" s="182"/>
      <c r="C57" s="183"/>
      <c r="D57" s="133" t="s">
        <v>167</v>
      </c>
      <c r="E57" s="141" t="s">
        <v>168</v>
      </c>
    </row>
    <row r="58" spans="1:9" ht="18" x14ac:dyDescent="0.25">
      <c r="A58" s="181" t="s">
        <v>171</v>
      </c>
      <c r="B58" s="182"/>
      <c r="C58" s="183"/>
      <c r="D58" s="133" t="s">
        <v>172</v>
      </c>
      <c r="E58" s="141" t="s">
        <v>168</v>
      </c>
    </row>
    <row r="59" spans="1:9" ht="18" x14ac:dyDescent="0.25">
      <c r="A59" s="181" t="s">
        <v>176</v>
      </c>
      <c r="B59" s="182"/>
      <c r="C59" s="183"/>
      <c r="D59" s="133" t="s">
        <v>177</v>
      </c>
      <c r="E59" s="141" t="s">
        <v>168</v>
      </c>
    </row>
    <row r="60" spans="1:9" ht="18" x14ac:dyDescent="0.25">
      <c r="A60" s="181" t="s">
        <v>195</v>
      </c>
      <c r="B60" s="182"/>
      <c r="C60" s="183"/>
      <c r="D60" s="133" t="s">
        <v>196</v>
      </c>
      <c r="E60" s="141" t="s">
        <v>168</v>
      </c>
    </row>
    <row r="61" spans="1:9" ht="18" x14ac:dyDescent="0.25">
      <c r="A61" s="181" t="s">
        <v>162</v>
      </c>
      <c r="B61" s="182"/>
      <c r="C61" s="183"/>
      <c r="D61" s="133" t="s">
        <v>169</v>
      </c>
      <c r="E61" s="63" t="s">
        <v>170</v>
      </c>
    </row>
    <row r="62" spans="1:9" ht="18" x14ac:dyDescent="0.25">
      <c r="A62" s="181" t="s">
        <v>163</v>
      </c>
      <c r="B62" s="182"/>
      <c r="C62" s="183"/>
      <c r="D62" s="133" t="s">
        <v>169</v>
      </c>
      <c r="E62" s="63" t="s">
        <v>170</v>
      </c>
    </row>
    <row r="63" spans="1:9" ht="18" x14ac:dyDescent="0.25">
      <c r="A63" s="181" t="s">
        <v>164</v>
      </c>
      <c r="B63" s="182"/>
      <c r="C63" s="183"/>
      <c r="D63" s="133" t="s">
        <v>169</v>
      </c>
      <c r="E63" s="63" t="s">
        <v>170</v>
      </c>
    </row>
    <row r="64" spans="1:9" ht="18" x14ac:dyDescent="0.25">
      <c r="A64" s="181" t="s">
        <v>165</v>
      </c>
      <c r="B64" s="182"/>
      <c r="C64" s="183"/>
      <c r="D64" s="133" t="s">
        <v>169</v>
      </c>
      <c r="E64" s="63" t="s">
        <v>170</v>
      </c>
    </row>
    <row r="65" spans="1:5" ht="18" x14ac:dyDescent="0.25">
      <c r="A65" s="181" t="s">
        <v>166</v>
      </c>
      <c r="B65" s="182"/>
      <c r="C65" s="183"/>
      <c r="D65" s="133" t="s">
        <v>169</v>
      </c>
      <c r="E65" s="63" t="s">
        <v>170</v>
      </c>
    </row>
    <row r="66" spans="1:5" ht="18" x14ac:dyDescent="0.25">
      <c r="A66" s="177" t="s">
        <v>184</v>
      </c>
      <c r="B66" s="178"/>
      <c r="C66" s="179"/>
      <c r="D66" s="133" t="s">
        <v>185</v>
      </c>
      <c r="E66" s="63" t="s">
        <v>170</v>
      </c>
    </row>
    <row r="67" spans="1:5" ht="18" x14ac:dyDescent="0.25">
      <c r="A67" s="181" t="s">
        <v>308</v>
      </c>
      <c r="B67" s="182"/>
      <c r="C67" s="183"/>
      <c r="D67" s="133" t="s">
        <v>185</v>
      </c>
      <c r="E67" s="63" t="s">
        <v>170</v>
      </c>
    </row>
    <row r="68" spans="1:5" ht="18" x14ac:dyDescent="0.25">
      <c r="A68" s="181" t="s">
        <v>309</v>
      </c>
      <c r="B68" s="182"/>
      <c r="C68" s="183"/>
      <c r="D68" s="133" t="s">
        <v>185</v>
      </c>
      <c r="E68" s="63" t="s">
        <v>170</v>
      </c>
    </row>
    <row r="69" spans="1:5" ht="18" x14ac:dyDescent="0.25">
      <c r="A69" s="181" t="s">
        <v>173</v>
      </c>
      <c r="B69" s="182"/>
      <c r="C69" s="183"/>
      <c r="D69" s="133" t="s">
        <v>174</v>
      </c>
      <c r="E69" s="63" t="s">
        <v>170</v>
      </c>
    </row>
    <row r="70" spans="1:5" ht="18" x14ac:dyDescent="0.25">
      <c r="A70" s="177" t="s">
        <v>178</v>
      </c>
      <c r="B70" s="178"/>
      <c r="C70" s="179"/>
      <c r="D70" s="133" t="s">
        <v>179</v>
      </c>
      <c r="E70" s="63" t="s">
        <v>170</v>
      </c>
    </row>
    <row r="71" spans="1:5" ht="18" x14ac:dyDescent="0.25">
      <c r="A71" s="173" t="s">
        <v>6</v>
      </c>
      <c r="B71" s="173"/>
      <c r="C71" s="173"/>
      <c r="D71" s="133" t="s">
        <v>39</v>
      </c>
      <c r="E71" s="63" t="s">
        <v>79</v>
      </c>
    </row>
    <row r="72" spans="1:5" ht="18" x14ac:dyDescent="0.25">
      <c r="A72" s="181" t="s">
        <v>7</v>
      </c>
      <c r="B72" s="182"/>
      <c r="C72" s="183"/>
      <c r="D72" s="134" t="s">
        <v>30</v>
      </c>
      <c r="E72" s="59" t="s">
        <v>79</v>
      </c>
    </row>
    <row r="73" spans="1:5" ht="18" x14ac:dyDescent="0.25">
      <c r="A73" s="173" t="s">
        <v>62</v>
      </c>
      <c r="B73" s="173"/>
      <c r="C73" s="173"/>
      <c r="D73" s="133" t="s">
        <v>30</v>
      </c>
      <c r="E73" s="63" t="s">
        <v>78</v>
      </c>
    </row>
    <row r="74" spans="1:5" ht="18" x14ac:dyDescent="0.25">
      <c r="A74" s="173" t="s">
        <v>19</v>
      </c>
      <c r="B74" s="173"/>
      <c r="C74" s="173"/>
      <c r="D74" s="133" t="s">
        <v>30</v>
      </c>
      <c r="E74" s="63" t="s">
        <v>79</v>
      </c>
    </row>
    <row r="75" spans="1:5" ht="18" x14ac:dyDescent="0.25">
      <c r="A75" s="181" t="s">
        <v>278</v>
      </c>
      <c r="B75" s="182"/>
      <c r="C75" s="183"/>
      <c r="D75" s="133" t="s">
        <v>30</v>
      </c>
      <c r="E75" s="63" t="s">
        <v>79</v>
      </c>
    </row>
    <row r="76" spans="1:5" ht="18" x14ac:dyDescent="0.25">
      <c r="A76" s="173" t="s">
        <v>45</v>
      </c>
      <c r="B76" s="173"/>
      <c r="C76" s="173"/>
      <c r="D76" s="133" t="s">
        <v>15</v>
      </c>
      <c r="E76" s="63" t="s">
        <v>170</v>
      </c>
    </row>
    <row r="77" spans="1:5" ht="18" x14ac:dyDescent="0.25">
      <c r="A77" s="181" t="s">
        <v>40</v>
      </c>
      <c r="B77" s="182"/>
      <c r="C77" s="183"/>
      <c r="D77" s="133" t="s">
        <v>14</v>
      </c>
      <c r="E77" s="63" t="s">
        <v>48</v>
      </c>
    </row>
    <row r="78" spans="1:5" ht="18" x14ac:dyDescent="0.25">
      <c r="A78" s="173" t="s">
        <v>17</v>
      </c>
      <c r="B78" s="173"/>
      <c r="C78" s="173"/>
      <c r="D78" s="133" t="s">
        <v>14</v>
      </c>
      <c r="E78" s="63" t="s">
        <v>48</v>
      </c>
    </row>
    <row r="79" spans="1:5" ht="18" x14ac:dyDescent="0.25">
      <c r="A79" s="173" t="s">
        <v>312</v>
      </c>
      <c r="B79" s="173"/>
      <c r="C79" s="173"/>
      <c r="D79" s="133" t="s">
        <v>14</v>
      </c>
      <c r="E79" s="63" t="s">
        <v>48</v>
      </c>
    </row>
    <row r="80" spans="1:5" ht="18" x14ac:dyDescent="0.25">
      <c r="A80" s="173" t="s">
        <v>41</v>
      </c>
      <c r="B80" s="173"/>
      <c r="C80" s="173"/>
      <c r="D80" s="133" t="s">
        <v>14</v>
      </c>
      <c r="E80" s="63" t="s">
        <v>48</v>
      </c>
    </row>
    <row r="81" spans="1:5" ht="18" x14ac:dyDescent="0.25">
      <c r="A81" s="173" t="s">
        <v>42</v>
      </c>
      <c r="B81" s="173"/>
      <c r="C81" s="173"/>
      <c r="D81" s="133" t="s">
        <v>14</v>
      </c>
      <c r="E81" s="63" t="s">
        <v>48</v>
      </c>
    </row>
    <row r="82" spans="1:5" ht="18" x14ac:dyDescent="0.25">
      <c r="A82" s="173" t="s">
        <v>43</v>
      </c>
      <c r="B82" s="173"/>
      <c r="C82" s="173"/>
      <c r="D82" s="133" t="s">
        <v>14</v>
      </c>
      <c r="E82" s="63" t="s">
        <v>48</v>
      </c>
    </row>
    <row r="83" spans="1:5" ht="18" x14ac:dyDescent="0.25">
      <c r="A83" s="173" t="s">
        <v>44</v>
      </c>
      <c r="B83" s="173"/>
      <c r="C83" s="173"/>
      <c r="D83" s="133" t="s">
        <v>14</v>
      </c>
      <c r="E83" s="63" t="s">
        <v>48</v>
      </c>
    </row>
    <row r="84" spans="1:5" ht="18" x14ac:dyDescent="0.25">
      <c r="A84" s="181" t="s">
        <v>18</v>
      </c>
      <c r="B84" s="182"/>
      <c r="C84" s="183"/>
      <c r="D84" s="134" t="s">
        <v>14</v>
      </c>
      <c r="E84" s="59" t="s">
        <v>48</v>
      </c>
    </row>
    <row r="85" spans="1:5" ht="18" x14ac:dyDescent="0.25">
      <c r="A85" s="173" t="s">
        <v>63</v>
      </c>
      <c r="B85" s="173"/>
      <c r="C85" s="173"/>
      <c r="D85" s="133" t="s">
        <v>14</v>
      </c>
      <c r="E85" s="63" t="s">
        <v>226</v>
      </c>
    </row>
    <row r="86" spans="1:5" ht="18" x14ac:dyDescent="0.25">
      <c r="A86" s="173" t="s">
        <v>64</v>
      </c>
      <c r="B86" s="173"/>
      <c r="C86" s="173"/>
      <c r="D86" s="133" t="s">
        <v>14</v>
      </c>
      <c r="E86" s="63" t="s">
        <v>226</v>
      </c>
    </row>
    <row r="87" spans="1:5" ht="18" x14ac:dyDescent="0.25">
      <c r="A87" s="181" t="s">
        <v>243</v>
      </c>
      <c r="B87" s="182"/>
      <c r="C87" s="183"/>
      <c r="D87" s="133" t="s">
        <v>14</v>
      </c>
      <c r="E87" s="63" t="s">
        <v>226</v>
      </c>
    </row>
    <row r="88" spans="1:5" ht="18" x14ac:dyDescent="0.25">
      <c r="A88" s="181" t="s">
        <v>225</v>
      </c>
      <c r="B88" s="182"/>
      <c r="C88" s="183"/>
      <c r="D88" s="133" t="s">
        <v>14</v>
      </c>
      <c r="E88" s="63" t="s">
        <v>226</v>
      </c>
    </row>
    <row r="89" spans="1:5" ht="18" x14ac:dyDescent="0.25">
      <c r="A89" s="181" t="s">
        <v>277</v>
      </c>
      <c r="B89" s="182"/>
      <c r="C89" s="183"/>
      <c r="D89" s="133" t="s">
        <v>14</v>
      </c>
      <c r="E89" s="63" t="s">
        <v>226</v>
      </c>
    </row>
    <row r="90" spans="1:5" ht="18" x14ac:dyDescent="0.25">
      <c r="A90" s="181" t="s">
        <v>292</v>
      </c>
      <c r="B90" s="182"/>
      <c r="C90" s="183"/>
      <c r="D90" s="133" t="s">
        <v>14</v>
      </c>
      <c r="E90" s="63" t="s">
        <v>226</v>
      </c>
    </row>
    <row r="91" spans="1:5" ht="18" x14ac:dyDescent="0.25">
      <c r="A91" s="181" t="s">
        <v>293</v>
      </c>
      <c r="B91" s="182"/>
      <c r="C91" s="183"/>
      <c r="D91" s="133" t="s">
        <v>14</v>
      </c>
      <c r="E91" s="63" t="s">
        <v>226</v>
      </c>
    </row>
    <row r="92" spans="1:5" ht="18" x14ac:dyDescent="0.25">
      <c r="A92" s="181" t="s">
        <v>301</v>
      </c>
      <c r="B92" s="182"/>
      <c r="C92" s="183"/>
      <c r="D92" s="133" t="s">
        <v>14</v>
      </c>
      <c r="E92" s="63" t="s">
        <v>226</v>
      </c>
    </row>
    <row r="93" spans="1:5" ht="18" x14ac:dyDescent="0.25">
      <c r="A93" s="181" t="s">
        <v>294</v>
      </c>
      <c r="B93" s="182"/>
      <c r="C93" s="183"/>
      <c r="D93" s="133" t="s">
        <v>14</v>
      </c>
      <c r="E93" s="63" t="s">
        <v>226</v>
      </c>
    </row>
    <row r="94" spans="1:5" ht="18" x14ac:dyDescent="0.25">
      <c r="A94" s="197" t="s">
        <v>313</v>
      </c>
      <c r="B94" s="198"/>
      <c r="C94" s="199"/>
      <c r="D94" s="133" t="s">
        <v>89</v>
      </c>
      <c r="E94" s="63" t="s">
        <v>227</v>
      </c>
    </row>
    <row r="95" spans="1:5" ht="18" x14ac:dyDescent="0.25">
      <c r="A95" s="181" t="s">
        <v>229</v>
      </c>
      <c r="B95" s="182"/>
      <c r="C95" s="183"/>
      <c r="D95" s="133" t="s">
        <v>141</v>
      </c>
      <c r="E95" s="141" t="s">
        <v>168</v>
      </c>
    </row>
    <row r="96" spans="1:5" ht="18" x14ac:dyDescent="0.25">
      <c r="A96" s="181" t="s">
        <v>230</v>
      </c>
      <c r="B96" s="182"/>
      <c r="C96" s="183"/>
      <c r="D96" s="133" t="s">
        <v>233</v>
      </c>
      <c r="E96" s="141" t="s">
        <v>168</v>
      </c>
    </row>
    <row r="97" spans="1:5" ht="18" x14ac:dyDescent="0.25">
      <c r="A97" s="181" t="s">
        <v>286</v>
      </c>
      <c r="B97" s="182"/>
      <c r="C97" s="183"/>
      <c r="D97" s="133" t="s">
        <v>287</v>
      </c>
      <c r="E97" s="138" t="s">
        <v>50</v>
      </c>
    </row>
    <row r="98" spans="1:5" ht="18" x14ac:dyDescent="0.25">
      <c r="A98" s="181" t="s">
        <v>250</v>
      </c>
      <c r="B98" s="182"/>
      <c r="C98" s="183"/>
      <c r="D98" s="133" t="s">
        <v>288</v>
      </c>
      <c r="E98" s="138" t="s">
        <v>50</v>
      </c>
    </row>
    <row r="99" spans="1:5" ht="18" x14ac:dyDescent="0.25">
      <c r="A99" s="181" t="s">
        <v>306</v>
      </c>
      <c r="B99" s="182"/>
      <c r="C99" s="183"/>
      <c r="D99" s="133" t="s">
        <v>307</v>
      </c>
      <c r="E99" s="141" t="s">
        <v>168</v>
      </c>
    </row>
    <row r="100" spans="1:5" ht="18" x14ac:dyDescent="0.25">
      <c r="A100" s="181" t="s">
        <v>304</v>
      </c>
      <c r="B100" s="182"/>
      <c r="C100" s="183"/>
      <c r="D100" s="133" t="s">
        <v>305</v>
      </c>
      <c r="E100" s="141" t="s">
        <v>168</v>
      </c>
    </row>
  </sheetData>
  <mergeCells count="98">
    <mergeCell ref="A95:C95"/>
    <mergeCell ref="A96:C96"/>
    <mergeCell ref="A97:C97"/>
    <mergeCell ref="A98:C98"/>
    <mergeCell ref="A99:C99"/>
    <mergeCell ref="A100:C100"/>
    <mergeCell ref="A94:C94"/>
    <mergeCell ref="A88:C88"/>
    <mergeCell ref="A89:C89"/>
    <mergeCell ref="A90:C90"/>
    <mergeCell ref="A91:C91"/>
    <mergeCell ref="A92:C92"/>
    <mergeCell ref="A93:C93"/>
    <mergeCell ref="A82:C82"/>
    <mergeCell ref="A83:C83"/>
    <mergeCell ref="A84:C84"/>
    <mergeCell ref="A85:C85"/>
    <mergeCell ref="A86:C86"/>
    <mergeCell ref="A87:C87"/>
    <mergeCell ref="A76:C76"/>
    <mergeCell ref="A77:C77"/>
    <mergeCell ref="A78:C78"/>
    <mergeCell ref="A79:C79"/>
    <mergeCell ref="A80:C80"/>
    <mergeCell ref="A81:C81"/>
    <mergeCell ref="A70:C70"/>
    <mergeCell ref="A71:C71"/>
    <mergeCell ref="A72:C72"/>
    <mergeCell ref="A73:C73"/>
    <mergeCell ref="A74:C74"/>
    <mergeCell ref="A75:C75"/>
    <mergeCell ref="A64:C64"/>
    <mergeCell ref="A65:C65"/>
    <mergeCell ref="A66:C66"/>
    <mergeCell ref="A67:C67"/>
    <mergeCell ref="A68:C68"/>
    <mergeCell ref="A69:C69"/>
    <mergeCell ref="A58:C58"/>
    <mergeCell ref="A59:C59"/>
    <mergeCell ref="A60:C60"/>
    <mergeCell ref="A61:C61"/>
    <mergeCell ref="A62:C62"/>
    <mergeCell ref="A63:C63"/>
    <mergeCell ref="A52:C52"/>
    <mergeCell ref="A53:C53"/>
    <mergeCell ref="A54:C54"/>
    <mergeCell ref="A55:C55"/>
    <mergeCell ref="A56:C56"/>
    <mergeCell ref="A57:C57"/>
    <mergeCell ref="A51:C51"/>
    <mergeCell ref="A42:C42"/>
    <mergeCell ref="A43:C43"/>
    <mergeCell ref="A44:C44"/>
    <mergeCell ref="A45:C45"/>
    <mergeCell ref="A46:C46"/>
    <mergeCell ref="A47:C47"/>
    <mergeCell ref="A39:C39"/>
    <mergeCell ref="A40:C40"/>
    <mergeCell ref="A41:C41"/>
    <mergeCell ref="A48:C48"/>
    <mergeCell ref="A49:C49"/>
    <mergeCell ref="A50:C50"/>
    <mergeCell ref="A31:C31"/>
    <mergeCell ref="A23:C23"/>
    <mergeCell ref="A24:C24"/>
    <mergeCell ref="A35:C35"/>
    <mergeCell ref="A36:C36"/>
    <mergeCell ref="A37:C37"/>
    <mergeCell ref="A11:C11"/>
    <mergeCell ref="A4:C4"/>
    <mergeCell ref="A5:C5"/>
    <mergeCell ref="A32:C32"/>
    <mergeCell ref="A33:C33"/>
    <mergeCell ref="A34:C34"/>
    <mergeCell ref="A12:C12"/>
    <mergeCell ref="A14:C14"/>
    <mergeCell ref="A16:C16"/>
    <mergeCell ref="A17:C17"/>
    <mergeCell ref="A20:C20"/>
    <mergeCell ref="A7:C7"/>
    <mergeCell ref="A8:C8"/>
    <mergeCell ref="A1:C1"/>
    <mergeCell ref="A2:C2"/>
    <mergeCell ref="A3:C3"/>
    <mergeCell ref="A18:C18"/>
    <mergeCell ref="A13:C13"/>
    <mergeCell ref="A15:C15"/>
    <mergeCell ref="A10:C10"/>
    <mergeCell ref="A9:C9"/>
    <mergeCell ref="A21:C21"/>
    <mergeCell ref="A22:C22"/>
    <mergeCell ref="A6:C6"/>
    <mergeCell ref="A27:C27"/>
    <mergeCell ref="A30:C30"/>
    <mergeCell ref="A28:C28"/>
    <mergeCell ref="A29:C29"/>
    <mergeCell ref="A25:C25"/>
    <mergeCell ref="A19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April 2013</vt:lpstr>
      <vt:lpstr>MEMO</vt:lpstr>
      <vt:lpstr>17.7</vt:lpstr>
      <vt:lpstr>16.7</vt:lpstr>
      <vt:lpstr>15.9</vt:lpstr>
      <vt:lpstr>13.7</vt:lpstr>
      <vt:lpstr>12.7</vt:lpstr>
      <vt:lpstr>10.7</vt:lpstr>
      <vt:lpstr>9.7</vt:lpstr>
      <vt:lpstr>8.7</vt:lpstr>
      <vt:lpstr>sUMMARY</vt:lpstr>
      <vt:lpstr>14.7</vt:lpstr>
      <vt:lpstr>Sheet2</vt:lpstr>
      <vt:lpstr>5.7</vt:lpstr>
      <vt:lpstr>Noninal roll</vt:lpstr>
      <vt:lpstr>Sheet1</vt:lpstr>
      <vt:lpstr>'April 2013'!Print_Area</vt:lpstr>
      <vt:lpstr>MEMO!Print_Area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2013-04-19T12:12:33Z</cp:lastPrinted>
  <dcterms:created xsi:type="dcterms:W3CDTF">2008-06-27T10:36:45Z</dcterms:created>
  <dcterms:modified xsi:type="dcterms:W3CDTF">2026-03-28T19:52:38Z</dcterms:modified>
</cp:coreProperties>
</file>