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\Documents\Payroll Maters 2023\November 2023 Payroll\"/>
    </mc:Choice>
  </mc:AlternateContent>
  <xr:revisionPtr revIDLastSave="5" documentId="11_DD01633D4EF72E7388B5E597A1FDE20C1F81F08B" xr6:coauthVersionLast="47" xr6:coauthVersionMax="47" xr10:uidLastSave="{0D23CC33-0F37-4DA1-B31E-234009893194}"/>
  <bookViews>
    <workbookView xWindow="0" yWindow="0" windowWidth="23040" windowHeight="9375" tabRatio="599" xr2:uid="{00000000-000D-0000-FFFF-FFFF00000000}"/>
  </bookViews>
  <sheets>
    <sheet name="NOVEMBER 2023" sheetId="1" r:id="rId1"/>
    <sheet name="MEMO 1" sheetId="68" r:id="rId2"/>
    <sheet name="PROMOTIONS IN NOVEMBER" sheetId="131" r:id="rId3"/>
    <sheet name="NEW ENROLMENT IN NOVEMBER (2)" sheetId="132" r:id="rId4"/>
    <sheet name="Regularisation IN NOVEMBER (3)" sheetId="133" r:id="rId5"/>
    <sheet name="Sheet2" sheetId="130" r:id="rId6"/>
    <sheet name="PROMOTIONS" sheetId="129" r:id="rId7"/>
    <sheet name="SALARY STRUCTURE" sheetId="128" r:id="rId8"/>
    <sheet name="Wage Grant" sheetId="124" r:id="rId9"/>
    <sheet name="Wage Grant (2)" sheetId="126" r:id="rId10"/>
    <sheet name="1st 28 days in Nov" sheetId="123" r:id="rId11"/>
    <sheet name="Sallah Welfare April 2023" sheetId="119" r:id="rId12"/>
    <sheet name="Sallah Welfare June 2023" sheetId="120" r:id="rId13"/>
    <sheet name="Sallah Welfare June 2023 Latest" sheetId="121" r:id="rId14"/>
    <sheet name="Sheet1" sheetId="117" r:id="rId15"/>
    <sheet name="January 2023 PAYE" sheetId="115" r:id="rId16"/>
    <sheet name="January 2023 NHF)" sheetId="116" r:id="rId17"/>
    <sheet name="PAYE Computation" sheetId="114" r:id="rId18"/>
    <sheet name="Tax adj August, 2022" sheetId="87" r:id="rId19"/>
    <sheet name="Annual Increement" sheetId="78" r:id="rId20"/>
    <sheet name="Enhanced Welfare 2023 (2)" sheetId="110" r:id="rId21"/>
    <sheet name="Enhanced Welfare 2023 (3)" sheetId="113" r:id="rId22"/>
    <sheet name="17.9" sheetId="4" r:id="rId23"/>
    <sheet name="16.7" sheetId="5" r:id="rId24"/>
    <sheet name="15.7.1" sheetId="6" r:id="rId25"/>
    <sheet name="13.7" sheetId="7" r:id="rId26"/>
    <sheet name="12.7" sheetId="8" r:id="rId27"/>
    <sheet name="10.7" sheetId="9" r:id="rId28"/>
    <sheet name="9.7" sheetId="10" r:id="rId29"/>
    <sheet name="8.7" sheetId="11" r:id="rId30"/>
    <sheet name="SUMMARY" sheetId="12" r:id="rId31"/>
    <sheet name="14.7" sheetId="13" r:id="rId32"/>
    <sheet name="15.7" sheetId="23" r:id="rId33"/>
    <sheet name="Basic Salary" sheetId="61" r:id="rId34"/>
    <sheet name="JUNE 2023 (2)" sheetId="122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xlnm.Print_Area" localSheetId="19">'Annual Increement'!$A$1:$AB$191</definedName>
    <definedName name="_xlnm.Print_Area" localSheetId="20">'Enhanced Welfare 2023 (2)'!$A$1:$G$193</definedName>
    <definedName name="_xlnm.Print_Area" localSheetId="21">'Enhanced Welfare 2023 (3)'!$A$1:$G$193</definedName>
    <definedName name="_xlnm.Print_Area" localSheetId="16">'January 2023 NHF)'!$A$1:$H$191</definedName>
    <definedName name="_xlnm.Print_Area" localSheetId="15">'January 2023 PAYE'!$A$1:$H$191</definedName>
    <definedName name="_xlnm.Print_Area" localSheetId="34">'JUNE 2023 (2)'!$A$1:$D$190</definedName>
    <definedName name="_xlnm.Print_Area" localSheetId="1">'MEMO 1'!$A$1:$H$62</definedName>
    <definedName name="_xlnm.Print_Area" localSheetId="3">'NEW ENROLMENT IN NOVEMBER (2)'!$A$1:$X$14</definedName>
    <definedName name="_xlnm.Print_Area" localSheetId="0">'NOVEMBER 2023'!$A$1:$Z$195</definedName>
    <definedName name="_xlnm.Print_Area" localSheetId="6">PROMOTIONS!$A$1:$AB$47</definedName>
    <definedName name="_xlnm.Print_Area" localSheetId="2">'PROMOTIONS IN NOVEMBER'!$A$1:$AB$27</definedName>
    <definedName name="_xlnm.Print_Area" localSheetId="4">'Regularisation IN NOVEMBER (3)'!$A$1:$X$16</definedName>
    <definedName name="_xlnm.Print_Area" localSheetId="11">'Sallah Welfare April 2023'!$A$1:$E$190</definedName>
    <definedName name="_xlnm.Print_Area" localSheetId="12">'Sallah Welfare June 2023'!$A$1:$E$192</definedName>
    <definedName name="_xlnm.Print_Area" localSheetId="13">'Sallah Welfare June 2023 Latest'!$A$1:$E$189</definedName>
    <definedName name="_xlnm.Print_Area" localSheetId="18">'Tax adj August, 2022'!$A$1:$G$202</definedName>
    <definedName name="_xlnm.Print_Area" localSheetId="8">'Wage Grant'!$A$1:$I$192</definedName>
    <definedName name="_xlnm.Print_Area" localSheetId="9">'Wage Grant (2)'!$A$1:$H$62</definedName>
    <definedName name="_xlnm.Print_Titles" localSheetId="20">'Enhanced Welfare 2023 (2)'!$4:$5</definedName>
    <definedName name="_xlnm.Print_Titles" localSheetId="21">'Enhanced Welfare 2023 (3)'!$4:$5</definedName>
    <definedName name="_xlnm.Print_Titles" localSheetId="16">'January 2023 NHF)'!$4:$5</definedName>
    <definedName name="_xlnm.Print_Titles" localSheetId="15">'January 2023 PAYE'!$4:$5</definedName>
    <definedName name="_xlnm.Print_Titles" localSheetId="34">'JUNE 2023 (2)'!$4:$5</definedName>
    <definedName name="_xlnm.Print_Titles" localSheetId="3">'NEW ENROLMENT IN NOVEMBER (2)'!$4:$5</definedName>
    <definedName name="_xlnm.Print_Titles" localSheetId="0">'NOVEMBER 2023'!$4:$5</definedName>
    <definedName name="_xlnm.Print_Titles" localSheetId="6">PROMOTIONS!$4:$5</definedName>
    <definedName name="_xlnm.Print_Titles" localSheetId="2">'PROMOTIONS IN NOVEMBER'!$4:$5</definedName>
    <definedName name="_xlnm.Print_Titles" localSheetId="4">'Regularisation IN NOVEMBER (3)'!$4:$5</definedName>
    <definedName name="_xlnm.Print_Titles" localSheetId="11">'Sallah Welfare April 2023'!$4:$5</definedName>
    <definedName name="_xlnm.Print_Titles" localSheetId="12">'Sallah Welfare June 2023'!$4:$5</definedName>
    <definedName name="_xlnm.Print_Titles" localSheetId="13">'Sallah Welfare June 2023 Latest'!$4:$5</definedName>
    <definedName name="_xlnm.Print_Titles" localSheetId="8">'Wage Grant'!$5:$5</definedName>
    <definedName name="_xlnm.Print_Titles" localSheetId="9">'Wage Grant (2)'!$5:$5</definedName>
  </definedNames>
  <calcPr calcId="191028" calcCompleted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68" l="1"/>
  <c r="G54" i="68"/>
  <c r="G53" i="68"/>
  <c r="G52" i="68"/>
  <c r="G51" i="68"/>
  <c r="G50" i="68"/>
  <c r="G49" i="68"/>
  <c r="G48" i="68"/>
  <c r="G47" i="68"/>
  <c r="G46" i="68"/>
  <c r="G45" i="68"/>
  <c r="G44" i="68"/>
  <c r="F101" i="1" l="1"/>
  <c r="I101" i="1"/>
  <c r="M101" i="1"/>
  <c r="P101" i="1"/>
  <c r="S101" i="1"/>
  <c r="V101" i="1"/>
  <c r="Y101" i="1"/>
  <c r="N70" i="1"/>
  <c r="P70" i="1"/>
  <c r="Q70" i="1"/>
  <c r="S70" i="1"/>
  <c r="V70" i="1"/>
  <c r="Y70" i="1"/>
  <c r="P29" i="1"/>
  <c r="S29" i="1"/>
  <c r="Y29" i="1"/>
  <c r="W12" i="1"/>
  <c r="U12" i="1"/>
  <c r="T12" i="1"/>
  <c r="O12" i="1"/>
  <c r="N12" i="1"/>
  <c r="L12" i="1"/>
  <c r="K12" i="1"/>
  <c r="J12" i="1"/>
  <c r="H12" i="1"/>
  <c r="G12" i="1"/>
  <c r="W20" i="1"/>
  <c r="X20" i="1" s="1"/>
  <c r="E20" i="1"/>
  <c r="J20" i="1" s="1"/>
  <c r="M20" i="1"/>
  <c r="X12" i="1" l="1"/>
  <c r="R12" i="1"/>
  <c r="Z12" i="1" s="1"/>
  <c r="G20" i="1"/>
  <c r="H20" i="1"/>
  <c r="K20" i="1"/>
  <c r="L20" i="1"/>
  <c r="O20" i="1"/>
  <c r="R20" i="1" l="1"/>
  <c r="Z20" i="1" s="1"/>
  <c r="H37" i="68" l="1"/>
  <c r="E34" i="1"/>
  <c r="W125" i="1"/>
  <c r="H32" i="68"/>
  <c r="H38" i="68"/>
  <c r="W173" i="1"/>
  <c r="W174" i="1"/>
  <c r="W172" i="1"/>
  <c r="N173" i="1"/>
  <c r="N174" i="1"/>
  <c r="N172" i="1"/>
  <c r="E173" i="1"/>
  <c r="E174" i="1"/>
  <c r="E172" i="1"/>
  <c r="E13" i="133"/>
  <c r="H13" i="133" s="1"/>
  <c r="G13" i="133"/>
  <c r="Q13" i="133"/>
  <c r="T13" i="133"/>
  <c r="U13" i="133"/>
  <c r="W13" i="133"/>
  <c r="E14" i="133"/>
  <c r="K14" i="133" s="1"/>
  <c r="G14" i="133"/>
  <c r="H14" i="133"/>
  <c r="J14" i="133"/>
  <c r="L14" i="133"/>
  <c r="O14" i="133"/>
  <c r="Q14" i="133"/>
  <c r="W14" i="133"/>
  <c r="X14" i="133"/>
  <c r="X16" i="133" s="1"/>
  <c r="E15" i="133"/>
  <c r="G15" i="133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R15" i="133" l="1"/>
  <c r="R14" i="133"/>
  <c r="Z14" i="133" s="1"/>
  <c r="X13" i="133"/>
  <c r="Z15" i="133"/>
  <c r="O13" i="133"/>
  <c r="J13" i="133"/>
  <c r="L13" i="133"/>
  <c r="K13" i="133"/>
  <c r="R13" i="133" s="1"/>
  <c r="Z13" i="133" s="1"/>
  <c r="AB8" i="133" l="1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H33" i="68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H34" i="68"/>
  <c r="W16" i="1"/>
  <c r="X16" i="1"/>
  <c r="O16" i="1"/>
  <c r="L16" i="1"/>
  <c r="K16" i="1"/>
  <c r="J16" i="1"/>
  <c r="H16" i="1"/>
  <c r="G16" i="1"/>
  <c r="X68" i="1"/>
  <c r="W68" i="1"/>
  <c r="O68" i="1"/>
  <c r="L68" i="1"/>
  <c r="K68" i="1"/>
  <c r="J68" i="1"/>
  <c r="H68" i="1"/>
  <c r="G68" i="1"/>
  <c r="R21" i="1"/>
  <c r="E4" i="123"/>
  <c r="E3" i="123"/>
  <c r="D4" i="123"/>
  <c r="D3" i="123"/>
  <c r="W11" i="132"/>
  <c r="T7" i="132"/>
  <c r="S7" i="132"/>
  <c r="U8" i="133" l="1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AA8" i="133" l="1"/>
  <c r="AC8" i="133" s="1"/>
  <c r="AE8" i="133" s="1"/>
  <c r="AE11" i="133" s="1"/>
  <c r="U16" i="133"/>
  <c r="R11" i="132"/>
  <c r="V11" i="132" s="1"/>
  <c r="X11" i="132" s="1"/>
  <c r="F68" i="1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S14" i="132" s="1"/>
  <c r="P8" i="132"/>
  <c r="P14" i="132" s="1"/>
  <c r="M8" i="132"/>
  <c r="M14" i="132" s="1"/>
  <c r="I8" i="132"/>
  <c r="I14" i="132" s="1"/>
  <c r="F8" i="132"/>
  <c r="F14" i="132" s="1"/>
  <c r="U8" i="132"/>
  <c r="T8" i="132"/>
  <c r="T14" i="132" s="1"/>
  <c r="O8" i="132"/>
  <c r="O14" i="132" s="1"/>
  <c r="N8" i="132"/>
  <c r="N14" i="132" s="1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AA23" i="131"/>
  <c r="X23" i="13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2" i="131"/>
  <c r="AA13" i="131" s="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T18" i="131"/>
  <c r="O18" i="131"/>
  <c r="N18" i="131"/>
  <c r="L18" i="131"/>
  <c r="K18" i="131"/>
  <c r="J18" i="131"/>
  <c r="H18" i="131"/>
  <c r="G18" i="131"/>
  <c r="W39" i="1"/>
  <c r="U39" i="1"/>
  <c r="T39" i="1"/>
  <c r="F39" i="1"/>
  <c r="W7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Z18" i="131" l="1"/>
  <c r="AB18" i="131" s="1"/>
  <c r="T22" i="131"/>
  <c r="Z22" i="131" s="1"/>
  <c r="AB22" i="131" s="1"/>
  <c r="T23" i="131"/>
  <c r="Y23" i="131"/>
  <c r="K24" i="131"/>
  <c r="N24" i="131"/>
  <c r="F70" i="1"/>
  <c r="R68" i="1"/>
  <c r="Z68" i="1" s="1"/>
  <c r="R12" i="132"/>
  <c r="R8" i="132"/>
  <c r="R14" i="132" s="1"/>
  <c r="V7" i="132"/>
  <c r="X7" i="132" s="1"/>
  <c r="F16" i="1" s="1"/>
  <c r="V8" i="132"/>
  <c r="U12" i="132"/>
  <c r="U14" i="132" s="1"/>
  <c r="X8" i="132"/>
  <c r="G8" i="132"/>
  <c r="G14" i="132" s="1"/>
  <c r="E8" i="132"/>
  <c r="E14" i="132" s="1"/>
  <c r="H8" i="132"/>
  <c r="H14" i="132" s="1"/>
  <c r="Z23" i="131"/>
  <c r="AB23" i="131" s="1"/>
  <c r="F24" i="131"/>
  <c r="J24" i="131"/>
  <c r="G24" i="131"/>
  <c r="I24" i="131"/>
  <c r="Z12" i="131"/>
  <c r="AB12" i="131" s="1"/>
  <c r="F43" i="1" s="1"/>
  <c r="X13" i="131"/>
  <c r="F29" i="1" l="1"/>
  <c r="R16" i="1"/>
  <c r="Z16" i="1" s="1"/>
  <c r="Q24" i="131"/>
  <c r="T24" i="131" s="1"/>
  <c r="Z24" i="131" s="1"/>
  <c r="AB24" i="131" s="1"/>
  <c r="W185" i="1" l="1"/>
  <c r="W155" i="1"/>
  <c r="W145" i="1"/>
  <c r="W143" i="1"/>
  <c r="W126" i="1"/>
  <c r="W100" i="1"/>
  <c r="W101" i="1" s="1"/>
  <c r="W14" i="1"/>
  <c r="W89" i="1"/>
  <c r="W86" i="1"/>
  <c r="W85" i="1"/>
  <c r="W76" i="1"/>
  <c r="W60" i="1"/>
  <c r="W45" i="1"/>
  <c r="W23" i="1"/>
  <c r="T11" i="131" l="1"/>
  <c r="T13" i="131" s="1"/>
  <c r="S17" i="131"/>
  <c r="N17" i="131"/>
  <c r="M17" i="131"/>
  <c r="L17" i="131"/>
  <c r="K17" i="131"/>
  <c r="J17" i="13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AA7" i="131"/>
  <c r="X7" i="131"/>
  <c r="W34" i="1" s="1"/>
  <c r="Q17" i="131" l="1"/>
  <c r="T17" i="131"/>
  <c r="T7" i="131"/>
  <c r="S7" i="131"/>
  <c r="N7" i="131"/>
  <c r="E7" i="131"/>
  <c r="H7" i="131" s="1"/>
  <c r="I35" i="1"/>
  <c r="M35" i="1"/>
  <c r="P35" i="1"/>
  <c r="Q35" i="1"/>
  <c r="U35" i="1"/>
  <c r="V35" i="1"/>
  <c r="W35" i="1"/>
  <c r="Y35" i="1"/>
  <c r="Y193" i="1" s="1"/>
  <c r="X39" i="1"/>
  <c r="O39" i="1"/>
  <c r="M39" i="1"/>
  <c r="L39" i="1"/>
  <c r="K39" i="1"/>
  <c r="J39" i="1"/>
  <c r="H39" i="1"/>
  <c r="G39" i="1"/>
  <c r="X53" i="1"/>
  <c r="O53" i="1"/>
  <c r="M53" i="1"/>
  <c r="L53" i="1"/>
  <c r="K53" i="1"/>
  <c r="J53" i="1"/>
  <c r="H53" i="1"/>
  <c r="G53" i="1"/>
  <c r="R39" i="1" l="1"/>
  <c r="Z39" i="1" s="1"/>
  <c r="O7" i="131"/>
  <c r="K7" i="131"/>
  <c r="G7" i="131"/>
  <c r="J7" i="131"/>
  <c r="L7" i="131"/>
  <c r="R53" i="1"/>
  <c r="Z53" i="1" s="1"/>
  <c r="H36" i="68" l="1"/>
  <c r="H35" i="68"/>
  <c r="L25" i="131"/>
  <c r="W19" i="131"/>
  <c r="U19" i="131"/>
  <c r="P19" i="131"/>
  <c r="O19" i="131"/>
  <c r="N19" i="131"/>
  <c r="M19" i="131"/>
  <c r="L19" i="131"/>
  <c r="H19" i="131"/>
  <c r="E19" i="131"/>
  <c r="X19" i="131"/>
  <c r="V19" i="13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V8" i="131"/>
  <c r="U8" i="131"/>
  <c r="S8" i="131"/>
  <c r="P8" i="131"/>
  <c r="O8" i="131"/>
  <c r="M8" i="131"/>
  <c r="L8" i="131"/>
  <c r="H8" i="131"/>
  <c r="E8" i="131"/>
  <c r="X8" i="131"/>
  <c r="N8" i="131"/>
  <c r="K8" i="131"/>
  <c r="J8" i="131"/>
  <c r="G8" i="131"/>
  <c r="F8" i="131"/>
  <c r="G3" i="131"/>
  <c r="E3" i="131"/>
  <c r="G1" i="131"/>
  <c r="G27" i="131" l="1"/>
  <c r="J27" i="131"/>
  <c r="K27" i="131"/>
  <c r="V27" i="131"/>
  <c r="X27" i="131"/>
  <c r="E27" i="131"/>
  <c r="H27" i="131"/>
  <c r="L27" i="131"/>
  <c r="M27" i="131"/>
  <c r="N27" i="131"/>
  <c r="O27" i="131"/>
  <c r="P27" i="131"/>
  <c r="U27" i="131"/>
  <c r="W27" i="131"/>
  <c r="H40" i="68"/>
  <c r="S27" i="131"/>
  <c r="Q19" i="131"/>
  <c r="Y17" i="131"/>
  <c r="Y19" i="131" s="1"/>
  <c r="F19" i="131"/>
  <c r="F27" i="131" s="1"/>
  <c r="Y7" i="131"/>
  <c r="Y8" i="131" s="1"/>
  <c r="I8" i="131"/>
  <c r="I27" i="131" s="1"/>
  <c r="E5" i="123"/>
  <c r="Y27" i="131" l="1"/>
  <c r="Z17" i="131"/>
  <c r="T19" i="131"/>
  <c r="U11" i="1"/>
  <c r="U137" i="1"/>
  <c r="U155" i="1"/>
  <c r="AB17" i="131" l="1"/>
  <c r="AB19" i="131" s="1"/>
  <c r="Z19" i="131"/>
  <c r="S45" i="129" l="1"/>
  <c r="Q185" i="1"/>
  <c r="N185" i="1"/>
  <c r="E185" i="1"/>
  <c r="S43" i="129"/>
  <c r="S42" i="129"/>
  <c r="N155" i="1"/>
  <c r="V143" i="1"/>
  <c r="N100" i="1"/>
  <c r="E100" i="1"/>
  <c r="O100" i="1" s="1"/>
  <c r="I14" i="1"/>
  <c r="M89" i="1"/>
  <c r="E89" i="1"/>
  <c r="L100" i="1" l="1"/>
  <c r="H100" i="1"/>
  <c r="K100" i="1"/>
  <c r="G100" i="1"/>
  <c r="J100" i="1"/>
  <c r="M76" i="1"/>
  <c r="V15" i="129"/>
  <c r="V85" i="1"/>
  <c r="I86" i="1"/>
  <c r="I85" i="1"/>
  <c r="M45" i="1"/>
  <c r="E45" i="1"/>
  <c r="N23" i="1" l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Y18" i="129"/>
  <c r="Z18" i="129" s="1"/>
  <c r="AB18" i="129" s="1"/>
  <c r="Y19" i="129"/>
  <c r="Z19" i="129" s="1"/>
  <c r="AB19" i="129" s="1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V14" i="1" s="1"/>
  <c r="V29" i="1" s="1"/>
  <c r="S35" i="129"/>
  <c r="S31" i="129"/>
  <c r="T31" i="129" s="1"/>
  <c r="Z31" i="129" s="1"/>
  <c r="AB31" i="129" s="1"/>
  <c r="R100" i="1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45" i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H59" i="126" s="1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I108" i="124" l="1"/>
  <c r="I106" i="124"/>
  <c r="I104" i="124"/>
  <c r="Q40" i="129"/>
  <c r="E47" i="129"/>
  <c r="L47" i="129"/>
  <c r="Z43" i="129"/>
  <c r="AB43" i="129" s="1"/>
  <c r="H47" i="129"/>
  <c r="S32" i="129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T32" i="129" l="1"/>
  <c r="F47" i="129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W142" i="1"/>
  <c r="W115" i="1"/>
  <c r="W18" i="1"/>
  <c r="X9" i="1"/>
  <c r="W79" i="1" l="1"/>
  <c r="F192" i="1"/>
  <c r="M192" i="1"/>
  <c r="P192" i="1"/>
  <c r="S192" i="1"/>
  <c r="V192" i="1"/>
  <c r="W191" i="1"/>
  <c r="X191" i="1" s="1"/>
  <c r="N191" i="1"/>
  <c r="E191" i="1"/>
  <c r="J191" i="1" s="1"/>
  <c r="W190" i="1"/>
  <c r="X190" i="1" s="1"/>
  <c r="E190" i="1"/>
  <c r="O190" i="1" s="1"/>
  <c r="N190" i="1"/>
  <c r="O191" i="1" l="1"/>
  <c r="L191" i="1"/>
  <c r="K191" i="1"/>
  <c r="G191" i="1"/>
  <c r="H191" i="1"/>
  <c r="J190" i="1"/>
  <c r="H190" i="1"/>
  <c r="L190" i="1"/>
  <c r="K190" i="1"/>
  <c r="G190" i="1"/>
  <c r="R190" i="1" l="1"/>
  <c r="Z190" i="1" s="1"/>
  <c r="R191" i="1"/>
  <c r="Z191" i="1" s="1"/>
  <c r="W189" i="1"/>
  <c r="X189" i="1" s="1"/>
  <c r="O189" i="1"/>
  <c r="L189" i="1"/>
  <c r="K189" i="1"/>
  <c r="J189" i="1"/>
  <c r="H189" i="1"/>
  <c r="G189" i="1"/>
  <c r="W188" i="1"/>
  <c r="X188" i="1" s="1"/>
  <c r="O188" i="1"/>
  <c r="L188" i="1"/>
  <c r="K188" i="1"/>
  <c r="J188" i="1"/>
  <c r="H188" i="1"/>
  <c r="G188" i="1"/>
  <c r="W187" i="1"/>
  <c r="X187" i="1" s="1"/>
  <c r="R189" i="1" l="1"/>
  <c r="Z189" i="1" s="1"/>
  <c r="R188" i="1"/>
  <c r="Z188" i="1" s="1"/>
  <c r="O187" i="1" l="1"/>
  <c r="L187" i="1"/>
  <c r="K187" i="1"/>
  <c r="J187" i="1"/>
  <c r="H187" i="1"/>
  <c r="G187" i="1"/>
  <c r="R187" i="1" l="1"/>
  <c r="Z187" i="1" s="1"/>
  <c r="V91" i="1"/>
  <c r="U58" i="1" l="1"/>
  <c r="U186" i="1"/>
  <c r="T63" i="1"/>
  <c r="T150" i="1"/>
  <c r="T100" i="1"/>
  <c r="T11" i="1"/>
  <c r="T138" i="1" l="1"/>
  <c r="X138" i="1" s="1"/>
  <c r="O138" i="1"/>
  <c r="L138" i="1"/>
  <c r="K138" i="1"/>
  <c r="J138" i="1"/>
  <c r="H138" i="1"/>
  <c r="G138" i="1"/>
  <c r="R138" i="1" l="1"/>
  <c r="Z138" i="1" s="1"/>
  <c r="F94" i="1" l="1"/>
  <c r="X88" i="1"/>
  <c r="X91" i="1"/>
  <c r="X93" i="1"/>
  <c r="R91" i="1"/>
  <c r="X44" i="1"/>
  <c r="X47" i="1"/>
  <c r="X48" i="1"/>
  <c r="X49" i="1"/>
  <c r="X74" i="1"/>
  <c r="X79" i="1"/>
  <c r="R79" i="1"/>
  <c r="F130" i="1"/>
  <c r="M130" i="1"/>
  <c r="S130" i="1"/>
  <c r="V130" i="1"/>
  <c r="N94" i="1"/>
  <c r="P94" i="1"/>
  <c r="Q94" i="1"/>
  <c r="S94" i="1"/>
  <c r="V94" i="1"/>
  <c r="F80" i="1"/>
  <c r="I80" i="1"/>
  <c r="P80" i="1"/>
  <c r="Q80" i="1"/>
  <c r="S80" i="1"/>
  <c r="V80" i="1"/>
  <c r="F50" i="1"/>
  <c r="N50" i="1"/>
  <c r="P50" i="1"/>
  <c r="Q50" i="1"/>
  <c r="S50" i="1"/>
  <c r="V50" i="1"/>
  <c r="Z91" i="1" l="1"/>
  <c r="Z79" i="1"/>
  <c r="X158" i="1"/>
  <c r="O158" i="1"/>
  <c r="N158" i="1"/>
  <c r="L158" i="1"/>
  <c r="K158" i="1"/>
  <c r="J158" i="1"/>
  <c r="H158" i="1"/>
  <c r="G158" i="1"/>
  <c r="X28" i="1"/>
  <c r="Z28" i="1" s="1"/>
  <c r="R158" i="1" l="1"/>
  <c r="Z158" i="1" s="1"/>
  <c r="W78" i="1" l="1"/>
  <c r="W80" i="1" l="1"/>
  <c r="X78" i="1"/>
  <c r="E78" i="1"/>
  <c r="X160" i="1"/>
  <c r="Z160" i="1" s="1"/>
  <c r="W46" i="1"/>
  <c r="X46" i="1" s="1"/>
  <c r="O46" i="1"/>
  <c r="L46" i="1"/>
  <c r="K46" i="1"/>
  <c r="J46" i="1"/>
  <c r="H46" i="1"/>
  <c r="G46" i="1"/>
  <c r="G78" i="1" l="1"/>
  <c r="E80" i="1"/>
  <c r="R46" i="1"/>
  <c r="Z46" i="1" s="1"/>
  <c r="J78" i="1"/>
  <c r="H78" i="1"/>
  <c r="K78" i="1"/>
  <c r="L78" i="1"/>
  <c r="O78" i="1"/>
  <c r="M131" i="1"/>
  <c r="R78" i="1" l="1"/>
  <c r="Z78" i="1" s="1"/>
  <c r="L168" i="1"/>
  <c r="F117" i="1" l="1"/>
  <c r="I117" i="1"/>
  <c r="P117" i="1"/>
  <c r="Q117" i="1"/>
  <c r="S117" i="1"/>
  <c r="V117" i="1"/>
  <c r="W117" i="1"/>
  <c r="U168" i="1" l="1"/>
  <c r="U76" i="1"/>
  <c r="X76" i="1" s="1"/>
  <c r="T125" i="1"/>
  <c r="X100" i="1"/>
  <c r="Z100" i="1" s="1"/>
  <c r="T141" i="1"/>
  <c r="W11" i="1" l="1"/>
  <c r="W13" i="1"/>
  <c r="W29" i="1" l="1"/>
  <c r="C190" i="122"/>
  <c r="F53" i="68" l="1"/>
  <c r="U164" i="1"/>
  <c r="E35" i="121"/>
  <c r="E189" i="121" s="1"/>
  <c r="C189" i="121" l="1"/>
  <c r="F194" i="121" l="1"/>
  <c r="F192" i="120"/>
  <c r="E128" i="1" l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Q14" i="1"/>
  <c r="G19" i="1" l="1"/>
  <c r="H19" i="1"/>
  <c r="J19" i="1"/>
  <c r="K19" i="1"/>
  <c r="L19" i="1"/>
  <c r="N19" i="1"/>
  <c r="O19" i="1"/>
  <c r="T19" i="1"/>
  <c r="U19" i="1"/>
  <c r="U115" i="1"/>
  <c r="U117" i="1" s="1"/>
  <c r="T115" i="1"/>
  <c r="O115" i="1"/>
  <c r="L115" i="1"/>
  <c r="K115" i="1"/>
  <c r="J115" i="1"/>
  <c r="H115" i="1"/>
  <c r="G115" i="1"/>
  <c r="M117" i="1"/>
  <c r="R19" i="1" l="1"/>
  <c r="L114" i="1"/>
  <c r="X114" i="1"/>
  <c r="T117" i="1"/>
  <c r="X19" i="1"/>
  <c r="X115" i="1"/>
  <c r="O114" i="1"/>
  <c r="R115" i="1"/>
  <c r="G114" i="1"/>
  <c r="H114" i="1"/>
  <c r="K114" i="1"/>
  <c r="J114" i="1"/>
  <c r="W92" i="1"/>
  <c r="Q122" i="1"/>
  <c r="Q130" i="1" s="1"/>
  <c r="U170" i="1"/>
  <c r="U166" i="1"/>
  <c r="U167" i="1"/>
  <c r="U165" i="1"/>
  <c r="X92" i="1" l="1"/>
  <c r="W94" i="1"/>
  <c r="Z19" i="1"/>
  <c r="Z115" i="1"/>
  <c r="R114" i="1"/>
  <c r="Z114" i="1" l="1"/>
  <c r="U43" i="1"/>
  <c r="T17" i="1"/>
  <c r="T149" i="1"/>
  <c r="W183" i="1" l="1"/>
  <c r="W192" i="1" s="1"/>
  <c r="R183" i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X129" i="1" l="1"/>
  <c r="Z129" i="1" s="1"/>
  <c r="W63" i="1" l="1"/>
  <c r="W124" i="1" l="1"/>
  <c r="W130" i="1" s="1"/>
  <c r="P124" i="1"/>
  <c r="P130" i="1" s="1"/>
  <c r="Q173" i="1" l="1"/>
  <c r="V111" i="1" l="1"/>
  <c r="W111" i="1"/>
  <c r="U55" i="1"/>
  <c r="V55" i="1"/>
  <c r="W55" i="1"/>
  <c r="V193" i="1" l="1"/>
  <c r="C193" i="1"/>
  <c r="T89" i="1"/>
  <c r="X89" i="1" s="1"/>
  <c r="U21" i="1"/>
  <c r="T157" i="1"/>
  <c r="T66" i="1"/>
  <c r="T65" i="1"/>
  <c r="X63" i="1"/>
  <c r="R63" i="1"/>
  <c r="Z63" i="1" l="1"/>
  <c r="W64" i="1"/>
  <c r="W70" i="1" s="1"/>
  <c r="M64" i="1"/>
  <c r="E64" i="1"/>
  <c r="I55" i="1" l="1"/>
  <c r="N55" i="1"/>
  <c r="P55" i="1"/>
  <c r="Q55" i="1"/>
  <c r="S55" i="1"/>
  <c r="T55" i="1"/>
  <c r="E55" i="1"/>
  <c r="W42" i="1" l="1"/>
  <c r="I42" i="1"/>
  <c r="I50" i="1" s="1"/>
  <c r="X42" i="1" l="1"/>
  <c r="W50" i="1"/>
  <c r="W193" i="1" l="1"/>
  <c r="F188" i="115"/>
  <c r="G134" i="115"/>
  <c r="G151" i="115"/>
  <c r="G152" i="115"/>
  <c r="G166" i="115"/>
  <c r="G167" i="115"/>
  <c r="G168" i="115"/>
  <c r="G169" i="115"/>
  <c r="G170" i="115"/>
  <c r="G171" i="115"/>
  <c r="G172" i="115"/>
  <c r="F130" i="115"/>
  <c r="F116" i="115"/>
  <c r="F106" i="115"/>
  <c r="F99" i="115"/>
  <c r="G97" i="115"/>
  <c r="F85" i="115"/>
  <c r="G83" i="115"/>
  <c r="F73" i="115"/>
  <c r="F77" i="115" s="1"/>
  <c r="M67" i="1"/>
  <c r="G65" i="115"/>
  <c r="G68" i="115"/>
  <c r="G69" i="115"/>
  <c r="G70" i="115"/>
  <c r="F60" i="115"/>
  <c r="F61" i="115" s="1"/>
  <c r="F57" i="115"/>
  <c r="F42" i="115"/>
  <c r="F37" i="115"/>
  <c r="G27" i="115"/>
  <c r="G29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H122" i="116" s="1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G183" i="115" s="1"/>
  <c r="E182" i="115"/>
  <c r="G182" i="115" s="1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E176" i="115"/>
  <c r="G176" i="115" s="1"/>
  <c r="E175" i="115"/>
  <c r="G175" i="115" s="1"/>
  <c r="E174" i="115"/>
  <c r="G174" i="115" s="1"/>
  <c r="E173" i="115"/>
  <c r="G173" i="115" s="1"/>
  <c r="E165" i="115"/>
  <c r="G165" i="115" s="1"/>
  <c r="E164" i="115"/>
  <c r="G164" i="115" s="1"/>
  <c r="E163" i="115"/>
  <c r="G163" i="115" s="1"/>
  <c r="E162" i="115"/>
  <c r="G162" i="115" s="1"/>
  <c r="E161" i="115"/>
  <c r="G161" i="115" s="1"/>
  <c r="E160" i="115"/>
  <c r="G160" i="115" s="1"/>
  <c r="E159" i="115"/>
  <c r="G159" i="115" s="1"/>
  <c r="E158" i="115"/>
  <c r="G158" i="115" s="1"/>
  <c r="E157" i="115"/>
  <c r="G157" i="115" s="1"/>
  <c r="E156" i="115"/>
  <c r="G156" i="115" s="1"/>
  <c r="E155" i="115"/>
  <c r="G155" i="115" s="1"/>
  <c r="E154" i="115"/>
  <c r="G154" i="115" s="1"/>
  <c r="E153" i="115"/>
  <c r="G153" i="115" s="1"/>
  <c r="E150" i="115"/>
  <c r="G150" i="115" s="1"/>
  <c r="E149" i="115"/>
  <c r="G149" i="115" s="1"/>
  <c r="E148" i="115"/>
  <c r="G148" i="115" s="1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G140" i="115" s="1"/>
  <c r="E139" i="115"/>
  <c r="G139" i="115" s="1"/>
  <c r="E138" i="115"/>
  <c r="G138" i="115" s="1"/>
  <c r="E137" i="115"/>
  <c r="G137" i="115" s="1"/>
  <c r="E136" i="115"/>
  <c r="G136" i="115" s="1"/>
  <c r="E135" i="115"/>
  <c r="G135" i="115" s="1"/>
  <c r="E133" i="115"/>
  <c r="G133" i="115" s="1"/>
  <c r="E129" i="115"/>
  <c r="G129" i="115" s="1"/>
  <c r="E128" i="115"/>
  <c r="G128" i="115" s="1"/>
  <c r="E127" i="115"/>
  <c r="G127" i="115" s="1"/>
  <c r="E126" i="115"/>
  <c r="G126" i="115" s="1"/>
  <c r="E125" i="115"/>
  <c r="G125" i="115" s="1"/>
  <c r="E124" i="115"/>
  <c r="G124" i="115" s="1"/>
  <c r="E123" i="115"/>
  <c r="G123" i="115" s="1"/>
  <c r="E122" i="115"/>
  <c r="G122" i="115" s="1"/>
  <c r="E121" i="115"/>
  <c r="G121" i="115" s="1"/>
  <c r="E120" i="115"/>
  <c r="G120" i="115" s="1"/>
  <c r="E119" i="115"/>
  <c r="G119" i="115" s="1"/>
  <c r="E115" i="115"/>
  <c r="G115" i="115" s="1"/>
  <c r="E114" i="115"/>
  <c r="G114" i="115" s="1"/>
  <c r="E113" i="115"/>
  <c r="G113" i="115" s="1"/>
  <c r="E112" i="115"/>
  <c r="G112" i="115" s="1"/>
  <c r="E111" i="115"/>
  <c r="G111" i="115" s="1"/>
  <c r="E110" i="115"/>
  <c r="G110" i="115" s="1"/>
  <c r="E109" i="115"/>
  <c r="G109" i="115" s="1"/>
  <c r="E105" i="115"/>
  <c r="G105" i="115" s="1"/>
  <c r="E104" i="115"/>
  <c r="G104" i="115" s="1"/>
  <c r="E103" i="115"/>
  <c r="G103" i="115" s="1"/>
  <c r="E102" i="115"/>
  <c r="G102" i="115" s="1"/>
  <c r="E98" i="115"/>
  <c r="G98" i="115" s="1"/>
  <c r="E96" i="115"/>
  <c r="G96" i="115" s="1"/>
  <c r="E95" i="115"/>
  <c r="G95" i="115" s="1"/>
  <c r="E94" i="115"/>
  <c r="G94" i="115" s="1"/>
  <c r="E93" i="115"/>
  <c r="G93" i="115" s="1"/>
  <c r="E92" i="115"/>
  <c r="G92" i="115" s="1"/>
  <c r="E91" i="115"/>
  <c r="G91" i="115" s="1"/>
  <c r="E90" i="115"/>
  <c r="G90" i="115" s="1"/>
  <c r="E89" i="115"/>
  <c r="G89" i="115" s="1"/>
  <c r="E88" i="115"/>
  <c r="G88" i="115" s="1"/>
  <c r="G99" i="115" s="1"/>
  <c r="E84" i="115"/>
  <c r="G84" i="115" s="1"/>
  <c r="E82" i="115"/>
  <c r="G82" i="115" s="1"/>
  <c r="E81" i="115"/>
  <c r="G81" i="115" s="1"/>
  <c r="E80" i="115"/>
  <c r="G80" i="115" s="1"/>
  <c r="G85" i="115" s="1"/>
  <c r="E76" i="115"/>
  <c r="G76" i="115" s="1"/>
  <c r="E75" i="115"/>
  <c r="G75" i="115" s="1"/>
  <c r="E74" i="115"/>
  <c r="G74" i="115" s="1"/>
  <c r="E73" i="115"/>
  <c r="E72" i="115"/>
  <c r="G72" i="115" s="1"/>
  <c r="E71" i="115"/>
  <c r="G71" i="115" s="1"/>
  <c r="E67" i="115"/>
  <c r="G67" i="115" s="1"/>
  <c r="E66" i="115"/>
  <c r="G66" i="115" s="1"/>
  <c r="E64" i="115"/>
  <c r="G64" i="115" s="1"/>
  <c r="E60" i="115"/>
  <c r="E61" i="115" s="1"/>
  <c r="E56" i="115"/>
  <c r="G56" i="115" s="1"/>
  <c r="E55" i="115"/>
  <c r="G55" i="115" s="1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G47" i="115" s="1"/>
  <c r="E46" i="115"/>
  <c r="G46" i="115" s="1"/>
  <c r="E45" i="115"/>
  <c r="G45" i="115" s="1"/>
  <c r="E41" i="115"/>
  <c r="G41" i="115" s="1"/>
  <c r="E40" i="115"/>
  <c r="G40" i="115" s="1"/>
  <c r="G42" i="115" s="1"/>
  <c r="E36" i="115"/>
  <c r="G36" i="115" s="1"/>
  <c r="E35" i="115"/>
  <c r="G35" i="115" s="1"/>
  <c r="E34" i="115"/>
  <c r="G34" i="115" s="1"/>
  <c r="E32" i="115"/>
  <c r="G32" i="115" s="1"/>
  <c r="E31" i="115"/>
  <c r="G31" i="115" s="1"/>
  <c r="E30" i="115"/>
  <c r="G30" i="115" s="1"/>
  <c r="E28" i="115"/>
  <c r="G28" i="115" s="1"/>
  <c r="E26" i="115"/>
  <c r="G26" i="115" s="1"/>
  <c r="E25" i="115"/>
  <c r="G25" i="115" s="1"/>
  <c r="E24" i="115"/>
  <c r="G24" i="115" s="1"/>
  <c r="E23" i="115"/>
  <c r="G23" i="115" s="1"/>
  <c r="E22" i="115"/>
  <c r="G22" i="115" s="1"/>
  <c r="E21" i="115"/>
  <c r="G21" i="115" s="1"/>
  <c r="E20" i="115"/>
  <c r="G20" i="115" s="1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G10" i="115" s="1"/>
  <c r="E9" i="115"/>
  <c r="G9" i="115" s="1"/>
  <c r="E8" i="115"/>
  <c r="G8" i="115" s="1"/>
  <c r="E7" i="115"/>
  <c r="G7" i="115" s="1"/>
  <c r="G37" i="115" s="1"/>
  <c r="E6" i="115"/>
  <c r="E162" i="1"/>
  <c r="E163" i="1"/>
  <c r="E164" i="1"/>
  <c r="E165" i="1"/>
  <c r="E161" i="1"/>
  <c r="E186" i="1"/>
  <c r="E110" i="1"/>
  <c r="E93" i="1"/>
  <c r="E27" i="1"/>
  <c r="E26" i="1"/>
  <c r="G130" i="115" l="1"/>
  <c r="G188" i="115"/>
  <c r="E130" i="116"/>
  <c r="G57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E152" i="1" l="1"/>
  <c r="E140" i="1"/>
  <c r="E141" i="1"/>
  <c r="E139" i="1"/>
  <c r="E127" i="1"/>
  <c r="E130" i="1" s="1"/>
  <c r="E108" i="1"/>
  <c r="E116" i="1"/>
  <c r="E117" i="1" s="1"/>
  <c r="E22" i="1"/>
  <c r="E35" i="1"/>
  <c r="E69" i="1"/>
  <c r="E70" i="1" s="1"/>
  <c r="E18" i="1" l="1"/>
  <c r="E8" i="1"/>
  <c r="E11" i="1"/>
  <c r="E10" i="1"/>
  <c r="E97" i="1"/>
  <c r="E101" i="1" s="1"/>
  <c r="E29" i="1" l="1"/>
  <c r="C191" i="113"/>
  <c r="F190" i="113"/>
  <c r="G135" i="113"/>
  <c r="E135" i="113"/>
  <c r="G134" i="113"/>
  <c r="G190" i="113" s="1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96" i="113"/>
  <c r="F100" i="113" s="1"/>
  <c r="E96" i="113"/>
  <c r="E100" i="113" s="1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F191" i="113" l="1"/>
  <c r="G191" i="113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G190" i="110" l="1"/>
  <c r="E191" i="110"/>
  <c r="G38" i="110"/>
  <c r="G78" i="110"/>
  <c r="F191" i="110"/>
  <c r="G157" i="1"/>
  <c r="H157" i="1"/>
  <c r="J157" i="1"/>
  <c r="K157" i="1"/>
  <c r="L157" i="1"/>
  <c r="N157" i="1"/>
  <c r="O157" i="1"/>
  <c r="X21" i="1"/>
  <c r="Z21" i="1" s="1"/>
  <c r="X134" i="1"/>
  <c r="R134" i="1"/>
  <c r="G27" i="1"/>
  <c r="H27" i="1"/>
  <c r="J27" i="1"/>
  <c r="K27" i="1"/>
  <c r="L27" i="1"/>
  <c r="N27" i="1"/>
  <c r="O27" i="1"/>
  <c r="T27" i="1"/>
  <c r="X27" i="1" s="1"/>
  <c r="E49" i="1"/>
  <c r="M49" i="1"/>
  <c r="O49" i="1" l="1"/>
  <c r="K49" i="1"/>
  <c r="J49" i="1"/>
  <c r="H49" i="1"/>
  <c r="G49" i="1"/>
  <c r="G191" i="110"/>
  <c r="R157" i="1"/>
  <c r="R27" i="1"/>
  <c r="Z27" i="1" s="1"/>
  <c r="L49" i="1"/>
  <c r="X157" i="1"/>
  <c r="T176" i="1"/>
  <c r="T182" i="1"/>
  <c r="T185" i="1"/>
  <c r="T172" i="1"/>
  <c r="T184" i="1"/>
  <c r="T177" i="1"/>
  <c r="T179" i="1"/>
  <c r="T178" i="1"/>
  <c r="T170" i="1"/>
  <c r="T169" i="1"/>
  <c r="T162" i="1"/>
  <c r="T174" i="1"/>
  <c r="T167" i="1"/>
  <c r="T165" i="1"/>
  <c r="T166" i="1"/>
  <c r="T163" i="1"/>
  <c r="T159" i="1"/>
  <c r="T164" i="1"/>
  <c r="T171" i="1"/>
  <c r="T168" i="1"/>
  <c r="T161" i="1"/>
  <c r="R49" i="1" l="1"/>
  <c r="Z49" i="1" s="1"/>
  <c r="Z157" i="1"/>
  <c r="U13" i="1" l="1"/>
  <c r="U163" i="1"/>
  <c r="T13" i="1"/>
  <c r="T122" i="1"/>
  <c r="N171" i="1" l="1"/>
  <c r="N170" i="1"/>
  <c r="N169" i="1"/>
  <c r="N168" i="1"/>
  <c r="N167" i="1"/>
  <c r="N166" i="1"/>
  <c r="N34" i="1"/>
  <c r="N22" i="1"/>
  <c r="N152" i="1"/>
  <c r="N153" i="1"/>
  <c r="N151" i="1"/>
  <c r="N154" i="1" l="1"/>
  <c r="F50" i="68" l="1"/>
  <c r="F55" i="68"/>
  <c r="F54" i="68"/>
  <c r="F52" i="68"/>
  <c r="F51" i="68"/>
  <c r="F49" i="68"/>
  <c r="F48" i="68"/>
  <c r="F47" i="68"/>
  <c r="F46" i="68"/>
  <c r="F45" i="68"/>
  <c r="F44" i="68"/>
  <c r="N135" i="1"/>
  <c r="M105" i="1"/>
  <c r="N97" i="1"/>
  <c r="N11" i="1"/>
  <c r="M42" i="1"/>
  <c r="T18" i="1" l="1"/>
  <c r="T61" i="1" l="1"/>
  <c r="T148" i="1" l="1"/>
  <c r="H29" i="68"/>
  <c r="N25" i="1" l="1"/>
  <c r="U64" i="1"/>
  <c r="U107" i="1"/>
  <c r="T126" i="1"/>
  <c r="U120" i="1"/>
  <c r="T120" i="1"/>
  <c r="T45" i="1"/>
  <c r="X45" i="1" s="1"/>
  <c r="T90" i="1"/>
  <c r="X90" i="1" s="1"/>
  <c r="X15" i="1" l="1"/>
  <c r="H3" i="1" l="1"/>
  <c r="E3" i="1"/>
  <c r="H1" i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U176" i="1" l="1"/>
  <c r="U159" i="1"/>
  <c r="U152" i="1"/>
  <c r="U98" i="1"/>
  <c r="T128" i="1"/>
  <c r="T124" i="1"/>
  <c r="U123" i="1"/>
  <c r="U38" i="1"/>
  <c r="U18" i="1"/>
  <c r="E111" i="1" l="1"/>
  <c r="I111" i="1"/>
  <c r="P111" i="1"/>
  <c r="P193" i="1" s="1"/>
  <c r="U59" i="1" l="1"/>
  <c r="T59" i="1"/>
  <c r="X59" i="1" l="1"/>
  <c r="O159" i="1" l="1"/>
  <c r="N159" i="1"/>
  <c r="L159" i="1"/>
  <c r="K159" i="1"/>
  <c r="J159" i="1"/>
  <c r="H159" i="1"/>
  <c r="G159" i="1"/>
  <c r="X159" i="1" l="1"/>
  <c r="R159" i="1"/>
  <c r="Z159" i="1" l="1"/>
  <c r="X127" i="1" l="1"/>
  <c r="N127" i="1"/>
  <c r="L127" i="1" l="1"/>
  <c r="G127" i="1"/>
  <c r="O127" i="1"/>
  <c r="H127" i="1"/>
  <c r="J127" i="1"/>
  <c r="K127" i="1"/>
  <c r="R127" i="1" l="1"/>
  <c r="Z127" i="1" s="1"/>
  <c r="U153" i="1"/>
  <c r="U126" i="1"/>
  <c r="T33" i="1"/>
  <c r="U23" i="1"/>
  <c r="S32" i="1" l="1"/>
  <c r="X128" i="1"/>
  <c r="O128" i="1"/>
  <c r="N128" i="1"/>
  <c r="L128" i="1"/>
  <c r="K128" i="1"/>
  <c r="J128" i="1"/>
  <c r="H128" i="1"/>
  <c r="G128" i="1"/>
  <c r="S35" i="1" l="1"/>
  <c r="R128" i="1"/>
  <c r="Z128" i="1" s="1"/>
  <c r="S193" i="1" l="1"/>
  <c r="N150" i="1"/>
  <c r="X150" i="1"/>
  <c r="E150" i="1"/>
  <c r="K150" i="1" s="1"/>
  <c r="J92" i="1"/>
  <c r="M48" i="1"/>
  <c r="E48" i="1"/>
  <c r="J48" i="1" l="1"/>
  <c r="J150" i="1"/>
  <c r="L150" i="1"/>
  <c r="G150" i="1"/>
  <c r="O150" i="1"/>
  <c r="H150" i="1"/>
  <c r="K92" i="1"/>
  <c r="L92" i="1"/>
  <c r="G92" i="1"/>
  <c r="O92" i="1"/>
  <c r="H92" i="1"/>
  <c r="G48" i="1"/>
  <c r="O48" i="1"/>
  <c r="H48" i="1"/>
  <c r="K48" i="1"/>
  <c r="L48" i="1"/>
  <c r="E56" i="68"/>
  <c r="U175" i="1"/>
  <c r="U161" i="1"/>
  <c r="X17" i="1"/>
  <c r="T67" i="1"/>
  <c r="R48" i="1" l="1"/>
  <c r="Z48" i="1" s="1"/>
  <c r="R92" i="1"/>
  <c r="Z92" i="1" s="1"/>
  <c r="R150" i="1"/>
  <c r="Z150" i="1" s="1"/>
  <c r="N24" i="1" l="1"/>
  <c r="N26" i="1"/>
  <c r="U121" i="1" l="1"/>
  <c r="T121" i="1"/>
  <c r="T8" i="1"/>
  <c r="X8" i="1" l="1"/>
  <c r="M18" i="1"/>
  <c r="M93" i="1"/>
  <c r="R93" i="1" s="1"/>
  <c r="Z93" i="1" s="1"/>
  <c r="D39" i="61" l="1"/>
  <c r="D38" i="61"/>
  <c r="D37" i="61"/>
  <c r="E47" i="1"/>
  <c r="X149" i="1"/>
  <c r="E149" i="1"/>
  <c r="E192" i="1" s="1"/>
  <c r="N149" i="1"/>
  <c r="M90" i="1"/>
  <c r="E90" i="1"/>
  <c r="H90" i="1" s="1"/>
  <c r="J66" i="1"/>
  <c r="L65" i="1"/>
  <c r="X66" i="1"/>
  <c r="M66" i="1"/>
  <c r="X65" i="1"/>
  <c r="M65" i="1"/>
  <c r="M47" i="1"/>
  <c r="O33" i="1"/>
  <c r="N33" i="1"/>
  <c r="L33" i="1"/>
  <c r="K33" i="1"/>
  <c r="J33" i="1"/>
  <c r="H33" i="1"/>
  <c r="G33" i="1"/>
  <c r="E50" i="1" l="1"/>
  <c r="E94" i="1"/>
  <c r="X33" i="1"/>
  <c r="O47" i="1"/>
  <c r="G47" i="1"/>
  <c r="R33" i="1"/>
  <c r="H47" i="1"/>
  <c r="K47" i="1"/>
  <c r="L47" i="1"/>
  <c r="J47" i="1"/>
  <c r="K149" i="1"/>
  <c r="L149" i="1"/>
  <c r="G149" i="1"/>
  <c r="O149" i="1"/>
  <c r="H149" i="1"/>
  <c r="J149" i="1"/>
  <c r="L90" i="1"/>
  <c r="G90" i="1"/>
  <c r="O90" i="1"/>
  <c r="J90" i="1"/>
  <c r="K90" i="1"/>
  <c r="K66" i="1"/>
  <c r="L66" i="1"/>
  <c r="G65" i="1"/>
  <c r="O65" i="1"/>
  <c r="H65" i="1"/>
  <c r="J65" i="1"/>
  <c r="K65" i="1"/>
  <c r="G66" i="1"/>
  <c r="O66" i="1"/>
  <c r="H66" i="1"/>
  <c r="R90" i="1" l="1"/>
  <c r="Z90" i="1" s="1"/>
  <c r="R47" i="1"/>
  <c r="Z47" i="1" s="1"/>
  <c r="Z33" i="1"/>
  <c r="R65" i="1"/>
  <c r="Z65" i="1" s="1"/>
  <c r="R66" i="1"/>
  <c r="Z66" i="1" s="1"/>
  <c r="N9" i="1" l="1"/>
  <c r="U141" i="1" l="1"/>
  <c r="U136" i="1"/>
  <c r="T87" i="1"/>
  <c r="X87" i="1" s="1"/>
  <c r="X18" i="1" l="1"/>
  <c r="X116" i="1"/>
  <c r="X117" i="1" s="1"/>
  <c r="X13" i="1"/>
  <c r="U105" i="1" l="1"/>
  <c r="U106" i="1"/>
  <c r="X105" i="1" l="1"/>
  <c r="U86" i="1"/>
  <c r="T84" i="1"/>
  <c r="U69" i="1"/>
  <c r="T69" i="1"/>
  <c r="X84" i="1" l="1"/>
  <c r="U180" i="1"/>
  <c r="T152" i="1"/>
  <c r="U185" i="1"/>
  <c r="U75" i="1"/>
  <c r="T32" i="1"/>
  <c r="T188" i="78" l="1"/>
  <c r="F27" i="78" l="1"/>
  <c r="F71" i="78"/>
  <c r="T24" i="1"/>
  <c r="T156" i="1"/>
  <c r="T75" i="1"/>
  <c r="X75" i="1" l="1"/>
  <c r="D49" i="6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W60" i="78"/>
  <c r="W55" i="78"/>
  <c r="Y55" i="78" s="1"/>
  <c r="W49" i="78"/>
  <c r="Y49" i="78" s="1"/>
  <c r="W46" i="78"/>
  <c r="W42" i="78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O156" i="78"/>
  <c r="F156" i="78"/>
  <c r="O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U135" i="78" s="1"/>
  <c r="O134" i="78"/>
  <c r="F134" i="78"/>
  <c r="O133" i="78"/>
  <c r="J133" i="78"/>
  <c r="J187" i="78" s="1"/>
  <c r="F133" i="78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F121" i="78"/>
  <c r="K121" i="78" s="1"/>
  <c r="O120" i="78"/>
  <c r="J120" i="78"/>
  <c r="J129" i="78" s="1"/>
  <c r="F120" i="78"/>
  <c r="Q117" i="78"/>
  <c r="J117" i="78"/>
  <c r="R116" i="78"/>
  <c r="N116" i="78"/>
  <c r="F116" i="78"/>
  <c r="M116" i="78" s="1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N110" i="78"/>
  <c r="F110" i="78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N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U81" i="78" s="1"/>
  <c r="P80" i="78"/>
  <c r="N80" i="78"/>
  <c r="M80" i="78"/>
  <c r="L80" i="78"/>
  <c r="K80" i="78"/>
  <c r="I80" i="78"/>
  <c r="H80" i="78"/>
  <c r="N79" i="78"/>
  <c r="N86" i="78" s="1"/>
  <c r="F79" i="78"/>
  <c r="P79" i="78" s="1"/>
  <c r="R76" i="78"/>
  <c r="Q76" i="78"/>
  <c r="J76" i="78"/>
  <c r="G76" i="78"/>
  <c r="N75" i="78"/>
  <c r="F75" i="78"/>
  <c r="N74" i="78"/>
  <c r="F74" i="78"/>
  <c r="N73" i="78"/>
  <c r="F73" i="78"/>
  <c r="N72" i="78"/>
  <c r="M72" i="78"/>
  <c r="P72" i="78"/>
  <c r="N71" i="78"/>
  <c r="K71" i="78"/>
  <c r="L71" i="78"/>
  <c r="N70" i="78"/>
  <c r="F70" i="78"/>
  <c r="N69" i="78"/>
  <c r="P69" i="78"/>
  <c r="P68" i="78"/>
  <c r="N68" i="78"/>
  <c r="M68" i="78"/>
  <c r="K68" i="78"/>
  <c r="I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J61" i="78"/>
  <c r="P60" i="78"/>
  <c r="O60" i="78"/>
  <c r="O61" i="78" s="1"/>
  <c r="M60" i="78"/>
  <c r="L60" i="78"/>
  <c r="K60" i="78"/>
  <c r="I60" i="78"/>
  <c r="H60" i="78"/>
  <c r="N59" i="78"/>
  <c r="N61" i="78" s="1"/>
  <c r="F59" i="78"/>
  <c r="R56" i="78"/>
  <c r="Q56" i="78"/>
  <c r="J56" i="78"/>
  <c r="G56" i="78"/>
  <c r="P55" i="78"/>
  <c r="N55" i="78"/>
  <c r="M55" i="78"/>
  <c r="H55" i="78"/>
  <c r="F54" i="78"/>
  <c r="N53" i="78"/>
  <c r="P52" i="78"/>
  <c r="N52" i="78"/>
  <c r="M52" i="78"/>
  <c r="K52" i="78"/>
  <c r="I52" i="78"/>
  <c r="H52" i="78"/>
  <c r="L52" i="78"/>
  <c r="N51" i="78"/>
  <c r="N50" i="78"/>
  <c r="F50" i="78"/>
  <c r="K50" i="78" s="1"/>
  <c r="N49" i="78"/>
  <c r="N48" i="78"/>
  <c r="F48" i="78"/>
  <c r="N47" i="78"/>
  <c r="F47" i="78"/>
  <c r="N46" i="78"/>
  <c r="F46" i="78"/>
  <c r="R43" i="78"/>
  <c r="Q43" i="78"/>
  <c r="J43" i="78"/>
  <c r="G43" i="78"/>
  <c r="O42" i="78"/>
  <c r="O43" i="78" s="1"/>
  <c r="Q39" i="78"/>
  <c r="Q188" i="78" s="1"/>
  <c r="G39" i="78"/>
  <c r="O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O24" i="78"/>
  <c r="F24" i="78"/>
  <c r="R23" i="78"/>
  <c r="O23" i="78"/>
  <c r="F23" i="78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F17" i="78"/>
  <c r="O16" i="78"/>
  <c r="F16" i="78"/>
  <c r="R15" i="78"/>
  <c r="P15" i="78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F11" i="78"/>
  <c r="P10" i="78"/>
  <c r="N10" i="78"/>
  <c r="M10" i="78"/>
  <c r="L10" i="78"/>
  <c r="K10" i="78"/>
  <c r="I10" i="78"/>
  <c r="H10" i="78"/>
  <c r="N9" i="78"/>
  <c r="S9" i="78" s="1"/>
  <c r="U9" i="78" s="1"/>
  <c r="I4" i="78"/>
  <c r="F4" i="78"/>
  <c r="N39" i="78" l="1"/>
  <c r="S10" i="78"/>
  <c r="U10" i="78" s="1"/>
  <c r="M11" i="78"/>
  <c r="K11" i="78"/>
  <c r="S15" i="78"/>
  <c r="U15" i="78" s="1"/>
  <c r="P16" i="78"/>
  <c r="M16" i="78"/>
  <c r="L16" i="78"/>
  <c r="K16" i="78"/>
  <c r="I16" i="78"/>
  <c r="H16" i="78"/>
  <c r="P17" i="78"/>
  <c r="K17" i="78"/>
  <c r="S19" i="78"/>
  <c r="U19" i="78" s="1"/>
  <c r="K23" i="78"/>
  <c r="M23" i="78"/>
  <c r="L23" i="78"/>
  <c r="I23" i="78"/>
  <c r="I24" i="78"/>
  <c r="P24" i="78"/>
  <c r="M24" i="78"/>
  <c r="L24" i="78"/>
  <c r="K24" i="78"/>
  <c r="H24" i="78"/>
  <c r="S29" i="78"/>
  <c r="U29" i="78" s="1"/>
  <c r="P38" i="78"/>
  <c r="I38" i="78"/>
  <c r="L46" i="78"/>
  <c r="P46" i="78"/>
  <c r="M46" i="78"/>
  <c r="K46" i="78"/>
  <c r="I46" i="78"/>
  <c r="H46" i="78"/>
  <c r="S46" i="78" s="1"/>
  <c r="U46" i="78" s="1"/>
  <c r="N56" i="78"/>
  <c r="P48" i="78"/>
  <c r="H48" i="78"/>
  <c r="S52" i="78"/>
  <c r="U52" i="78" s="1"/>
  <c r="P54" i="78"/>
  <c r="M54" i="78"/>
  <c r="L54" i="78"/>
  <c r="K54" i="78"/>
  <c r="I54" i="78"/>
  <c r="H54" i="78"/>
  <c r="S54" i="78" s="1"/>
  <c r="U54" i="78" s="1"/>
  <c r="F61" i="78"/>
  <c r="P59" i="78"/>
  <c r="M59" i="78"/>
  <c r="K59" i="78"/>
  <c r="I59" i="78"/>
  <c r="I61" i="78" s="1"/>
  <c r="H59" i="78"/>
  <c r="H61" i="78"/>
  <c r="P61" i="78"/>
  <c r="S68" i="78"/>
  <c r="U68" i="78" s="1"/>
  <c r="P70" i="78"/>
  <c r="M70" i="78"/>
  <c r="L70" i="78"/>
  <c r="K70" i="78"/>
  <c r="I70" i="78"/>
  <c r="H70" i="78"/>
  <c r="S70" i="78" s="1"/>
  <c r="U70" i="78" s="1"/>
  <c r="P73" i="78"/>
  <c r="M73" i="78"/>
  <c r="H73" i="78"/>
  <c r="P74" i="78"/>
  <c r="M74" i="78"/>
  <c r="K74" i="78"/>
  <c r="H74" i="78"/>
  <c r="P75" i="78"/>
  <c r="M75" i="78"/>
  <c r="S80" i="78"/>
  <c r="U80" i="78" s="1"/>
  <c r="P85" i="78"/>
  <c r="M85" i="78"/>
  <c r="L85" i="78"/>
  <c r="K85" i="78"/>
  <c r="I85" i="78"/>
  <c r="H85" i="78"/>
  <c r="K110" i="78"/>
  <c r="P110" i="78"/>
  <c r="M110" i="78"/>
  <c r="L110" i="78"/>
  <c r="I110" i="78"/>
  <c r="H110" i="78"/>
  <c r="M120" i="78"/>
  <c r="P120" i="78"/>
  <c r="L120" i="78"/>
  <c r="K120" i="78"/>
  <c r="I120" i="78"/>
  <c r="H120" i="78"/>
  <c r="M133" i="78"/>
  <c r="L133" i="78"/>
  <c r="P155" i="78"/>
  <c r="M155" i="78"/>
  <c r="L155" i="78"/>
  <c r="K155" i="78"/>
  <c r="I155" i="78"/>
  <c r="H155" i="78"/>
  <c r="L156" i="78"/>
  <c r="P156" i="78"/>
  <c r="M156" i="78"/>
  <c r="K156" i="78"/>
  <c r="I156" i="78"/>
  <c r="H156" i="78"/>
  <c r="P157" i="78"/>
  <c r="L157" i="78"/>
  <c r="S186" i="78"/>
  <c r="U186" i="78" s="1"/>
  <c r="W39" i="78"/>
  <c r="Y13" i="78"/>
  <c r="Y42" i="78"/>
  <c r="W43" i="78"/>
  <c r="Y43" i="78" s="1"/>
  <c r="W56" i="78"/>
  <c r="Y56" i="78" s="1"/>
  <c r="Y46" i="78"/>
  <c r="Y60" i="78"/>
  <c r="W61" i="78"/>
  <c r="Y61" i="78" s="1"/>
  <c r="Y64" i="78"/>
  <c r="W76" i="78"/>
  <c r="Y76" i="78" s="1"/>
  <c r="W86" i="78"/>
  <c r="Y86" i="78" s="1"/>
  <c r="Y80" i="78"/>
  <c r="W99" i="78"/>
  <c r="Y99" i="78" s="1"/>
  <c r="Y90" i="78"/>
  <c r="W106" i="78"/>
  <c r="Y106" i="78" s="1"/>
  <c r="Y104" i="78"/>
  <c r="W117" i="78"/>
  <c r="Y117" i="78" s="1"/>
  <c r="Y111" i="78"/>
  <c r="W129" i="78"/>
  <c r="Y129" i="78" s="1"/>
  <c r="Y120" i="78"/>
  <c r="W187" i="78"/>
  <c r="Y134" i="78"/>
  <c r="Y187" i="78" s="1"/>
  <c r="R117" i="78"/>
  <c r="P184" i="78"/>
  <c r="L182" i="78"/>
  <c r="S182" i="78"/>
  <c r="U182" i="78" s="1"/>
  <c r="I177" i="78"/>
  <c r="P178" i="78"/>
  <c r="S179" i="78"/>
  <c r="U179" i="78" s="1"/>
  <c r="S176" i="78"/>
  <c r="U176" i="78" s="1"/>
  <c r="S147" i="78"/>
  <c r="U147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U73" i="78" s="1"/>
  <c r="L74" i="78"/>
  <c r="I74" i="78"/>
  <c r="S74" i="78" s="1"/>
  <c r="U74" i="78" s="1"/>
  <c r="H79" i="78"/>
  <c r="H86" i="78" s="1"/>
  <c r="I83" i="78"/>
  <c r="F99" i="78"/>
  <c r="K89" i="78"/>
  <c r="P89" i="78"/>
  <c r="H89" i="78"/>
  <c r="M89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L49" i="78"/>
  <c r="K51" i="78"/>
  <c r="K53" i="78"/>
  <c r="K69" i="78"/>
  <c r="K79" i="78"/>
  <c r="K86" i="78" s="1"/>
  <c r="L83" i="78"/>
  <c r="F86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S83" i="78" s="1"/>
  <c r="U83" i="78" s="1"/>
  <c r="M96" i="78"/>
  <c r="L96" i="78"/>
  <c r="I96" i="78"/>
  <c r="I99" i="78" s="1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S72" i="78" s="1"/>
  <c r="U72" i="78" s="1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S103" i="78" s="1"/>
  <c r="U103" i="78" s="1"/>
  <c r="L104" i="78"/>
  <c r="K104" i="78"/>
  <c r="K106" i="78" s="1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S110" i="78"/>
  <c r="U110" i="78" s="1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I134" i="78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S120" i="78"/>
  <c r="U120" i="78" s="1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S166" i="78" s="1"/>
  <c r="U166" i="78" s="1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S98" i="78" s="1"/>
  <c r="U98" i="78" s="1"/>
  <c r="H114" i="78"/>
  <c r="S114" i="78" s="1"/>
  <c r="U114" i="78" s="1"/>
  <c r="H125" i="78"/>
  <c r="H127" i="78"/>
  <c r="H133" i="78"/>
  <c r="S133" i="78" s="1"/>
  <c r="U133" i="78" s="1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S151" i="78" s="1"/>
  <c r="U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73" i="78" l="1"/>
  <c r="U173" i="78" s="1"/>
  <c r="S170" i="78"/>
  <c r="U170" i="78" s="1"/>
  <c r="S167" i="78"/>
  <c r="U167" i="78" s="1"/>
  <c r="S164" i="78"/>
  <c r="U164" i="78" s="1"/>
  <c r="S174" i="78"/>
  <c r="U174" i="78" s="1"/>
  <c r="S160" i="78"/>
  <c r="U160" i="78" s="1"/>
  <c r="S157" i="78"/>
  <c r="U157" i="78" s="1"/>
  <c r="S138" i="78"/>
  <c r="U138" i="78" s="1"/>
  <c r="S172" i="78"/>
  <c r="U172" i="78" s="1"/>
  <c r="S145" i="78"/>
  <c r="U145" i="78" s="1"/>
  <c r="S126" i="78"/>
  <c r="U126" i="78" s="1"/>
  <c r="S159" i="78"/>
  <c r="U159" i="78" s="1"/>
  <c r="S116" i="78"/>
  <c r="U116" i="78" s="1"/>
  <c r="S124" i="78"/>
  <c r="U124" i="78" s="1"/>
  <c r="I117" i="78"/>
  <c r="S112" i="78"/>
  <c r="U112" i="78" s="1"/>
  <c r="S122" i="78"/>
  <c r="U122" i="78" s="1"/>
  <c r="M106" i="78"/>
  <c r="S111" i="78"/>
  <c r="U111" i="78" s="1"/>
  <c r="M86" i="78"/>
  <c r="S67" i="78"/>
  <c r="U67" i="78" s="1"/>
  <c r="S90" i="78"/>
  <c r="U90" i="78" s="1"/>
  <c r="L56" i="78"/>
  <c r="S48" i="78"/>
  <c r="U48" i="78" s="1"/>
  <c r="S47" i="78"/>
  <c r="U47" i="78" s="1"/>
  <c r="I86" i="78"/>
  <c r="L86" i="78"/>
  <c r="S69" i="78"/>
  <c r="U69" i="78" s="1"/>
  <c r="K56" i="78"/>
  <c r="K76" i="78"/>
  <c r="S55" i="78"/>
  <c r="U55" i="78" s="1"/>
  <c r="S23" i="78"/>
  <c r="U23" i="78" s="1"/>
  <c r="S50" i="78"/>
  <c r="U50" i="78" s="1"/>
  <c r="S38" i="78"/>
  <c r="U38" i="78" s="1"/>
  <c r="W188" i="78"/>
  <c r="Y39" i="78"/>
  <c r="S156" i="78"/>
  <c r="U156" i="78" s="1"/>
  <c r="S16" i="78"/>
  <c r="U16" i="78" s="1"/>
  <c r="N188" i="78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U39" i="78" l="1"/>
  <c r="U187" i="78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T186" i="1"/>
  <c r="T175" i="1"/>
  <c r="U133" i="1"/>
  <c r="X156" i="1" l="1"/>
  <c r="N156" i="1"/>
  <c r="L156" i="1"/>
  <c r="J156" i="1"/>
  <c r="T25" i="1"/>
  <c r="U99" i="1"/>
  <c r="U101" i="1" s="1"/>
  <c r="T123" i="1"/>
  <c r="T130" i="1" s="1"/>
  <c r="T110" i="1"/>
  <c r="K156" i="1" l="1"/>
  <c r="G156" i="1"/>
  <c r="O156" i="1"/>
  <c r="H156" i="1"/>
  <c r="R156" i="1" l="1"/>
  <c r="Z156" i="1" s="1"/>
  <c r="U174" i="1" l="1"/>
  <c r="Q186" i="1"/>
  <c r="Q182" i="1"/>
  <c r="U182" i="1"/>
  <c r="X182" i="1" s="1"/>
  <c r="N182" i="1"/>
  <c r="L182" i="1"/>
  <c r="K182" i="1"/>
  <c r="J182" i="1"/>
  <c r="H182" i="1"/>
  <c r="G182" i="1" l="1"/>
  <c r="O182" i="1"/>
  <c r="R182" i="1" l="1"/>
  <c r="Z182" i="1" s="1"/>
  <c r="N181" i="1" l="1"/>
  <c r="X186" i="1"/>
  <c r="N186" i="1"/>
  <c r="L186" i="1"/>
  <c r="K186" i="1"/>
  <c r="J186" i="1"/>
  <c r="H186" i="1"/>
  <c r="O186" i="1"/>
  <c r="G186" i="1" l="1"/>
  <c r="R186" i="1" l="1"/>
  <c r="Z186" i="1" s="1"/>
  <c r="Q111" i="1" l="1"/>
  <c r="U77" i="1" l="1"/>
  <c r="U26" i="1"/>
  <c r="U29" i="1" s="1"/>
  <c r="U184" i="1"/>
  <c r="U140" i="1"/>
  <c r="U41" i="1"/>
  <c r="T147" i="1"/>
  <c r="N180" i="1" l="1"/>
  <c r="N179" i="1"/>
  <c r="N178" i="1"/>
  <c r="N177" i="1"/>
  <c r="N176" i="1"/>
  <c r="N148" i="1"/>
  <c r="N147" i="1"/>
  <c r="N146" i="1"/>
  <c r="M62" i="1"/>
  <c r="M44" i="1"/>
  <c r="M41" i="1"/>
  <c r="X123" i="1" l="1"/>
  <c r="O123" i="1"/>
  <c r="N123" i="1"/>
  <c r="T23" i="1"/>
  <c r="O23" i="1"/>
  <c r="T34" i="1"/>
  <c r="O34" i="1"/>
  <c r="L110" i="1"/>
  <c r="X110" i="1"/>
  <c r="M110" i="1"/>
  <c r="N32" i="1"/>
  <c r="N35" i="1" s="1"/>
  <c r="O25" i="1"/>
  <c r="X34" i="1" l="1"/>
  <c r="T35" i="1"/>
  <c r="L123" i="1"/>
  <c r="O32" i="1"/>
  <c r="O35" i="1" s="1"/>
  <c r="L23" i="1"/>
  <c r="H23" i="1"/>
  <c r="X23" i="1"/>
  <c r="H34" i="1"/>
  <c r="J34" i="1"/>
  <c r="X25" i="1"/>
  <c r="K34" i="1"/>
  <c r="J23" i="1"/>
  <c r="L34" i="1"/>
  <c r="K23" i="1"/>
  <c r="J123" i="1"/>
  <c r="H123" i="1"/>
  <c r="K123" i="1"/>
  <c r="G123" i="1"/>
  <c r="G34" i="1"/>
  <c r="G23" i="1"/>
  <c r="J32" i="1"/>
  <c r="K110" i="1"/>
  <c r="K32" i="1"/>
  <c r="X32" i="1"/>
  <c r="O110" i="1"/>
  <c r="G110" i="1"/>
  <c r="H32" i="1"/>
  <c r="H110" i="1"/>
  <c r="J110" i="1"/>
  <c r="L32" i="1"/>
  <c r="L35" i="1" s="1"/>
  <c r="G32" i="1"/>
  <c r="G25" i="1"/>
  <c r="H25" i="1"/>
  <c r="J25" i="1"/>
  <c r="K25" i="1"/>
  <c r="L25" i="1"/>
  <c r="H35" i="1" l="1"/>
  <c r="X35" i="1"/>
  <c r="K35" i="1"/>
  <c r="G35" i="1"/>
  <c r="J35" i="1"/>
  <c r="R123" i="1"/>
  <c r="Z123" i="1" s="1"/>
  <c r="R32" i="1"/>
  <c r="R23" i="1"/>
  <c r="Z23" i="1" s="1"/>
  <c r="R110" i="1"/>
  <c r="R25" i="1"/>
  <c r="Z25" i="1" s="1"/>
  <c r="Z110" i="1" l="1"/>
  <c r="Z32" i="1"/>
  <c r="M17" i="1" l="1"/>
  <c r="Q9" i="1"/>
  <c r="C166" i="68"/>
  <c r="F56" i="68" l="1"/>
  <c r="X148" i="1" l="1"/>
  <c r="X151" i="1"/>
  <c r="X55" i="1"/>
  <c r="X22" i="1"/>
  <c r="X7" i="1"/>
  <c r="U171" i="1" l="1"/>
  <c r="U169" i="1"/>
  <c r="X183" i="1" l="1"/>
  <c r="Z183" i="1" s="1"/>
  <c r="X152" i="1"/>
  <c r="T38" i="1"/>
  <c r="T10" i="1"/>
  <c r="X10" i="1" l="1"/>
  <c r="Q181" i="1"/>
  <c r="Q184" i="1"/>
  <c r="Q180" i="1"/>
  <c r="Q179" i="1"/>
  <c r="Q178" i="1"/>
  <c r="Q177" i="1"/>
  <c r="Q176" i="1"/>
  <c r="N175" i="1"/>
  <c r="Q175" i="1"/>
  <c r="Q174" i="1"/>
  <c r="Q172" i="1"/>
  <c r="Q171" i="1"/>
  <c r="Q170" i="1"/>
  <c r="Q169" i="1"/>
  <c r="Q168" i="1"/>
  <c r="Q167" i="1"/>
  <c r="Q166" i="1"/>
  <c r="N165" i="1"/>
  <c r="Q165" i="1"/>
  <c r="N164" i="1"/>
  <c r="Q164" i="1"/>
  <c r="N163" i="1"/>
  <c r="Q163" i="1"/>
  <c r="N162" i="1"/>
  <c r="Q162" i="1"/>
  <c r="N161" i="1"/>
  <c r="Q161" i="1"/>
  <c r="N144" i="1"/>
  <c r="N141" i="1"/>
  <c r="N143" i="1"/>
  <c r="N142" i="1"/>
  <c r="N140" i="1"/>
  <c r="N139" i="1"/>
  <c r="N133" i="1"/>
  <c r="N126" i="1"/>
  <c r="N125" i="1"/>
  <c r="N124" i="1"/>
  <c r="N122" i="1"/>
  <c r="N13" i="1"/>
  <c r="N121" i="1"/>
  <c r="N120" i="1"/>
  <c r="N99" i="1"/>
  <c r="N101" i="1" s="1"/>
  <c r="N116" i="1"/>
  <c r="N117" i="1" s="1"/>
  <c r="N15" i="1"/>
  <c r="N75" i="1"/>
  <c r="N80" i="1" s="1"/>
  <c r="N8" i="1"/>
  <c r="N29" i="1" s="1"/>
  <c r="Q192" i="1" l="1"/>
  <c r="N192" i="1"/>
  <c r="N130" i="1"/>
  <c r="N193" i="1" l="1"/>
  <c r="U172" i="1"/>
  <c r="U144" i="1"/>
  <c r="Q18" i="1"/>
  <c r="T58" i="1"/>
  <c r="T40" i="1"/>
  <c r="M108" i="1" l="1"/>
  <c r="M109" i="1"/>
  <c r="M107" i="1"/>
  <c r="M106" i="1"/>
  <c r="M104" i="1"/>
  <c r="M88" i="1"/>
  <c r="M87" i="1"/>
  <c r="M84" i="1"/>
  <c r="M83" i="1"/>
  <c r="M77" i="1"/>
  <c r="M74" i="1"/>
  <c r="M73" i="1"/>
  <c r="M69" i="1"/>
  <c r="M61" i="1"/>
  <c r="M59" i="1"/>
  <c r="M58" i="1"/>
  <c r="M70" i="1" s="1"/>
  <c r="M55" i="1"/>
  <c r="M43" i="1"/>
  <c r="M40" i="1"/>
  <c r="M38" i="1"/>
  <c r="M7" i="1"/>
  <c r="M29" i="1" s="1"/>
  <c r="M80" i="1" l="1"/>
  <c r="M94" i="1"/>
  <c r="M50" i="1"/>
  <c r="M111" i="1"/>
  <c r="R7" i="1"/>
  <c r="M193" i="1" l="1"/>
  <c r="U108" i="1"/>
  <c r="U111" i="1" s="1"/>
  <c r="U62" i="1"/>
  <c r="U70" i="1" s="1"/>
  <c r="T62" i="1"/>
  <c r="T145" i="1"/>
  <c r="X108" i="1" l="1"/>
  <c r="U177" i="1" l="1"/>
  <c r="U73" i="1"/>
  <c r="U80" i="1" s="1"/>
  <c r="X73" i="1" l="1"/>
  <c r="T98" i="1"/>
  <c r="U124" i="1" l="1"/>
  <c r="U130" i="1" s="1"/>
  <c r="X173" i="1" l="1"/>
  <c r="X141" i="1" l="1"/>
  <c r="X178" i="1"/>
  <c r="X185" i="1"/>
  <c r="X176" i="1"/>
  <c r="X179" i="1"/>
  <c r="X165" i="1"/>
  <c r="X163" i="1"/>
  <c r="U162" i="1"/>
  <c r="U192" i="1" s="1"/>
  <c r="T135" i="1"/>
  <c r="T109" i="1"/>
  <c r="T77" i="1"/>
  <c r="L181" i="1"/>
  <c r="T80" i="1" l="1"/>
  <c r="X77" i="1"/>
  <c r="X80" i="1" s="1"/>
  <c r="X181" i="1"/>
  <c r="H181" i="1"/>
  <c r="G181" i="1"/>
  <c r="O181" i="1"/>
  <c r="K181" i="1"/>
  <c r="J181" i="1"/>
  <c r="R181" i="1" l="1"/>
  <c r="Z181" i="1" l="1"/>
  <c r="X69" i="1"/>
  <c r="X109" i="1" l="1"/>
  <c r="J109" i="1"/>
  <c r="L89" i="1"/>
  <c r="L88" i="1"/>
  <c r="O17" i="1"/>
  <c r="X24" i="1"/>
  <c r="L26" i="1"/>
  <c r="L24" i="1"/>
  <c r="T26" i="1"/>
  <c r="T29" i="1" s="1"/>
  <c r="H77" i="1"/>
  <c r="O74" i="1"/>
  <c r="L74" i="1"/>
  <c r="K74" i="1"/>
  <c r="J74" i="1"/>
  <c r="H74" i="1"/>
  <c r="G74" i="1"/>
  <c r="R74" i="1" l="1"/>
  <c r="Z74" i="1" s="1"/>
  <c r="X26" i="1"/>
  <c r="K109" i="1"/>
  <c r="L109" i="1"/>
  <c r="G109" i="1"/>
  <c r="O109" i="1"/>
  <c r="K26" i="1"/>
  <c r="H109" i="1"/>
  <c r="K89" i="1"/>
  <c r="H17" i="1"/>
  <c r="J17" i="1"/>
  <c r="L17" i="1"/>
  <c r="G88" i="1"/>
  <c r="O88" i="1"/>
  <c r="K17" i="1"/>
  <c r="H88" i="1"/>
  <c r="G89" i="1"/>
  <c r="O89" i="1"/>
  <c r="J88" i="1"/>
  <c r="K88" i="1"/>
  <c r="J89" i="1"/>
  <c r="H89" i="1"/>
  <c r="G17" i="1"/>
  <c r="J77" i="1"/>
  <c r="K77" i="1"/>
  <c r="L77" i="1"/>
  <c r="G77" i="1"/>
  <c r="O77" i="1"/>
  <c r="O24" i="1"/>
  <c r="H24" i="1"/>
  <c r="G26" i="1"/>
  <c r="O26" i="1"/>
  <c r="H26" i="1"/>
  <c r="K24" i="1"/>
  <c r="J26" i="1"/>
  <c r="G24" i="1"/>
  <c r="J24" i="1"/>
  <c r="R17" i="1" l="1"/>
  <c r="R89" i="1"/>
  <c r="Z89" i="1" s="1"/>
  <c r="R88" i="1"/>
  <c r="Z88" i="1" s="1"/>
  <c r="R77" i="1"/>
  <c r="Z77" i="1" s="1"/>
  <c r="Z17" i="1"/>
  <c r="R109" i="1"/>
  <c r="Z109" i="1" s="1"/>
  <c r="R26" i="1"/>
  <c r="Z26" i="1" s="1"/>
  <c r="R24" i="1"/>
  <c r="Z24" i="1" s="1"/>
  <c r="L69" i="1"/>
  <c r="H69" i="1"/>
  <c r="G69" i="1"/>
  <c r="O69" i="1"/>
  <c r="J61" i="1"/>
  <c r="O59" i="1"/>
  <c r="L59" i="1"/>
  <c r="K59" i="1"/>
  <c r="J59" i="1"/>
  <c r="H59" i="1"/>
  <c r="G59" i="1"/>
  <c r="O8" i="1"/>
  <c r="L75" i="1"/>
  <c r="K75" i="1"/>
  <c r="J75" i="1"/>
  <c r="O75" i="1"/>
  <c r="J9" i="1"/>
  <c r="R59" i="1" l="1"/>
  <c r="Z59" i="1" s="1"/>
  <c r="X61" i="1"/>
  <c r="O9" i="1"/>
  <c r="K8" i="1"/>
  <c r="J8" i="1"/>
  <c r="K9" i="1"/>
  <c r="K61" i="1"/>
  <c r="H8" i="1"/>
  <c r="L8" i="1"/>
  <c r="G9" i="1"/>
  <c r="J69" i="1"/>
  <c r="K69" i="1"/>
  <c r="L61" i="1"/>
  <c r="O61" i="1"/>
  <c r="G61" i="1"/>
  <c r="H61" i="1"/>
  <c r="G8" i="1"/>
  <c r="H75" i="1"/>
  <c r="G75" i="1"/>
  <c r="R75" i="1" s="1"/>
  <c r="Z75" i="1" s="1"/>
  <c r="L9" i="1"/>
  <c r="H9" i="1"/>
  <c r="R8" i="1" l="1"/>
  <c r="R9" i="1"/>
  <c r="Z8" i="1"/>
  <c r="Z9" i="1"/>
  <c r="R61" i="1"/>
  <c r="Z61" i="1" s="1"/>
  <c r="R69" i="1"/>
  <c r="Z69" i="1" l="1"/>
  <c r="X98" i="1" l="1"/>
  <c r="X83" i="1" l="1"/>
  <c r="X164" i="1" l="1"/>
  <c r="X144" i="1"/>
  <c r="X136" i="1"/>
  <c r="X126" i="1"/>
  <c r="X125" i="1"/>
  <c r="X122" i="1"/>
  <c r="X135" i="1" l="1"/>
  <c r="D50" i="61"/>
  <c r="B8" i="61"/>
  <c r="D7" i="61"/>
  <c r="D6" i="61"/>
  <c r="D5" i="61"/>
  <c r="X162" i="1" l="1"/>
  <c r="X166" i="1"/>
  <c r="X167" i="1"/>
  <c r="X169" i="1"/>
  <c r="X170" i="1"/>
  <c r="X171" i="1"/>
  <c r="X172" i="1"/>
  <c r="X174" i="1"/>
  <c r="X177" i="1"/>
  <c r="X184" i="1"/>
  <c r="X175" i="1"/>
  <c r="X161" i="1"/>
  <c r="X154" i="1"/>
  <c r="X124" i="1"/>
  <c r="X168" i="1" l="1"/>
  <c r="I122" i="1"/>
  <c r="I13" i="1"/>
  <c r="I29" i="1" s="1"/>
  <c r="I83" i="1"/>
  <c r="I84" i="1"/>
  <c r="I94" i="1" l="1"/>
  <c r="K145" i="1"/>
  <c r="O145" i="1" l="1"/>
  <c r="J145" i="1"/>
  <c r="H145" i="1"/>
  <c r="L145" i="1"/>
  <c r="G145" i="1"/>
  <c r="R145" i="1" l="1"/>
  <c r="X67" i="1" l="1"/>
  <c r="T43" i="1" l="1"/>
  <c r="X43" i="1" s="1"/>
  <c r="X11" i="1" l="1"/>
  <c r="X145" i="1"/>
  <c r="Z145" i="1" s="1"/>
  <c r="T153" i="1" l="1"/>
  <c r="X153" i="1" s="1"/>
  <c r="X147" i="1"/>
  <c r="T60" i="1" l="1"/>
  <c r="U85" i="1"/>
  <c r="U94" i="1" l="1"/>
  <c r="X60" i="1"/>
  <c r="X155" i="1"/>
  <c r="T133" i="1" l="1"/>
  <c r="T97" i="1"/>
  <c r="X97" i="1" l="1"/>
  <c r="O155" i="1"/>
  <c r="L155" i="1"/>
  <c r="K155" i="1"/>
  <c r="J155" i="1"/>
  <c r="H155" i="1"/>
  <c r="G155" i="1"/>
  <c r="R155" i="1" l="1"/>
  <c r="Z155" i="1" s="1"/>
  <c r="U40" i="1" l="1"/>
  <c r="X40" i="1" l="1"/>
  <c r="U50" i="1"/>
  <c r="T137" i="1"/>
  <c r="T107" i="1"/>
  <c r="X107" i="1" s="1"/>
  <c r="U193" i="1" l="1"/>
  <c r="X137" i="1"/>
  <c r="X121" i="1" l="1"/>
  <c r="Q97" i="1" l="1"/>
  <c r="Q101" i="1" s="1"/>
  <c r="O185" i="1" l="1"/>
  <c r="J185" i="1"/>
  <c r="H185" i="1"/>
  <c r="L185" i="1"/>
  <c r="K185" i="1" l="1"/>
  <c r="G185" i="1"/>
  <c r="R185" i="1" l="1"/>
  <c r="I58" i="1"/>
  <c r="I70" i="1" s="1"/>
  <c r="X58" i="1" l="1"/>
  <c r="L58" i="1"/>
  <c r="O58" i="1"/>
  <c r="K58" i="1"/>
  <c r="G58" i="1"/>
  <c r="H58" i="1"/>
  <c r="J58" i="1"/>
  <c r="R58" i="1" l="1"/>
  <c r="Z58" i="1" l="1"/>
  <c r="L104" i="1" l="1"/>
  <c r="G104" i="1" l="1"/>
  <c r="O104" i="1"/>
  <c r="H104" i="1"/>
  <c r="K104" i="1"/>
  <c r="J104" i="1"/>
  <c r="L18" i="1"/>
  <c r="R104" i="1" l="1"/>
  <c r="H18" i="1"/>
  <c r="O18" i="1"/>
  <c r="J18" i="1"/>
  <c r="K18" i="1"/>
  <c r="G18" i="1"/>
  <c r="R18" i="1" l="1"/>
  <c r="Z18" i="1" s="1"/>
  <c r="Q15" i="1" l="1"/>
  <c r="Q29" i="1" s="1"/>
  <c r="I133" i="1" l="1"/>
  <c r="I192" i="1" s="1"/>
  <c r="I120" i="1"/>
  <c r="I130" i="1" s="1"/>
  <c r="I193" i="1" l="1"/>
  <c r="Q193" i="1"/>
  <c r="X133" i="1"/>
  <c r="X120" i="1"/>
  <c r="X130" i="1" s="1"/>
  <c r="X38" i="1" l="1"/>
  <c r="Z185" i="1"/>
  <c r="X140" i="1" l="1"/>
  <c r="G38" i="1"/>
  <c r="H38" i="1"/>
  <c r="J38" i="1"/>
  <c r="K38" i="1"/>
  <c r="L38" i="1"/>
  <c r="O38" i="1"/>
  <c r="R38" i="1" l="1"/>
  <c r="Z38" i="1" l="1"/>
  <c r="X62" i="1" l="1"/>
  <c r="X139" i="1"/>
  <c r="O22" i="1" l="1"/>
  <c r="L22" i="1"/>
  <c r="K22" i="1"/>
  <c r="J22" i="1"/>
  <c r="H22" i="1"/>
  <c r="G22" i="1"/>
  <c r="R22" i="1" l="1"/>
  <c r="Z22" i="1" s="1"/>
  <c r="T99" i="1" l="1"/>
  <c r="T101" i="1" s="1"/>
  <c r="X99" i="1" l="1"/>
  <c r="X101" i="1" s="1"/>
  <c r="X106" i="1"/>
  <c r="X14" i="1"/>
  <c r="X29" i="1" s="1"/>
  <c r="L178" i="1"/>
  <c r="X142" i="1" l="1"/>
  <c r="G153" i="1" l="1"/>
  <c r="H153" i="1"/>
  <c r="J153" i="1"/>
  <c r="K153" i="1"/>
  <c r="L153" i="1"/>
  <c r="O153" i="1"/>
  <c r="R153" i="1" l="1"/>
  <c r="G173" i="1" l="1"/>
  <c r="H173" i="1"/>
  <c r="J173" i="1"/>
  <c r="K173" i="1"/>
  <c r="L173" i="1"/>
  <c r="O173" i="1"/>
  <c r="R173" i="1" l="1"/>
  <c r="Z173" i="1" s="1"/>
  <c r="Z153" i="1"/>
  <c r="O67" i="1"/>
  <c r="L67" i="1"/>
  <c r="K67" i="1"/>
  <c r="J67" i="1"/>
  <c r="H67" i="1"/>
  <c r="G67" i="1"/>
  <c r="G154" i="1"/>
  <c r="H154" i="1"/>
  <c r="J154" i="1"/>
  <c r="K154" i="1"/>
  <c r="L154" i="1"/>
  <c r="O154" i="1"/>
  <c r="G144" i="1"/>
  <c r="H144" i="1"/>
  <c r="J144" i="1"/>
  <c r="K144" i="1"/>
  <c r="L144" i="1"/>
  <c r="O144" i="1"/>
  <c r="R154" i="1" l="1"/>
  <c r="R144" i="1"/>
  <c r="R67" i="1"/>
  <c r="O108" i="1"/>
  <c r="L108" i="1"/>
  <c r="K108" i="1"/>
  <c r="J108" i="1"/>
  <c r="H108" i="1"/>
  <c r="G108" i="1"/>
  <c r="O142" i="1"/>
  <c r="L142" i="1"/>
  <c r="K142" i="1"/>
  <c r="J142" i="1"/>
  <c r="H142" i="1"/>
  <c r="G142" i="1"/>
  <c r="Z154" i="1" l="1"/>
  <c r="Z67" i="1"/>
  <c r="R108" i="1"/>
  <c r="Z108" i="1" s="1"/>
  <c r="R142" i="1"/>
  <c r="G152" i="1"/>
  <c r="H152" i="1"/>
  <c r="J152" i="1"/>
  <c r="K152" i="1"/>
  <c r="L152" i="1"/>
  <c r="O152" i="1"/>
  <c r="Z142" i="1" l="1"/>
  <c r="R152" i="1"/>
  <c r="Z152" i="1" s="1"/>
  <c r="G184" i="1" l="1"/>
  <c r="H184" i="1"/>
  <c r="J184" i="1"/>
  <c r="K184" i="1"/>
  <c r="L184" i="1"/>
  <c r="O184" i="1"/>
  <c r="R184" i="1" l="1"/>
  <c r="Z184" i="1" s="1"/>
  <c r="G172" i="1"/>
  <c r="H172" i="1"/>
  <c r="J172" i="1"/>
  <c r="K172" i="1"/>
  <c r="L172" i="1"/>
  <c r="O172" i="1"/>
  <c r="R172" i="1" l="1"/>
  <c r="G151" i="1"/>
  <c r="H151" i="1"/>
  <c r="J151" i="1"/>
  <c r="K151" i="1"/>
  <c r="L151" i="1"/>
  <c r="O151" i="1"/>
  <c r="R151" i="1" l="1"/>
  <c r="Z151" i="1" s="1"/>
  <c r="G62" i="1"/>
  <c r="H62" i="1"/>
  <c r="J62" i="1"/>
  <c r="K62" i="1"/>
  <c r="L62" i="1"/>
  <c r="O62" i="1"/>
  <c r="R62" i="1" l="1"/>
  <c r="Z62" i="1" l="1"/>
  <c r="Z7" i="1" l="1"/>
  <c r="Z172" i="1" l="1"/>
  <c r="T104" i="1" l="1"/>
  <c r="T111" i="1" s="1"/>
  <c r="X104" i="1" l="1"/>
  <c r="X111" i="1" s="1"/>
  <c r="T146" i="1" l="1"/>
  <c r="X146" i="1" s="1"/>
  <c r="T180" i="1" l="1"/>
  <c r="X180" i="1" l="1"/>
  <c r="O178" i="1" l="1"/>
  <c r="K178" i="1"/>
  <c r="J178" i="1"/>
  <c r="H178" i="1"/>
  <c r="G178" i="1"/>
  <c r="R178" i="1" l="1"/>
  <c r="Z178" i="1" s="1"/>
  <c r="L179" i="1" l="1"/>
  <c r="O177" i="1"/>
  <c r="L177" i="1"/>
  <c r="K177" i="1"/>
  <c r="J177" i="1"/>
  <c r="H177" i="1"/>
  <c r="G177" i="1"/>
  <c r="R177" i="1" l="1"/>
  <c r="Z177" i="1" s="1"/>
  <c r="Z104" i="1"/>
  <c r="T86" i="1" l="1"/>
  <c r="X86" i="1" s="1"/>
  <c r="G180" i="1" l="1"/>
  <c r="H180" i="1"/>
  <c r="J180" i="1"/>
  <c r="K180" i="1"/>
  <c r="L180" i="1"/>
  <c r="O180" i="1"/>
  <c r="G148" i="1"/>
  <c r="H148" i="1"/>
  <c r="J148" i="1"/>
  <c r="K148" i="1"/>
  <c r="L148" i="1"/>
  <c r="O148" i="1"/>
  <c r="R148" i="1" l="1"/>
  <c r="Z148" i="1" s="1"/>
  <c r="R180" i="1"/>
  <c r="Z180" i="1" s="1"/>
  <c r="O11" i="1" l="1"/>
  <c r="L11" i="1"/>
  <c r="K11" i="1"/>
  <c r="J11" i="1"/>
  <c r="H11" i="1"/>
  <c r="G11" i="1"/>
  <c r="R11" i="1" l="1"/>
  <c r="G179" i="1"/>
  <c r="H179" i="1"/>
  <c r="J179" i="1"/>
  <c r="K179" i="1"/>
  <c r="O179" i="1"/>
  <c r="G147" i="1"/>
  <c r="H147" i="1"/>
  <c r="J147" i="1"/>
  <c r="K147" i="1"/>
  <c r="L147" i="1"/>
  <c r="O147" i="1"/>
  <c r="Z11" i="1" l="1"/>
  <c r="R179" i="1"/>
  <c r="Z179" i="1" s="1"/>
  <c r="R147" i="1"/>
  <c r="Z147" i="1" s="1"/>
  <c r="G176" i="1" l="1"/>
  <c r="H176" i="1"/>
  <c r="J176" i="1"/>
  <c r="K176" i="1"/>
  <c r="L176" i="1"/>
  <c r="O176" i="1"/>
  <c r="G146" i="1"/>
  <c r="H146" i="1"/>
  <c r="J146" i="1"/>
  <c r="K146" i="1"/>
  <c r="L146" i="1"/>
  <c r="O146" i="1"/>
  <c r="R146" i="1" l="1"/>
  <c r="R176" i="1"/>
  <c r="Z176" i="1" l="1"/>
  <c r="G175" i="1"/>
  <c r="H175" i="1"/>
  <c r="J175" i="1"/>
  <c r="K175" i="1"/>
  <c r="L175" i="1"/>
  <c r="O175" i="1"/>
  <c r="R175" i="1" l="1"/>
  <c r="Z175" i="1" s="1"/>
  <c r="O43" i="1" l="1"/>
  <c r="L43" i="1"/>
  <c r="K43" i="1"/>
  <c r="J43" i="1"/>
  <c r="H43" i="1"/>
  <c r="G43" i="1"/>
  <c r="R43" i="1" l="1"/>
  <c r="Z43" i="1" s="1"/>
  <c r="T64" i="1"/>
  <c r="T70" i="1" s="1"/>
  <c r="T41" i="1"/>
  <c r="X41" i="1" l="1"/>
  <c r="T50" i="1"/>
  <c r="X64" i="1"/>
  <c r="X70" i="1" s="1"/>
  <c r="Z144" i="1"/>
  <c r="X50" i="1" l="1"/>
  <c r="G135" i="1"/>
  <c r="H135" i="1"/>
  <c r="J135" i="1"/>
  <c r="K135" i="1"/>
  <c r="L135" i="1"/>
  <c r="O135" i="1"/>
  <c r="R135" i="1" l="1"/>
  <c r="Z135" i="1" l="1"/>
  <c r="L140" i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4" i="1"/>
  <c r="L174" i="1"/>
  <c r="K174" i="1"/>
  <c r="J174" i="1"/>
  <c r="H174" i="1"/>
  <c r="G174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41" i="1"/>
  <c r="L141" i="1"/>
  <c r="K141" i="1"/>
  <c r="J141" i="1"/>
  <c r="H141" i="1"/>
  <c r="G141" i="1"/>
  <c r="T143" i="1"/>
  <c r="T192" i="1" s="1"/>
  <c r="O143" i="1"/>
  <c r="L143" i="1"/>
  <c r="K143" i="1"/>
  <c r="J143" i="1"/>
  <c r="H143" i="1"/>
  <c r="G143" i="1"/>
  <c r="O98" i="1"/>
  <c r="L98" i="1"/>
  <c r="K98" i="1"/>
  <c r="J98" i="1"/>
  <c r="H98" i="1"/>
  <c r="G98" i="1"/>
  <c r="O137" i="1"/>
  <c r="L137" i="1"/>
  <c r="K137" i="1"/>
  <c r="J137" i="1"/>
  <c r="H137" i="1"/>
  <c r="G137" i="1"/>
  <c r="O136" i="1"/>
  <c r="L136" i="1"/>
  <c r="K136" i="1"/>
  <c r="J136" i="1"/>
  <c r="H136" i="1"/>
  <c r="G136" i="1"/>
  <c r="O126" i="1"/>
  <c r="L126" i="1"/>
  <c r="K126" i="1"/>
  <c r="J126" i="1"/>
  <c r="H126" i="1"/>
  <c r="G126" i="1"/>
  <c r="O125" i="1"/>
  <c r="L125" i="1"/>
  <c r="K125" i="1"/>
  <c r="J125" i="1"/>
  <c r="H125" i="1"/>
  <c r="G125" i="1"/>
  <c r="O124" i="1"/>
  <c r="L124" i="1"/>
  <c r="E9" i="11" s="1"/>
  <c r="D9" i="11" s="1"/>
  <c r="K124" i="1"/>
  <c r="J124" i="1"/>
  <c r="E7" i="11" s="1"/>
  <c r="D7" i="11" s="1"/>
  <c r="H124" i="1"/>
  <c r="G124" i="1"/>
  <c r="O139" i="1"/>
  <c r="L139" i="1"/>
  <c r="K139" i="1"/>
  <c r="J139" i="1"/>
  <c r="H139" i="1"/>
  <c r="G139" i="1"/>
  <c r="O121" i="1"/>
  <c r="L121" i="1"/>
  <c r="K121" i="1"/>
  <c r="J121" i="1"/>
  <c r="H121" i="1"/>
  <c r="G121" i="1"/>
  <c r="O133" i="1"/>
  <c r="L133" i="1"/>
  <c r="K133" i="1"/>
  <c r="J133" i="1"/>
  <c r="H133" i="1"/>
  <c r="G133" i="1"/>
  <c r="O120" i="1"/>
  <c r="L120" i="1"/>
  <c r="K120" i="1"/>
  <c r="J120" i="1"/>
  <c r="H120" i="1"/>
  <c r="G120" i="1"/>
  <c r="O76" i="1"/>
  <c r="L76" i="1"/>
  <c r="K76" i="1"/>
  <c r="J76" i="1"/>
  <c r="H76" i="1"/>
  <c r="G76" i="1"/>
  <c r="O87" i="1"/>
  <c r="L87" i="1"/>
  <c r="K87" i="1"/>
  <c r="J87" i="1"/>
  <c r="H87" i="1"/>
  <c r="G87" i="1"/>
  <c r="O140" i="1"/>
  <c r="K140" i="1"/>
  <c r="J140" i="1"/>
  <c r="H140" i="1"/>
  <c r="G140" i="1"/>
  <c r="O64" i="1"/>
  <c r="L64" i="1"/>
  <c r="K64" i="1"/>
  <c r="J64" i="1"/>
  <c r="H64" i="1"/>
  <c r="G64" i="1"/>
  <c r="O107" i="1"/>
  <c r="L107" i="1"/>
  <c r="K107" i="1"/>
  <c r="J107" i="1"/>
  <c r="H107" i="1"/>
  <c r="G107" i="1"/>
  <c r="O86" i="1"/>
  <c r="L86" i="1"/>
  <c r="K86" i="1"/>
  <c r="J86" i="1"/>
  <c r="H86" i="1"/>
  <c r="G86" i="1"/>
  <c r="O14" i="1"/>
  <c r="L14" i="1"/>
  <c r="K14" i="1"/>
  <c r="J14" i="1"/>
  <c r="H14" i="1"/>
  <c r="G14" i="1"/>
  <c r="T85" i="1"/>
  <c r="O85" i="1"/>
  <c r="L85" i="1"/>
  <c r="K85" i="1"/>
  <c r="J85" i="1"/>
  <c r="H85" i="1"/>
  <c r="G85" i="1"/>
  <c r="O106" i="1"/>
  <c r="L106" i="1"/>
  <c r="K106" i="1"/>
  <c r="J106" i="1"/>
  <c r="H106" i="1"/>
  <c r="G106" i="1"/>
  <c r="O83" i="1"/>
  <c r="L83" i="1"/>
  <c r="K83" i="1"/>
  <c r="J83" i="1"/>
  <c r="H83" i="1"/>
  <c r="G83" i="1"/>
  <c r="O41" i="1"/>
  <c r="L41" i="1"/>
  <c r="K41" i="1"/>
  <c r="J41" i="1"/>
  <c r="H41" i="1"/>
  <c r="G41" i="1"/>
  <c r="O84" i="1"/>
  <c r="L84" i="1"/>
  <c r="K84" i="1"/>
  <c r="J84" i="1"/>
  <c r="H84" i="1"/>
  <c r="G84" i="1"/>
  <c r="O105" i="1"/>
  <c r="L105" i="1"/>
  <c r="K105" i="1"/>
  <c r="J105" i="1"/>
  <c r="H105" i="1"/>
  <c r="G105" i="1"/>
  <c r="E8" i="7"/>
  <c r="D8" i="7" s="1"/>
  <c r="O73" i="1"/>
  <c r="L73" i="1"/>
  <c r="K73" i="1"/>
  <c r="K80" i="1" s="1"/>
  <c r="J73" i="1"/>
  <c r="J80" i="1" s="1"/>
  <c r="H73" i="1"/>
  <c r="G73" i="1"/>
  <c r="O60" i="1"/>
  <c r="O70" i="1" s="1"/>
  <c r="L60" i="1"/>
  <c r="L70" i="1" s="1"/>
  <c r="K60" i="1"/>
  <c r="K70" i="1" s="1"/>
  <c r="J60" i="1"/>
  <c r="J70" i="1" s="1"/>
  <c r="H60" i="1"/>
  <c r="H70" i="1" s="1"/>
  <c r="G60" i="1"/>
  <c r="G70" i="1" s="1"/>
  <c r="O10" i="1"/>
  <c r="L10" i="1"/>
  <c r="K10" i="1"/>
  <c r="J10" i="1"/>
  <c r="H10" i="1"/>
  <c r="G10" i="1"/>
  <c r="O44" i="1"/>
  <c r="L44" i="1"/>
  <c r="K44" i="1"/>
  <c r="J44" i="1"/>
  <c r="H44" i="1"/>
  <c r="G44" i="1"/>
  <c r="O55" i="1"/>
  <c r="L55" i="1"/>
  <c r="K55" i="1"/>
  <c r="J55" i="1"/>
  <c r="H55" i="1"/>
  <c r="G55" i="1"/>
  <c r="O45" i="1"/>
  <c r="L45" i="1"/>
  <c r="K45" i="1"/>
  <c r="J45" i="1"/>
  <c r="H45" i="1"/>
  <c r="G45" i="1"/>
  <c r="O42" i="1"/>
  <c r="L42" i="1"/>
  <c r="K42" i="1"/>
  <c r="J42" i="1"/>
  <c r="H42" i="1"/>
  <c r="G42" i="1"/>
  <c r="O40" i="1"/>
  <c r="L40" i="1"/>
  <c r="K40" i="1"/>
  <c r="J40" i="1"/>
  <c r="H40" i="1"/>
  <c r="G40" i="1"/>
  <c r="O116" i="1"/>
  <c r="O117" i="1" s="1"/>
  <c r="L116" i="1"/>
  <c r="L117" i="1" s="1"/>
  <c r="K116" i="1"/>
  <c r="K117" i="1" s="1"/>
  <c r="J116" i="1"/>
  <c r="J117" i="1" s="1"/>
  <c r="H116" i="1"/>
  <c r="H117" i="1" s="1"/>
  <c r="G116" i="1"/>
  <c r="G117" i="1" s="1"/>
  <c r="O15" i="1"/>
  <c r="L15" i="1"/>
  <c r="K15" i="1"/>
  <c r="J15" i="1"/>
  <c r="H15" i="1"/>
  <c r="G15" i="1"/>
  <c r="O97" i="1"/>
  <c r="L97" i="1"/>
  <c r="K97" i="1"/>
  <c r="J97" i="1"/>
  <c r="H97" i="1"/>
  <c r="G97" i="1"/>
  <c r="E12" i="5"/>
  <c r="D12" i="5" s="1"/>
  <c r="E10" i="5"/>
  <c r="D10" i="5" s="1"/>
  <c r="E9" i="5"/>
  <c r="D9" i="5" s="1"/>
  <c r="E8" i="5"/>
  <c r="D8" i="5" s="1"/>
  <c r="E6" i="5"/>
  <c r="D6" i="5" s="1"/>
  <c r="R10" i="1" l="1"/>
  <c r="R15" i="1"/>
  <c r="R97" i="1"/>
  <c r="O80" i="1"/>
  <c r="H80" i="1"/>
  <c r="J192" i="1"/>
  <c r="R84" i="1"/>
  <c r="Z84" i="1" s="1"/>
  <c r="R76" i="1"/>
  <c r="Z76" i="1" s="1"/>
  <c r="L80" i="1"/>
  <c r="L192" i="1"/>
  <c r="O192" i="1"/>
  <c r="G192" i="1"/>
  <c r="K192" i="1"/>
  <c r="G80" i="1"/>
  <c r="H192" i="1"/>
  <c r="R45" i="1"/>
  <c r="Z45" i="1" s="1"/>
  <c r="R168" i="1"/>
  <c r="Z168" i="1" s="1"/>
  <c r="L50" i="1"/>
  <c r="O94" i="1"/>
  <c r="K50" i="1"/>
  <c r="R41" i="1"/>
  <c r="Z41" i="1" s="1"/>
  <c r="L94" i="1"/>
  <c r="R85" i="1"/>
  <c r="G94" i="1"/>
  <c r="R44" i="1"/>
  <c r="Z44" i="1" s="1"/>
  <c r="H94" i="1"/>
  <c r="H50" i="1"/>
  <c r="J94" i="1"/>
  <c r="T94" i="1"/>
  <c r="X85" i="1"/>
  <c r="R40" i="1"/>
  <c r="Z40" i="1" s="1"/>
  <c r="J50" i="1"/>
  <c r="O50" i="1"/>
  <c r="R87" i="1"/>
  <c r="Z87" i="1" s="1"/>
  <c r="G50" i="1"/>
  <c r="R42" i="1"/>
  <c r="R86" i="1"/>
  <c r="Z86" i="1" s="1"/>
  <c r="K94" i="1"/>
  <c r="L111" i="1"/>
  <c r="Z97" i="1"/>
  <c r="Z10" i="1"/>
  <c r="H111" i="1"/>
  <c r="J111" i="1"/>
  <c r="O111" i="1"/>
  <c r="G111" i="1"/>
  <c r="K111" i="1"/>
  <c r="R174" i="1"/>
  <c r="Z174" i="1" s="1"/>
  <c r="X143" i="1"/>
  <c r="X192" i="1" s="1"/>
  <c r="R116" i="1"/>
  <c r="Z15" i="1"/>
  <c r="E12" i="7"/>
  <c r="D12" i="7" s="1"/>
  <c r="E9" i="7"/>
  <c r="D9" i="7" s="1"/>
  <c r="E10" i="7"/>
  <c r="D10" i="7" s="1"/>
  <c r="E6" i="7"/>
  <c r="D6" i="7" s="1"/>
  <c r="Z146" i="1"/>
  <c r="E8" i="6"/>
  <c r="D8" i="6" s="1"/>
  <c r="E12" i="6"/>
  <c r="D12" i="6" s="1"/>
  <c r="E9" i="6"/>
  <c r="D9" i="6" s="1"/>
  <c r="E6" i="6"/>
  <c r="D6" i="6" s="1"/>
  <c r="R4" i="12"/>
  <c r="R7" i="12"/>
  <c r="R8" i="12"/>
  <c r="R141" i="1"/>
  <c r="Z141" i="1" s="1"/>
  <c r="R162" i="1"/>
  <c r="Z162" i="1" s="1"/>
  <c r="R105" i="1"/>
  <c r="R166" i="1"/>
  <c r="Z166" i="1" s="1"/>
  <c r="R60" i="1"/>
  <c r="R64" i="1"/>
  <c r="Z64" i="1" s="1"/>
  <c r="R120" i="1"/>
  <c r="R140" i="1"/>
  <c r="Z140" i="1" s="1"/>
  <c r="R106" i="1"/>
  <c r="R121" i="1"/>
  <c r="R125" i="1"/>
  <c r="Z125" i="1" s="1"/>
  <c r="R136" i="1"/>
  <c r="R137" i="1"/>
  <c r="Z137" i="1" s="1"/>
  <c r="R143" i="1"/>
  <c r="R169" i="1"/>
  <c r="Z169" i="1" s="1"/>
  <c r="R171" i="1"/>
  <c r="Z171" i="1" s="1"/>
  <c r="R14" i="1"/>
  <c r="R107" i="1"/>
  <c r="Z107" i="1" s="1"/>
  <c r="R161" i="1"/>
  <c r="Z161" i="1" s="1"/>
  <c r="R165" i="1"/>
  <c r="R167" i="1"/>
  <c r="Z167" i="1" s="1"/>
  <c r="R139" i="1"/>
  <c r="Z139" i="1" s="1"/>
  <c r="R83" i="1"/>
  <c r="R133" i="1"/>
  <c r="R124" i="1"/>
  <c r="Z124" i="1" s="1"/>
  <c r="R126" i="1"/>
  <c r="R98" i="1"/>
  <c r="Z98" i="1" s="1"/>
  <c r="R163" i="1"/>
  <c r="Z163" i="1" s="1"/>
  <c r="R164" i="1"/>
  <c r="R170" i="1"/>
  <c r="Z170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R73" i="1"/>
  <c r="R55" i="1"/>
  <c r="C14" i="23"/>
  <c r="E10" i="6"/>
  <c r="D10" i="6" s="1"/>
  <c r="E12" i="11"/>
  <c r="D12" i="11" s="1"/>
  <c r="D4" i="5"/>
  <c r="R70" i="1" l="1"/>
  <c r="T193" i="1"/>
  <c r="X94" i="1"/>
  <c r="X193" i="1"/>
  <c r="Z126" i="1"/>
  <c r="S18" i="131"/>
  <c r="R80" i="1"/>
  <c r="Z85" i="1"/>
  <c r="R94" i="1"/>
  <c r="Z42" i="1"/>
  <c r="R50" i="1"/>
  <c r="Z116" i="1"/>
  <c r="Z117" i="1" s="1"/>
  <c r="H53" i="68" s="1"/>
  <c r="R117" i="1"/>
  <c r="R111" i="1"/>
  <c r="Z134" i="1"/>
  <c r="Z136" i="1"/>
  <c r="Z165" i="1"/>
  <c r="Z14" i="1"/>
  <c r="E14" i="7"/>
  <c r="D14" i="7" s="1"/>
  <c r="Z60" i="1"/>
  <c r="Z70" i="1" s="1"/>
  <c r="Z133" i="1"/>
  <c r="Z106" i="1"/>
  <c r="Z83" i="1"/>
  <c r="Z105" i="1"/>
  <c r="Z120" i="1"/>
  <c r="Z143" i="1"/>
  <c r="Z164" i="1"/>
  <c r="Z121" i="1"/>
  <c r="E14" i="4"/>
  <c r="D14" i="4" s="1"/>
  <c r="D5" i="7"/>
  <c r="D14" i="5"/>
  <c r="E14" i="5"/>
  <c r="L13" i="1"/>
  <c r="L29" i="1" s="1"/>
  <c r="E14" i="13"/>
  <c r="D14" i="13" s="1"/>
  <c r="K13" i="1"/>
  <c r="K29" i="1" s="1"/>
  <c r="E13" i="8"/>
  <c r="D13" i="8" s="1"/>
  <c r="G13" i="1"/>
  <c r="G29" i="1" s="1"/>
  <c r="O13" i="1"/>
  <c r="O29" i="1" s="1"/>
  <c r="J13" i="1"/>
  <c r="J29" i="1" s="1"/>
  <c r="H13" i="1"/>
  <c r="H29" i="1" s="1"/>
  <c r="L122" i="1"/>
  <c r="L130" i="1" s="1"/>
  <c r="Z73" i="1"/>
  <c r="Z80" i="1" s="1"/>
  <c r="Z55" i="1"/>
  <c r="E14" i="6"/>
  <c r="D14" i="6" s="1"/>
  <c r="R13" i="1" l="1"/>
  <c r="R29" i="1" s="1"/>
  <c r="Z94" i="1"/>
  <c r="Z50" i="1"/>
  <c r="Z111" i="1"/>
  <c r="H47" i="68"/>
  <c r="J122" i="1"/>
  <c r="J130" i="1" s="1"/>
  <c r="O122" i="1"/>
  <c r="O130" i="1" s="1"/>
  <c r="K122" i="1"/>
  <c r="K130" i="1" s="1"/>
  <c r="G122" i="1"/>
  <c r="G130" i="1" s="1"/>
  <c r="H122" i="1"/>
  <c r="H130" i="1" s="1"/>
  <c r="Z13" i="1" l="1"/>
  <c r="Z29" i="1" s="1"/>
  <c r="H52" i="68"/>
  <c r="H49" i="68"/>
  <c r="H46" i="68"/>
  <c r="H50" i="68"/>
  <c r="R122" i="1"/>
  <c r="R130" i="1" s="1"/>
  <c r="Z122" i="1" l="1"/>
  <c r="Z130" i="1" s="1"/>
  <c r="H54" i="68" l="1"/>
  <c r="J99" i="1" l="1"/>
  <c r="J101" i="1" s="1"/>
  <c r="L99" i="1"/>
  <c r="L101" i="1" s="1"/>
  <c r="K99" i="1"/>
  <c r="K101" i="1" s="1"/>
  <c r="O99" i="1"/>
  <c r="O101" i="1" s="1"/>
  <c r="G99" i="1"/>
  <c r="H99" i="1"/>
  <c r="H101" i="1" s="1"/>
  <c r="G101" i="1" l="1"/>
  <c r="G193" i="1" s="1"/>
  <c r="H193" i="1"/>
  <c r="O193" i="1"/>
  <c r="K193" i="1"/>
  <c r="L193" i="1"/>
  <c r="J193" i="1"/>
  <c r="R99" i="1"/>
  <c r="R101" i="1" s="1"/>
  <c r="Z99" i="1" l="1"/>
  <c r="R149" i="1"/>
  <c r="R192" i="1" s="1"/>
  <c r="Z101" i="1" l="1"/>
  <c r="H51" i="68" s="1"/>
  <c r="Z149" i="1"/>
  <c r="Z192" i="1" s="1"/>
  <c r="H55" i="68" l="1"/>
  <c r="H48" i="68" l="1"/>
  <c r="E193" i="1"/>
  <c r="G23" i="68"/>
  <c r="G25" i="68"/>
  <c r="H44" i="68"/>
  <c r="G26" i="68"/>
  <c r="G24" i="68"/>
  <c r="H27" i="68" l="1"/>
  <c r="T8" i="131"/>
  <c r="T27" i="131" s="1"/>
  <c r="Z7" i="131"/>
  <c r="AB7" i="131" l="1"/>
  <c r="Z8" i="131"/>
  <c r="Z11" i="131"/>
  <c r="F34" i="1" l="1"/>
  <c r="AB8" i="131"/>
  <c r="AB11" i="131"/>
  <c r="Z13" i="131"/>
  <c r="Z27" i="131" s="1"/>
  <c r="F35" i="1" l="1"/>
  <c r="F193" i="1" s="1"/>
  <c r="R34" i="1"/>
  <c r="AB13" i="131"/>
  <c r="AB27" i="131" s="1"/>
  <c r="X12" i="132"/>
  <c r="X14" i="132" s="1"/>
  <c r="V12" i="132"/>
  <c r="V14" i="132" s="1"/>
  <c r="Q12" i="132"/>
  <c r="Q14" i="132" s="1"/>
  <c r="Z34" i="1" l="1"/>
  <c r="Z35" i="1" s="1"/>
  <c r="R35" i="1"/>
  <c r="R193" i="1" s="1"/>
  <c r="H20" i="68" s="1"/>
  <c r="H28" i="68" s="1"/>
  <c r="H30" i="68" s="1"/>
  <c r="H45" i="68" l="1"/>
  <c r="H56" i="68" s="1"/>
  <c r="Z193" i="1"/>
  <c r="Q27" i="131"/>
  <c r="Q13" i="131"/>
  <c r="Q11" i="131"/>
  <c r="Q18" i="131"/>
  <c r="Q8" i="131"/>
  <c r="Q12" i="131"/>
  <c r="Q7" i="131"/>
</calcChain>
</file>

<file path=xl/sharedStrings.xml><?xml version="1.0" encoding="utf-8"?>
<sst xmlns="http://schemas.openxmlformats.org/spreadsheetml/2006/main" count="6899" uniqueCount="755">
  <si>
    <t>NATIONAL INSTITUTE FOR LEGISLATIVE AND DEMOCRATIC STUDIES</t>
  </si>
  <si>
    <t>STAFF PAYROLL FOR THE MONTH OF NOVEMBER 2023</t>
  </si>
  <si>
    <t>STAFF NAME</t>
  </si>
  <si>
    <t>DESIGNATION</t>
  </si>
  <si>
    <t>GRADE LEVEL</t>
  </si>
  <si>
    <t>BASIC SALARY</t>
  </si>
  <si>
    <t>ALLCE/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</si>
  <si>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</si>
  <si>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</si>
  <si>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</si>
  <si>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</si>
  <si>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</si>
  <si>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</si>
  <si>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</si>
  <si>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</si>
  <si>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</si>
  <si>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</si>
  <si>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</si>
  <si>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</si>
  <si>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</si>
  <si>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</si>
  <si>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</si>
  <si>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TOTAL DEDUCTION</t>
  </si>
  <si>
    <t>OCTOBER, 2023</t>
  </si>
  <si>
    <t>NOVEMBER, 2023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</si>
  <si>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</si>
  <si>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</si>
  <si>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</si>
  <si>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</si>
  <si>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</si>
  <si>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</si>
  <si>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</si>
  <si>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</si>
  <si>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</si>
  <si>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e</t>
  </si>
  <si>
    <t>SA- SPECIAL DUTIES</t>
  </si>
  <si>
    <t>16(8)</t>
  </si>
  <si>
    <t>DR IKEME ARTHUR J.O</t>
  </si>
  <si>
    <t>DEPUTY DIRECTOR, M&amp;E</t>
  </si>
  <si>
    <t>MOSHOOD M. OLALERE</t>
  </si>
  <si>
    <t>DEPUTY DIR. GENERAL SERVICE</t>
  </si>
  <si>
    <t>REKIYA IBRAHIM ATTAH</t>
  </si>
  <si>
    <t>DEPUTY DIRECTOR TRAINING</t>
  </si>
  <si>
    <t>ANDRAWUS MUSA</t>
  </si>
  <si>
    <t>ASST. DIRECTOR, STORES</t>
  </si>
  <si>
    <t>15(9)</t>
  </si>
  <si>
    <t>DR FRANCIS NDUM OJIE</t>
  </si>
  <si>
    <t>AD, TRAINING &amp; IC./SA TO DG</t>
  </si>
  <si>
    <t>15(7)</t>
  </si>
  <si>
    <t>ALI ABDULLAHI</t>
  </si>
  <si>
    <t>CHIEF ICT OFFICER</t>
  </si>
  <si>
    <t>14(10)</t>
  </si>
  <si>
    <t>ABDULSALAM S. MUSTAPHA</t>
  </si>
  <si>
    <t>ASST. MANAGER ICT</t>
  </si>
  <si>
    <t>13(11)</t>
  </si>
  <si>
    <t>PERCY TERFA GBAHABO</t>
  </si>
  <si>
    <t>HEAD, NILDS LIAISON OFFICE</t>
  </si>
  <si>
    <t>13(9)</t>
  </si>
  <si>
    <t>HASSANA AHMED IBRAHIM</t>
  </si>
  <si>
    <t>PA- TO DG</t>
  </si>
  <si>
    <t>13 (8)</t>
  </si>
  <si>
    <t>ADUGBA RICHARD TERSEER</t>
  </si>
  <si>
    <t>PRINCIPAL INFO. OFFICER</t>
  </si>
  <si>
    <t>12(8)</t>
  </si>
  <si>
    <t>LUCKY AGWOM</t>
  </si>
  <si>
    <t>RESEARCH ASSISTANT</t>
  </si>
  <si>
    <t>12(7)</t>
  </si>
  <si>
    <t>ELIZABETH OGECHUKWU ONYEAKU</t>
  </si>
  <si>
    <t>ICT OFFICER</t>
  </si>
  <si>
    <t>9(8)</t>
  </si>
  <si>
    <t>VICTOR ASUKWO</t>
  </si>
  <si>
    <t>ABDULRAHMAN A SULAIMAN</t>
  </si>
  <si>
    <t>STORE OFFICER</t>
  </si>
  <si>
    <t>9(7)</t>
  </si>
  <si>
    <t>DARE SHEU MAGBON</t>
  </si>
  <si>
    <t>ASSIST. PG</t>
  </si>
  <si>
    <t>8(10)</t>
  </si>
  <si>
    <t>JIMOH ADEBAYO ZAKA</t>
  </si>
  <si>
    <t>ASST. OFFICER/COMM</t>
  </si>
  <si>
    <t>MOHAMMED BELLO</t>
  </si>
  <si>
    <t xml:space="preserve">PROTOCOL ASSISTANT </t>
  </si>
  <si>
    <t>8(8)</t>
  </si>
  <si>
    <t>SULEIMAN ABUBAKAR SODEEQ</t>
  </si>
  <si>
    <t>ASST. ADMIN. OFFICER</t>
  </si>
  <si>
    <t>HARUNA JIBRIL AMEH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</si>
  <si>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</si>
  <si>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</si>
  <si>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</si>
  <si>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</si>
  <si>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</si>
  <si>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</si>
  <si>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</si>
  <si>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>AUDITOR II</t>
  </si>
  <si>
    <t>IJEOMA EWELUKWA</t>
  </si>
  <si>
    <t>AUDIT OFFICER</t>
  </si>
  <si>
    <t>10(7)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</si>
  <si>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</si>
  <si>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</si>
  <si>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</si>
  <si>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</si>
  <si>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</si>
  <si>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</si>
  <si>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</si>
  <si>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</si>
  <si>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IBRAHIM USMAN</t>
  </si>
  <si>
    <t>15(8)</t>
  </si>
  <si>
    <t>DR MOHAMMED O. AMALI</t>
  </si>
  <si>
    <t>RESEARCH FELLOW I</t>
  </si>
  <si>
    <t>YAHAYA SHAMSU</t>
  </si>
  <si>
    <t>RESEARCH FELLOW 1</t>
  </si>
  <si>
    <t>DORIS DAKDA AARON</t>
  </si>
  <si>
    <t>14(8)</t>
  </si>
  <si>
    <t>BILKIS S. LAWAL-GAMBARI</t>
  </si>
  <si>
    <t>RESEARCH OFFICER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</si>
  <si>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</si>
  <si>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</si>
  <si>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</si>
  <si>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</si>
  <si>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</si>
  <si>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</si>
  <si>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</si>
  <si>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</si>
  <si>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</si>
  <si>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</si>
  <si>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</si>
  <si>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</si>
  <si>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</si>
  <si>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</si>
  <si>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15 (7)</t>
  </si>
  <si>
    <t>EJALONIBU GANIYU LAYI</t>
  </si>
  <si>
    <t>LOHNA BONKAT JONATHAN</t>
  </si>
  <si>
    <t>RESEARCH FELLOW 11</t>
  </si>
  <si>
    <t>YUNUSA ABDULLAHI</t>
  </si>
  <si>
    <t>EMILY EKHIDE</t>
  </si>
  <si>
    <t>14(9)</t>
  </si>
  <si>
    <t>UDEFUNA NNADOZIE PATRICK</t>
  </si>
  <si>
    <t>SHAFIU YAHYA MIKAIL</t>
  </si>
  <si>
    <t>PRINCIPAL RESEARCH OFFICER</t>
  </si>
  <si>
    <t>HASSAN YERIMA</t>
  </si>
  <si>
    <t>HAUWA PATE SADIQ</t>
  </si>
  <si>
    <t>PRINCIPAL PROGRAMME OFFICER</t>
  </si>
  <si>
    <t>KOLAPO Q. ABAYOMI</t>
  </si>
  <si>
    <t>NNANDI LIVINUS ATURE</t>
  </si>
  <si>
    <t>DEPARTMENT OF STUDIES</t>
  </si>
  <si>
    <t>DR ASIMIYU G. ABIOLA</t>
  </si>
  <si>
    <t>DIRECTOR POST GRADUATE</t>
  </si>
  <si>
    <t>USMAN WALI</t>
  </si>
  <si>
    <t>SENIOR RESEARCH FELLOW</t>
  </si>
  <si>
    <t>AYOBOLU OLAJIDE OLUFUNSHO</t>
  </si>
  <si>
    <t>ASST.DIR., INFORMATION</t>
  </si>
  <si>
    <t>ANTHONY EDET</t>
  </si>
  <si>
    <t>CHIEF PROGRAMMES OFFICER</t>
  </si>
  <si>
    <t>IGWE STACY</t>
  </si>
  <si>
    <t>PROGRAMME OFFICER</t>
  </si>
  <si>
    <t>10(8)</t>
  </si>
  <si>
    <t>OLANIYAN TAIWO ABINBOLA</t>
  </si>
  <si>
    <t>AMINAT JUMOKE SULAIMON</t>
  </si>
  <si>
    <t>AST. PROGRAMME OFFICER</t>
  </si>
  <si>
    <t>ECON. DEV. &amp; SOC. RESEARCH</t>
  </si>
  <si>
    <t>TERFA WILLIAMS ABRAHAM</t>
  </si>
  <si>
    <t>DR AUGUSTINE C. OSIGWE</t>
  </si>
  <si>
    <t>NGARA CHRISTOPHER OCHANJA</t>
  </si>
  <si>
    <t>OMOJU OLUWASOLA EMMANUEL</t>
  </si>
  <si>
    <t>IBE EZECHI CYRIACUS</t>
  </si>
  <si>
    <t>RESEARCH FELLOW II</t>
  </si>
  <si>
    <t>13(10)</t>
  </si>
  <si>
    <t>OSIKHEN LEO IGBANOI</t>
  </si>
  <si>
    <t>OKUNGBOWA OSARETIN GODSPOWER</t>
  </si>
  <si>
    <t>14(7)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</si>
  <si>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</si>
  <si>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</si>
  <si>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</si>
  <si>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</si>
  <si>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</si>
  <si>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</si>
  <si>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TRAINING  &amp;  INT''L COOP</t>
  </si>
  <si>
    <t>AKINSANMI ADEJOKE OLUKEMI</t>
  </si>
  <si>
    <t>DEPUTY DIR. INFO/PROTOCOL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</si>
  <si>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</si>
  <si>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</si>
  <si>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</si>
  <si>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</si>
  <si>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</si>
  <si>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</si>
  <si>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</si>
  <si>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</si>
  <si>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</si>
  <si>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</si>
  <si>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</si>
  <si>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</si>
  <si>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</si>
  <si>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</si>
  <si>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</si>
  <si>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</si>
  <si>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8(11)</t>
  </si>
  <si>
    <t>TITILAYO DANIEL MARVELLOUS</t>
  </si>
  <si>
    <t>ENENCHE JEREMIAH AGADA</t>
  </si>
  <si>
    <t>LEG, CTRE FOR SEC. ANALYSIS</t>
  </si>
  <si>
    <t>OSOLAFIA MUHAMMAD EGYE</t>
  </si>
  <si>
    <t>12(9)</t>
  </si>
  <si>
    <t>EGUATU U. ONYEJELEM</t>
  </si>
  <si>
    <t xml:space="preserve">PRINCIPAL M&amp;E OFFICER </t>
  </si>
  <si>
    <t>CHRISTIAN MADUABUCHI ODO</t>
  </si>
  <si>
    <t>PRINCIPAL ICT OFFICER</t>
  </si>
  <si>
    <t>FINANCE &amp; ACCOUNTS</t>
  </si>
  <si>
    <t>IBRAHIM M. MSHELIA</t>
  </si>
  <si>
    <t>DIR. FINANCE &amp; ACCOUNTS</t>
  </si>
  <si>
    <t>RAHILA NURUDEEN HABU</t>
  </si>
  <si>
    <t>ASST. DIRECTOR, ACCOUNTS</t>
  </si>
  <si>
    <t>TONDO IORWUESE EDWARD</t>
  </si>
  <si>
    <t>ARAOYE GANIYAT TITILOLA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</si>
  <si>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</si>
  <si>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</si>
  <si>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</si>
  <si>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</si>
  <si>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</si>
  <si>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</si>
  <si>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</si>
  <si>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</si>
  <si>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</si>
  <si>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</si>
  <si>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</si>
  <si>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10</t>
  </si>
  <si>
    <t>ADMIN &amp; HUMAN RESOURCE</t>
  </si>
  <si>
    <t>AMINU BELLO DUKKU</t>
  </si>
  <si>
    <t>DIR ADMIN</t>
  </si>
  <si>
    <t>MAGAJI BALA</t>
  </si>
  <si>
    <t>DD ADMIN</t>
  </si>
  <si>
    <t>16(9)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</si>
  <si>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</si>
  <si>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</si>
  <si>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</si>
  <si>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</si>
  <si>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</si>
  <si>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</si>
  <si>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</si>
  <si>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</si>
  <si>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</si>
  <si>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</si>
  <si>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</si>
  <si>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</si>
  <si>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</si>
  <si>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</si>
  <si>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</si>
  <si>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</si>
  <si>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</si>
  <si>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</si>
  <si>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</si>
  <si>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</si>
  <si>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</si>
  <si>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</si>
  <si>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</si>
  <si>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10(9)</t>
  </si>
  <si>
    <t>OWOEYE TOSIN KAYODE</t>
  </si>
  <si>
    <t>ISERE RICHARD KANTEE</t>
  </si>
  <si>
    <t>SNR ADMIN OFFICER</t>
  </si>
  <si>
    <t>FAROOQ ONOKIJIPA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</si>
  <si>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</si>
  <si>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</si>
  <si>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</si>
  <si>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</si>
  <si>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</si>
  <si>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</si>
  <si>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</si>
  <si>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</si>
  <si>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</si>
  <si>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</si>
  <si>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</si>
  <si>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</si>
  <si>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</si>
  <si>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</si>
  <si>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</si>
  <si>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</si>
  <si>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</si>
  <si>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</si>
  <si>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</si>
  <si>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</si>
  <si>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</si>
  <si>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</si>
  <si>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7(5)</t>
  </si>
  <si>
    <t>TASIU MOHAMMED</t>
  </si>
  <si>
    <t>NAMADI IDRIS UMAR</t>
  </si>
  <si>
    <t>ALIYU YAKUBU</t>
  </si>
  <si>
    <t>ABDULLAHI HARUNA</t>
  </si>
  <si>
    <t>OGABO OGAH USMAN</t>
  </si>
  <si>
    <t>7(4)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</si>
  <si>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</si>
  <si>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</si>
  <si>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</si>
  <si>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</si>
  <si>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</si>
  <si>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</si>
  <si>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</si>
  <si>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</si>
  <si>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</si>
  <si>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</si>
  <si>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OYINLOLA ISMAHEEL TAIWO</t>
  </si>
  <si>
    <t>SENIOR DRIVER</t>
  </si>
  <si>
    <t>5(10)</t>
  </si>
  <si>
    <t>IBRAHIM ZAKARI AHMAD</t>
  </si>
  <si>
    <t>DRIVER</t>
  </si>
  <si>
    <t>5 (9)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</si>
  <si>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</si>
  <si>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</si>
  <si>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</si>
  <si>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</si>
  <si>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</si>
  <si>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</si>
  <si>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</si>
  <si>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</si>
  <si>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</si>
  <si>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</si>
  <si>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5(8)</t>
  </si>
  <si>
    <t>LAWAL TANIMU</t>
  </si>
  <si>
    <t>4(9)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</si>
  <si>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</si>
  <si>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</si>
  <si>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</si>
  <si>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</si>
  <si>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</si>
  <si>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</si>
  <si>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</si>
  <si>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</si>
  <si>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</si>
  <si>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59</t>
  </si>
  <si>
    <t>GRAND TOTAL</t>
  </si>
  <si>
    <t>PREPARED BY:  Rahila N. Habu                                        SIGNATURE………………..                                  DATE:  30TH NOVEMBER, 2023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</si>
  <si>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</si>
  <si>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</si>
  <si>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</si>
  <si>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</si>
  <si>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</si>
  <si>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</si>
  <si>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</si>
  <si>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</si>
  <si>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</si>
  <si>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</si>
  <si>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</si>
  <si>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</si>
  <si>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</si>
  <si>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</si>
  <si>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27TH NOVEMBER, 2023</t>
  </si>
  <si>
    <t>SUBJECT: PAYROLL FOR THE MONTH OF NOVEMBER, 2023</t>
  </si>
  <si>
    <t>Find below the details of NILDS Staff Payroll for the Month of  November 2023:</t>
  </si>
  <si>
    <t>NGN</t>
  </si>
  <si>
    <t>GROSS SALARY FOR  NOVEMBER, 2023</t>
  </si>
  <si>
    <t>DEDUCTIONS</t>
  </si>
  <si>
    <t>COOP SOCIETY DEDUCTIONS ( CONTR.&amp; SPEC. SAVINGS)</t>
  </si>
  <si>
    <t>COOP LOAN RECOVERY</t>
  </si>
  <si>
    <t>PAYE DEDUCTIONS</t>
  </si>
  <si>
    <t>NHF DEDUCTIONS</t>
  </si>
  <si>
    <t>TOTAL DEDUCTIONS FOR  NOVEMBER, 2023</t>
  </si>
  <si>
    <t>NET PAY AS PER  NOVEMBER, 2023 PAYROLL</t>
  </si>
  <si>
    <t>NET PAY AS PER  OCTOBER, 2023 PAYROLL</t>
  </si>
  <si>
    <t>NET INCREASE/ (DECREASE)  IN PAY FOR  NOVEMBER, 2023</t>
  </si>
  <si>
    <t>ANALYSED AS FOLLOWS:</t>
  </si>
  <si>
    <t>Effect of Cooperative adjustment for November, 2023</t>
  </si>
  <si>
    <t>Net Effect of Reinstatement of  Abdulsalam Mustapha &amp; 1 Other including Arrears</t>
  </si>
  <si>
    <t xml:space="preserve">Net Effect of Reinstatement of Dr. Shuaibu Danwanka &amp; 1 Other </t>
  </si>
  <si>
    <t>Effect of Removal Promotion Arrears of Abdulwahab Dahiru and 17 Others</t>
  </si>
  <si>
    <t>Effect of Removal 1st 28 days  to Saheed Ayinla Ajia and 4 others</t>
  </si>
  <si>
    <t>Effect of Promotion of Abisola Ojogiwa &amp; 2 others</t>
  </si>
  <si>
    <t>Effect of Regularisation of Salary of John Gimah &amp; 2 Others</t>
  </si>
  <si>
    <t>Net Effect of Lucky Agwom &amp; 1 other as DG's Aides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</si>
  <si>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</si>
  <si>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</si>
  <si>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</si>
  <si>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</si>
  <si>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</si>
  <si>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</si>
  <si>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</si>
  <si>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</si>
  <si>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</si>
  <si>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</si>
  <si>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</si>
  <si>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</si>
  <si>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</si>
  <si>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N33,180,437.86 </t>
    </r>
    <r>
      <rPr>
        <sz val="14"/>
        <rFont val="Times New Roman"/>
        <family val="1"/>
      </rPr>
      <t xml:space="preserve">to Guaranty Trust Bank  being November 2023 Salary, </t>
    </r>
    <r>
      <rPr>
        <b/>
        <sz val="14"/>
        <rFont val="Times New Roman"/>
        <family val="1"/>
      </rPr>
      <t xml:space="preserve">N12,151,862.35 </t>
    </r>
    <r>
      <rPr>
        <sz val="14"/>
        <rFont val="Times New Roman"/>
        <family val="1"/>
      </rPr>
      <t>being NILDS Coop Society deductions for November 2023,</t>
    </r>
    <r>
      <rPr>
        <b/>
        <sz val="14"/>
        <rFont val="Times New Roman"/>
        <family val="1"/>
      </rPr>
      <t xml:space="preserve"> N6,999,867.49   </t>
    </r>
    <r>
      <rPr>
        <sz val="14"/>
        <rFont val="Times New Roman"/>
        <family val="1"/>
      </rPr>
      <t xml:space="preserve">being PAYE Tax Deductions from Staff Salary for the month  of November 2023 and </t>
    </r>
    <r>
      <rPr>
        <b/>
        <sz val="14"/>
        <rFont val="Times New Roman"/>
        <family val="1"/>
      </rPr>
      <t xml:space="preserve">N23,299.42 </t>
    </r>
    <r>
      <rPr>
        <sz val="14"/>
        <rFont val="Times New Roman"/>
        <family val="1"/>
      </rPr>
      <t xml:space="preserve"> being NHF deductions from staff for November  2023 </t>
    </r>
  </si>
  <si>
    <t>DeputyDirector, Finance &amp;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</si>
  <si>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</si>
  <si>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</si>
  <si>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CURRENT GRADE LEVEL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</si>
  <si>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</si>
  <si>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</si>
  <si>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</si>
  <si>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</si>
  <si>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</si>
  <si>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</si>
  <si>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</si>
  <si>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</si>
  <si>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</si>
  <si>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</si>
  <si>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NO OF MONTHS</t>
  </si>
  <si>
    <t>ARREARS</t>
  </si>
  <si>
    <t xml:space="preserve"> STORES OFFICER</t>
  </si>
  <si>
    <t>16(7)</t>
  </si>
  <si>
    <t>14 (7)</t>
  </si>
  <si>
    <t>5(11)</t>
  </si>
  <si>
    <t>5(12)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</si>
  <si>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</si>
  <si>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</si>
  <si>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</si>
  <si>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</si>
  <si>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</si>
  <si>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</si>
  <si>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14(11)</t>
  </si>
  <si>
    <t>ASST. MGR  M&amp;E</t>
  </si>
  <si>
    <t>ASSIST. INFO.OFFICER</t>
  </si>
  <si>
    <t>ASST. CHIEF ACCOUNTOFFICER</t>
  </si>
  <si>
    <t>1</t>
  </si>
  <si>
    <t>ADMIN OFFICER</t>
  </si>
  <si>
    <t>10(10)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</si>
  <si>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</si>
  <si>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</si>
  <si>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</si>
  <si>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</si>
  <si>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</si>
  <si>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</si>
  <si>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</si>
  <si>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</si>
  <si>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</si>
  <si>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</si>
  <si>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</si>
  <si>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</si>
  <si>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</si>
  <si>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</si>
  <si>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</si>
  <si>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</si>
  <si>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</si>
  <si>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</si>
  <si>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</si>
  <si>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</si>
  <si>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</si>
  <si>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</si>
  <si>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</si>
  <si>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</si>
  <si>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</si>
  <si>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</si>
  <si>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</si>
  <si>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</si>
  <si>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</si>
  <si>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</si>
  <si>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</si>
  <si>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</si>
  <si>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</si>
  <si>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</si>
  <si>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</si>
  <si>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</si>
  <si>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</si>
  <si>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</si>
  <si>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</si>
  <si>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</si>
  <si>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</si>
  <si>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</si>
  <si>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</si>
  <si>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</si>
  <si>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</si>
  <si>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</si>
  <si>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MARIAM MOHAMMED BELLO</t>
  </si>
  <si>
    <t>DONALD E. MKPANAM</t>
  </si>
  <si>
    <t>IJEOMA NKOLIKWA</t>
  </si>
  <si>
    <t>STORES OFFICER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</si>
  <si>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</si>
  <si>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</si>
  <si>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</si>
  <si>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</si>
  <si>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</si>
  <si>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</si>
  <si>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</si>
  <si>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</si>
  <si>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</si>
  <si>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</si>
  <si>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</si>
  <si>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</si>
  <si>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</si>
  <si>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</si>
  <si>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</si>
  <si>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</si>
  <si>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</si>
  <si>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</si>
  <si>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</si>
  <si>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</si>
  <si>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</si>
  <si>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</si>
  <si>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</si>
  <si>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</si>
  <si>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</si>
  <si>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</si>
  <si>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</si>
  <si>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</si>
  <si>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</si>
  <si>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</si>
  <si>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</si>
  <si>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</si>
  <si>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</si>
  <si>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</si>
  <si>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</si>
  <si>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</si>
  <si>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</si>
  <si>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</si>
  <si>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</si>
  <si>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</si>
  <si>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</si>
  <si>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</si>
  <si>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</si>
  <si>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</si>
  <si>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</si>
  <si>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</si>
  <si>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</si>
  <si>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</si>
  <si>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</si>
  <si>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</si>
  <si>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</si>
  <si>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</si>
  <si>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</si>
  <si>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</si>
  <si>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</si>
  <si>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</si>
  <si>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</si>
  <si>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</si>
  <si>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</si>
  <si>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</si>
  <si>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</si>
  <si>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</si>
  <si>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</si>
  <si>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 xml:space="preserve">Contract Staff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</si>
  <si>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</si>
  <si>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</si>
  <si>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</si>
  <si>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</si>
  <si>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</si>
  <si>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</si>
  <si>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</si>
  <si>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</si>
  <si>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</si>
  <si>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</si>
  <si>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</si>
  <si>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</si>
  <si>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</si>
  <si>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</si>
  <si>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</si>
  <si>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</si>
  <si>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</si>
  <si>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</si>
  <si>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</si>
  <si>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</si>
  <si>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t>SCHEDULE OF 1ST 28 DAY TO THE NEWLY CONVERTED STAFF</t>
  </si>
  <si>
    <t>NAME</t>
  </si>
  <si>
    <r>
      <t xml:space="preserve">AMOUNT </t>
    </r>
    <r>
      <rPr>
        <b/>
        <sz val="10"/>
        <rFont val="Times New Roman"/>
        <family val="1"/>
      </rPr>
      <t>(N20,000 X 28 DAYS)</t>
    </r>
  </si>
  <si>
    <t>NET AMOUNT</t>
  </si>
  <si>
    <t>ELIZABETHOGECHUKWU ONYEAKU</t>
  </si>
  <si>
    <t>ASST. ICT OFFICER</t>
  </si>
  <si>
    <t>STAFF WELFARE APRIL, 2023</t>
  </si>
  <si>
    <t>AMOUNT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</si>
  <si>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</si>
  <si>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</si>
  <si>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</si>
  <si>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</si>
  <si>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</si>
  <si>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</si>
  <si>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</si>
  <si>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</si>
  <si>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</si>
  <si>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</si>
  <si>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</si>
  <si>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</si>
  <si>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</si>
  <si>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</si>
  <si>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</si>
  <si>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</si>
  <si>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</si>
  <si>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</si>
  <si>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</si>
  <si>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</si>
  <si>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</si>
  <si>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OLD PAYE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</si>
  <si>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</si>
  <si>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</si>
  <si>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</si>
  <si>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</si>
  <si>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</si>
  <si>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</si>
  <si>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</si>
  <si>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</si>
  <si>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</si>
  <si>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</si>
  <si>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</si>
  <si>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</si>
  <si>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</si>
  <si>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</si>
  <si>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</si>
  <si>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13 (9)</t>
  </si>
  <si>
    <t>11</t>
  </si>
  <si>
    <t>OLOLADE ABRU IDOWU</t>
  </si>
  <si>
    <t>ALFRED ISABU</t>
  </si>
  <si>
    <t>NEW NHF DED.</t>
  </si>
  <si>
    <t>OLD NHF DED.</t>
  </si>
  <si>
    <t>DIFFERENCE</t>
  </si>
  <si>
    <t>NATIONAL ASSEMBLY ABUJA</t>
  </si>
  <si>
    <t>TAX COMPUTATION FOR 2023</t>
  </si>
  <si>
    <t>S/NO</t>
  </si>
  <si>
    <t>MONTHLY TOTAL SALARY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</si>
  <si>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</si>
  <si>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</si>
  <si>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</si>
  <si>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</si>
  <si>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</si>
  <si>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</si>
  <si>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</si>
  <si>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</si>
  <si>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</si>
  <si>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</si>
  <si>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</si>
  <si>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</si>
  <si>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</si>
  <si>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</si>
  <si>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</si>
  <si>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</si>
  <si>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</si>
  <si>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</si>
  <si>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</si>
  <si>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</si>
  <si>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</si>
  <si>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</si>
  <si>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</si>
  <si>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</si>
  <si>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</si>
  <si>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</si>
  <si>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</si>
  <si>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</si>
  <si>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</si>
  <si>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</si>
  <si>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</si>
  <si>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</si>
  <si>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</si>
  <si>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</si>
  <si>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</si>
  <si>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</si>
  <si>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</si>
  <si>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</si>
  <si>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</si>
  <si>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8(9)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</si>
  <si>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</si>
  <si>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</si>
  <si>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</si>
  <si>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</si>
  <si>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</si>
  <si>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</si>
  <si>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</si>
  <si>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</si>
  <si>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</si>
  <si>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</si>
  <si>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</si>
  <si>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</si>
  <si>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</si>
  <si>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</si>
  <si>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</si>
  <si>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</si>
  <si>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</si>
  <si>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</si>
  <si>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</si>
  <si>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</si>
  <si>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</si>
  <si>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</si>
  <si>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DANJUMA KAGADAMA</t>
  </si>
  <si>
    <t>5(13)</t>
  </si>
  <si>
    <t>5(9)</t>
  </si>
  <si>
    <t>5 (8)</t>
  </si>
  <si>
    <t>4(10)</t>
  </si>
  <si>
    <t>4(8)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</si>
  <si>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</si>
  <si>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</si>
  <si>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</si>
  <si>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</si>
  <si>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</si>
  <si>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</si>
  <si>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</si>
  <si>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</si>
  <si>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</si>
  <si>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</si>
  <si>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</si>
  <si>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</si>
  <si>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</si>
  <si>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</si>
  <si>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</si>
  <si>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</si>
  <si>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</si>
  <si>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</si>
  <si>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</si>
  <si>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</si>
  <si>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</si>
  <si>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</si>
  <si>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</si>
  <si>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</si>
  <si>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</si>
  <si>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</si>
  <si>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</si>
  <si>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</si>
  <si>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</si>
  <si>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Grade Level       01 - 13</t>
  </si>
  <si>
    <t>Grade Level         14 - 17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</si>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</sst>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6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44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15" fillId="0" borderId="0" xfId="0" applyFont="1"/>
    <xf numFmtId="43" fontId="0" fillId="0" borderId="0" xfId="1" applyFont="1"/>
    <xf numFmtId="164" fontId="0" fillId="0" borderId="0" xfId="0" applyNumberFormat="1"/>
    <xf numFmtId="49" fontId="2" fillId="0" borderId="0" xfId="0" applyNumberFormat="1" applyFont="1" applyAlignment="1">
      <alignment horizontal="left"/>
    </xf>
    <xf numFmtId="43" fontId="17" fillId="4" borderId="1" xfId="1" quotePrefix="1" applyFont="1" applyFill="1" applyBorder="1" applyAlignment="1">
      <alignment horizontal="right"/>
    </xf>
    <xf numFmtId="43" fontId="17" fillId="0" borderId="1" xfId="0" applyNumberFormat="1" applyFont="1" applyBorder="1"/>
    <xf numFmtId="43" fontId="17" fillId="0" borderId="1" xfId="1" quotePrefix="1" applyFont="1" applyFill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164" fontId="2" fillId="0" borderId="0" xfId="0" applyNumberFormat="1" applyFont="1"/>
    <xf numFmtId="0" fontId="19" fillId="0" borderId="0" xfId="0" applyFont="1"/>
    <xf numFmtId="0" fontId="18" fillId="0" borderId="0" xfId="0" applyFont="1"/>
    <xf numFmtId="43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/>
    <xf numFmtId="0" fontId="4" fillId="0" borderId="0" xfId="0" applyFont="1"/>
    <xf numFmtId="43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43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43" fontId="25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6" fillId="0" borderId="0" xfId="0" applyNumberFormat="1" applyFont="1"/>
    <xf numFmtId="0" fontId="27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3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3" fontId="28" fillId="0" borderId="0" xfId="1" applyFont="1"/>
    <xf numFmtId="49" fontId="9" fillId="0" borderId="1" xfId="0" applyNumberFormat="1" applyFont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7" fillId="0" borderId="1" xfId="1" applyFont="1" applyFill="1" applyBorder="1"/>
    <xf numFmtId="43" fontId="17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43" fontId="17" fillId="4" borderId="1" xfId="0" applyNumberFormat="1" applyFont="1" applyFill="1" applyBorder="1"/>
    <xf numFmtId="43" fontId="4" fillId="4" borderId="1" xfId="0" applyNumberFormat="1" applyFont="1" applyFill="1" applyBorder="1"/>
    <xf numFmtId="43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164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43" fontId="2" fillId="6" borderId="1" xfId="1" applyFont="1" applyFill="1" applyBorder="1" applyAlignment="1">
      <alignment horizontal="right"/>
    </xf>
    <xf numFmtId="43" fontId="2" fillId="6" borderId="1" xfId="1" quotePrefix="1" applyFont="1" applyFill="1" applyBorder="1" applyAlignment="1">
      <alignment horizontal="right"/>
    </xf>
    <xf numFmtId="43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43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43" fontId="3" fillId="6" borderId="1" xfId="1" applyFont="1" applyFill="1" applyBorder="1" applyAlignment="1">
      <alignment horizontal="right"/>
    </xf>
    <xf numFmtId="43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43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43" fontId="2" fillId="0" borderId="1" xfId="0" applyNumberFormat="1" applyFont="1" applyBorder="1" applyAlignment="1">
      <alignment horizontal="center"/>
    </xf>
    <xf numFmtId="43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Alignment="1">
      <alignment horizontal="right"/>
    </xf>
    <xf numFmtId="43" fontId="2" fillId="5" borderId="1" xfId="1" quotePrefix="1" applyFont="1" applyFill="1" applyBorder="1" applyAlignment="1">
      <alignment horizontal="right"/>
    </xf>
    <xf numFmtId="43" fontId="2" fillId="5" borderId="1" xfId="1" applyFont="1" applyFill="1" applyBorder="1" applyAlignment="1">
      <alignment horizontal="right"/>
    </xf>
    <xf numFmtId="43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43" fontId="2" fillId="8" borderId="1" xfId="1" applyFont="1" applyFill="1" applyBorder="1" applyAlignment="1">
      <alignment horizontal="right"/>
    </xf>
    <xf numFmtId="43" fontId="3" fillId="8" borderId="1" xfId="1" applyFont="1" applyFill="1" applyBorder="1" applyAlignment="1">
      <alignment horizontal="right"/>
    </xf>
    <xf numFmtId="43" fontId="4" fillId="8" borderId="1" xfId="1" quotePrefix="1" applyFont="1" applyFill="1" applyBorder="1" applyAlignment="1">
      <alignment horizontal="right"/>
    </xf>
    <xf numFmtId="43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43" fontId="4" fillId="8" borderId="1" xfId="0" applyNumberFormat="1" applyFont="1" applyFill="1" applyBorder="1"/>
    <xf numFmtId="43" fontId="4" fillId="8" borderId="1" xfId="1" applyFont="1" applyFill="1" applyBorder="1" applyAlignment="1">
      <alignment horizontal="right"/>
    </xf>
    <xf numFmtId="0" fontId="35" fillId="4" borderId="1" xfId="0" applyFont="1" applyFill="1" applyBorder="1"/>
    <xf numFmtId="4" fontId="37" fillId="9" borderId="1" xfId="0" applyNumberFormat="1" applyFont="1" applyFill="1" applyBorder="1" applyAlignment="1">
      <alignment horizontal="left"/>
    </xf>
    <xf numFmtId="3" fontId="36" fillId="9" borderId="1" xfId="0" applyNumberFormat="1" applyFont="1" applyFill="1" applyBorder="1" applyAlignment="1">
      <alignment horizontal="center"/>
    </xf>
    <xf numFmtId="4" fontId="36" fillId="9" borderId="1" xfId="0" applyNumberFormat="1" applyFont="1" applyFill="1" applyBorder="1" applyAlignment="1">
      <alignment horizontal="center"/>
    </xf>
    <xf numFmtId="3" fontId="37" fillId="9" borderId="1" xfId="1" applyNumberFormat="1" applyFont="1" applyFill="1" applyBorder="1" applyAlignment="1">
      <alignment horizontal="right"/>
    </xf>
    <xf numFmtId="0" fontId="38" fillId="4" borderId="0" xfId="0" applyFont="1" applyFill="1"/>
    <xf numFmtId="0" fontId="19" fillId="4" borderId="0" xfId="0" applyFont="1" applyFill="1"/>
    <xf numFmtId="0" fontId="31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 wrapText="1"/>
    </xf>
    <xf numFmtId="0" fontId="36" fillId="6" borderId="1" xfId="0" applyFont="1" applyFill="1" applyBorder="1" applyAlignment="1">
      <alignment horizontal="center" wrapText="1"/>
    </xf>
    <xf numFmtId="3" fontId="35" fillId="6" borderId="1" xfId="1" applyNumberFormat="1" applyFont="1" applyFill="1" applyBorder="1" applyAlignment="1">
      <alignment horizontal="right"/>
    </xf>
    <xf numFmtId="3" fontId="31" fillId="4" borderId="1" xfId="1" applyNumberFormat="1" applyFont="1" applyFill="1" applyBorder="1" applyAlignment="1">
      <alignment horizontal="right"/>
    </xf>
    <xf numFmtId="3" fontId="31" fillId="6" borderId="1" xfId="1" applyNumberFormat="1" applyFont="1" applyFill="1" applyBorder="1" applyAlignment="1">
      <alignment horizontal="right"/>
    </xf>
    <xf numFmtId="3" fontId="39" fillId="4" borderId="1" xfId="1" quotePrefix="1" applyNumberFormat="1" applyFont="1" applyFill="1" applyBorder="1" applyAlignment="1">
      <alignment horizontal="right"/>
    </xf>
    <xf numFmtId="3" fontId="36" fillId="6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5" fillId="6" borderId="1" xfId="0" applyNumberFormat="1" applyFont="1" applyFill="1" applyBorder="1"/>
    <xf numFmtId="3" fontId="39" fillId="4" borderId="1" xfId="0" applyNumberFormat="1" applyFont="1" applyFill="1" applyBorder="1"/>
    <xf numFmtId="3" fontId="36" fillId="6" borderId="1" xfId="0" applyNumberFormat="1" applyFont="1" applyFill="1" applyBorder="1"/>
    <xf numFmtId="3" fontId="39" fillId="6" borderId="1" xfId="1" applyNumberFormat="1" applyFont="1" applyFill="1" applyBorder="1" applyAlignment="1">
      <alignment horizontal="right"/>
    </xf>
    <xf numFmtId="3" fontId="36" fillId="6" borderId="1" xfId="1" applyNumberFormat="1" applyFont="1" applyFill="1" applyBorder="1" applyAlignment="1">
      <alignment horizontal="right"/>
    </xf>
    <xf numFmtId="3" fontId="36" fillId="4" borderId="1" xfId="1" applyNumberFormat="1" applyFont="1" applyFill="1" applyBorder="1" applyAlignment="1">
      <alignment horizontal="right"/>
    </xf>
    <xf numFmtId="43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43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1" fillId="4" borderId="0" xfId="0" applyFont="1" applyFill="1" applyAlignment="1">
      <alignment horizontal="left"/>
    </xf>
    <xf numFmtId="3" fontId="10" fillId="0" borderId="0" xfId="0" applyNumberFormat="1" applyFont="1"/>
    <xf numFmtId="0" fontId="41" fillId="4" borderId="0" xfId="0" applyFont="1" applyFill="1"/>
    <xf numFmtId="0" fontId="40" fillId="0" borderId="0" xfId="0" applyFont="1" applyAlignment="1">
      <alignment horizontal="left"/>
    </xf>
    <xf numFmtId="0" fontId="40" fillId="0" borderId="0" xfId="0" applyFont="1" applyAlignment="1">
      <alignment horizontal="left" wrapText="1"/>
    </xf>
    <xf numFmtId="0" fontId="40" fillId="0" borderId="0" xfId="0" applyFont="1"/>
    <xf numFmtId="3" fontId="40" fillId="0" borderId="0" xfId="0" applyNumberFormat="1" applyFont="1"/>
    <xf numFmtId="0" fontId="40" fillId="0" borderId="0" xfId="0" applyFont="1" applyAlignment="1">
      <alignment horizontal="right" wrapText="1"/>
    </xf>
    <xf numFmtId="3" fontId="44" fillId="0" borderId="0" xfId="0" applyNumberFormat="1" applyFont="1"/>
    <xf numFmtId="3" fontId="45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4" fillId="0" borderId="1" xfId="0" applyNumberFormat="1" applyFont="1" applyBorder="1"/>
    <xf numFmtId="0" fontId="40" fillId="0" borderId="1" xfId="0" applyFont="1" applyBorder="1"/>
    <xf numFmtId="3" fontId="41" fillId="0" borderId="1" xfId="0" applyNumberFormat="1" applyFont="1" applyBorder="1"/>
    <xf numFmtId="3" fontId="34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43" fontId="2" fillId="4" borderId="1" xfId="1" quotePrefix="1" applyFont="1" applyFill="1" applyBorder="1" applyAlignment="1">
      <alignment horizontal="right" wrapText="1"/>
    </xf>
    <xf numFmtId="43" fontId="3" fillId="4" borderId="1" xfId="1" applyFont="1" applyFill="1" applyBorder="1" applyAlignment="1">
      <alignment horizontal="right" wrapText="1"/>
    </xf>
    <xf numFmtId="43" fontId="2" fillId="4" borderId="1" xfId="1" applyFont="1" applyFill="1" applyBorder="1" applyAlignment="1">
      <alignment horizontal="right" wrapText="1"/>
    </xf>
    <xf numFmtId="43" fontId="17" fillId="4" borderId="1" xfId="1" quotePrefix="1" applyFont="1" applyFill="1" applyBorder="1" applyAlignment="1">
      <alignment horizontal="right" wrapText="1"/>
    </xf>
    <xf numFmtId="43" fontId="4" fillId="4" borderId="1" xfId="1" quotePrefix="1" applyFont="1" applyFill="1" applyBorder="1" applyAlignment="1">
      <alignment horizontal="right" wrapText="1"/>
    </xf>
    <xf numFmtId="43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43" fontId="2" fillId="9" borderId="1" xfId="1" applyFont="1" applyFill="1" applyBorder="1"/>
    <xf numFmtId="43" fontId="2" fillId="9" borderId="1" xfId="1" quotePrefix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43" fontId="17" fillId="6" borderId="1" xfId="1" quotePrefix="1" applyFont="1" applyFill="1" applyBorder="1" applyAlignment="1">
      <alignment horizontal="right"/>
    </xf>
    <xf numFmtId="43" fontId="17" fillId="6" borderId="1" xfId="1" quotePrefix="1" applyFont="1" applyFill="1" applyBorder="1" applyAlignment="1">
      <alignment horizontal="right" wrapText="1"/>
    </xf>
    <xf numFmtId="43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3" fillId="0" borderId="0" xfId="0" applyNumberFormat="1" applyFont="1"/>
    <xf numFmtId="4" fontId="43" fillId="4" borderId="0" xfId="0" applyNumberFormat="1" applyFont="1" applyFill="1"/>
    <xf numFmtId="0" fontId="40" fillId="11" borderId="0" xfId="0" applyFont="1" applyFill="1"/>
    <xf numFmtId="0" fontId="40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right" wrapText="1"/>
    </xf>
    <xf numFmtId="43" fontId="2" fillId="3" borderId="0" xfId="0" applyNumberFormat="1" applyFont="1" applyFill="1"/>
    <xf numFmtId="0" fontId="2" fillId="3" borderId="0" xfId="0" applyFont="1" applyFill="1"/>
    <xf numFmtId="43" fontId="17" fillId="8" borderId="1" xfId="1" quotePrefix="1" applyFont="1" applyFill="1" applyBorder="1" applyAlignment="1">
      <alignment horizontal="right"/>
    </xf>
    <xf numFmtId="43" fontId="17" fillId="8" borderId="1" xfId="0" applyNumberFormat="1" applyFont="1" applyFill="1" applyBorder="1"/>
    <xf numFmtId="43" fontId="17" fillId="6" borderId="1" xfId="0" applyNumberFormat="1" applyFont="1" applyFill="1" applyBorder="1"/>
    <xf numFmtId="43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164" fontId="2" fillId="6" borderId="0" xfId="0" applyNumberFormat="1" applyFont="1" applyFill="1"/>
    <xf numFmtId="164" fontId="2" fillId="6" borderId="1" xfId="0" applyNumberFormat="1" applyFont="1" applyFill="1" applyBorder="1"/>
    <xf numFmtId="43" fontId="2" fillId="9" borderId="0" xfId="1" applyFont="1" applyFill="1" applyBorder="1" applyAlignment="1">
      <alignment horizontal="right"/>
    </xf>
    <xf numFmtId="43" fontId="2" fillId="8" borderId="0" xfId="1" applyFont="1" applyFill="1" applyBorder="1" applyAlignment="1">
      <alignment horizontal="right"/>
    </xf>
    <xf numFmtId="43" fontId="2" fillId="6" borderId="0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center"/>
    </xf>
    <xf numFmtId="164" fontId="2" fillId="9" borderId="0" xfId="0" applyNumberFormat="1" applyFont="1" applyFill="1"/>
    <xf numFmtId="43" fontId="2" fillId="9" borderId="1" xfId="0" applyNumberFormat="1" applyFont="1" applyFill="1" applyBorder="1"/>
    <xf numFmtId="4" fontId="2" fillId="9" borderId="1" xfId="0" applyNumberFormat="1" applyFont="1" applyFill="1" applyBorder="1"/>
    <xf numFmtId="164" fontId="2" fillId="9" borderId="1" xfId="0" applyNumberFormat="1" applyFont="1" applyFill="1" applyBorder="1"/>
    <xf numFmtId="164" fontId="4" fillId="9" borderId="0" xfId="0" applyNumberFormat="1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7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2" fillId="4" borderId="0" xfId="0" applyFont="1" applyFill="1" applyAlignment="1">
      <alignment horizontal="center"/>
    </xf>
    <xf numFmtId="0" fontId="43" fillId="0" borderId="0" xfId="0" applyFont="1" applyAlignment="1">
      <alignment horizontal="center"/>
    </xf>
    <xf numFmtId="0" fontId="43" fillId="0" borderId="1" xfId="0" applyFont="1" applyBorder="1" applyAlignment="1">
      <alignment horizontal="left"/>
    </xf>
    <xf numFmtId="0" fontId="3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9" fillId="4" borderId="0" xfId="0" applyFont="1" applyFill="1" applyAlignment="1"/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  <xf numFmtId="0" fontId="3" fillId="4" borderId="0" xfId="0" applyFont="1" applyFill="1" applyAlignment="1"/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7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2/December%202022%20Payroll/December,%20%202022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19%20to%202021/BASIC%20SALARY%20SCHEDUL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Tax%20Schedule%20October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Tax%20Schedule%202022%20new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7">
          <cell r="X7">
            <v>21640.882666666668</v>
          </cell>
        </row>
        <row r="11">
          <cell r="X11">
            <v>54812.468586666662</v>
          </cell>
        </row>
        <row r="15">
          <cell r="X15">
            <v>75440.404746666667</v>
          </cell>
        </row>
        <row r="16">
          <cell r="X16">
            <v>54931.226666666662</v>
          </cell>
        </row>
        <row r="20">
          <cell r="X20">
            <v>54931.226666666662</v>
          </cell>
        </row>
        <row r="24">
          <cell r="X24">
            <v>75572.938666666669</v>
          </cell>
        </row>
        <row r="25">
          <cell r="X25">
            <v>53384.122666666663</v>
          </cell>
        </row>
        <row r="29">
          <cell r="X29">
            <v>94644.621866666668</v>
          </cell>
        </row>
        <row r="31">
          <cell r="X31">
            <v>25571.732666666667</v>
          </cell>
        </row>
        <row r="35">
          <cell r="X35">
            <v>42034.243346666663</v>
          </cell>
        </row>
        <row r="39">
          <cell r="X39">
            <v>31653.201066666661</v>
          </cell>
        </row>
        <row r="40">
          <cell r="X40">
            <v>31749.120666666666</v>
          </cell>
        </row>
        <row r="41">
          <cell r="X41">
            <v>21640.882666666668</v>
          </cell>
        </row>
        <row r="42">
          <cell r="X42">
            <v>8312.5899999999983</v>
          </cell>
        </row>
        <row r="45">
          <cell r="X45">
            <v>3951.8553333333325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22"/>
      <sheetName val="Summary Nov"/>
      <sheetName val="December 2022 (2)"/>
      <sheetName val="December 2022 (3)"/>
      <sheetName val="Sheet1"/>
      <sheetName val="MEMO 1"/>
      <sheetName val="Half Salary Allowance "/>
      <sheetName val="Promotion Effect"/>
      <sheetName val="movemt to Contract schedule"/>
      <sheetName val="Adjustment of Hardship Allowanc"/>
      <sheetName val="Christmass Welfare (1)"/>
      <sheetName val="Christmass Welfare (2)"/>
      <sheetName val="Sheet5"/>
      <sheetName val="Promotion Arrear"/>
      <sheetName val="Arrears in Nov"/>
      <sheetName val="Tax Effect on Promotion"/>
      <sheetName val="Tax adj August, 2022"/>
      <sheetName val="Retirement"/>
      <sheetName val="New staff"/>
      <sheetName val="Annual Increement"/>
      <sheetName val="Enhanced Welfare 2023"/>
      <sheetName val="Enhanced Welfare 2023 (2)"/>
      <sheetName val="Enhanced Welfare 2023 (3)"/>
      <sheetName val="Sheet4"/>
      <sheetName val="Enhanced Welfare 2022"/>
      <sheetName val="13 month"/>
      <sheetName val="Salah Welfare"/>
      <sheetName val="Sheet3"/>
      <sheetName val="Promotion"/>
      <sheetName val="Library"/>
      <sheetName val="New staff (3)"/>
      <sheetName val="Welfare 2"/>
      <sheetName val="ADjustment"/>
      <sheetName val="Hardship 2"/>
      <sheetName val="ADDITIONAL STAFF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Cooperative Deduction"/>
    </sheetNames>
    <sheetDataSet>
      <sheetData sheetId="0">
        <row r="126">
          <cell r="E126">
            <v>25854.1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7">
          <cell r="D17">
            <v>24975.81</v>
          </cell>
        </row>
        <row r="40">
          <cell r="D40">
            <v>4915.9399999999996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82">
          <cell r="D182">
            <v>175000</v>
          </cell>
        </row>
        <row r="184">
          <cell r="D184">
            <v>43750</v>
          </cell>
        </row>
      </sheetData>
      <sheetData sheetId="77"/>
      <sheetData sheetId="7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 t="e">
            <v>#REF!</v>
          </cell>
        </row>
        <row r="29">
          <cell r="Z29" t="e">
            <v>#REF!</v>
          </cell>
        </row>
        <row r="30">
          <cell r="Z30" t="e">
            <v>#REF!</v>
          </cell>
        </row>
        <row r="50">
          <cell r="Z50" t="e">
            <v>#REF!</v>
          </cell>
        </row>
        <row r="62">
          <cell r="Z62" t="e">
            <v>#REF!</v>
          </cell>
        </row>
        <row r="78">
          <cell r="Z78" t="e">
            <v>#REF!</v>
          </cell>
        </row>
        <row r="85">
          <cell r="Z85">
            <v>75440.404746666667</v>
          </cell>
        </row>
        <row r="86">
          <cell r="Z86" t="e">
            <v>#REF!</v>
          </cell>
        </row>
        <row r="89">
          <cell r="Z89" t="e">
            <v>#REF!</v>
          </cell>
        </row>
        <row r="97">
          <cell r="Z97" t="e">
            <v>#REF!</v>
          </cell>
        </row>
        <row r="118">
          <cell r="Z118" t="e">
            <v>#REF!</v>
          </cell>
        </row>
        <row r="129">
          <cell r="Z129" t="e">
            <v>#REF!</v>
          </cell>
        </row>
        <row r="134">
          <cell r="Z134" t="e">
            <v>#REF!</v>
          </cell>
        </row>
        <row r="145">
          <cell r="Z145" t="e">
            <v>#REF!</v>
          </cell>
        </row>
        <row r="164">
          <cell r="Z164">
            <v>8312.5899999999983</v>
          </cell>
        </row>
        <row r="177">
          <cell r="Z177" t="e">
            <v>#REF!</v>
          </cell>
        </row>
      </sheetData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8"/>
  <sheetViews>
    <sheetView tabSelected="1" zoomScaleNormal="100" zoomScaleSheetLayoutView="50" workbookViewId="0">
      <pane xSplit="3" ySplit="7" topLeftCell="E52" activePane="bottomRight" state="frozen"/>
      <selection pane="bottomRight" activeCell="A63" sqref="A63:XFD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5.7109375" style="164" customWidth="1"/>
    <col min="4" max="4" width="11.5703125" style="164" customWidth="1"/>
    <col min="5" max="5" width="17.85546875" style="164" customWidth="1"/>
    <col min="6" max="6" width="18" style="164" customWidth="1"/>
    <col min="7" max="7" width="19.42578125" style="164" customWidth="1"/>
    <col min="8" max="8" width="16" style="164" customWidth="1"/>
    <col min="9" max="9" width="18.140625" style="164" customWidth="1"/>
    <col min="10" max="10" width="18" style="164" customWidth="1"/>
    <col min="11" max="11" width="20" style="164" customWidth="1"/>
    <col min="12" max="12" width="18.140625" style="164" customWidth="1"/>
    <col min="13" max="13" width="18.28515625" style="164" customWidth="1"/>
    <col min="14" max="14" width="18.140625" style="164" customWidth="1"/>
    <col min="15" max="15" width="15.7109375" style="164" customWidth="1"/>
    <col min="16" max="16" width="18.28515625" style="164" customWidth="1"/>
    <col min="17" max="17" width="17.85546875" style="164" customWidth="1"/>
    <col min="18" max="18" width="19.28515625" style="164" customWidth="1"/>
    <col min="19" max="19" width="9.140625" style="164" customWidth="1"/>
    <col min="20" max="20" width="18.42578125" style="164" customWidth="1"/>
    <col min="21" max="21" width="17.7109375" style="164" customWidth="1"/>
    <col min="22" max="22" width="14.42578125" style="164" customWidth="1"/>
    <col min="23" max="23" width="18.140625" style="164" customWidth="1"/>
    <col min="24" max="25" width="19.28515625" style="164" customWidth="1"/>
    <col min="26" max="26" width="29.42578125" style="164" customWidth="1"/>
    <col min="27" max="27" width="21.7109375" style="164" customWidth="1"/>
    <col min="28" max="16384" width="9.140625" style="164"/>
  </cols>
  <sheetData>
    <row r="1" spans="1:27" ht="27" customHeight="1">
      <c r="A1" s="439" t="s">
        <v>0</v>
      </c>
      <c r="B1" s="439"/>
      <c r="C1" s="439"/>
      <c r="D1" s="439"/>
      <c r="E1" s="439"/>
      <c r="F1" s="439"/>
      <c r="G1" s="439"/>
      <c r="H1" s="163">
        <f>'[1]FEB 08'!F8/'[1]FEB 08'!Q8</f>
        <v>0.3</v>
      </c>
      <c r="I1" s="163"/>
      <c r="J1" s="163"/>
      <c r="K1" s="163"/>
      <c r="L1" s="163"/>
      <c r="M1" s="163"/>
      <c r="N1" s="163"/>
      <c r="O1" s="163"/>
      <c r="P1" s="163"/>
      <c r="Q1" s="163"/>
    </row>
    <row r="2" spans="1:27" ht="33.75" customHeight="1">
      <c r="A2" s="165" t="s">
        <v>1</v>
      </c>
      <c r="B2" s="166"/>
      <c r="C2" s="165"/>
      <c r="D2" s="165"/>
      <c r="E2" s="167"/>
      <c r="F2" s="167"/>
      <c r="G2" s="167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9"/>
      <c r="S2" s="169"/>
      <c r="T2" s="169"/>
      <c r="U2" s="169"/>
      <c r="V2" s="169"/>
      <c r="W2" s="169"/>
      <c r="X2" s="169"/>
      <c r="Y2" s="169"/>
      <c r="Z2" s="169"/>
    </row>
    <row r="3" spans="1:27" ht="9.75" customHeight="1">
      <c r="E3" s="163" t="e">
        <f>'[1]FEB 08'!E11/'[1]FEB 08'!M11</f>
        <v>#REF!</v>
      </c>
      <c r="F3" s="163"/>
      <c r="G3" s="163"/>
      <c r="H3" s="163" t="e">
        <f>'[1]FEB 08'!F11/'[1]FEB 08'!Q11</f>
        <v>#REF!</v>
      </c>
      <c r="I3" s="163"/>
      <c r="J3" s="163"/>
      <c r="K3" s="163"/>
      <c r="L3" s="163"/>
      <c r="M3" s="163"/>
      <c r="N3" s="163"/>
      <c r="O3" s="163"/>
      <c r="P3" s="163"/>
      <c r="Q3" s="163"/>
    </row>
    <row r="4" spans="1:27" ht="49.5" customHeight="1">
      <c r="A4" s="20"/>
      <c r="B4" s="170" t="s">
        <v>2</v>
      </c>
      <c r="C4" s="171" t="s">
        <v>3</v>
      </c>
      <c r="D4" s="172" t="s">
        <v>4</v>
      </c>
      <c r="E4" s="173" t="s">
        <v>5</v>
      </c>
      <c r="F4" s="173" t="s">
        <v>6</v>
      </c>
      <c r="G4" s="174" t="s">
        <v>7</v>
      </c>
      <c r="H4" s="174" t="s">
        <v>8</v>
      </c>
      <c r="I4" s="173" t="s">
        <v>9</v>
      </c>
      <c r="J4" s="174" t="s">
        <v>10</v>
      </c>
      <c r="K4" s="174" t="s">
        <v>11</v>
      </c>
      <c r="L4" s="174" t="s">
        <v>12</v>
      </c>
      <c r="M4" s="173" t="s">
        <v>13</v>
      </c>
      <c r="N4" s="173" t="s">
        <v>13</v>
      </c>
      <c r="O4" s="174" t="s">
        <v>14</v>
      </c>
      <c r="P4" s="174" t="s">
        <v>14</v>
      </c>
      <c r="Q4" s="173" t="s">
        <v>15</v>
      </c>
      <c r="R4" s="203" t="s">
        <v>16</v>
      </c>
      <c r="S4" s="173" t="s">
        <v>17</v>
      </c>
      <c r="T4" s="173" t="s">
        <v>18</v>
      </c>
      <c r="U4" s="173" t="s">
        <v>19</v>
      </c>
      <c r="V4" s="173" t="s">
        <v>20</v>
      </c>
      <c r="W4" s="174" t="s">
        <v>21</v>
      </c>
      <c r="X4" s="256" t="s">
        <v>22</v>
      </c>
      <c r="Y4" s="175" t="s">
        <v>23</v>
      </c>
      <c r="Z4" s="221" t="s">
        <v>24</v>
      </c>
    </row>
    <row r="5" spans="1:27" ht="17.25" customHeight="1">
      <c r="C5" s="177"/>
      <c r="D5" s="177"/>
      <c r="E5" s="178" t="s">
        <v>25</v>
      </c>
      <c r="F5" s="29"/>
      <c r="G5" s="178" t="s">
        <v>25</v>
      </c>
      <c r="H5" s="178" t="s">
        <v>25</v>
      </c>
      <c r="I5" s="178" t="s">
        <v>25</v>
      </c>
      <c r="J5" s="178" t="s">
        <v>25</v>
      </c>
      <c r="K5" s="178" t="s">
        <v>25</v>
      </c>
      <c r="L5" s="178" t="s">
        <v>25</v>
      </c>
      <c r="M5" s="178" t="s">
        <v>25</v>
      </c>
      <c r="N5" s="178" t="s">
        <v>25</v>
      </c>
      <c r="O5" s="178" t="s">
        <v>25</v>
      </c>
      <c r="P5" s="178" t="s">
        <v>25</v>
      </c>
      <c r="Q5" s="178" t="s">
        <v>25</v>
      </c>
      <c r="R5" s="210" t="s">
        <v>25</v>
      </c>
      <c r="S5" s="178" t="s">
        <v>25</v>
      </c>
      <c r="T5" s="178" t="s">
        <v>25</v>
      </c>
      <c r="U5" s="178" t="s">
        <v>25</v>
      </c>
      <c r="V5" s="178" t="s">
        <v>25</v>
      </c>
      <c r="W5" s="178" t="s">
        <v>25</v>
      </c>
      <c r="X5" s="257" t="s">
        <v>25</v>
      </c>
      <c r="Y5" s="178" t="s">
        <v>25</v>
      </c>
      <c r="Z5" s="216" t="s">
        <v>25</v>
      </c>
    </row>
    <row r="6" spans="1:27" ht="20.100000000000001" customHeight="1">
      <c r="A6" s="176" t="s">
        <v>26</v>
      </c>
      <c r="B6" s="177" t="s">
        <v>27</v>
      </c>
      <c r="C6" s="177"/>
      <c r="D6" s="177"/>
      <c r="E6" s="178"/>
      <c r="F6" s="29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210"/>
      <c r="S6" s="178"/>
      <c r="T6" s="178"/>
      <c r="U6" s="178"/>
      <c r="V6" s="178"/>
      <c r="W6" s="178"/>
      <c r="X6" s="257"/>
      <c r="Y6" s="178"/>
      <c r="Z6" s="216"/>
    </row>
    <row r="7" spans="1:27" ht="20.100000000000001" customHeight="1">
      <c r="A7" s="28">
        <v>1</v>
      </c>
      <c r="B7" s="156" t="s">
        <v>28</v>
      </c>
      <c r="C7" s="161" t="s">
        <v>29</v>
      </c>
      <c r="D7" s="161" t="s">
        <v>30</v>
      </c>
      <c r="E7" s="23">
        <v>160488.75</v>
      </c>
      <c r="F7" s="23"/>
      <c r="G7" s="23">
        <v>320977.5</v>
      </c>
      <c r="H7" s="23">
        <v>48146.63</v>
      </c>
      <c r="I7" s="23">
        <v>120366.57</v>
      </c>
      <c r="J7" s="23">
        <v>72219.94</v>
      </c>
      <c r="K7" s="23">
        <v>0</v>
      </c>
      <c r="L7" s="23">
        <v>120366.57</v>
      </c>
      <c r="M7" s="179">
        <f>250000</f>
        <v>250000</v>
      </c>
      <c r="N7" s="179"/>
      <c r="O7" s="23">
        <v>16048.88</v>
      </c>
      <c r="P7" s="23">
        <v>25000</v>
      </c>
      <c r="Q7" s="23">
        <v>25235</v>
      </c>
      <c r="R7" s="204">
        <f>Q7+P7+O7+N7+M7+L7+K7+J7+I7+H7+G7+F7+E7</f>
        <v>1158849.8399999999</v>
      </c>
      <c r="S7" s="23"/>
      <c r="T7" s="23"/>
      <c r="U7" s="23"/>
      <c r="V7" s="23"/>
      <c r="W7" s="23">
        <v>201165.83594666663</v>
      </c>
      <c r="X7" s="258">
        <f t="shared" ref="X7:X28" si="0">W7+V7+U7+T7+S7</f>
        <v>201165.83594666663</v>
      </c>
      <c r="Y7" s="23">
        <v>957684.00405333319</v>
      </c>
      <c r="Z7" s="207">
        <f t="shared" ref="Z7:Z28" si="1">R7-X7</f>
        <v>957684.00405333319</v>
      </c>
      <c r="AA7" s="180"/>
    </row>
    <row r="8" spans="1:27" ht="20.100000000000001" customHeight="1">
      <c r="A8" s="28">
        <v>2</v>
      </c>
      <c r="B8" s="156" t="s">
        <v>31</v>
      </c>
      <c r="C8" s="161" t="s">
        <v>32</v>
      </c>
      <c r="D8" s="28" t="s">
        <v>33</v>
      </c>
      <c r="E8" s="23">
        <f>42653.17</f>
        <v>42653.17</v>
      </c>
      <c r="F8" s="25"/>
      <c r="G8" s="25">
        <f>E8*300%</f>
        <v>127959.51</v>
      </c>
      <c r="H8" s="25">
        <f>E8*7.5%</f>
        <v>3198.9877499999998</v>
      </c>
      <c r="I8" s="25">
        <v>40122.19</v>
      </c>
      <c r="J8" s="25">
        <f>E8*50%</f>
        <v>21326.584999999999</v>
      </c>
      <c r="K8" s="25">
        <f>E8*350%</f>
        <v>149286.095</v>
      </c>
      <c r="L8" s="25">
        <f>E8*100%</f>
        <v>42653.17</v>
      </c>
      <c r="M8" s="179"/>
      <c r="N8" s="179">
        <f>90000</f>
        <v>90000</v>
      </c>
      <c r="O8" s="25">
        <f>E8*10%</f>
        <v>4265.317</v>
      </c>
      <c r="P8" s="25">
        <v>20000</v>
      </c>
      <c r="Q8" s="23">
        <v>0</v>
      </c>
      <c r="R8" s="204">
        <f t="shared" ref="R8:R21" si="2">Q8+P8+O8+N8+M8+L8+K8+J8+I8+H8+G8+F8+E8</f>
        <v>541465.02474999998</v>
      </c>
      <c r="S8" s="23"/>
      <c r="T8" s="23">
        <f>100000</f>
        <v>100000</v>
      </c>
      <c r="U8" s="23"/>
      <c r="V8" s="23"/>
      <c r="W8" s="23">
        <v>82627.951418666678</v>
      </c>
      <c r="X8" s="258">
        <f t="shared" si="0"/>
        <v>182627.95141866669</v>
      </c>
      <c r="Y8" s="23">
        <v>358837.07333133329</v>
      </c>
      <c r="Z8" s="207">
        <f t="shared" si="1"/>
        <v>358837.07333133329</v>
      </c>
      <c r="AA8" s="180"/>
    </row>
    <row r="9" spans="1:27" ht="20.100000000000001" customHeight="1">
      <c r="A9" s="28">
        <v>3</v>
      </c>
      <c r="B9" s="158" t="s">
        <v>34</v>
      </c>
      <c r="C9" s="20" t="s">
        <v>35</v>
      </c>
      <c r="D9" s="181" t="s">
        <v>36</v>
      </c>
      <c r="E9" s="25">
        <v>41157.69</v>
      </c>
      <c r="F9" s="25"/>
      <c r="G9" s="25">
        <f t="shared" ref="G9" si="3">E9*300%</f>
        <v>123473.07</v>
      </c>
      <c r="H9" s="25">
        <f t="shared" ref="H9" si="4">E9*7.5%</f>
        <v>3086.8267500000002</v>
      </c>
      <c r="I9" s="25">
        <v>40122.19</v>
      </c>
      <c r="J9" s="25">
        <f>E9*50%</f>
        <v>20578.845000000001</v>
      </c>
      <c r="K9" s="23">
        <f t="shared" ref="K9" si="5">E9*350%</f>
        <v>144051.91500000001</v>
      </c>
      <c r="L9" s="25">
        <f t="shared" ref="L9" si="6">E9*100%</f>
        <v>41157.69</v>
      </c>
      <c r="M9" s="179"/>
      <c r="N9" s="179">
        <f>90000</f>
        <v>90000</v>
      </c>
      <c r="O9" s="25">
        <f t="shared" ref="O9" si="7">E9*10%</f>
        <v>4115.7690000000002</v>
      </c>
      <c r="P9" s="25">
        <v>20000</v>
      </c>
      <c r="Q9" s="25">
        <f>100000+100000</f>
        <v>200000</v>
      </c>
      <c r="R9" s="204">
        <f t="shared" si="2"/>
        <v>727743.99575</v>
      </c>
      <c r="S9" s="23"/>
      <c r="T9" s="23"/>
      <c r="U9" s="23"/>
      <c r="V9" s="23"/>
      <c r="W9" s="25">
        <v>118393.51</v>
      </c>
      <c r="X9" s="258">
        <f t="shared" si="0"/>
        <v>118393.51</v>
      </c>
      <c r="Y9" s="23">
        <v>609350.48574999999</v>
      </c>
      <c r="Z9" s="207">
        <f t="shared" si="1"/>
        <v>609350.48574999999</v>
      </c>
      <c r="AA9" s="180"/>
    </row>
    <row r="10" spans="1:27" ht="20.100000000000001" customHeight="1">
      <c r="A10" s="28">
        <v>4</v>
      </c>
      <c r="B10" s="156" t="s">
        <v>37</v>
      </c>
      <c r="C10" s="112" t="s">
        <v>38</v>
      </c>
      <c r="D10" s="24" t="s">
        <v>36</v>
      </c>
      <c r="E10" s="25">
        <f t="shared" ref="E10:E11" si="8">41157.69</f>
        <v>41157.69</v>
      </c>
      <c r="F10" s="25"/>
      <c r="G10" s="25">
        <f>E10*300%</f>
        <v>123473.07</v>
      </c>
      <c r="H10" s="25">
        <f>E10*7.5%</f>
        <v>3086.8267500000002</v>
      </c>
      <c r="I10" s="25">
        <v>40122.19</v>
      </c>
      <c r="J10" s="25">
        <f>E10*50%</f>
        <v>20578.845000000001</v>
      </c>
      <c r="K10" s="25">
        <f>E10*350%</f>
        <v>144051.91500000001</v>
      </c>
      <c r="L10" s="25">
        <f>E10*100%</f>
        <v>41157.69</v>
      </c>
      <c r="M10" s="179">
        <v>180000</v>
      </c>
      <c r="N10" s="179"/>
      <c r="O10" s="25">
        <f>E10*10%</f>
        <v>4115.7690000000002</v>
      </c>
      <c r="P10" s="25">
        <v>20000</v>
      </c>
      <c r="Q10" s="25">
        <v>0</v>
      </c>
      <c r="R10" s="204">
        <f t="shared" si="2"/>
        <v>617743.99575</v>
      </c>
      <c r="S10" s="23"/>
      <c r="T10" s="25">
        <f>50000</f>
        <v>50000</v>
      </c>
      <c r="U10" s="25">
        <v>0</v>
      </c>
      <c r="V10" s="25">
        <v>1028.9422500000001</v>
      </c>
      <c r="W10" s="25">
        <v>97112.68</v>
      </c>
      <c r="X10" s="258">
        <f t="shared" si="0"/>
        <v>148141.62224999999</v>
      </c>
      <c r="Y10" s="23">
        <v>309185.7035</v>
      </c>
      <c r="Z10" s="207">
        <f t="shared" si="1"/>
        <v>469602.37349999999</v>
      </c>
      <c r="AA10" s="180"/>
    </row>
    <row r="11" spans="1:27" ht="20.100000000000001" customHeight="1">
      <c r="A11" s="28">
        <v>5</v>
      </c>
      <c r="B11" s="158" t="s">
        <v>39</v>
      </c>
      <c r="C11" s="20" t="s">
        <v>40</v>
      </c>
      <c r="D11" s="24" t="s">
        <v>36</v>
      </c>
      <c r="E11" s="25">
        <f t="shared" si="8"/>
        <v>41157.69</v>
      </c>
      <c r="F11" s="25"/>
      <c r="G11" s="25">
        <f t="shared" ref="G11:G15" si="9">E11*300%</f>
        <v>123473.07</v>
      </c>
      <c r="H11" s="25">
        <f t="shared" ref="H11:H15" si="10">E11*7.5%</f>
        <v>3086.8267500000002</v>
      </c>
      <c r="I11" s="25">
        <v>40122.19</v>
      </c>
      <c r="J11" s="25">
        <f t="shared" ref="J11:J12" si="11">E11*50%</f>
        <v>20578.845000000001</v>
      </c>
      <c r="K11" s="25">
        <f t="shared" ref="K11:K15" si="12">E11*350%</f>
        <v>144051.91500000001</v>
      </c>
      <c r="L11" s="25">
        <f t="shared" ref="L11:L15" si="13">E11*100%</f>
        <v>41157.69</v>
      </c>
      <c r="M11" s="179"/>
      <c r="N11" s="179">
        <f>80000+10000</f>
        <v>90000</v>
      </c>
      <c r="O11" s="25">
        <f t="shared" ref="O11:O15" si="14">E11*10%</f>
        <v>4115.7690000000002</v>
      </c>
      <c r="P11" s="25">
        <v>20000</v>
      </c>
      <c r="Q11" s="23">
        <v>150000</v>
      </c>
      <c r="R11" s="204">
        <f t="shared" si="2"/>
        <v>677743.99575</v>
      </c>
      <c r="S11" s="23"/>
      <c r="T11" s="23">
        <f>20000+60000</f>
        <v>80000</v>
      </c>
      <c r="U11" s="23">
        <f>'[2]OCTOBER 2023 '!$D$193</f>
        <v>230499.8</v>
      </c>
      <c r="V11" s="23">
        <v>1028.9422500000001</v>
      </c>
      <c r="W11" s="23">
        <f>108632.68</f>
        <v>108632.68</v>
      </c>
      <c r="X11" s="258">
        <f t="shared" si="0"/>
        <v>420161.42224999995</v>
      </c>
      <c r="Y11" s="23">
        <v>257582.57350000006</v>
      </c>
      <c r="Z11" s="207">
        <f t="shared" si="1"/>
        <v>257582.57350000006</v>
      </c>
      <c r="AA11" s="180"/>
    </row>
    <row r="12" spans="1:27" ht="20.100000000000001" customHeight="1">
      <c r="A12" s="28">
        <v>6</v>
      </c>
      <c r="B12" s="157" t="s">
        <v>41</v>
      </c>
      <c r="C12" s="28" t="s">
        <v>42</v>
      </c>
      <c r="D12" s="181" t="s">
        <v>36</v>
      </c>
      <c r="E12" s="25">
        <v>41157.69</v>
      </c>
      <c r="F12" s="25"/>
      <c r="G12" s="25">
        <f t="shared" si="9"/>
        <v>123473.07</v>
      </c>
      <c r="H12" s="25">
        <f t="shared" si="10"/>
        <v>3086.8267500000002</v>
      </c>
      <c r="I12" s="25">
        <v>40122.19</v>
      </c>
      <c r="J12" s="25">
        <f t="shared" si="11"/>
        <v>20578.845000000001</v>
      </c>
      <c r="K12" s="25">
        <f t="shared" si="12"/>
        <v>144051.91500000001</v>
      </c>
      <c r="L12" s="25">
        <f t="shared" si="13"/>
        <v>41157.69</v>
      </c>
      <c r="M12" s="179"/>
      <c r="N12" s="179">
        <f>90000</f>
        <v>90000</v>
      </c>
      <c r="O12" s="25">
        <f t="shared" si="14"/>
        <v>4115.7690000000002</v>
      </c>
      <c r="P12" s="25">
        <v>20000</v>
      </c>
      <c r="Q12" s="25">
        <v>100000</v>
      </c>
      <c r="R12" s="204">
        <f>SUM(E12:Q12)</f>
        <v>627743.99575</v>
      </c>
      <c r="S12" s="23"/>
      <c r="T12" s="23">
        <f>50000</f>
        <v>50000</v>
      </c>
      <c r="U12" s="23">
        <f>91666.67</f>
        <v>91666.67</v>
      </c>
      <c r="V12" s="23"/>
      <c r="W12" s="25">
        <f>99193.51</f>
        <v>99193.51</v>
      </c>
      <c r="X12" s="258">
        <f>W12+V12+U12+T12+S12</f>
        <v>240860.18</v>
      </c>
      <c r="Y12" s="23">
        <v>306083.81189933338</v>
      </c>
      <c r="Z12" s="207">
        <f>R12-X12</f>
        <v>386883.81575000001</v>
      </c>
      <c r="AA12" s="180"/>
    </row>
    <row r="13" spans="1:27" ht="20.100000000000001" customHeight="1">
      <c r="A13" s="28">
        <v>7</v>
      </c>
      <c r="B13" s="156" t="s">
        <v>43</v>
      </c>
      <c r="C13" s="161" t="s">
        <v>44</v>
      </c>
      <c r="D13" s="181" t="s">
        <v>45</v>
      </c>
      <c r="E13" s="25">
        <v>33507.5</v>
      </c>
      <c r="F13" s="25"/>
      <c r="G13" s="25">
        <f>E13*300%</f>
        <v>100522.5</v>
      </c>
      <c r="H13" s="25">
        <f>E13*7.5%</f>
        <v>2513.0625</v>
      </c>
      <c r="I13" s="25">
        <f>40122.19</f>
        <v>40122.19</v>
      </c>
      <c r="J13" s="25">
        <f>E13*50%</f>
        <v>16753.75</v>
      </c>
      <c r="K13" s="23">
        <f>E13*350%</f>
        <v>117276.25</v>
      </c>
      <c r="L13" s="25">
        <f>E13*100%</f>
        <v>33507.5</v>
      </c>
      <c r="M13" s="179"/>
      <c r="N13" s="179">
        <f t="shared" ref="N13:N122" si="15">80000</f>
        <v>80000</v>
      </c>
      <c r="O13" s="25">
        <f>E13*10%</f>
        <v>3350.75</v>
      </c>
      <c r="P13" s="25">
        <v>20000</v>
      </c>
      <c r="Q13" s="25">
        <v>50000</v>
      </c>
      <c r="R13" s="204">
        <f t="shared" si="2"/>
        <v>497553.5025</v>
      </c>
      <c r="S13" s="23"/>
      <c r="T13" s="23">
        <f>50000-40000</f>
        <v>10000</v>
      </c>
      <c r="U13" s="23">
        <f>90000+110000</f>
        <v>200000</v>
      </c>
      <c r="V13" s="23">
        <v>837.6875</v>
      </c>
      <c r="W13" s="25">
        <f>74036.1</f>
        <v>74036.100000000006</v>
      </c>
      <c r="X13" s="258">
        <f t="shared" si="0"/>
        <v>284873.78749999998</v>
      </c>
      <c r="Y13" s="23">
        <v>212679.71500000003</v>
      </c>
      <c r="Z13" s="207">
        <f t="shared" si="1"/>
        <v>212679.71500000003</v>
      </c>
      <c r="AA13" s="180"/>
    </row>
    <row r="14" spans="1:27" ht="20.100000000000001" customHeight="1">
      <c r="A14" s="28">
        <v>8</v>
      </c>
      <c r="B14" s="156" t="s">
        <v>46</v>
      </c>
      <c r="C14" s="20" t="s">
        <v>47</v>
      </c>
      <c r="D14" s="28" t="s">
        <v>48</v>
      </c>
      <c r="E14" s="25">
        <v>31019.84</v>
      </c>
      <c r="F14" s="25"/>
      <c r="G14" s="25">
        <f>E14*300%</f>
        <v>93059.520000000004</v>
      </c>
      <c r="H14" s="25">
        <f>E14*7.5%</f>
        <v>2326.4879999999998</v>
      </c>
      <c r="I14" s="25">
        <f>40122.19</f>
        <v>40122.19</v>
      </c>
      <c r="J14" s="25">
        <f>E14*50%</f>
        <v>15509.92</v>
      </c>
      <c r="K14" s="25">
        <f>E14*350%</f>
        <v>108569.44</v>
      </c>
      <c r="L14" s="25">
        <f>E14*100%</f>
        <v>31019.84</v>
      </c>
      <c r="M14" s="179">
        <v>160000</v>
      </c>
      <c r="N14" s="179"/>
      <c r="O14" s="25">
        <f>E14*10%</f>
        <v>3101.9840000000004</v>
      </c>
      <c r="P14" s="25">
        <v>20000</v>
      </c>
      <c r="Q14" s="25">
        <f>100000</f>
        <v>100000</v>
      </c>
      <c r="R14" s="23">
        <f>SUM(E14:Q14)</f>
        <v>604729.22200000007</v>
      </c>
      <c r="S14" s="23"/>
      <c r="T14" s="23"/>
      <c r="U14" s="23"/>
      <c r="V14" s="23">
        <f>PROMOTIONS!V29</f>
        <v>837.69</v>
      </c>
      <c r="W14" s="23">
        <f>[3]PROMOTIONS!$X$29</f>
        <v>94644.621866666668</v>
      </c>
      <c r="X14" s="258">
        <f>W14+V14+U14+T14+S14</f>
        <v>95482.311866666671</v>
      </c>
      <c r="Y14" s="23">
        <v>730769.3087833334</v>
      </c>
      <c r="Z14" s="207">
        <f>R14-X14</f>
        <v>509246.91013333341</v>
      </c>
      <c r="AA14" s="180"/>
    </row>
    <row r="15" spans="1:27" ht="20.100000000000001" customHeight="1">
      <c r="A15" s="28">
        <v>9</v>
      </c>
      <c r="B15" s="156" t="s">
        <v>49</v>
      </c>
      <c r="C15" s="20" t="s">
        <v>50</v>
      </c>
      <c r="D15" s="181" t="s">
        <v>51</v>
      </c>
      <c r="E15" s="25">
        <v>27611.23</v>
      </c>
      <c r="F15" s="25"/>
      <c r="G15" s="25">
        <f t="shared" si="9"/>
        <v>82833.69</v>
      </c>
      <c r="H15" s="25">
        <f t="shared" si="10"/>
        <v>2070.8422499999997</v>
      </c>
      <c r="I15" s="23">
        <v>0</v>
      </c>
      <c r="J15" s="25">
        <f t="shared" ref="J15:J17" si="16">E15*50%</f>
        <v>13805.615</v>
      </c>
      <c r="K15" s="23">
        <f t="shared" si="12"/>
        <v>96639.304999999993</v>
      </c>
      <c r="L15" s="25">
        <f t="shared" si="13"/>
        <v>27611.23</v>
      </c>
      <c r="M15" s="179"/>
      <c r="N15" s="179">
        <f t="shared" ref="N15" si="17">70000</f>
        <v>70000</v>
      </c>
      <c r="O15" s="25">
        <f t="shared" si="14"/>
        <v>2761.123</v>
      </c>
      <c r="P15" s="25">
        <v>20000</v>
      </c>
      <c r="Q15" s="25">
        <f>0</f>
        <v>0</v>
      </c>
      <c r="R15" s="204">
        <f t="shared" si="2"/>
        <v>343333.03524999996</v>
      </c>
      <c r="S15" s="23"/>
      <c r="T15" s="23"/>
      <c r="U15" s="23"/>
      <c r="V15" s="23"/>
      <c r="W15" s="25">
        <v>44846.62</v>
      </c>
      <c r="X15" s="258">
        <f t="shared" si="0"/>
        <v>44846.62</v>
      </c>
      <c r="Y15" s="23">
        <v>298486.41524999996</v>
      </c>
      <c r="Z15" s="207">
        <f t="shared" si="1"/>
        <v>298486.41524999996</v>
      </c>
      <c r="AA15" s="180"/>
    </row>
    <row r="16" spans="1:27" ht="20.100000000000001" customHeight="1">
      <c r="A16" s="28">
        <v>10</v>
      </c>
      <c r="B16" s="156" t="s">
        <v>52</v>
      </c>
      <c r="C16" s="20" t="s">
        <v>53</v>
      </c>
      <c r="D16" s="28" t="s">
        <v>54</v>
      </c>
      <c r="E16" s="25">
        <v>26339.3</v>
      </c>
      <c r="F16" s="25">
        <f>'NEW ENROLMENT IN NOVEMBER (2)'!X7</f>
        <v>284617.01749999996</v>
      </c>
      <c r="G16" s="25">
        <f>E16*300%</f>
        <v>79017.899999999994</v>
      </c>
      <c r="H16" s="25">
        <f>E16*7.5%</f>
        <v>1975.4474999999998</v>
      </c>
      <c r="I16" s="25">
        <v>0</v>
      </c>
      <c r="J16" s="25">
        <f>E16*50%</f>
        <v>13169.65</v>
      </c>
      <c r="K16" s="25">
        <f>E16*350%</f>
        <v>92187.55</v>
      </c>
      <c r="L16" s="25">
        <f>E16*100%</f>
        <v>26339.3</v>
      </c>
      <c r="M16" s="179"/>
      <c r="N16" s="179">
        <v>70000</v>
      </c>
      <c r="O16" s="25">
        <f>E16*10%</f>
        <v>2633.9300000000003</v>
      </c>
      <c r="P16" s="25">
        <v>15000</v>
      </c>
      <c r="Q16" s="25"/>
      <c r="R16" s="204">
        <f>SUM(E16:Q16)</f>
        <v>611280.09499999997</v>
      </c>
      <c r="S16" s="20"/>
      <c r="T16" s="20"/>
      <c r="U16" s="23"/>
      <c r="V16" s="23"/>
      <c r="W16" s="23">
        <f>42046.06</f>
        <v>42046.06</v>
      </c>
      <c r="X16" s="258">
        <f>42046.06</f>
        <v>42046.06</v>
      </c>
      <c r="Y16" s="288">
        <v>0</v>
      </c>
      <c r="Z16" s="365">
        <f>R16-X16</f>
        <v>569234.03499999992</v>
      </c>
    </row>
    <row r="17" spans="1:27" ht="20.100000000000001" customHeight="1">
      <c r="A17" s="28">
        <v>11</v>
      </c>
      <c r="B17" s="156" t="s">
        <v>55</v>
      </c>
      <c r="C17" s="161" t="s">
        <v>56</v>
      </c>
      <c r="D17" s="181" t="s">
        <v>57</v>
      </c>
      <c r="E17" s="25">
        <v>24741.26</v>
      </c>
      <c r="F17" s="25"/>
      <c r="G17" s="25">
        <f t="shared" ref="G17:G20" si="18">E17*300%</f>
        <v>74223.78</v>
      </c>
      <c r="H17" s="25">
        <f t="shared" ref="H17:H20" si="19">E17*7.5%</f>
        <v>1855.5944999999997</v>
      </c>
      <c r="I17" s="25">
        <v>0</v>
      </c>
      <c r="J17" s="25">
        <f t="shared" si="16"/>
        <v>12370.63</v>
      </c>
      <c r="K17" s="23">
        <f t="shared" ref="K17:K20" si="20">E17*350%</f>
        <v>86594.409999999989</v>
      </c>
      <c r="L17" s="25">
        <f t="shared" ref="L17:L20" si="21">E17*100%</f>
        <v>24741.26</v>
      </c>
      <c r="M17" s="179">
        <f>120000</f>
        <v>120000</v>
      </c>
      <c r="N17" s="179"/>
      <c r="O17" s="25">
        <f t="shared" ref="O17:O20" si="22">E17*10%</f>
        <v>2474.1260000000002</v>
      </c>
      <c r="P17" s="25">
        <v>15000</v>
      </c>
      <c r="Q17" s="25">
        <v>0</v>
      </c>
      <c r="R17" s="204">
        <f t="shared" si="2"/>
        <v>362001.06050000002</v>
      </c>
      <c r="S17" s="23"/>
      <c r="T17" s="23">
        <f>50000</f>
        <v>50000</v>
      </c>
      <c r="U17" s="23">
        <v>0</v>
      </c>
      <c r="V17" s="23"/>
      <c r="W17" s="25">
        <v>46666.666666666664</v>
      </c>
      <c r="X17" s="258">
        <f t="shared" si="0"/>
        <v>96666.666666666657</v>
      </c>
      <c r="Y17" s="23">
        <v>265334.39383333339</v>
      </c>
      <c r="Z17" s="207">
        <f t="shared" si="1"/>
        <v>265334.39383333339</v>
      </c>
      <c r="AA17" s="180"/>
    </row>
    <row r="18" spans="1:27" ht="20.100000000000001" customHeight="1">
      <c r="A18" s="28">
        <v>12</v>
      </c>
      <c r="B18" s="157" t="s">
        <v>58</v>
      </c>
      <c r="C18" s="20" t="s">
        <v>59</v>
      </c>
      <c r="D18" s="181" t="s">
        <v>60</v>
      </c>
      <c r="E18" s="25">
        <f>23891.12</f>
        <v>23891.119999999999</v>
      </c>
      <c r="F18" s="25"/>
      <c r="G18" s="25">
        <f t="shared" si="18"/>
        <v>71673.36</v>
      </c>
      <c r="H18" s="25">
        <f t="shared" si="19"/>
        <v>1791.8339999999998</v>
      </c>
      <c r="I18" s="25"/>
      <c r="J18" s="25">
        <f>E18*50%</f>
        <v>11945.56</v>
      </c>
      <c r="K18" s="25">
        <f t="shared" si="20"/>
        <v>83618.92</v>
      </c>
      <c r="L18" s="25">
        <f t="shared" si="21"/>
        <v>23891.119999999999</v>
      </c>
      <c r="M18" s="179">
        <f>120000</f>
        <v>120000</v>
      </c>
      <c r="N18" s="179"/>
      <c r="O18" s="25">
        <f t="shared" si="22"/>
        <v>2389.1120000000001</v>
      </c>
      <c r="P18" s="25">
        <v>15000</v>
      </c>
      <c r="Q18" s="25">
        <f>100000</f>
        <v>100000</v>
      </c>
      <c r="R18" s="204">
        <f t="shared" si="2"/>
        <v>454201.02599999995</v>
      </c>
      <c r="S18" s="23"/>
      <c r="T18" s="25">
        <f>30000-20000</f>
        <v>10000</v>
      </c>
      <c r="U18" s="25">
        <f>95833.33</f>
        <v>95833.33</v>
      </c>
      <c r="V18" s="25">
        <v>597.27800000000002</v>
      </c>
      <c r="W18" s="25">
        <f>65873.26</f>
        <v>65873.259999999995</v>
      </c>
      <c r="X18" s="258">
        <f t="shared" si="0"/>
        <v>172303.86800000002</v>
      </c>
      <c r="Y18" s="23">
        <v>281897.15799999994</v>
      </c>
      <c r="Z18" s="207">
        <f t="shared" si="1"/>
        <v>281897.15799999994</v>
      </c>
      <c r="AA18" s="180"/>
    </row>
    <row r="19" spans="1:27" ht="18.75" customHeight="1">
      <c r="A19" s="28">
        <v>13</v>
      </c>
      <c r="B19" s="156" t="s">
        <v>61</v>
      </c>
      <c r="C19" s="161" t="s">
        <v>62</v>
      </c>
      <c r="D19" s="181" t="s">
        <v>63</v>
      </c>
      <c r="E19" s="25">
        <v>21520.880000000001</v>
      </c>
      <c r="F19" s="25"/>
      <c r="G19" s="25">
        <f t="shared" si="18"/>
        <v>64562.64</v>
      </c>
      <c r="H19" s="25">
        <f t="shared" si="19"/>
        <v>1614.066</v>
      </c>
      <c r="I19" s="23"/>
      <c r="J19" s="25">
        <f>E19*50%</f>
        <v>10760.44</v>
      </c>
      <c r="K19" s="23">
        <f t="shared" si="20"/>
        <v>75323.08</v>
      </c>
      <c r="L19" s="25">
        <f t="shared" si="21"/>
        <v>21520.880000000001</v>
      </c>
      <c r="M19" s="179"/>
      <c r="N19" s="179">
        <f>60000</f>
        <v>60000</v>
      </c>
      <c r="O19" s="25">
        <f t="shared" si="22"/>
        <v>2152.0880000000002</v>
      </c>
      <c r="P19" s="25">
        <v>15000</v>
      </c>
      <c r="Q19" s="25"/>
      <c r="R19" s="204">
        <f t="shared" si="2"/>
        <v>272454.07400000002</v>
      </c>
      <c r="S19" s="23"/>
      <c r="T19" s="23">
        <f>20000</f>
        <v>20000</v>
      </c>
      <c r="U19" s="23">
        <f>111833.33</f>
        <v>111833.33</v>
      </c>
      <c r="V19" s="23"/>
      <c r="W19" s="25">
        <v>32008.563458666671</v>
      </c>
      <c r="X19" s="258">
        <f t="shared" si="0"/>
        <v>163841.89345866669</v>
      </c>
      <c r="Y19" s="23">
        <v>108612.18054133333</v>
      </c>
      <c r="Z19" s="207">
        <f t="shared" si="1"/>
        <v>108612.18054133333</v>
      </c>
      <c r="AA19" s="180"/>
    </row>
    <row r="20" spans="1:27" ht="20.100000000000001" customHeight="1">
      <c r="A20" s="28">
        <v>14</v>
      </c>
      <c r="B20" s="158" t="s">
        <v>64</v>
      </c>
      <c r="C20" s="112" t="s">
        <v>65</v>
      </c>
      <c r="D20" s="28" t="s">
        <v>66</v>
      </c>
      <c r="E20" s="25">
        <f>20749</f>
        <v>20749</v>
      </c>
      <c r="F20" s="25"/>
      <c r="G20" s="25">
        <f t="shared" si="18"/>
        <v>62247</v>
      </c>
      <c r="H20" s="25">
        <f t="shared" si="19"/>
        <v>1556.175</v>
      </c>
      <c r="I20" s="25"/>
      <c r="J20" s="25">
        <f t="shared" ref="J20" si="23">E20*50%</f>
        <v>10374.5</v>
      </c>
      <c r="K20" s="25">
        <f t="shared" si="20"/>
        <v>72621.5</v>
      </c>
      <c r="L20" s="25">
        <f t="shared" si="21"/>
        <v>20749</v>
      </c>
      <c r="M20" s="179">
        <f t="shared" ref="M20" si="24">100000</f>
        <v>100000</v>
      </c>
      <c r="N20" s="179"/>
      <c r="O20" s="25">
        <f t="shared" si="22"/>
        <v>2074.9</v>
      </c>
      <c r="P20" s="25">
        <v>10000</v>
      </c>
      <c r="Q20" s="25">
        <v>100000</v>
      </c>
      <c r="R20" s="204">
        <f t="shared" ref="R20" si="25">SUM(E20:Q20)</f>
        <v>400372.07500000001</v>
      </c>
      <c r="S20" s="23"/>
      <c r="T20" s="23"/>
      <c r="U20" s="23"/>
      <c r="V20" s="23"/>
      <c r="W20" s="25">
        <f>55538.11</f>
        <v>55538.11</v>
      </c>
      <c r="X20" s="261">
        <f t="shared" si="0"/>
        <v>55538.11</v>
      </c>
      <c r="Y20" s="23">
        <v>201544.32853333335</v>
      </c>
      <c r="Z20" s="207">
        <f t="shared" si="1"/>
        <v>344833.96500000003</v>
      </c>
      <c r="AA20" s="180"/>
    </row>
    <row r="21" spans="1:27" ht="18.75" customHeight="1">
      <c r="A21" s="28">
        <v>15</v>
      </c>
      <c r="B21" s="20" t="s">
        <v>67</v>
      </c>
      <c r="C21" s="20" t="s">
        <v>68</v>
      </c>
      <c r="D21" s="28" t="s">
        <v>69</v>
      </c>
      <c r="E21" s="25">
        <v>14736.14</v>
      </c>
      <c r="F21" s="25"/>
      <c r="G21" s="25">
        <v>44208.42</v>
      </c>
      <c r="H21" s="25">
        <v>1105.2104999999999</v>
      </c>
      <c r="I21" s="25"/>
      <c r="J21" s="25">
        <v>7368.07</v>
      </c>
      <c r="K21" s="25">
        <v>51576.49</v>
      </c>
      <c r="L21" s="25">
        <v>14736.14</v>
      </c>
      <c r="M21" s="179"/>
      <c r="N21" s="179">
        <v>60000</v>
      </c>
      <c r="O21" s="25">
        <v>1473.614</v>
      </c>
      <c r="P21" s="25">
        <v>10000</v>
      </c>
      <c r="Q21" s="25"/>
      <c r="R21" s="204">
        <f t="shared" si="2"/>
        <v>205204.0845</v>
      </c>
      <c r="S21" s="23"/>
      <c r="T21" s="23">
        <v>10000</v>
      </c>
      <c r="U21" s="23">
        <f>20000</f>
        <v>20000</v>
      </c>
      <c r="V21" s="23"/>
      <c r="W21" s="25">
        <v>21640.952862666669</v>
      </c>
      <c r="X21" s="258">
        <f t="shared" si="0"/>
        <v>51640.952862666672</v>
      </c>
      <c r="Y21" s="23">
        <v>153563.13163733331</v>
      </c>
      <c r="Z21" s="207">
        <f t="shared" si="1"/>
        <v>153563.13163733331</v>
      </c>
      <c r="AA21" s="180"/>
    </row>
    <row r="22" spans="1:27" ht="18.75" customHeight="1">
      <c r="A22" s="28">
        <v>16</v>
      </c>
      <c r="B22" s="157" t="s">
        <v>70</v>
      </c>
      <c r="C22" s="161" t="s">
        <v>68</v>
      </c>
      <c r="D22" s="181" t="s">
        <v>69</v>
      </c>
      <c r="E22" s="25">
        <f t="shared" ref="E22" si="26">15188.67</f>
        <v>15188.67</v>
      </c>
      <c r="F22" s="25"/>
      <c r="G22" s="25">
        <f>E22*300%</f>
        <v>45566.01</v>
      </c>
      <c r="H22" s="25">
        <f>E22*7.5%</f>
        <v>1139.1502499999999</v>
      </c>
      <c r="I22" s="25"/>
      <c r="J22" s="25">
        <f>E22*50%</f>
        <v>7594.335</v>
      </c>
      <c r="K22" s="23">
        <f>E22*350%</f>
        <v>53160.345000000001</v>
      </c>
      <c r="L22" s="25">
        <f>E22*100%</f>
        <v>15188.67</v>
      </c>
      <c r="M22" s="179"/>
      <c r="N22" s="179">
        <f>50000+10000</f>
        <v>60000</v>
      </c>
      <c r="O22" s="25">
        <f>E22*10%</f>
        <v>1518.8670000000002</v>
      </c>
      <c r="P22" s="25">
        <v>10000</v>
      </c>
      <c r="Q22" s="25"/>
      <c r="R22" s="204">
        <f>Q22+P22+O22+N22+M22+L22+K22+J22+I22+H22+G22+F22+E22</f>
        <v>209356.04725</v>
      </c>
      <c r="S22" s="23"/>
      <c r="T22" s="23"/>
      <c r="U22" s="23"/>
      <c r="V22" s="23"/>
      <c r="W22" s="25">
        <v>22338.48260466666</v>
      </c>
      <c r="X22" s="258">
        <f t="shared" si="0"/>
        <v>22338.48260466666</v>
      </c>
      <c r="Y22" s="23">
        <v>187017.56464533333</v>
      </c>
      <c r="Z22" s="207">
        <f t="shared" si="1"/>
        <v>187017.56464533333</v>
      </c>
      <c r="AA22" s="180"/>
    </row>
    <row r="23" spans="1:27" ht="18.75" customHeight="1">
      <c r="A23" s="28">
        <v>17</v>
      </c>
      <c r="B23" s="157" t="s">
        <v>71</v>
      </c>
      <c r="C23" s="161" t="s">
        <v>72</v>
      </c>
      <c r="D23" s="181" t="s">
        <v>73</v>
      </c>
      <c r="E23" s="179">
        <v>14736.14</v>
      </c>
      <c r="F23" s="25"/>
      <c r="G23" s="25">
        <f t="shared" ref="G23" si="27">E23*300%</f>
        <v>44208.42</v>
      </c>
      <c r="H23" s="25">
        <f t="shared" ref="H23" si="28">E23*7.5%</f>
        <v>1105.2104999999999</v>
      </c>
      <c r="I23" s="25"/>
      <c r="J23" s="25">
        <f t="shared" ref="J23" si="29">E23*50%</f>
        <v>7368.07</v>
      </c>
      <c r="K23" s="23">
        <f t="shared" ref="K23" si="30">E23*350%</f>
        <v>51576.49</v>
      </c>
      <c r="L23" s="25">
        <f t="shared" ref="L23:L26" si="31">E23*100%</f>
        <v>14736.14</v>
      </c>
      <c r="M23" s="179"/>
      <c r="N23" s="179">
        <f>60000</f>
        <v>60000</v>
      </c>
      <c r="O23" s="25">
        <f t="shared" ref="O23:O26" si="32">E23*10%</f>
        <v>1473.614</v>
      </c>
      <c r="P23" s="25">
        <v>10000</v>
      </c>
      <c r="Q23" s="20"/>
      <c r="R23" s="25">
        <f t="shared" ref="R23" si="33">SUM(E23:Q23)</f>
        <v>205204.0845</v>
      </c>
      <c r="S23" s="25"/>
      <c r="T23" s="23">
        <f>20000</f>
        <v>20000</v>
      </c>
      <c r="U23" s="23">
        <f>17500</f>
        <v>17500</v>
      </c>
      <c r="V23" s="23"/>
      <c r="W23" s="25">
        <f>[3]PROMOTIONS!$X$7</f>
        <v>21640.882666666668</v>
      </c>
      <c r="X23" s="258">
        <f t="shared" si="0"/>
        <v>59140.882666666672</v>
      </c>
      <c r="Y23" s="23">
        <v>228517.27852756987</v>
      </c>
      <c r="Z23" s="207">
        <f t="shared" si="1"/>
        <v>146063.20183333333</v>
      </c>
      <c r="AA23" s="180"/>
    </row>
    <row r="24" spans="1:27" ht="18.75" customHeight="1">
      <c r="A24" s="28">
        <v>18</v>
      </c>
      <c r="B24" s="157" t="s">
        <v>74</v>
      </c>
      <c r="C24" s="20" t="s">
        <v>75</v>
      </c>
      <c r="D24" s="28" t="s">
        <v>76</v>
      </c>
      <c r="E24" s="25">
        <v>13492.21</v>
      </c>
      <c r="F24" s="25"/>
      <c r="G24" s="25">
        <f t="shared" ref="G24:G26" si="34">E24*300%</f>
        <v>40476.629999999997</v>
      </c>
      <c r="H24" s="25">
        <f t="shared" ref="H24:H26" si="35">E24*7.5%</f>
        <v>1011.9157499999999</v>
      </c>
      <c r="I24" s="25"/>
      <c r="J24" s="25">
        <f>E24*50%</f>
        <v>6746.1049999999996</v>
      </c>
      <c r="K24" s="25">
        <f t="shared" ref="K24:K26" si="36">E24*350%</f>
        <v>47222.735000000001</v>
      </c>
      <c r="L24" s="25">
        <f>E24*100%</f>
        <v>13492.21</v>
      </c>
      <c r="M24" s="179"/>
      <c r="N24" s="179">
        <f>50000</f>
        <v>50000</v>
      </c>
      <c r="O24" s="25">
        <f>E24*10%</f>
        <v>1349.221</v>
      </c>
      <c r="P24" s="25">
        <v>10000</v>
      </c>
      <c r="Q24" s="25"/>
      <c r="R24" s="204">
        <f>SUM(E24:Q24)</f>
        <v>183791.02674999999</v>
      </c>
      <c r="S24" s="23"/>
      <c r="T24" s="23">
        <f>30000+20000</f>
        <v>50000</v>
      </c>
      <c r="U24" s="23">
        <v>0</v>
      </c>
      <c r="V24" s="23"/>
      <c r="W24" s="25">
        <v>18102.902732666666</v>
      </c>
      <c r="X24" s="258">
        <f t="shared" si="0"/>
        <v>68102.902732666669</v>
      </c>
      <c r="Y24" s="23">
        <v>115688.12401733332</v>
      </c>
      <c r="Z24" s="207">
        <f t="shared" si="1"/>
        <v>115688.12401733332</v>
      </c>
      <c r="AA24" s="180"/>
    </row>
    <row r="25" spans="1:27" ht="18.75" customHeight="1">
      <c r="A25" s="28">
        <v>19</v>
      </c>
      <c r="B25" s="157" t="s">
        <v>77</v>
      </c>
      <c r="C25" s="112" t="s">
        <v>78</v>
      </c>
      <c r="D25" s="181" t="s">
        <v>69</v>
      </c>
      <c r="E25" s="25">
        <v>15188.67</v>
      </c>
      <c r="F25" s="25"/>
      <c r="G25" s="25">
        <f t="shared" si="34"/>
        <v>45566.01</v>
      </c>
      <c r="H25" s="25">
        <f t="shared" si="35"/>
        <v>1139.1502499999999</v>
      </c>
      <c r="I25" s="25"/>
      <c r="J25" s="25">
        <f>E25*50%</f>
        <v>7594.335</v>
      </c>
      <c r="K25" s="25">
        <f t="shared" si="36"/>
        <v>53160.345000000001</v>
      </c>
      <c r="L25" s="25">
        <f t="shared" si="31"/>
        <v>15188.67</v>
      </c>
      <c r="M25" s="179"/>
      <c r="N25" s="179">
        <f>60000</f>
        <v>60000</v>
      </c>
      <c r="O25" s="25">
        <f t="shared" si="32"/>
        <v>1518.8670000000002</v>
      </c>
      <c r="P25" s="25">
        <v>10000</v>
      </c>
      <c r="Q25" s="25"/>
      <c r="R25" s="204">
        <f t="shared" ref="R25" si="37">Q25+P25+O25+N25+M25+L25+K25+J25+I25+H25+G25+F25+E25</f>
        <v>209356.04725</v>
      </c>
      <c r="S25" s="23"/>
      <c r="T25" s="23">
        <f>50000</f>
        <v>50000</v>
      </c>
      <c r="U25" s="23">
        <v>50000</v>
      </c>
      <c r="V25" s="23">
        <v>0</v>
      </c>
      <c r="W25" s="179">
        <v>22338.48260466666</v>
      </c>
      <c r="X25" s="258">
        <f t="shared" si="0"/>
        <v>122338.48260466666</v>
      </c>
      <c r="Y25" s="23">
        <v>87017.564645333347</v>
      </c>
      <c r="Z25" s="207">
        <f t="shared" si="1"/>
        <v>87017.564645333347</v>
      </c>
      <c r="AA25" s="180"/>
    </row>
    <row r="26" spans="1:27" ht="18.75" customHeight="1">
      <c r="A26" s="28">
        <v>20</v>
      </c>
      <c r="B26" s="157" t="s">
        <v>79</v>
      </c>
      <c r="C26" s="20" t="s">
        <v>80</v>
      </c>
      <c r="D26" s="28" t="s">
        <v>81</v>
      </c>
      <c r="E26" s="25">
        <f>12732</f>
        <v>12732</v>
      </c>
      <c r="F26" s="25"/>
      <c r="G26" s="25">
        <f t="shared" si="34"/>
        <v>38196</v>
      </c>
      <c r="H26" s="25">
        <f t="shared" si="35"/>
        <v>954.9</v>
      </c>
      <c r="I26" s="25"/>
      <c r="J26" s="25">
        <f>E26*50%</f>
        <v>6366</v>
      </c>
      <c r="K26" s="25">
        <f t="shared" si="36"/>
        <v>44562</v>
      </c>
      <c r="L26" s="25">
        <f t="shared" si="31"/>
        <v>12732</v>
      </c>
      <c r="M26" s="179"/>
      <c r="N26" s="179">
        <f>50000</f>
        <v>50000</v>
      </c>
      <c r="O26" s="25">
        <f t="shared" si="32"/>
        <v>1273.2</v>
      </c>
      <c r="P26" s="25">
        <v>10000</v>
      </c>
      <c r="Q26" s="25"/>
      <c r="R26" s="204">
        <f>SUM(E26:Q26)</f>
        <v>176816.1</v>
      </c>
      <c r="S26" s="23"/>
      <c r="T26" s="23">
        <f>0</f>
        <v>0</v>
      </c>
      <c r="U26" s="23">
        <f>26666.67</f>
        <v>26666.67</v>
      </c>
      <c r="V26" s="23"/>
      <c r="W26" s="25">
        <v>17042.713866666669</v>
      </c>
      <c r="X26" s="258">
        <f t="shared" si="0"/>
        <v>43709.383866666671</v>
      </c>
      <c r="Y26" s="23">
        <v>133106.71613333334</v>
      </c>
      <c r="Z26" s="207">
        <f t="shared" si="1"/>
        <v>133106.71613333334</v>
      </c>
      <c r="AA26" s="180"/>
    </row>
    <row r="27" spans="1:27" ht="18.75" customHeight="1">
      <c r="A27" s="28">
        <v>21</v>
      </c>
      <c r="B27" s="157" t="s">
        <v>82</v>
      </c>
      <c r="C27" s="161" t="s">
        <v>83</v>
      </c>
      <c r="D27" s="181" t="s">
        <v>81</v>
      </c>
      <c r="E27" s="25">
        <f>12732</f>
        <v>12732</v>
      </c>
      <c r="F27" s="25"/>
      <c r="G27" s="25">
        <f t="shared" ref="G27" si="38">E27*300%</f>
        <v>38196</v>
      </c>
      <c r="H27" s="25">
        <f t="shared" ref="H27" si="39">E27*7.5%</f>
        <v>954.9</v>
      </c>
      <c r="I27" s="25"/>
      <c r="J27" s="25">
        <f t="shared" ref="J27" si="40">E27*50%</f>
        <v>6366</v>
      </c>
      <c r="K27" s="25">
        <f t="shared" ref="K27" si="41">E27*350%</f>
        <v>44562</v>
      </c>
      <c r="L27" s="25">
        <f t="shared" ref="L27" si="42">E27*100%</f>
        <v>12732</v>
      </c>
      <c r="M27" s="179"/>
      <c r="N27" s="179">
        <f>50000</f>
        <v>50000</v>
      </c>
      <c r="O27" s="25">
        <f t="shared" ref="O27" si="43">E27*10%</f>
        <v>1273.2</v>
      </c>
      <c r="P27" s="25">
        <v>10000</v>
      </c>
      <c r="Q27" s="25"/>
      <c r="R27" s="204">
        <f t="shared" ref="R27" si="44">SUM(E27:Q27)</f>
        <v>176816.1</v>
      </c>
      <c r="S27" s="23"/>
      <c r="T27" s="23">
        <f>0</f>
        <v>0</v>
      </c>
      <c r="U27" s="23"/>
      <c r="V27" s="23"/>
      <c r="W27" s="25">
        <v>17042.865866666671</v>
      </c>
      <c r="X27" s="258">
        <f t="shared" si="0"/>
        <v>17042.865866666671</v>
      </c>
      <c r="Y27" s="23">
        <v>159773.23413333335</v>
      </c>
      <c r="Z27" s="207">
        <f t="shared" si="1"/>
        <v>159773.23413333335</v>
      </c>
      <c r="AA27" s="180"/>
    </row>
    <row r="28" spans="1:27" ht="18.75" customHeight="1">
      <c r="A28" s="28">
        <v>22</v>
      </c>
      <c r="B28" s="157" t="s">
        <v>84</v>
      </c>
      <c r="C28" s="161" t="s">
        <v>83</v>
      </c>
      <c r="D28" s="181" t="s">
        <v>85</v>
      </c>
      <c r="E28" s="25">
        <v>12351.94</v>
      </c>
      <c r="F28" s="25"/>
      <c r="G28" s="25">
        <v>37055.82</v>
      </c>
      <c r="H28" s="25">
        <v>926.39549999999997</v>
      </c>
      <c r="I28" s="25"/>
      <c r="J28" s="25">
        <v>6175.97</v>
      </c>
      <c r="K28" s="25">
        <v>43231.79</v>
      </c>
      <c r="L28" s="25">
        <v>12351.94</v>
      </c>
      <c r="M28" s="179"/>
      <c r="N28" s="179">
        <v>50000</v>
      </c>
      <c r="O28" s="25">
        <v>1235.1940000000002</v>
      </c>
      <c r="P28" s="25">
        <v>10000</v>
      </c>
      <c r="Q28" s="25"/>
      <c r="R28" s="204">
        <v>173329.04949999999</v>
      </c>
      <c r="S28" s="23"/>
      <c r="T28" s="23">
        <v>20000</v>
      </c>
      <c r="U28" s="23">
        <v>0</v>
      </c>
      <c r="V28" s="23">
        <v>0</v>
      </c>
      <c r="W28" s="25">
        <v>16512.68219066667</v>
      </c>
      <c r="X28" s="258">
        <f t="shared" si="0"/>
        <v>36512.682190666674</v>
      </c>
      <c r="Y28" s="23">
        <v>136816.36730933332</v>
      </c>
      <c r="Z28" s="207">
        <f t="shared" si="1"/>
        <v>136816.36730933332</v>
      </c>
      <c r="AA28" s="180"/>
    </row>
    <row r="29" spans="1:27" ht="26.25" customHeight="1">
      <c r="A29" s="28"/>
      <c r="B29" s="159" t="s">
        <v>86</v>
      </c>
      <c r="C29" s="29">
        <v>22</v>
      </c>
      <c r="D29" s="181"/>
      <c r="E29" s="183">
        <f>SUM(E7:E28)</f>
        <v>688310.58000000007</v>
      </c>
      <c r="F29" s="183">
        <f t="shared" ref="F29:Z29" si="45">SUM(F7:F28)</f>
        <v>284617.01749999996</v>
      </c>
      <c r="G29" s="183">
        <f t="shared" si="45"/>
        <v>1904442.99</v>
      </c>
      <c r="H29" s="183">
        <f t="shared" si="45"/>
        <v>87733.267250000019</v>
      </c>
      <c r="I29" s="183">
        <f t="shared" si="45"/>
        <v>401221.9</v>
      </c>
      <c r="J29" s="183">
        <f t="shared" si="45"/>
        <v>336130.85499999998</v>
      </c>
      <c r="K29" s="183">
        <f t="shared" si="45"/>
        <v>1847376.405</v>
      </c>
      <c r="L29" s="183">
        <f t="shared" si="45"/>
        <v>648188.4</v>
      </c>
      <c r="M29" s="183">
        <f t="shared" si="45"/>
        <v>930000</v>
      </c>
      <c r="N29" s="183">
        <f t="shared" si="45"/>
        <v>1080000</v>
      </c>
      <c r="O29" s="183">
        <f t="shared" si="45"/>
        <v>68831.063000000009</v>
      </c>
      <c r="P29" s="183">
        <f t="shared" si="45"/>
        <v>335000</v>
      </c>
      <c r="Q29" s="183">
        <f t="shared" si="45"/>
        <v>825235</v>
      </c>
      <c r="R29" s="183">
        <f t="shared" si="45"/>
        <v>9437087.4777499977</v>
      </c>
      <c r="S29" s="183">
        <f t="shared" si="45"/>
        <v>0</v>
      </c>
      <c r="T29" s="183">
        <f t="shared" si="45"/>
        <v>520000</v>
      </c>
      <c r="U29" s="183">
        <f t="shared" si="45"/>
        <v>843999.79999999993</v>
      </c>
      <c r="V29" s="183">
        <f t="shared" si="45"/>
        <v>4330.54</v>
      </c>
      <c r="W29" s="183">
        <f t="shared" si="45"/>
        <v>1319446.1347526666</v>
      </c>
      <c r="X29" s="183">
        <f t="shared" si="45"/>
        <v>2687776.4747526664</v>
      </c>
      <c r="Y29" s="183">
        <f t="shared" si="45"/>
        <v>6099547.1330242371</v>
      </c>
      <c r="Z29" s="183">
        <f t="shared" si="45"/>
        <v>6749311.0029973332</v>
      </c>
      <c r="AA29" s="180"/>
    </row>
    <row r="30" spans="1:27" ht="18.75" customHeight="1">
      <c r="A30" s="28"/>
      <c r="B30" s="123"/>
      <c r="C30" s="20"/>
      <c r="D30" s="181"/>
      <c r="E30" s="183"/>
      <c r="F30" s="183"/>
      <c r="G30" s="183"/>
      <c r="H30" s="183"/>
      <c r="I30" s="183"/>
      <c r="J30" s="183"/>
      <c r="K30" s="183"/>
      <c r="L30" s="183"/>
      <c r="M30" s="179"/>
      <c r="N30" s="179"/>
      <c r="O30" s="183"/>
      <c r="P30" s="183"/>
      <c r="Q30" s="183"/>
      <c r="R30" s="211"/>
      <c r="S30" s="183"/>
      <c r="T30" s="183"/>
      <c r="U30" s="183"/>
      <c r="V30" s="183"/>
      <c r="W30" s="183"/>
      <c r="X30" s="259"/>
      <c r="Y30" s="183"/>
      <c r="Z30" s="217"/>
      <c r="AA30" s="180"/>
    </row>
    <row r="31" spans="1:27" ht="18.75" customHeight="1">
      <c r="A31" s="28"/>
      <c r="B31" s="159" t="s">
        <v>87</v>
      </c>
      <c r="C31" s="20"/>
      <c r="D31" s="181"/>
      <c r="E31" s="25"/>
      <c r="F31" s="25"/>
      <c r="G31" s="25"/>
      <c r="H31" s="25"/>
      <c r="I31" s="25"/>
      <c r="J31" s="25"/>
      <c r="K31" s="23"/>
      <c r="L31" s="25"/>
      <c r="M31" s="179"/>
      <c r="N31" s="179"/>
      <c r="O31" s="25"/>
      <c r="P31" s="25"/>
      <c r="Q31" s="25"/>
      <c r="R31" s="204"/>
      <c r="S31" s="23"/>
      <c r="T31" s="23"/>
      <c r="U31" s="23"/>
      <c r="V31" s="23"/>
      <c r="W31" s="25"/>
      <c r="X31" s="258"/>
      <c r="Y31" s="23"/>
      <c r="Z31" s="207"/>
      <c r="AA31" s="180"/>
    </row>
    <row r="32" spans="1:27" ht="18.75" customHeight="1">
      <c r="A32" s="28">
        <v>1</v>
      </c>
      <c r="B32" s="157" t="s">
        <v>88</v>
      </c>
      <c r="C32" s="20" t="s">
        <v>89</v>
      </c>
      <c r="D32" s="28" t="s">
        <v>90</v>
      </c>
      <c r="E32" s="25">
        <v>81740.02</v>
      </c>
      <c r="F32" s="25"/>
      <c r="G32" s="25">
        <f>E32*300%</f>
        <v>245220.06</v>
      </c>
      <c r="H32" s="25">
        <f>E32*7.5%</f>
        <v>6130.5015000000003</v>
      </c>
      <c r="I32" s="25">
        <v>80244.38</v>
      </c>
      <c r="J32" s="25">
        <f>E32*50%</f>
        <v>40870.01</v>
      </c>
      <c r="K32" s="25">
        <f>E32*350%</f>
        <v>286090.07</v>
      </c>
      <c r="L32" s="25">
        <f t="shared" ref="L32:L33" si="46">E32*100%</f>
        <v>81740.02</v>
      </c>
      <c r="M32" s="179"/>
      <c r="N32" s="179">
        <f>100000</f>
        <v>100000</v>
      </c>
      <c r="O32" s="25">
        <f t="shared" ref="O32:O33" si="47">E32*10%</f>
        <v>8174.0020000000004</v>
      </c>
      <c r="P32" s="25">
        <v>20000</v>
      </c>
      <c r="Q32" s="25"/>
      <c r="R32" s="204">
        <f>SUM(E32:Q32)</f>
        <v>950209.06350000005</v>
      </c>
      <c r="S32" s="23">
        <f>'NOVEMBER 2023'!F195</f>
        <v>0</v>
      </c>
      <c r="T32" s="23">
        <f>100000</f>
        <v>100000</v>
      </c>
      <c r="U32" s="23">
        <v>0</v>
      </c>
      <c r="V32" s="23"/>
      <c r="W32" s="25">
        <v>161106.80685866668</v>
      </c>
      <c r="X32" s="258">
        <f>W32+V32+U32+T32+S32</f>
        <v>261106.80685866668</v>
      </c>
      <c r="Y32" s="23">
        <v>689102.25664133334</v>
      </c>
      <c r="Z32" s="207">
        <f>R32-X32</f>
        <v>689102.25664133334</v>
      </c>
      <c r="AA32" s="180"/>
    </row>
    <row r="33" spans="1:27" ht="18.75" customHeight="1">
      <c r="A33" s="28">
        <v>2</v>
      </c>
      <c r="B33" s="157" t="s">
        <v>91</v>
      </c>
      <c r="C33" s="20" t="s">
        <v>92</v>
      </c>
      <c r="D33" s="28" t="s">
        <v>85</v>
      </c>
      <c r="E33" s="25">
        <v>12351.94</v>
      </c>
      <c r="F33" s="25"/>
      <c r="G33" s="25">
        <f t="shared" ref="G33" si="48">E33*300%</f>
        <v>37055.82</v>
      </c>
      <c r="H33" s="25">
        <f t="shared" ref="H33" si="49">E33*7.5%</f>
        <v>926.39549999999997</v>
      </c>
      <c r="I33" s="25"/>
      <c r="J33" s="25">
        <f t="shared" ref="J33" si="50">E33*50%</f>
        <v>6175.97</v>
      </c>
      <c r="K33" s="25">
        <f t="shared" ref="K33" si="51">E33*350%</f>
        <v>43231.79</v>
      </c>
      <c r="L33" s="25">
        <f t="shared" si="46"/>
        <v>12351.94</v>
      </c>
      <c r="M33" s="179"/>
      <c r="N33" s="179">
        <f>50000</f>
        <v>50000</v>
      </c>
      <c r="O33" s="25">
        <f t="shared" si="47"/>
        <v>1235.1940000000002</v>
      </c>
      <c r="P33" s="25">
        <v>10000</v>
      </c>
      <c r="Q33" s="25"/>
      <c r="R33" s="204">
        <f>(Q33+P33+O33+N33+M33+L33+K33+J33+I33+H33+G33+F33+E33)</f>
        <v>173329.04949999999</v>
      </c>
      <c r="S33" s="23"/>
      <c r="T33" s="23">
        <f>20000</f>
        <v>20000</v>
      </c>
      <c r="U33" s="23"/>
      <c r="V33" s="23">
        <v>0</v>
      </c>
      <c r="W33" s="25">
        <v>16512.68219066667</v>
      </c>
      <c r="X33" s="258">
        <f>W33+V33+U33+T33+S33</f>
        <v>36512.682190666674</v>
      </c>
      <c r="Y33" s="23">
        <v>136816.36730933332</v>
      </c>
      <c r="Z33" s="207">
        <f>R33-X33</f>
        <v>136816.36730933332</v>
      </c>
      <c r="AA33" s="180"/>
    </row>
    <row r="34" spans="1:27" ht="18.75" customHeight="1">
      <c r="A34" s="28">
        <v>3</v>
      </c>
      <c r="B34" s="156" t="s">
        <v>93</v>
      </c>
      <c r="C34" s="161" t="s">
        <v>94</v>
      </c>
      <c r="D34" s="181" t="s">
        <v>95</v>
      </c>
      <c r="E34" s="25">
        <f>17286.33</f>
        <v>17286.330000000002</v>
      </c>
      <c r="F34" s="25">
        <f>'PROMOTIONS IN NOVEMBER'!AB7</f>
        <v>176135.08</v>
      </c>
      <c r="G34" s="25">
        <f>E34*300%</f>
        <v>51858.990000000005</v>
      </c>
      <c r="H34" s="25">
        <f>E34*7.5%</f>
        <v>1296.4747500000001</v>
      </c>
      <c r="I34" s="25"/>
      <c r="J34" s="25">
        <f>E34*50%</f>
        <v>8643.1650000000009</v>
      </c>
      <c r="K34" s="23">
        <f>E34*350%</f>
        <v>60502.155000000006</v>
      </c>
      <c r="L34" s="25">
        <f>E34*100%</f>
        <v>17286.330000000002</v>
      </c>
      <c r="M34" s="179"/>
      <c r="N34" s="179">
        <f>50000+10000</f>
        <v>60000</v>
      </c>
      <c r="O34" s="25">
        <f>E34*10%</f>
        <v>1728.6330000000003</v>
      </c>
      <c r="P34" s="25">
        <v>10000</v>
      </c>
      <c r="Q34" s="25"/>
      <c r="R34" s="204">
        <f>SUM(E34:Q34)</f>
        <v>404737.15774999995</v>
      </c>
      <c r="S34" s="23"/>
      <c r="T34" s="23">
        <f>10000</f>
        <v>10000</v>
      </c>
      <c r="U34" s="23"/>
      <c r="V34" s="23"/>
      <c r="W34" s="25">
        <f>'PROMOTIONS IN NOVEMBER'!X7</f>
        <v>25571.73</v>
      </c>
      <c r="X34" s="258">
        <f>W34+V34+U34+T34+S34</f>
        <v>35571.729999999996</v>
      </c>
      <c r="Y34" s="23">
        <v>177017.56464533333</v>
      </c>
      <c r="Z34" s="207">
        <f>R34-X34</f>
        <v>369165.42774999997</v>
      </c>
      <c r="AA34" s="180"/>
    </row>
    <row r="35" spans="1:27" ht="19.5" customHeight="1">
      <c r="A35" s="28"/>
      <c r="B35" s="158"/>
      <c r="C35" s="29">
        <v>3</v>
      </c>
      <c r="D35" s="28"/>
      <c r="E35" s="183">
        <f>SUM(E32:E34)</f>
        <v>111378.29000000001</v>
      </c>
      <c r="F35" s="183">
        <f t="shared" ref="F35:Z35" si="52">SUM(F32:F34)</f>
        <v>176135.08</v>
      </c>
      <c r="G35" s="183">
        <f t="shared" si="52"/>
        <v>334134.87</v>
      </c>
      <c r="H35" s="183">
        <f t="shared" si="52"/>
        <v>8353.3717500000002</v>
      </c>
      <c r="I35" s="183">
        <f t="shared" si="52"/>
        <v>80244.38</v>
      </c>
      <c r="J35" s="183">
        <f t="shared" si="52"/>
        <v>55689.145000000004</v>
      </c>
      <c r="K35" s="183">
        <f t="shared" si="52"/>
        <v>389824.01500000001</v>
      </c>
      <c r="L35" s="183">
        <f t="shared" si="52"/>
        <v>111378.29000000001</v>
      </c>
      <c r="M35" s="183">
        <f t="shared" si="52"/>
        <v>0</v>
      </c>
      <c r="N35" s="183">
        <f t="shared" si="52"/>
        <v>210000</v>
      </c>
      <c r="O35" s="183">
        <f t="shared" si="52"/>
        <v>11137.829</v>
      </c>
      <c r="P35" s="183">
        <f t="shared" si="52"/>
        <v>40000</v>
      </c>
      <c r="Q35" s="183">
        <f t="shared" si="52"/>
        <v>0</v>
      </c>
      <c r="R35" s="183">
        <f t="shared" si="52"/>
        <v>1528275.2707500001</v>
      </c>
      <c r="S35" s="183">
        <f t="shared" si="52"/>
        <v>0</v>
      </c>
      <c r="T35" s="183">
        <f t="shared" si="52"/>
        <v>130000</v>
      </c>
      <c r="U35" s="183">
        <f t="shared" si="52"/>
        <v>0</v>
      </c>
      <c r="V35" s="183">
        <f t="shared" si="52"/>
        <v>0</v>
      </c>
      <c r="W35" s="183">
        <f t="shared" si="52"/>
        <v>203191.21904933336</v>
      </c>
      <c r="X35" s="183">
        <f t="shared" si="52"/>
        <v>333191.21904933336</v>
      </c>
      <c r="Y35" s="183">
        <f t="shared" si="52"/>
        <v>1002936.188596</v>
      </c>
      <c r="Z35" s="183">
        <f t="shared" si="52"/>
        <v>1195084.0517006665</v>
      </c>
      <c r="AA35" s="180"/>
    </row>
    <row r="36" spans="1:27" ht="20.100000000000001" customHeight="1">
      <c r="A36" s="28"/>
      <c r="B36" s="158"/>
      <c r="C36" s="20"/>
      <c r="D36" s="28"/>
      <c r="E36" s="183"/>
      <c r="F36" s="183"/>
      <c r="G36" s="183"/>
      <c r="H36" s="183"/>
      <c r="I36" s="183"/>
      <c r="J36" s="183"/>
      <c r="K36" s="183"/>
      <c r="L36" s="183"/>
      <c r="M36" s="179"/>
      <c r="N36" s="179"/>
      <c r="O36" s="183"/>
      <c r="P36" s="183"/>
      <c r="Q36" s="183"/>
      <c r="R36" s="211"/>
      <c r="S36" s="183"/>
      <c r="T36" s="183"/>
      <c r="U36" s="183"/>
      <c r="V36" s="183"/>
      <c r="W36" s="183"/>
      <c r="X36" s="258"/>
      <c r="Y36" s="23"/>
      <c r="Z36" s="207"/>
      <c r="AA36" s="180"/>
    </row>
    <row r="37" spans="1:27" ht="20.100000000000001" customHeight="1">
      <c r="A37" s="28"/>
      <c r="B37" s="185" t="s">
        <v>96</v>
      </c>
      <c r="C37" s="170"/>
      <c r="D37" s="174"/>
      <c r="E37" s="183"/>
      <c r="F37" s="183"/>
      <c r="G37" s="183"/>
      <c r="H37" s="23"/>
      <c r="I37" s="23"/>
      <c r="J37" s="23"/>
      <c r="K37" s="23"/>
      <c r="L37" s="23"/>
      <c r="M37" s="179"/>
      <c r="N37" s="179"/>
      <c r="O37" s="23"/>
      <c r="P37" s="23"/>
      <c r="Q37" s="23"/>
      <c r="R37" s="204"/>
      <c r="S37" s="23"/>
      <c r="T37" s="23"/>
      <c r="U37" s="23"/>
      <c r="V37" s="23"/>
      <c r="W37" s="23"/>
      <c r="X37" s="258"/>
      <c r="Y37" s="23"/>
      <c r="Z37" s="207"/>
      <c r="AA37" s="180"/>
    </row>
    <row r="38" spans="1:27" ht="20.100000000000001" customHeight="1">
      <c r="A38" s="28">
        <v>1</v>
      </c>
      <c r="B38" s="156" t="s">
        <v>97</v>
      </c>
      <c r="C38" s="20" t="s">
        <v>98</v>
      </c>
      <c r="D38" s="28" t="s">
        <v>90</v>
      </c>
      <c r="E38" s="25">
        <v>81740.02</v>
      </c>
      <c r="F38" s="25"/>
      <c r="G38" s="25">
        <f>E38*300%</f>
        <v>245220.06</v>
      </c>
      <c r="H38" s="25">
        <f>E38*7.5%</f>
        <v>6130.5015000000003</v>
      </c>
      <c r="I38" s="25">
        <v>80244.38</v>
      </c>
      <c r="J38" s="25">
        <f>E38*50%</f>
        <v>40870.01</v>
      </c>
      <c r="K38" s="25">
        <f>E38*350%</f>
        <v>286090.07</v>
      </c>
      <c r="L38" s="25">
        <f t="shared" ref="L38:L47" si="53">E38*100%</f>
        <v>81740.02</v>
      </c>
      <c r="M38" s="179">
        <f>200000</f>
        <v>200000</v>
      </c>
      <c r="N38" s="179"/>
      <c r="O38" s="25">
        <f t="shared" ref="O38:O47" si="54">E38*10%</f>
        <v>8174.0020000000004</v>
      </c>
      <c r="P38" s="25">
        <v>20000</v>
      </c>
      <c r="Q38" s="25"/>
      <c r="R38" s="204">
        <f t="shared" ref="R38:R49" si="55">SUM(E38:Q38)</f>
        <v>1050209.0635000002</v>
      </c>
      <c r="S38" s="23"/>
      <c r="T38" s="23">
        <f>200000</f>
        <v>200000</v>
      </c>
      <c r="U38" s="23">
        <f>380000</f>
        <v>380000</v>
      </c>
      <c r="V38" s="23"/>
      <c r="W38" s="25">
        <v>180306.80685866671</v>
      </c>
      <c r="X38" s="258">
        <f t="shared" ref="X38:X49" si="56">W38+V38+U38+T38+S38</f>
        <v>760306.80685866671</v>
      </c>
      <c r="Y38" s="23">
        <v>289902.25664133346</v>
      </c>
      <c r="Z38" s="207">
        <f t="shared" ref="Z38:Z49" si="57">R38-X38</f>
        <v>289902.25664133346</v>
      </c>
      <c r="AA38" s="180"/>
    </row>
    <row r="39" spans="1:27" ht="20.100000000000001" customHeight="1">
      <c r="A39" s="28">
        <v>2</v>
      </c>
      <c r="B39" s="156" t="s">
        <v>99</v>
      </c>
      <c r="C39" s="20" t="s">
        <v>100</v>
      </c>
      <c r="D39" s="28" t="s">
        <v>45</v>
      </c>
      <c r="E39" s="25">
        <v>33507.5</v>
      </c>
      <c r="F39" s="25">
        <f>527553.5</f>
        <v>527553.5</v>
      </c>
      <c r="G39" s="25">
        <f>E39*300%</f>
        <v>100522.5</v>
      </c>
      <c r="H39" s="25">
        <f>E39*7.5%</f>
        <v>2513.0625</v>
      </c>
      <c r="I39" s="25">
        <v>40122.19</v>
      </c>
      <c r="J39" s="25">
        <f>E39*50%</f>
        <v>16753.75</v>
      </c>
      <c r="K39" s="25">
        <f>E39*350%</f>
        <v>117276.25</v>
      </c>
      <c r="L39" s="25">
        <f>E39*100%</f>
        <v>33507.5</v>
      </c>
      <c r="M39" s="179">
        <f>160000</f>
        <v>160000</v>
      </c>
      <c r="N39" s="179"/>
      <c r="O39" s="25">
        <f>E39*10%</f>
        <v>3350.75</v>
      </c>
      <c r="P39" s="25">
        <v>20000</v>
      </c>
      <c r="Q39" s="25">
        <v>0</v>
      </c>
      <c r="R39" s="204">
        <f>SUM(E39:Q39)</f>
        <v>1055107.0024999999</v>
      </c>
      <c r="S39" s="23"/>
      <c r="T39" s="23">
        <f>50000*2</f>
        <v>100000</v>
      </c>
      <c r="U39" s="23">
        <f>385000*2</f>
        <v>770000</v>
      </c>
      <c r="V39" s="23"/>
      <c r="W39" s="25">
        <f>79956.9391466667*2</f>
        <v>159913.8782933334</v>
      </c>
      <c r="X39" s="258">
        <f t="shared" si="56"/>
        <v>1029913.8782933333</v>
      </c>
      <c r="Y39" s="23"/>
      <c r="Z39" s="207">
        <f t="shared" si="57"/>
        <v>25193.124206666602</v>
      </c>
      <c r="AA39" s="180"/>
    </row>
    <row r="40" spans="1:27" ht="20.100000000000001" customHeight="1">
      <c r="A40" s="28">
        <v>3</v>
      </c>
      <c r="B40" s="156" t="s">
        <v>101</v>
      </c>
      <c r="C40" s="20" t="s">
        <v>102</v>
      </c>
      <c r="D40" s="28" t="s">
        <v>45</v>
      </c>
      <c r="E40" s="25">
        <v>33507.5</v>
      </c>
      <c r="F40" s="25"/>
      <c r="G40" s="25">
        <f>E40*300%</f>
        <v>100522.5</v>
      </c>
      <c r="H40" s="25">
        <f>E40*7.5%</f>
        <v>2513.0625</v>
      </c>
      <c r="I40" s="25">
        <v>40122.19</v>
      </c>
      <c r="J40" s="25">
        <f>E40*50%</f>
        <v>16753.75</v>
      </c>
      <c r="K40" s="25">
        <f>E40*350%</f>
        <v>117276.25</v>
      </c>
      <c r="L40" s="25">
        <f>E40*100%</f>
        <v>33507.5</v>
      </c>
      <c r="M40" s="179">
        <f>160000</f>
        <v>160000</v>
      </c>
      <c r="N40" s="179"/>
      <c r="O40" s="25">
        <f>E40*10%</f>
        <v>3350.75</v>
      </c>
      <c r="P40" s="25">
        <v>20000</v>
      </c>
      <c r="Q40" s="25"/>
      <c r="R40" s="204">
        <f t="shared" si="55"/>
        <v>527553.50249999994</v>
      </c>
      <c r="S40" s="23"/>
      <c r="T40" s="23">
        <f>80000+23000</f>
        <v>103000</v>
      </c>
      <c r="U40" s="23">
        <f>246905.96</f>
        <v>246905.96</v>
      </c>
      <c r="V40" s="23"/>
      <c r="W40" s="25">
        <v>79956.939146666657</v>
      </c>
      <c r="X40" s="258">
        <f t="shared" si="56"/>
        <v>429862.89914666663</v>
      </c>
      <c r="Y40" s="23">
        <v>97690.60335333331</v>
      </c>
      <c r="Z40" s="207">
        <f t="shared" si="57"/>
        <v>97690.60335333331</v>
      </c>
      <c r="AA40" s="180"/>
    </row>
    <row r="41" spans="1:27" ht="20.100000000000001" customHeight="1">
      <c r="A41" s="28">
        <v>4</v>
      </c>
      <c r="B41" s="156" t="s">
        <v>103</v>
      </c>
      <c r="C41" s="20" t="s">
        <v>102</v>
      </c>
      <c r="D41" s="28" t="s">
        <v>45</v>
      </c>
      <c r="E41" s="25">
        <v>33507.5</v>
      </c>
      <c r="F41" s="25"/>
      <c r="G41" s="25">
        <f>E41*300%</f>
        <v>100522.5</v>
      </c>
      <c r="H41" s="25">
        <f>E41*7.5%</f>
        <v>2513.0625</v>
      </c>
      <c r="I41" s="25">
        <v>40122.19</v>
      </c>
      <c r="J41" s="25">
        <f>E41*50%</f>
        <v>16753.75</v>
      </c>
      <c r="K41" s="25">
        <f>E41*350%</f>
        <v>117276.25</v>
      </c>
      <c r="L41" s="25">
        <f>E41*100%</f>
        <v>33507.5</v>
      </c>
      <c r="M41" s="179">
        <f>160000</f>
        <v>160000</v>
      </c>
      <c r="N41" s="179"/>
      <c r="O41" s="25">
        <f>E41*10%</f>
        <v>3350.75</v>
      </c>
      <c r="P41" s="25">
        <v>20000</v>
      </c>
      <c r="Q41" s="25"/>
      <c r="R41" s="204">
        <f t="shared" si="55"/>
        <v>527553.50249999994</v>
      </c>
      <c r="S41" s="23"/>
      <c r="T41" s="23">
        <f>30000</f>
        <v>30000</v>
      </c>
      <c r="U41" s="23">
        <f>176288.88</f>
        <v>176288.88</v>
      </c>
      <c r="V41" s="23"/>
      <c r="W41" s="25">
        <v>79956.939146666657</v>
      </c>
      <c r="X41" s="258">
        <f t="shared" si="56"/>
        <v>286245.81914666668</v>
      </c>
      <c r="Y41" s="23">
        <v>241307.68335333327</v>
      </c>
      <c r="Z41" s="207">
        <f t="shared" si="57"/>
        <v>241307.68335333327</v>
      </c>
      <c r="AA41" s="180"/>
    </row>
    <row r="42" spans="1:27" ht="20.100000000000001" customHeight="1">
      <c r="A42" s="28">
        <v>5</v>
      </c>
      <c r="B42" s="156" t="s">
        <v>104</v>
      </c>
      <c r="C42" s="20" t="s">
        <v>102</v>
      </c>
      <c r="D42" s="28" t="s">
        <v>105</v>
      </c>
      <c r="E42" s="25">
        <v>32263.200000000001</v>
      </c>
      <c r="F42" s="25"/>
      <c r="G42" s="25">
        <f t="shared" ref="G42:G47" si="58">E42*300%</f>
        <v>96789.6</v>
      </c>
      <c r="H42" s="25">
        <f t="shared" ref="H42:H47" si="59">E42*7.5%</f>
        <v>2419.7399999999998</v>
      </c>
      <c r="I42" s="25">
        <f>40122.19</f>
        <v>40122.19</v>
      </c>
      <c r="J42" s="25">
        <f t="shared" ref="J42:J47" si="60">E42*50%</f>
        <v>16131.6</v>
      </c>
      <c r="K42" s="25">
        <f t="shared" ref="K42:K47" si="61">E42*350%</f>
        <v>112921.2</v>
      </c>
      <c r="L42" s="25">
        <f t="shared" si="53"/>
        <v>32263.200000000001</v>
      </c>
      <c r="M42" s="179">
        <f>140000+20000</f>
        <v>160000</v>
      </c>
      <c r="N42" s="179"/>
      <c r="O42" s="25">
        <f t="shared" si="54"/>
        <v>3226.32</v>
      </c>
      <c r="P42" s="25">
        <v>20000</v>
      </c>
      <c r="Q42" s="25">
        <v>0</v>
      </c>
      <c r="R42" s="204">
        <f t="shared" si="55"/>
        <v>516137.05000000005</v>
      </c>
      <c r="S42" s="23"/>
      <c r="T42" s="23"/>
      <c r="U42" s="23"/>
      <c r="V42" s="23">
        <v>806.58</v>
      </c>
      <c r="W42" s="25">
        <f>77764.98</f>
        <v>77764.98</v>
      </c>
      <c r="X42" s="258">
        <f t="shared" si="56"/>
        <v>78571.56</v>
      </c>
      <c r="Y42" s="23">
        <v>437565.49000000005</v>
      </c>
      <c r="Z42" s="207">
        <f t="shared" si="57"/>
        <v>437565.49000000005</v>
      </c>
      <c r="AA42" s="180"/>
    </row>
    <row r="43" spans="1:27" ht="20.100000000000001" customHeight="1">
      <c r="A43" s="28">
        <v>6</v>
      </c>
      <c r="B43" s="156" t="s">
        <v>106</v>
      </c>
      <c r="C43" s="20" t="s">
        <v>107</v>
      </c>
      <c r="D43" s="28" t="s">
        <v>51</v>
      </c>
      <c r="E43" s="25">
        <v>27611.23</v>
      </c>
      <c r="F43" s="25">
        <f>'PROMOTIONS IN NOVEMBER'!AB12</f>
        <v>9845.4273059555562</v>
      </c>
      <c r="G43" s="25">
        <f t="shared" si="58"/>
        <v>82833.69</v>
      </c>
      <c r="H43" s="25">
        <f t="shared" si="59"/>
        <v>2070.8422499999997</v>
      </c>
      <c r="I43" s="25"/>
      <c r="J43" s="25">
        <f t="shared" si="60"/>
        <v>13805.615</v>
      </c>
      <c r="K43" s="25">
        <f t="shared" si="61"/>
        <v>96639.304999999993</v>
      </c>
      <c r="L43" s="25">
        <f t="shared" si="53"/>
        <v>27611.23</v>
      </c>
      <c r="M43" s="179">
        <f t="shared" ref="M43" si="62">140000</f>
        <v>140000</v>
      </c>
      <c r="N43" s="179"/>
      <c r="O43" s="25">
        <f t="shared" si="54"/>
        <v>2761.123</v>
      </c>
      <c r="P43" s="25">
        <v>20000</v>
      </c>
      <c r="Q43" s="25"/>
      <c r="R43" s="204">
        <f t="shared" si="55"/>
        <v>423178.46255595557</v>
      </c>
      <c r="S43" s="23"/>
      <c r="T43" s="23">
        <f>15000</f>
        <v>15000</v>
      </c>
      <c r="U43" s="23">
        <f>216666.67</f>
        <v>216666.67</v>
      </c>
      <c r="V43" s="23"/>
      <c r="W43" s="25">
        <v>57889.864794666668</v>
      </c>
      <c r="X43" s="258">
        <f t="shared" si="56"/>
        <v>289556.53479466669</v>
      </c>
      <c r="Y43" s="23">
        <v>123776.50045533339</v>
      </c>
      <c r="Z43" s="207">
        <f t="shared" si="57"/>
        <v>133621.92776128888</v>
      </c>
      <c r="AA43" s="180"/>
    </row>
    <row r="44" spans="1:27" ht="20.100000000000001" customHeight="1">
      <c r="A44" s="28">
        <v>7</v>
      </c>
      <c r="B44" s="158" t="s">
        <v>108</v>
      </c>
      <c r="C44" s="20" t="s">
        <v>109</v>
      </c>
      <c r="D44" s="24" t="s">
        <v>51</v>
      </c>
      <c r="E44" s="25">
        <v>27611.23</v>
      </c>
      <c r="F44" s="25"/>
      <c r="G44" s="25">
        <f>E44*300%</f>
        <v>82833.69</v>
      </c>
      <c r="H44" s="25">
        <f>E44*7.5%</f>
        <v>2070.8422499999997</v>
      </c>
      <c r="I44" s="25"/>
      <c r="J44" s="25">
        <f>E44*50%</f>
        <v>13805.615</v>
      </c>
      <c r="K44" s="25">
        <f>E44*350%</f>
        <v>96639.304999999993</v>
      </c>
      <c r="L44" s="25">
        <f>E44*100%</f>
        <v>27611.23</v>
      </c>
      <c r="M44" s="179">
        <f>140000</f>
        <v>140000</v>
      </c>
      <c r="N44" s="179"/>
      <c r="O44" s="25">
        <f>E44*10%</f>
        <v>2761.123</v>
      </c>
      <c r="P44" s="25">
        <v>20000</v>
      </c>
      <c r="Q44" s="25"/>
      <c r="R44" s="204">
        <f t="shared" si="55"/>
        <v>413333.03525000007</v>
      </c>
      <c r="S44" s="23"/>
      <c r="T44" s="23"/>
      <c r="U44" s="23"/>
      <c r="V44" s="23">
        <v>0</v>
      </c>
      <c r="W44" s="23">
        <v>58026.609434666672</v>
      </c>
      <c r="X44" s="258">
        <f t="shared" si="56"/>
        <v>58026.609434666672</v>
      </c>
      <c r="Y44" s="23">
        <v>355306.42581533338</v>
      </c>
      <c r="Z44" s="207">
        <f t="shared" si="57"/>
        <v>355306.42581533338</v>
      </c>
      <c r="AA44" s="180"/>
    </row>
    <row r="45" spans="1:27" ht="20.100000000000001" customHeight="1">
      <c r="A45" s="28">
        <v>8</v>
      </c>
      <c r="B45" s="156" t="s">
        <v>110</v>
      </c>
      <c r="C45" s="20" t="s">
        <v>107</v>
      </c>
      <c r="D45" s="28" t="s">
        <v>111</v>
      </c>
      <c r="E45" s="25">
        <f>'[4]December 2022'!$E$126</f>
        <v>25854.1</v>
      </c>
      <c r="F45" s="25"/>
      <c r="G45" s="25">
        <f t="shared" si="58"/>
        <v>77562.299999999988</v>
      </c>
      <c r="H45" s="25">
        <f t="shared" si="59"/>
        <v>1939.0574999999999</v>
      </c>
      <c r="I45" s="25"/>
      <c r="J45" s="25">
        <f t="shared" si="60"/>
        <v>12927.05</v>
      </c>
      <c r="K45" s="25">
        <f t="shared" si="61"/>
        <v>90489.349999999991</v>
      </c>
      <c r="L45" s="25">
        <f t="shared" si="53"/>
        <v>25854.1</v>
      </c>
      <c r="M45" s="179">
        <f>140000</f>
        <v>140000</v>
      </c>
      <c r="N45" s="179"/>
      <c r="O45" s="25">
        <f t="shared" si="54"/>
        <v>2585.41</v>
      </c>
      <c r="P45" s="25">
        <v>20000</v>
      </c>
      <c r="Q45" s="25"/>
      <c r="R45" s="23">
        <f t="shared" si="55"/>
        <v>397211.36749999999</v>
      </c>
      <c r="S45" s="23"/>
      <c r="T45" s="23">
        <f>10000+10000</f>
        <v>20000</v>
      </c>
      <c r="U45" s="23"/>
      <c r="V45" s="23">
        <f>PROMOTIONS!V11</f>
        <v>690.28</v>
      </c>
      <c r="W45" s="25">
        <f>[3]PROMOTIONS!$X$11</f>
        <v>54812.468586666662</v>
      </c>
      <c r="X45" s="258">
        <f t="shared" si="56"/>
        <v>75502.748586666654</v>
      </c>
      <c r="Y45" s="23">
        <v>357699.75725688162</v>
      </c>
      <c r="Z45" s="207">
        <f t="shared" si="57"/>
        <v>321708.61891333334</v>
      </c>
      <c r="AA45" s="180"/>
    </row>
    <row r="46" spans="1:27" ht="20.100000000000001" customHeight="1">
      <c r="A46" s="28">
        <v>9</v>
      </c>
      <c r="B46" s="156" t="s">
        <v>112</v>
      </c>
      <c r="C46" s="20" t="s">
        <v>113</v>
      </c>
      <c r="D46" s="28" t="s">
        <v>95</v>
      </c>
      <c r="E46" s="25">
        <v>17286.330000000002</v>
      </c>
      <c r="F46" s="25"/>
      <c r="G46" s="25">
        <f t="shared" si="58"/>
        <v>51858.990000000005</v>
      </c>
      <c r="H46" s="25">
        <f t="shared" si="59"/>
        <v>1296.4747500000001</v>
      </c>
      <c r="I46" s="25"/>
      <c r="J46" s="25">
        <f t="shared" si="60"/>
        <v>8643.1650000000009</v>
      </c>
      <c r="K46" s="25">
        <f t="shared" si="61"/>
        <v>60502.155000000006</v>
      </c>
      <c r="L46" s="25">
        <f t="shared" si="53"/>
        <v>17286.330000000002</v>
      </c>
      <c r="M46" s="179">
        <v>100000</v>
      </c>
      <c r="N46" s="179"/>
      <c r="O46" s="25">
        <f t="shared" si="54"/>
        <v>1728.6330000000003</v>
      </c>
      <c r="P46" s="25">
        <v>10000</v>
      </c>
      <c r="Q46" s="25"/>
      <c r="R46" s="204">
        <f t="shared" si="55"/>
        <v>268602.07775000005</v>
      </c>
      <c r="S46" s="23"/>
      <c r="T46" s="23"/>
      <c r="U46" s="23"/>
      <c r="V46" s="23"/>
      <c r="W46" s="25">
        <f>32291.82</f>
        <v>32291.82</v>
      </c>
      <c r="X46" s="258">
        <f t="shared" si="56"/>
        <v>32291.82</v>
      </c>
      <c r="Y46" s="23">
        <v>236310.25775000005</v>
      </c>
      <c r="Z46" s="207">
        <f t="shared" si="57"/>
        <v>236310.25775000005</v>
      </c>
      <c r="AA46" s="180"/>
    </row>
    <row r="47" spans="1:27" ht="20.100000000000001" customHeight="1">
      <c r="A47" s="28">
        <v>10</v>
      </c>
      <c r="B47" s="156" t="s">
        <v>114</v>
      </c>
      <c r="C47" s="20" t="s">
        <v>113</v>
      </c>
      <c r="D47" s="28" t="s">
        <v>73</v>
      </c>
      <c r="E47" s="25">
        <f>14736.14</f>
        <v>14736.14</v>
      </c>
      <c r="F47" s="25"/>
      <c r="G47" s="25">
        <f t="shared" si="58"/>
        <v>44208.42</v>
      </c>
      <c r="H47" s="25">
        <f t="shared" si="59"/>
        <v>1105.2104999999999</v>
      </c>
      <c r="I47" s="25"/>
      <c r="J47" s="25">
        <f t="shared" si="60"/>
        <v>7368.07</v>
      </c>
      <c r="K47" s="25">
        <f t="shared" si="61"/>
        <v>51576.49</v>
      </c>
      <c r="L47" s="25">
        <f t="shared" si="53"/>
        <v>14736.14</v>
      </c>
      <c r="M47" s="179">
        <f>100000</f>
        <v>100000</v>
      </c>
      <c r="N47" s="179"/>
      <c r="O47" s="25">
        <f t="shared" si="54"/>
        <v>1473.614</v>
      </c>
      <c r="P47" s="25">
        <v>10000</v>
      </c>
      <c r="Q47" s="25"/>
      <c r="R47" s="204">
        <f t="shared" si="55"/>
        <v>245204.0845</v>
      </c>
      <c r="S47" s="23"/>
      <c r="T47" s="23"/>
      <c r="U47" s="23"/>
      <c r="V47" s="23"/>
      <c r="W47" s="25">
        <v>28360.952862666662</v>
      </c>
      <c r="X47" s="258">
        <f t="shared" si="56"/>
        <v>28360.952862666662</v>
      </c>
      <c r="Y47" s="23">
        <v>216843.13163733334</v>
      </c>
      <c r="Z47" s="207">
        <f t="shared" si="57"/>
        <v>216843.13163733334</v>
      </c>
      <c r="AA47" s="180"/>
    </row>
    <row r="48" spans="1:27" ht="20.100000000000001" customHeight="1">
      <c r="A48" s="28">
        <v>11</v>
      </c>
      <c r="B48" s="156" t="s">
        <v>115</v>
      </c>
      <c r="C48" s="20" t="s">
        <v>113</v>
      </c>
      <c r="D48" s="28" t="s">
        <v>73</v>
      </c>
      <c r="E48" s="25">
        <f>14736.14</f>
        <v>14736.14</v>
      </c>
      <c r="F48" s="25"/>
      <c r="G48" s="25">
        <f t="shared" ref="G48" si="63">E48*300%</f>
        <v>44208.42</v>
      </c>
      <c r="H48" s="25">
        <f t="shared" ref="H48" si="64">E48*7.5%</f>
        <v>1105.2104999999999</v>
      </c>
      <c r="I48" s="25"/>
      <c r="J48" s="25">
        <f t="shared" ref="J48" si="65">E48*50%</f>
        <v>7368.07</v>
      </c>
      <c r="K48" s="25">
        <f t="shared" ref="K48" si="66">E48*350%</f>
        <v>51576.49</v>
      </c>
      <c r="L48" s="25">
        <f t="shared" ref="L48" si="67">E48*100%</f>
        <v>14736.14</v>
      </c>
      <c r="M48" s="179">
        <f>100000</f>
        <v>100000</v>
      </c>
      <c r="N48" s="179"/>
      <c r="O48" s="25">
        <f t="shared" ref="O48" si="68">E48*10%</f>
        <v>1473.614</v>
      </c>
      <c r="P48" s="25">
        <v>10000</v>
      </c>
      <c r="Q48" s="25"/>
      <c r="R48" s="204">
        <f t="shared" si="55"/>
        <v>245204.0845</v>
      </c>
      <c r="S48" s="23"/>
      <c r="T48" s="23"/>
      <c r="U48" s="23"/>
      <c r="V48" s="23"/>
      <c r="W48" s="25">
        <v>28360.952862666662</v>
      </c>
      <c r="X48" s="258">
        <f t="shared" si="56"/>
        <v>28360.952862666662</v>
      </c>
      <c r="Y48" s="23">
        <v>216843.13163733334</v>
      </c>
      <c r="Z48" s="207">
        <f t="shared" si="57"/>
        <v>216843.13163733334</v>
      </c>
      <c r="AA48" s="180"/>
    </row>
    <row r="49" spans="1:27" ht="20.100000000000001" customHeight="1">
      <c r="A49" s="28">
        <v>12</v>
      </c>
      <c r="B49" s="156" t="s">
        <v>116</v>
      </c>
      <c r="C49" s="20" t="s">
        <v>113</v>
      </c>
      <c r="D49" s="28" t="s">
        <v>73</v>
      </c>
      <c r="E49" s="25">
        <f>14736.14</f>
        <v>14736.14</v>
      </c>
      <c r="F49" s="25"/>
      <c r="G49" s="25">
        <f t="shared" ref="G49" si="69">E49*300%</f>
        <v>44208.42</v>
      </c>
      <c r="H49" s="25">
        <f t="shared" ref="H49" si="70">E49*7.5%</f>
        <v>1105.2104999999999</v>
      </c>
      <c r="I49" s="25"/>
      <c r="J49" s="25">
        <f t="shared" ref="J49" si="71">E49*50%</f>
        <v>7368.07</v>
      </c>
      <c r="K49" s="25">
        <f t="shared" ref="K49" si="72">E49*350%</f>
        <v>51576.49</v>
      </c>
      <c r="L49" s="25">
        <f t="shared" ref="L49" si="73">E49*100%</f>
        <v>14736.14</v>
      </c>
      <c r="M49" s="179">
        <f>100000</f>
        <v>100000</v>
      </c>
      <c r="N49" s="179"/>
      <c r="O49" s="25">
        <f t="shared" ref="O49" si="74">E49*10%</f>
        <v>1473.614</v>
      </c>
      <c r="P49" s="25">
        <v>10000</v>
      </c>
      <c r="Q49" s="25"/>
      <c r="R49" s="204">
        <f t="shared" si="55"/>
        <v>245204.0845</v>
      </c>
      <c r="S49" s="23"/>
      <c r="T49" s="23"/>
      <c r="U49" s="23"/>
      <c r="V49" s="23"/>
      <c r="W49" s="25">
        <v>28360.952862666662</v>
      </c>
      <c r="X49" s="258">
        <f t="shared" si="56"/>
        <v>28360.952862666662</v>
      </c>
      <c r="Y49" s="23">
        <v>216843.13163733334</v>
      </c>
      <c r="Z49" s="207">
        <f t="shared" si="57"/>
        <v>216843.13163733334</v>
      </c>
      <c r="AA49" s="180"/>
    </row>
    <row r="50" spans="1:27" ht="25.5" customHeight="1">
      <c r="A50" s="28"/>
      <c r="B50" s="159" t="s">
        <v>86</v>
      </c>
      <c r="C50" s="29">
        <v>12</v>
      </c>
      <c r="D50" s="29"/>
      <c r="E50" s="68">
        <f t="shared" ref="E50:X50" si="75">SUM(E38:E49)</f>
        <v>357097.03000000009</v>
      </c>
      <c r="F50" s="68">
        <f t="shared" si="75"/>
        <v>537398.92730595556</v>
      </c>
      <c r="G50" s="68">
        <f t="shared" si="75"/>
        <v>1071291.0900000001</v>
      </c>
      <c r="H50" s="68">
        <f t="shared" si="75"/>
        <v>26782.277250000003</v>
      </c>
      <c r="I50" s="68">
        <f t="shared" si="75"/>
        <v>240733.14</v>
      </c>
      <c r="J50" s="68">
        <f t="shared" si="75"/>
        <v>178548.51500000004</v>
      </c>
      <c r="K50" s="68">
        <f t="shared" si="75"/>
        <v>1249839.6049999997</v>
      </c>
      <c r="L50" s="68">
        <f t="shared" si="75"/>
        <v>357097.03000000009</v>
      </c>
      <c r="M50" s="68">
        <f t="shared" si="75"/>
        <v>1660000</v>
      </c>
      <c r="N50" s="68">
        <f t="shared" si="75"/>
        <v>0</v>
      </c>
      <c r="O50" s="68">
        <f t="shared" si="75"/>
        <v>35709.703000000001</v>
      </c>
      <c r="P50" s="68">
        <f t="shared" si="75"/>
        <v>200000</v>
      </c>
      <c r="Q50" s="68">
        <f t="shared" si="75"/>
        <v>0</v>
      </c>
      <c r="R50" s="68">
        <f t="shared" si="75"/>
        <v>5914497.3175559556</v>
      </c>
      <c r="S50" s="68">
        <f t="shared" si="75"/>
        <v>0</v>
      </c>
      <c r="T50" s="68">
        <f t="shared" si="75"/>
        <v>468000</v>
      </c>
      <c r="U50" s="68">
        <f t="shared" si="75"/>
        <v>1789861.5099999998</v>
      </c>
      <c r="V50" s="68">
        <f t="shared" si="75"/>
        <v>1496.8600000000001</v>
      </c>
      <c r="W50" s="68">
        <f t="shared" si="75"/>
        <v>866003.16484933347</v>
      </c>
      <c r="X50" s="358">
        <f t="shared" si="75"/>
        <v>3125361.5348493326</v>
      </c>
      <c r="Y50" s="68">
        <v>2790088.3695375486</v>
      </c>
      <c r="Z50" s="337">
        <f>SUM(Z38:Z49)</f>
        <v>2789135.7827066225</v>
      </c>
      <c r="AA50" s="180"/>
    </row>
    <row r="51" spans="1:27" ht="20.100000000000001" customHeight="1">
      <c r="A51" s="28"/>
      <c r="B51" s="123"/>
      <c r="C51" s="29"/>
      <c r="D51" s="29"/>
      <c r="E51" s="30"/>
      <c r="F51" s="30"/>
      <c r="G51" s="30"/>
      <c r="H51" s="30"/>
      <c r="I51" s="30"/>
      <c r="J51" s="30"/>
      <c r="K51" s="30"/>
      <c r="L51" s="30"/>
      <c r="M51" s="179"/>
      <c r="N51" s="179"/>
      <c r="O51" s="30"/>
      <c r="P51" s="30"/>
      <c r="Q51" s="30"/>
      <c r="R51" s="212"/>
      <c r="S51" s="30"/>
      <c r="T51" s="30"/>
      <c r="U51" s="30"/>
      <c r="V51" s="30"/>
      <c r="W51" s="30"/>
      <c r="X51" s="260"/>
      <c r="Y51" s="30"/>
      <c r="Z51" s="218"/>
      <c r="AA51" s="180"/>
    </row>
    <row r="52" spans="1:27" ht="20.100000000000001" customHeight="1">
      <c r="A52" s="28"/>
      <c r="B52" s="159" t="s">
        <v>117</v>
      </c>
      <c r="C52" s="29"/>
      <c r="D52" s="29"/>
      <c r="E52" s="30"/>
      <c r="F52" s="30"/>
      <c r="G52" s="30"/>
      <c r="H52" s="30"/>
      <c r="I52" s="30"/>
      <c r="J52" s="30"/>
      <c r="K52" s="30"/>
      <c r="L52" s="30"/>
      <c r="M52" s="179"/>
      <c r="N52" s="179"/>
      <c r="O52" s="30"/>
      <c r="P52" s="30"/>
      <c r="Q52" s="30"/>
      <c r="R52" s="212"/>
      <c r="S52" s="30"/>
      <c r="T52" s="30"/>
      <c r="U52" s="30"/>
      <c r="V52" s="30"/>
      <c r="W52" s="30"/>
      <c r="X52" s="260"/>
      <c r="Y52" s="30"/>
      <c r="Z52" s="218"/>
      <c r="AA52" s="180"/>
    </row>
    <row r="53" spans="1:27" ht="20.100000000000001" customHeight="1">
      <c r="A53" s="28">
        <v>1</v>
      </c>
      <c r="B53" s="156" t="s">
        <v>118</v>
      </c>
      <c r="C53" s="161" t="s">
        <v>119</v>
      </c>
      <c r="D53" s="181" t="s">
        <v>90</v>
      </c>
      <c r="E53" s="25">
        <v>81740.02</v>
      </c>
      <c r="F53" s="25"/>
      <c r="G53" s="25">
        <f>E53*300%</f>
        <v>245220.06</v>
      </c>
      <c r="H53" s="25">
        <f>E53*7.5%</f>
        <v>6130.5015000000003</v>
      </c>
      <c r="I53" s="25">
        <v>80244.38</v>
      </c>
      <c r="J53" s="25">
        <f>E53*50%</f>
        <v>40870.01</v>
      </c>
      <c r="K53" s="25">
        <f>E53*350%</f>
        <v>286090.07</v>
      </c>
      <c r="L53" s="25">
        <f>E53*100%</f>
        <v>81740.02</v>
      </c>
      <c r="M53" s="179">
        <f>200000</f>
        <v>200000</v>
      </c>
      <c r="N53" s="179"/>
      <c r="O53" s="25">
        <f>E53*10%</f>
        <v>8174.0020000000004</v>
      </c>
      <c r="P53" s="25">
        <v>20000</v>
      </c>
      <c r="Q53" s="25">
        <v>0</v>
      </c>
      <c r="R53" s="204">
        <f>SUM(E53:Q53)</f>
        <v>1050209.0635000002</v>
      </c>
      <c r="S53" s="23"/>
      <c r="T53" s="23">
        <v>120000</v>
      </c>
      <c r="U53" s="23">
        <v>120000</v>
      </c>
      <c r="V53" s="23">
        <v>0</v>
      </c>
      <c r="W53" s="25">
        <v>180306.80685866671</v>
      </c>
      <c r="X53" s="258">
        <f>W53+V53+U53+T53+S53</f>
        <v>420306.80685866671</v>
      </c>
      <c r="Y53" s="23"/>
      <c r="Z53" s="207">
        <f>R53-X53</f>
        <v>629902.25664133346</v>
      </c>
      <c r="AA53" s="180"/>
    </row>
    <row r="54" spans="1:27" ht="20.100000000000001" customHeight="1">
      <c r="A54" s="28">
        <v>2</v>
      </c>
      <c r="B54" s="156" t="s">
        <v>120</v>
      </c>
      <c r="C54" s="161" t="s">
        <v>121</v>
      </c>
      <c r="D54" s="181" t="s">
        <v>122</v>
      </c>
      <c r="E54" s="25">
        <v>32263.200000000001</v>
      </c>
      <c r="F54" s="25"/>
      <c r="G54" s="25">
        <v>96789.6</v>
      </c>
      <c r="H54" s="25">
        <v>2419.7399999999998</v>
      </c>
      <c r="I54" s="25">
        <v>40122.19</v>
      </c>
      <c r="J54" s="25">
        <v>16131.6</v>
      </c>
      <c r="K54" s="25">
        <v>112921.2</v>
      </c>
      <c r="L54" s="25">
        <v>32263.200000000001</v>
      </c>
      <c r="M54" s="179"/>
      <c r="N54" s="179">
        <v>80000</v>
      </c>
      <c r="O54" s="25">
        <v>3226.32</v>
      </c>
      <c r="P54" s="25">
        <v>20000</v>
      </c>
      <c r="Q54" s="25">
        <v>0</v>
      </c>
      <c r="R54" s="204">
        <v>436137.05000000005</v>
      </c>
      <c r="S54" s="23"/>
      <c r="T54" s="23">
        <v>50000</v>
      </c>
      <c r="U54" s="23">
        <v>145000</v>
      </c>
      <c r="V54" s="23">
        <v>0</v>
      </c>
      <c r="W54" s="25">
        <v>62404.98</v>
      </c>
      <c r="X54" s="258">
        <v>257404.98</v>
      </c>
      <c r="Y54" s="23">
        <v>178732.07000000004</v>
      </c>
      <c r="Z54" s="207">
        <v>178732.07000000004</v>
      </c>
      <c r="AA54" s="180"/>
    </row>
    <row r="55" spans="1:27" ht="20.100000000000001" customHeight="1">
      <c r="A55" s="28"/>
      <c r="B55" s="159" t="s">
        <v>86</v>
      </c>
      <c r="C55" s="29">
        <v>2</v>
      </c>
      <c r="D55" s="29"/>
      <c r="E55" s="68">
        <f>SUM(E53:E54)</f>
        <v>114003.22</v>
      </c>
      <c r="F55" s="68"/>
      <c r="G55" s="68">
        <f>SUM(G53:G54)</f>
        <v>342009.66000000003</v>
      </c>
      <c r="H55" s="68">
        <f t="shared" ref="H55:Z55" si="76">SUM(H53:H54)</f>
        <v>8550.2415000000001</v>
      </c>
      <c r="I55" s="68">
        <f t="shared" si="76"/>
        <v>120366.57</v>
      </c>
      <c r="J55" s="68">
        <f t="shared" si="76"/>
        <v>57001.61</v>
      </c>
      <c r="K55" s="68">
        <f t="shared" si="76"/>
        <v>399011.27</v>
      </c>
      <c r="L55" s="68">
        <f t="shared" si="76"/>
        <v>114003.22</v>
      </c>
      <c r="M55" s="68">
        <f t="shared" si="76"/>
        <v>200000</v>
      </c>
      <c r="N55" s="68">
        <f t="shared" si="76"/>
        <v>80000</v>
      </c>
      <c r="O55" s="68">
        <f t="shared" si="76"/>
        <v>11400.322</v>
      </c>
      <c r="P55" s="68">
        <f t="shared" si="76"/>
        <v>40000</v>
      </c>
      <c r="Q55" s="68">
        <f t="shared" si="76"/>
        <v>0</v>
      </c>
      <c r="R55" s="68">
        <f t="shared" si="76"/>
        <v>1486346.1135000002</v>
      </c>
      <c r="S55" s="68">
        <f t="shared" si="76"/>
        <v>0</v>
      </c>
      <c r="T55" s="68">
        <f t="shared" si="76"/>
        <v>170000</v>
      </c>
      <c r="U55" s="68">
        <f t="shared" si="76"/>
        <v>265000</v>
      </c>
      <c r="V55" s="68">
        <f t="shared" si="76"/>
        <v>0</v>
      </c>
      <c r="W55" s="68">
        <f t="shared" si="76"/>
        <v>242711.78685866672</v>
      </c>
      <c r="X55" s="358">
        <f t="shared" si="76"/>
        <v>677711.78685866669</v>
      </c>
      <c r="Y55" s="68">
        <v>178732.07000000004</v>
      </c>
      <c r="Z55" s="337">
        <f t="shared" si="76"/>
        <v>808634.32664133352</v>
      </c>
      <c r="AA55" s="180"/>
    </row>
    <row r="56" spans="1:27" ht="20.100000000000001" customHeight="1">
      <c r="A56" s="28"/>
      <c r="B56" s="159"/>
      <c r="C56" s="29"/>
      <c r="D56" s="29"/>
      <c r="E56" s="30"/>
      <c r="F56" s="30"/>
      <c r="G56" s="30"/>
      <c r="H56" s="30"/>
      <c r="I56" s="30"/>
      <c r="J56" s="30"/>
      <c r="K56" s="30"/>
      <c r="L56" s="30"/>
      <c r="M56" s="179"/>
      <c r="N56" s="179"/>
      <c r="O56" s="30"/>
      <c r="P56" s="30"/>
      <c r="Q56" s="30"/>
      <c r="R56" s="212"/>
      <c r="S56" s="30"/>
      <c r="T56" s="30"/>
      <c r="U56" s="30"/>
      <c r="V56" s="30"/>
      <c r="W56" s="30"/>
      <c r="X56" s="260"/>
      <c r="Y56" s="30"/>
      <c r="Z56" s="218"/>
      <c r="AA56" s="180"/>
    </row>
    <row r="57" spans="1:27" ht="20.100000000000001" customHeight="1">
      <c r="A57" s="28"/>
      <c r="B57" s="159" t="s">
        <v>123</v>
      </c>
      <c r="C57" s="29"/>
      <c r="D57" s="29"/>
      <c r="E57" s="30"/>
      <c r="F57" s="30"/>
      <c r="G57" s="30"/>
      <c r="H57" s="30"/>
      <c r="I57" s="30"/>
      <c r="J57" s="30"/>
      <c r="K57" s="30"/>
      <c r="L57" s="30"/>
      <c r="M57" s="179"/>
      <c r="N57" s="179"/>
      <c r="O57" s="30"/>
      <c r="P57" s="30"/>
      <c r="Q57" s="30"/>
      <c r="R57" s="212"/>
      <c r="S57" s="30"/>
      <c r="T57" s="30"/>
      <c r="U57" s="30"/>
      <c r="V57" s="30"/>
      <c r="W57" s="30"/>
      <c r="X57" s="260"/>
      <c r="Y57" s="30"/>
      <c r="Z57" s="218"/>
      <c r="AA57" s="180"/>
    </row>
    <row r="58" spans="1:27" ht="20.100000000000001" customHeight="1">
      <c r="A58" s="28">
        <v>1</v>
      </c>
      <c r="B58" s="156" t="s">
        <v>124</v>
      </c>
      <c r="C58" s="112" t="s">
        <v>125</v>
      </c>
      <c r="D58" s="28" t="s">
        <v>90</v>
      </c>
      <c r="E58" s="25">
        <v>81740.02</v>
      </c>
      <c r="F58" s="25"/>
      <c r="G58" s="25">
        <f t="shared" ref="G58:G68" si="77">E58*300%</f>
        <v>245220.06</v>
      </c>
      <c r="H58" s="25">
        <f t="shared" ref="H58:H68" si="78">E58*7.5%</f>
        <v>6130.5015000000003</v>
      </c>
      <c r="I58" s="25">
        <f>80244.38</f>
        <v>80244.38</v>
      </c>
      <c r="J58" s="25">
        <f t="shared" ref="J58:J68" si="79">E58*50%</f>
        <v>40870.01</v>
      </c>
      <c r="K58" s="25">
        <f t="shared" ref="K58:K68" si="80">E58*350%</f>
        <v>286090.07</v>
      </c>
      <c r="L58" s="25">
        <f t="shared" ref="L58:L68" si="81">E58*100%</f>
        <v>81740.02</v>
      </c>
      <c r="M58" s="179">
        <f>200000</f>
        <v>200000</v>
      </c>
      <c r="N58" s="179"/>
      <c r="O58" s="25">
        <f t="shared" ref="O58:O68" si="82">E58*10%</f>
        <v>8174.0020000000004</v>
      </c>
      <c r="P58" s="25">
        <v>20000</v>
      </c>
      <c r="Q58" s="25">
        <v>0</v>
      </c>
      <c r="R58" s="205">
        <f t="shared" ref="R58:R68" si="83">SUM(E58:Q58)</f>
        <v>1050209.0635000002</v>
      </c>
      <c r="S58" s="25"/>
      <c r="T58" s="25">
        <f>100000+100000</f>
        <v>200000</v>
      </c>
      <c r="U58" s="25">
        <f>223611.11</f>
        <v>223611.11</v>
      </c>
      <c r="V58" s="25"/>
      <c r="W58" s="25">
        <v>180306.80685866671</v>
      </c>
      <c r="X58" s="261">
        <f t="shared" ref="X58:X69" si="84">W58+V58+U58+T58+S58</f>
        <v>603917.91685866669</v>
      </c>
      <c r="Y58" s="25">
        <v>446291.14664133347</v>
      </c>
      <c r="Z58" s="208">
        <f t="shared" ref="Z58:Z69" si="85">R58-X58</f>
        <v>446291.14664133347</v>
      </c>
      <c r="AA58" s="180"/>
    </row>
    <row r="59" spans="1:27" ht="20.100000000000001" customHeight="1">
      <c r="A59" s="28">
        <v>2</v>
      </c>
      <c r="B59" s="289" t="s">
        <v>126</v>
      </c>
      <c r="C59" s="112" t="s">
        <v>127</v>
      </c>
      <c r="D59" s="181" t="s">
        <v>128</v>
      </c>
      <c r="E59" s="204">
        <v>31018.84</v>
      </c>
      <c r="F59" s="25"/>
      <c r="G59" s="25">
        <f t="shared" si="77"/>
        <v>93056.52</v>
      </c>
      <c r="H59" s="25">
        <f t="shared" si="78"/>
        <v>2326.413</v>
      </c>
      <c r="I59" s="25">
        <v>40122.19</v>
      </c>
      <c r="J59" s="25">
        <f t="shared" si="79"/>
        <v>15509.42</v>
      </c>
      <c r="K59" s="25">
        <f t="shared" si="80"/>
        <v>108565.94</v>
      </c>
      <c r="L59" s="25">
        <f t="shared" si="81"/>
        <v>31018.84</v>
      </c>
      <c r="M59" s="179">
        <f>160000</f>
        <v>160000</v>
      </c>
      <c r="N59" s="179"/>
      <c r="O59" s="25">
        <f t="shared" si="82"/>
        <v>3101.884</v>
      </c>
      <c r="P59" s="25">
        <v>20000</v>
      </c>
      <c r="Q59" s="182">
        <v>0</v>
      </c>
      <c r="R59" s="205">
        <f t="shared" si="83"/>
        <v>504720.04700000002</v>
      </c>
      <c r="S59" s="23"/>
      <c r="T59" s="23">
        <f>100000</f>
        <v>100000</v>
      </c>
      <c r="U59" s="23">
        <f>131250</f>
        <v>131250</v>
      </c>
      <c r="V59" s="23"/>
      <c r="W59" s="25">
        <v>75572.915690666661</v>
      </c>
      <c r="X59" s="261">
        <f t="shared" si="84"/>
        <v>306822.91569066665</v>
      </c>
      <c r="Y59" s="23">
        <v>197897.13130933337</v>
      </c>
      <c r="Z59" s="207">
        <f t="shared" si="85"/>
        <v>197897.13130933337</v>
      </c>
      <c r="AA59" s="180"/>
    </row>
    <row r="60" spans="1:27" ht="20.100000000000001" customHeight="1">
      <c r="A60" s="28">
        <v>3</v>
      </c>
      <c r="B60" s="156" t="s">
        <v>129</v>
      </c>
      <c r="C60" s="20" t="s">
        <v>109</v>
      </c>
      <c r="D60" s="28" t="s">
        <v>111</v>
      </c>
      <c r="E60" s="25">
        <v>25854.1</v>
      </c>
      <c r="F60" s="25"/>
      <c r="G60" s="25">
        <f t="shared" si="77"/>
        <v>77562.299999999988</v>
      </c>
      <c r="H60" s="25">
        <f t="shared" si="78"/>
        <v>1939.0574999999999</v>
      </c>
      <c r="I60" s="25"/>
      <c r="J60" s="25">
        <f t="shared" si="79"/>
        <v>12927.05</v>
      </c>
      <c r="K60" s="25">
        <f t="shared" si="80"/>
        <v>90489.349999999991</v>
      </c>
      <c r="L60" s="25">
        <f t="shared" si="81"/>
        <v>25854.1</v>
      </c>
      <c r="M60" s="179">
        <v>140000</v>
      </c>
      <c r="N60" s="179"/>
      <c r="O60" s="25">
        <f t="shared" si="82"/>
        <v>2585.41</v>
      </c>
      <c r="P60" s="25">
        <v>20000</v>
      </c>
      <c r="Q60" s="25"/>
      <c r="R60" s="25">
        <f t="shared" si="83"/>
        <v>397211.36749999999</v>
      </c>
      <c r="S60" s="25"/>
      <c r="T60" s="25">
        <f>110000</f>
        <v>110000</v>
      </c>
      <c r="U60" s="25"/>
      <c r="V60" s="25"/>
      <c r="W60" s="25">
        <f>[3]PROMOTIONS!$X$16</f>
        <v>54931.226666666662</v>
      </c>
      <c r="X60" s="261">
        <f t="shared" si="84"/>
        <v>164931.22666666665</v>
      </c>
      <c r="Y60" s="25">
        <v>282697.20722462353</v>
      </c>
      <c r="Z60" s="208">
        <f t="shared" si="85"/>
        <v>232280.14083333334</v>
      </c>
      <c r="AA60" s="180"/>
    </row>
    <row r="61" spans="1:27" ht="20.100000000000001" customHeight="1">
      <c r="A61" s="28">
        <v>4</v>
      </c>
      <c r="B61" s="157" t="s">
        <v>130</v>
      </c>
      <c r="C61" s="112" t="s">
        <v>131</v>
      </c>
      <c r="D61" s="181" t="s">
        <v>57</v>
      </c>
      <c r="E61" s="25">
        <v>24741.26</v>
      </c>
      <c r="F61" s="25"/>
      <c r="G61" s="25">
        <f t="shared" si="77"/>
        <v>74223.78</v>
      </c>
      <c r="H61" s="25">
        <f t="shared" si="78"/>
        <v>1855.5944999999997</v>
      </c>
      <c r="I61" s="25">
        <v>0</v>
      </c>
      <c r="J61" s="25">
        <f t="shared" si="79"/>
        <v>12370.63</v>
      </c>
      <c r="K61" s="23">
        <f t="shared" si="80"/>
        <v>86594.409999999989</v>
      </c>
      <c r="L61" s="25">
        <f t="shared" si="81"/>
        <v>24741.26</v>
      </c>
      <c r="M61" s="179">
        <f t="shared" ref="M61" si="86">120000</f>
        <v>120000</v>
      </c>
      <c r="N61" s="179"/>
      <c r="O61" s="25">
        <f t="shared" si="82"/>
        <v>2474.1260000000002</v>
      </c>
      <c r="P61" s="25">
        <v>15000</v>
      </c>
      <c r="Q61" s="25">
        <v>0</v>
      </c>
      <c r="R61" s="204">
        <f t="shared" si="83"/>
        <v>362001.06049999996</v>
      </c>
      <c r="S61" s="23"/>
      <c r="T61" s="23">
        <f>20000+65000</f>
        <v>85000</v>
      </c>
      <c r="U61" s="23">
        <v>0</v>
      </c>
      <c r="V61" s="23">
        <v>0</v>
      </c>
      <c r="W61" s="25">
        <v>48170.870282666663</v>
      </c>
      <c r="X61" s="261">
        <f t="shared" si="84"/>
        <v>133170.87028266667</v>
      </c>
      <c r="Y61" s="23">
        <v>228830.19021733329</v>
      </c>
      <c r="Z61" s="207">
        <f t="shared" si="85"/>
        <v>228830.19021733329</v>
      </c>
      <c r="AA61" s="180"/>
    </row>
    <row r="62" spans="1:27" ht="20.100000000000001" customHeight="1">
      <c r="A62" s="28">
        <v>5</v>
      </c>
      <c r="B62" s="158" t="s">
        <v>132</v>
      </c>
      <c r="C62" s="112" t="s">
        <v>109</v>
      </c>
      <c r="D62" s="181" t="s">
        <v>51</v>
      </c>
      <c r="E62" s="25">
        <v>27611.23</v>
      </c>
      <c r="F62" s="25"/>
      <c r="G62" s="25">
        <f>E62*300%</f>
        <v>82833.69</v>
      </c>
      <c r="H62" s="25">
        <f>E62*7.5%</f>
        <v>2070.8422499999997</v>
      </c>
      <c r="I62" s="25"/>
      <c r="J62" s="25">
        <f>E62*50%</f>
        <v>13805.615</v>
      </c>
      <c r="K62" s="23">
        <f>E62*350%</f>
        <v>96639.304999999993</v>
      </c>
      <c r="L62" s="25">
        <f>E62*100%</f>
        <v>27611.23</v>
      </c>
      <c r="M62" s="179">
        <f>140000</f>
        <v>140000</v>
      </c>
      <c r="N62" s="179"/>
      <c r="O62" s="25">
        <f>E62*10%</f>
        <v>2761.123</v>
      </c>
      <c r="P62" s="25">
        <v>20000</v>
      </c>
      <c r="Q62" s="25"/>
      <c r="R62" s="204">
        <f>SUM(E62:Q62)</f>
        <v>413333.03525000007</v>
      </c>
      <c r="S62" s="23"/>
      <c r="T62" s="23">
        <f>10000</f>
        <v>10000</v>
      </c>
      <c r="U62" s="23">
        <f>54585.66</f>
        <v>54585.66</v>
      </c>
      <c r="V62" s="23"/>
      <c r="W62" s="23">
        <v>58026.609434666672</v>
      </c>
      <c r="X62" s="261">
        <f t="shared" si="84"/>
        <v>122612.26943466667</v>
      </c>
      <c r="Y62" s="23">
        <v>290720.76581533341</v>
      </c>
      <c r="Z62" s="207">
        <f t="shared" si="85"/>
        <v>290720.76581533341</v>
      </c>
      <c r="AA62" s="180"/>
    </row>
    <row r="63" spans="1:27" ht="20.100000000000001" customHeight="1">
      <c r="A63" s="28">
        <v>6</v>
      </c>
      <c r="B63" s="158" t="s">
        <v>133</v>
      </c>
      <c r="C63" s="112" t="s">
        <v>109</v>
      </c>
      <c r="D63" s="181" t="s">
        <v>134</v>
      </c>
      <c r="E63" s="25">
        <v>26732.65</v>
      </c>
      <c r="F63" s="25"/>
      <c r="G63" s="25">
        <v>80197.950000000012</v>
      </c>
      <c r="H63" s="25">
        <v>2004.94875</v>
      </c>
      <c r="I63" s="25">
        <v>0</v>
      </c>
      <c r="J63" s="25">
        <v>13366.325000000001</v>
      </c>
      <c r="K63" s="23">
        <v>93564.275000000009</v>
      </c>
      <c r="L63" s="25">
        <v>26732.65</v>
      </c>
      <c r="M63" s="179">
        <v>140000</v>
      </c>
      <c r="N63" s="179"/>
      <c r="O63" s="25">
        <v>2673.2650000000003</v>
      </c>
      <c r="P63" s="25">
        <v>20000</v>
      </c>
      <c r="Q63" s="25">
        <v>0</v>
      </c>
      <c r="R63" s="204">
        <f>SUM(E63:Q63)</f>
        <v>405272.06374999997</v>
      </c>
      <c r="S63" s="23"/>
      <c r="T63" s="23">
        <f>50000</f>
        <v>50000</v>
      </c>
      <c r="U63" s="23"/>
      <c r="V63" s="23"/>
      <c r="W63" s="23">
        <f>56318.07+1598.34</f>
        <v>57916.409999999996</v>
      </c>
      <c r="X63" s="261">
        <f t="shared" si="84"/>
        <v>107916.41</v>
      </c>
      <c r="Y63" s="23">
        <v>297355.65374999994</v>
      </c>
      <c r="Z63" s="207">
        <f t="shared" si="85"/>
        <v>297355.65374999994</v>
      </c>
      <c r="AA63" s="180"/>
    </row>
    <row r="64" spans="1:27" ht="20.100000000000001" customHeight="1">
      <c r="A64" s="28">
        <v>7</v>
      </c>
      <c r="B64" s="156" t="s">
        <v>135</v>
      </c>
      <c r="C64" s="20" t="s">
        <v>113</v>
      </c>
      <c r="D64" s="28" t="s">
        <v>66</v>
      </c>
      <c r="E64" s="25">
        <f>20749</f>
        <v>20749</v>
      </c>
      <c r="F64" s="25"/>
      <c r="G64" s="25">
        <f t="shared" si="77"/>
        <v>62247</v>
      </c>
      <c r="H64" s="25">
        <f t="shared" si="78"/>
        <v>1556.175</v>
      </c>
      <c r="I64" s="25">
        <v>0</v>
      </c>
      <c r="J64" s="25">
        <f t="shared" si="79"/>
        <v>10374.5</v>
      </c>
      <c r="K64" s="25">
        <f t="shared" si="80"/>
        <v>72621.5</v>
      </c>
      <c r="L64" s="25">
        <f t="shared" si="81"/>
        <v>20749</v>
      </c>
      <c r="M64" s="179">
        <f>110000</f>
        <v>110000</v>
      </c>
      <c r="N64" s="179"/>
      <c r="O64" s="25">
        <f t="shared" si="82"/>
        <v>2074.9</v>
      </c>
      <c r="P64" s="25">
        <v>15000</v>
      </c>
      <c r="Q64" s="25">
        <v>0</v>
      </c>
      <c r="R64" s="204">
        <f t="shared" si="83"/>
        <v>315372.07500000001</v>
      </c>
      <c r="S64" s="23"/>
      <c r="T64" s="23">
        <f>10000</f>
        <v>10000</v>
      </c>
      <c r="U64" s="23">
        <f>65885.83</f>
        <v>65885.83</v>
      </c>
      <c r="V64" s="23"/>
      <c r="W64" s="25">
        <f>40149.18</f>
        <v>40149.18</v>
      </c>
      <c r="X64" s="261">
        <f t="shared" si="84"/>
        <v>116035.01000000001</v>
      </c>
      <c r="Y64" s="23">
        <v>199337.065</v>
      </c>
      <c r="Z64" s="207">
        <f t="shared" si="85"/>
        <v>199337.065</v>
      </c>
      <c r="AA64" s="180"/>
    </row>
    <row r="65" spans="1:27" ht="20.100000000000001" customHeight="1">
      <c r="A65" s="28">
        <v>8</v>
      </c>
      <c r="B65" s="156" t="s">
        <v>136</v>
      </c>
      <c r="C65" s="112" t="s">
        <v>137</v>
      </c>
      <c r="D65" s="181" t="s">
        <v>66</v>
      </c>
      <c r="E65" s="25">
        <v>20749</v>
      </c>
      <c r="F65" s="25"/>
      <c r="G65" s="25">
        <f t="shared" ref="G65:G66" si="87">E65*300%</f>
        <v>62247</v>
      </c>
      <c r="H65" s="25">
        <f t="shared" ref="H65:H66" si="88">E65*7.5%</f>
        <v>1556.175</v>
      </c>
      <c r="I65" s="25">
        <v>0</v>
      </c>
      <c r="J65" s="25">
        <f t="shared" ref="J65:J66" si="89">E65*50%</f>
        <v>10374.5</v>
      </c>
      <c r="K65" s="23">
        <f t="shared" ref="K65:K66" si="90">E65*350%</f>
        <v>72621.5</v>
      </c>
      <c r="L65" s="25">
        <f t="shared" ref="L65:L66" si="91">E65*100%</f>
        <v>20749</v>
      </c>
      <c r="M65" s="179">
        <f t="shared" ref="M65:M66" si="92">110000</f>
        <v>110000</v>
      </c>
      <c r="N65" s="179"/>
      <c r="O65" s="25">
        <f t="shared" ref="O65:O66" si="93">E65*10%</f>
        <v>2074.9</v>
      </c>
      <c r="P65" s="25">
        <v>15000</v>
      </c>
      <c r="Q65" s="25">
        <v>0</v>
      </c>
      <c r="R65" s="204">
        <f>SUM(E65:Q65)</f>
        <v>315372.07500000001</v>
      </c>
      <c r="S65" s="23"/>
      <c r="T65" s="23">
        <f>52000-2000</f>
        <v>50000</v>
      </c>
      <c r="U65" s="23"/>
      <c r="V65" s="23"/>
      <c r="W65" s="25">
        <v>40149.175266666673</v>
      </c>
      <c r="X65" s="261">
        <f t="shared" si="84"/>
        <v>90149.175266666673</v>
      </c>
      <c r="Y65" s="23">
        <v>225222.89973333332</v>
      </c>
      <c r="Z65" s="207">
        <f t="shared" si="85"/>
        <v>225222.89973333332</v>
      </c>
      <c r="AA65" s="180"/>
    </row>
    <row r="66" spans="1:27" ht="20.100000000000001" customHeight="1">
      <c r="A66" s="28">
        <v>9</v>
      </c>
      <c r="B66" s="156" t="s">
        <v>138</v>
      </c>
      <c r="C66" s="112" t="s">
        <v>137</v>
      </c>
      <c r="D66" s="181" t="s">
        <v>66</v>
      </c>
      <c r="E66" s="25">
        <v>20749</v>
      </c>
      <c r="F66" s="25"/>
      <c r="G66" s="25">
        <f t="shared" si="87"/>
        <v>62247</v>
      </c>
      <c r="H66" s="25">
        <f t="shared" si="88"/>
        <v>1556.175</v>
      </c>
      <c r="I66" s="25">
        <v>0</v>
      </c>
      <c r="J66" s="25">
        <f t="shared" si="89"/>
        <v>10374.5</v>
      </c>
      <c r="K66" s="23">
        <f t="shared" si="90"/>
        <v>72621.5</v>
      </c>
      <c r="L66" s="25">
        <f t="shared" si="91"/>
        <v>20749</v>
      </c>
      <c r="M66" s="179">
        <f t="shared" si="92"/>
        <v>110000</v>
      </c>
      <c r="N66" s="179"/>
      <c r="O66" s="25">
        <f t="shared" si="93"/>
        <v>2074.9</v>
      </c>
      <c r="P66" s="25">
        <v>15000</v>
      </c>
      <c r="Q66" s="25">
        <v>0</v>
      </c>
      <c r="R66" s="204">
        <f>SUM(E66:Q66)</f>
        <v>315372.07500000001</v>
      </c>
      <c r="S66" s="23"/>
      <c r="T66" s="23">
        <f>67000-2000</f>
        <v>65000</v>
      </c>
      <c r="U66" s="23"/>
      <c r="V66" s="23"/>
      <c r="W66" s="25">
        <v>40149.175266666673</v>
      </c>
      <c r="X66" s="261">
        <f t="shared" si="84"/>
        <v>105149.17526666667</v>
      </c>
      <c r="Y66" s="23">
        <v>210222.89973333332</v>
      </c>
      <c r="Z66" s="207">
        <f t="shared" si="85"/>
        <v>210222.89973333332</v>
      </c>
      <c r="AA66" s="180"/>
    </row>
    <row r="67" spans="1:27" ht="20.100000000000001" customHeight="1">
      <c r="A67" s="28">
        <v>10</v>
      </c>
      <c r="B67" s="156" t="s">
        <v>139</v>
      </c>
      <c r="C67" s="20" t="s">
        <v>140</v>
      </c>
      <c r="D67" s="28" t="s">
        <v>63</v>
      </c>
      <c r="E67" s="25">
        <v>21520.880000000001</v>
      </c>
      <c r="F67" s="25"/>
      <c r="G67" s="25">
        <f t="shared" si="77"/>
        <v>64562.64</v>
      </c>
      <c r="H67" s="25">
        <f t="shared" si="78"/>
        <v>1614.066</v>
      </c>
      <c r="I67" s="25"/>
      <c r="J67" s="25">
        <f t="shared" si="79"/>
        <v>10760.44</v>
      </c>
      <c r="K67" s="25">
        <f t="shared" si="80"/>
        <v>75323.08</v>
      </c>
      <c r="L67" s="25">
        <f t="shared" si="81"/>
        <v>21520.880000000001</v>
      </c>
      <c r="M67" s="179">
        <f>110000</f>
        <v>110000</v>
      </c>
      <c r="N67" s="179"/>
      <c r="O67" s="25">
        <f t="shared" si="82"/>
        <v>2152.0880000000002</v>
      </c>
      <c r="P67" s="25">
        <v>15000</v>
      </c>
      <c r="Q67" s="25"/>
      <c r="R67" s="204">
        <f t="shared" si="83"/>
        <v>322454.07400000002</v>
      </c>
      <c r="S67" s="23"/>
      <c r="T67" s="23">
        <f>80000+20000</f>
        <v>100000</v>
      </c>
      <c r="U67" s="23"/>
      <c r="V67" s="23"/>
      <c r="W67" s="25">
        <v>41338.951098666665</v>
      </c>
      <c r="X67" s="261">
        <f t="shared" si="84"/>
        <v>141338.95109866667</v>
      </c>
      <c r="Y67" s="23">
        <v>181115.12290133335</v>
      </c>
      <c r="Z67" s="207">
        <f t="shared" si="85"/>
        <v>181115.12290133335</v>
      </c>
      <c r="AA67" s="180"/>
    </row>
    <row r="68" spans="1:27" ht="21.6" customHeight="1">
      <c r="A68" s="28">
        <v>11</v>
      </c>
      <c r="B68" s="156" t="s">
        <v>141</v>
      </c>
      <c r="C68" s="20" t="s">
        <v>113</v>
      </c>
      <c r="D68" s="28" t="s">
        <v>95</v>
      </c>
      <c r="E68" s="25">
        <v>17286.330000000002</v>
      </c>
      <c r="F68" s="25">
        <f>'NEW ENROLMENT IN NOVEMBER (2)'!X11</f>
        <v>663193.30400806468</v>
      </c>
      <c r="G68" s="25">
        <f t="shared" si="77"/>
        <v>51858.990000000005</v>
      </c>
      <c r="H68" s="25">
        <f t="shared" si="78"/>
        <v>1296.4747500000001</v>
      </c>
      <c r="I68" s="25"/>
      <c r="J68" s="25">
        <f t="shared" si="79"/>
        <v>8643.1650000000009</v>
      </c>
      <c r="K68" s="25">
        <f t="shared" si="80"/>
        <v>60502.155000000006</v>
      </c>
      <c r="L68" s="25">
        <f t="shared" si="81"/>
        <v>17286.330000000002</v>
      </c>
      <c r="M68" s="179">
        <v>100000</v>
      </c>
      <c r="N68" s="179"/>
      <c r="O68" s="25">
        <f t="shared" si="82"/>
        <v>1728.6330000000003</v>
      </c>
      <c r="P68" s="25">
        <v>10000</v>
      </c>
      <c r="Q68" s="25"/>
      <c r="R68" s="204">
        <f t="shared" si="83"/>
        <v>931795.38175806473</v>
      </c>
      <c r="S68" s="20"/>
      <c r="T68" s="20"/>
      <c r="U68" s="20"/>
      <c r="V68" s="20"/>
      <c r="W68" s="25">
        <f>32291.82</f>
        <v>32291.82</v>
      </c>
      <c r="X68" s="261">
        <f>32291.82</f>
        <v>32291.82</v>
      </c>
      <c r="Y68" s="23">
        <v>0</v>
      </c>
      <c r="Z68" s="366">
        <f>R68-X68</f>
        <v>899503.56175806478</v>
      </c>
    </row>
    <row r="69" spans="1:27" ht="20.100000000000001" customHeight="1">
      <c r="A69" s="28">
        <v>12</v>
      </c>
      <c r="B69" s="156" t="s">
        <v>142</v>
      </c>
      <c r="C69" s="112" t="s">
        <v>65</v>
      </c>
      <c r="D69" s="28" t="s">
        <v>69</v>
      </c>
      <c r="E69" s="25">
        <f>15188.67</f>
        <v>15188.67</v>
      </c>
      <c r="F69" s="25"/>
      <c r="G69" s="25">
        <f t="shared" ref="G69" si="94">E69*300%</f>
        <v>45566.01</v>
      </c>
      <c r="H69" s="25">
        <f t="shared" ref="H69" si="95">E69*7.5%</f>
        <v>1139.1502499999999</v>
      </c>
      <c r="I69" s="25"/>
      <c r="J69" s="25">
        <f t="shared" ref="J69" si="96">E69*50%</f>
        <v>7594.335</v>
      </c>
      <c r="K69" s="25">
        <f t="shared" ref="K69" si="97">E69*350%</f>
        <v>53160.345000000001</v>
      </c>
      <c r="L69" s="25">
        <f t="shared" ref="L69" si="98">E69*100%</f>
        <v>15188.67</v>
      </c>
      <c r="M69" s="179">
        <f t="shared" ref="M69" si="99">100000</f>
        <v>100000</v>
      </c>
      <c r="N69" s="179"/>
      <c r="O69" s="25">
        <f t="shared" ref="O69" si="100">E69*10%</f>
        <v>1518.8670000000002</v>
      </c>
      <c r="P69" s="25">
        <v>10000</v>
      </c>
      <c r="Q69" s="25"/>
      <c r="R69" s="204">
        <f t="shared" ref="R69" si="101">SUM(E69:Q69)</f>
        <v>249356.04725</v>
      </c>
      <c r="S69" s="23"/>
      <c r="T69" s="23">
        <f>10000</f>
        <v>10000</v>
      </c>
      <c r="U69" s="23">
        <f>95833.33</f>
        <v>95833.33</v>
      </c>
      <c r="V69" s="23"/>
      <c r="W69" s="25">
        <v>29058.48260466666</v>
      </c>
      <c r="X69" s="261">
        <f t="shared" si="84"/>
        <v>134891.81260466666</v>
      </c>
      <c r="Y69" s="23">
        <v>114464.23464533334</v>
      </c>
      <c r="Z69" s="207">
        <f t="shared" si="85"/>
        <v>114464.23464533334</v>
      </c>
      <c r="AA69" s="180"/>
    </row>
    <row r="70" spans="1:27" ht="27" customHeight="1">
      <c r="A70" s="28"/>
      <c r="B70" s="159" t="s">
        <v>86</v>
      </c>
      <c r="C70" s="29">
        <v>12</v>
      </c>
      <c r="D70" s="29"/>
      <c r="E70" s="68">
        <f>SUM(E58:E69)</f>
        <v>333940.98</v>
      </c>
      <c r="F70" s="68">
        <f t="shared" ref="F70:Z70" si="102">SUM(F58:F69)</f>
        <v>663193.30400806468</v>
      </c>
      <c r="G70" s="68">
        <f t="shared" si="102"/>
        <v>1001822.9400000001</v>
      </c>
      <c r="H70" s="68">
        <f t="shared" si="102"/>
        <v>25045.573499999999</v>
      </c>
      <c r="I70" s="68">
        <f t="shared" si="102"/>
        <v>120366.57</v>
      </c>
      <c r="J70" s="68">
        <f t="shared" si="102"/>
        <v>166970.49</v>
      </c>
      <c r="K70" s="68">
        <f t="shared" si="102"/>
        <v>1168793.43</v>
      </c>
      <c r="L70" s="68">
        <f t="shared" si="102"/>
        <v>333940.98</v>
      </c>
      <c r="M70" s="68">
        <f t="shared" si="102"/>
        <v>1540000</v>
      </c>
      <c r="N70" s="68">
        <f t="shared" si="102"/>
        <v>0</v>
      </c>
      <c r="O70" s="68">
        <f t="shared" si="102"/>
        <v>33394.098000000005</v>
      </c>
      <c r="P70" s="68">
        <f t="shared" si="102"/>
        <v>195000</v>
      </c>
      <c r="Q70" s="68">
        <f t="shared" si="102"/>
        <v>0</v>
      </c>
      <c r="R70" s="68">
        <f t="shared" si="102"/>
        <v>5582468.3655080656</v>
      </c>
      <c r="S70" s="68">
        <f t="shared" si="102"/>
        <v>0</v>
      </c>
      <c r="T70" s="68">
        <f t="shared" si="102"/>
        <v>790000</v>
      </c>
      <c r="U70" s="68">
        <f t="shared" si="102"/>
        <v>571165.93000000005</v>
      </c>
      <c r="V70" s="68">
        <f t="shared" si="102"/>
        <v>0</v>
      </c>
      <c r="W70" s="68">
        <f t="shared" si="102"/>
        <v>698061.62316999992</v>
      </c>
      <c r="X70" s="68">
        <f t="shared" si="102"/>
        <v>2059227.55317</v>
      </c>
      <c r="Y70" s="68">
        <f t="shared" si="102"/>
        <v>2674154.3169712904</v>
      </c>
      <c r="Z70" s="68">
        <f t="shared" si="102"/>
        <v>3523240.8123380649</v>
      </c>
      <c r="AA70" s="180"/>
    </row>
    <row r="71" spans="1:27" ht="20.100000000000001" customHeight="1">
      <c r="A71" s="28"/>
      <c r="B71" s="123"/>
      <c r="C71" s="29"/>
      <c r="D71" s="29"/>
      <c r="E71" s="30"/>
      <c r="F71" s="30"/>
      <c r="G71" s="30"/>
      <c r="H71" s="30"/>
      <c r="I71" s="30"/>
      <c r="J71" s="30"/>
      <c r="K71" s="30"/>
      <c r="L71" s="30"/>
      <c r="M71" s="179"/>
      <c r="N71" s="179"/>
      <c r="O71" s="30"/>
      <c r="P71" s="30"/>
      <c r="Q71" s="30"/>
      <c r="R71" s="212"/>
      <c r="S71" s="30"/>
      <c r="T71" s="30"/>
      <c r="U71" s="30"/>
      <c r="V71" s="30"/>
      <c r="W71" s="30"/>
      <c r="X71" s="260"/>
      <c r="Y71" s="30"/>
      <c r="Z71" s="218"/>
      <c r="AA71" s="180"/>
    </row>
    <row r="72" spans="1:27" ht="20.100000000000001" customHeight="1">
      <c r="A72" s="28"/>
      <c r="B72" s="159" t="s">
        <v>143</v>
      </c>
      <c r="C72" s="29"/>
      <c r="D72" s="29"/>
      <c r="E72" s="30"/>
      <c r="F72" s="30"/>
      <c r="G72" s="30"/>
      <c r="H72" s="30"/>
      <c r="I72" s="30"/>
      <c r="J72" s="30"/>
      <c r="K72" s="30"/>
      <c r="L72" s="30"/>
      <c r="M72" s="179"/>
      <c r="N72" s="179"/>
      <c r="O72" s="30"/>
      <c r="P72" s="30"/>
      <c r="Q72" s="30"/>
      <c r="R72" s="212"/>
      <c r="S72" s="30"/>
      <c r="T72" s="30"/>
      <c r="U72" s="30"/>
      <c r="V72" s="30"/>
      <c r="W72" s="30"/>
      <c r="X72" s="260"/>
      <c r="Y72" s="30"/>
      <c r="Z72" s="218"/>
      <c r="AA72" s="180"/>
    </row>
    <row r="73" spans="1:27" ht="20.100000000000001" customHeight="1">
      <c r="A73" s="28">
        <v>1</v>
      </c>
      <c r="B73" s="156" t="s">
        <v>144</v>
      </c>
      <c r="C73" s="20" t="s">
        <v>145</v>
      </c>
      <c r="D73" s="28" t="s">
        <v>90</v>
      </c>
      <c r="E73" s="25">
        <v>81740.02</v>
      </c>
      <c r="F73" s="25"/>
      <c r="G73" s="25">
        <f t="shared" ref="G73:G78" si="103">E73*300%</f>
        <v>245220.06</v>
      </c>
      <c r="H73" s="25">
        <f t="shared" ref="H73:H78" si="104">E73*7.5%</f>
        <v>6130.5015000000003</v>
      </c>
      <c r="I73" s="25">
        <v>80244.38</v>
      </c>
      <c r="J73" s="25">
        <f>E73*50%</f>
        <v>40870.01</v>
      </c>
      <c r="K73" s="25">
        <f t="shared" ref="K73:K78" si="105">E73*350%</f>
        <v>286090.07</v>
      </c>
      <c r="L73" s="25">
        <f>E73*100%</f>
        <v>81740.02</v>
      </c>
      <c r="M73" s="179">
        <f>200000</f>
        <v>200000</v>
      </c>
      <c r="N73" s="179"/>
      <c r="O73" s="25">
        <f>E73*10%</f>
        <v>8174.0020000000004</v>
      </c>
      <c r="P73" s="25">
        <v>20000</v>
      </c>
      <c r="Q73" s="25">
        <v>0</v>
      </c>
      <c r="R73" s="204">
        <f>SUM(E73:Q73)</f>
        <v>1050209.0635000002</v>
      </c>
      <c r="S73" s="23"/>
      <c r="T73" s="23">
        <v>250000</v>
      </c>
      <c r="U73" s="23">
        <f>0</f>
        <v>0</v>
      </c>
      <c r="V73" s="23">
        <v>0</v>
      </c>
      <c r="W73" s="25">
        <v>180306.80685866671</v>
      </c>
      <c r="X73" s="258">
        <f t="shared" ref="X73:X79" si="106">W73+V73+U73+T73+S73</f>
        <v>430306.80685866671</v>
      </c>
      <c r="Y73" s="23">
        <v>619902.25664133346</v>
      </c>
      <c r="Z73" s="207">
        <f t="shared" ref="Z73:Z79" si="107">R73-X73</f>
        <v>619902.25664133346</v>
      </c>
      <c r="AA73" s="180"/>
    </row>
    <row r="74" spans="1:27" ht="20.100000000000001" customHeight="1">
      <c r="A74" s="28">
        <v>2</v>
      </c>
      <c r="B74" s="158" t="s">
        <v>146</v>
      </c>
      <c r="C74" s="20" t="s">
        <v>147</v>
      </c>
      <c r="D74" s="181" t="s">
        <v>128</v>
      </c>
      <c r="E74" s="23">
        <v>31018.84</v>
      </c>
      <c r="F74" s="25"/>
      <c r="G74" s="25">
        <f t="shared" si="103"/>
        <v>93056.52</v>
      </c>
      <c r="H74" s="25">
        <f t="shared" si="104"/>
        <v>2326.413</v>
      </c>
      <c r="I74" s="25">
        <v>40122.19</v>
      </c>
      <c r="J74" s="25">
        <f t="shared" ref="J74" si="108">E74*50%</f>
        <v>15509.42</v>
      </c>
      <c r="K74" s="25">
        <f t="shared" si="105"/>
        <v>108565.94</v>
      </c>
      <c r="L74" s="25">
        <f t="shared" ref="L74" si="109">E74*100%</f>
        <v>31018.84</v>
      </c>
      <c r="M74" s="179">
        <f>160000</f>
        <v>160000</v>
      </c>
      <c r="N74" s="179"/>
      <c r="O74" s="25">
        <f t="shared" ref="O74" si="110">E74*10%</f>
        <v>3101.884</v>
      </c>
      <c r="P74" s="25">
        <v>20000</v>
      </c>
      <c r="Q74" s="182">
        <v>0</v>
      </c>
      <c r="R74" s="204">
        <f t="shared" ref="R74:R79" si="111">SUM(E74:Q74)</f>
        <v>504720.04700000002</v>
      </c>
      <c r="S74" s="23"/>
      <c r="T74" s="23"/>
      <c r="U74" s="23"/>
      <c r="V74" s="23">
        <v>0</v>
      </c>
      <c r="W74" s="25">
        <v>75572.915690666661</v>
      </c>
      <c r="X74" s="258">
        <f t="shared" si="106"/>
        <v>75572.915690666661</v>
      </c>
      <c r="Y74" s="23">
        <v>429147.13130933337</v>
      </c>
      <c r="Z74" s="207">
        <f t="shared" si="107"/>
        <v>429147.13130933337</v>
      </c>
      <c r="AA74" s="180"/>
    </row>
    <row r="75" spans="1:27" ht="20.100000000000001" customHeight="1">
      <c r="A75" s="28">
        <v>3</v>
      </c>
      <c r="B75" s="157" t="s">
        <v>148</v>
      </c>
      <c r="C75" s="161" t="s">
        <v>149</v>
      </c>
      <c r="D75" s="28" t="s">
        <v>122</v>
      </c>
      <c r="E75" s="23">
        <v>32263.200000000001</v>
      </c>
      <c r="F75" s="25"/>
      <c r="G75" s="25">
        <f>E75*300%</f>
        <v>96789.6</v>
      </c>
      <c r="H75" s="25">
        <f>E75*7.5%</f>
        <v>2419.7399999999998</v>
      </c>
      <c r="I75" s="25">
        <v>40122.19</v>
      </c>
      <c r="J75" s="25">
        <f>E75*50%</f>
        <v>16131.6</v>
      </c>
      <c r="K75" s="25">
        <f>E75*350%</f>
        <v>112921.2</v>
      </c>
      <c r="L75" s="25">
        <f>E75*100%</f>
        <v>32263.200000000001</v>
      </c>
      <c r="M75" s="179"/>
      <c r="N75" s="179">
        <f>80000</f>
        <v>80000</v>
      </c>
      <c r="O75" s="25">
        <f>E75*10%</f>
        <v>3226.32</v>
      </c>
      <c r="P75" s="25">
        <v>20000</v>
      </c>
      <c r="Q75" s="182">
        <v>0</v>
      </c>
      <c r="R75" s="204">
        <f t="shared" si="111"/>
        <v>436137.05000000005</v>
      </c>
      <c r="S75" s="23"/>
      <c r="T75" s="23">
        <f>50000</f>
        <v>50000</v>
      </c>
      <c r="U75" s="23">
        <f>59583.33</f>
        <v>59583.33</v>
      </c>
      <c r="V75" s="23"/>
      <c r="W75" s="23">
        <v>62404.980266666658</v>
      </c>
      <c r="X75" s="258">
        <f t="shared" si="106"/>
        <v>171988.31026666667</v>
      </c>
      <c r="Y75" s="23">
        <v>264148.73973333335</v>
      </c>
      <c r="Z75" s="207">
        <f t="shared" si="107"/>
        <v>264148.73973333335</v>
      </c>
      <c r="AA75" s="180"/>
    </row>
    <row r="76" spans="1:27" ht="20.100000000000001" customHeight="1">
      <c r="A76" s="28">
        <v>4</v>
      </c>
      <c r="B76" s="156" t="s">
        <v>150</v>
      </c>
      <c r="C76" s="20" t="s">
        <v>151</v>
      </c>
      <c r="D76" s="181" t="s">
        <v>111</v>
      </c>
      <c r="E76" s="25">
        <v>25854.1</v>
      </c>
      <c r="F76" s="25"/>
      <c r="G76" s="25">
        <f>E76*300%</f>
        <v>77562.299999999988</v>
      </c>
      <c r="H76" s="25">
        <f>E76*7.5%</f>
        <v>1939.0574999999999</v>
      </c>
      <c r="I76" s="25">
        <v>0</v>
      </c>
      <c r="J76" s="25">
        <f>E76*50%</f>
        <v>12927.05</v>
      </c>
      <c r="K76" s="23">
        <f>E76*350%</f>
        <v>90489.349999999991</v>
      </c>
      <c r="L76" s="25">
        <f>E76*100%</f>
        <v>25854.1</v>
      </c>
      <c r="M76" s="179">
        <f>140000</f>
        <v>140000</v>
      </c>
      <c r="N76" s="179"/>
      <c r="O76" s="25">
        <f>E76*10%</f>
        <v>2585.41</v>
      </c>
      <c r="P76" s="25">
        <v>20000</v>
      </c>
      <c r="Q76" s="25">
        <v>0</v>
      </c>
      <c r="R76" s="23">
        <f t="shared" si="111"/>
        <v>397211.36749999999</v>
      </c>
      <c r="S76" s="23"/>
      <c r="T76" s="23">
        <v>20000</v>
      </c>
      <c r="U76" s="23">
        <f>96664.65</f>
        <v>96664.65</v>
      </c>
      <c r="V76" s="23">
        <v>638.08625000000006</v>
      </c>
      <c r="W76" s="25">
        <f>[3]PROMOTIONS!$X$20</f>
        <v>54931.226666666662</v>
      </c>
      <c r="X76" s="258">
        <f t="shared" si="106"/>
        <v>172233.96291666664</v>
      </c>
      <c r="Y76" s="23">
        <v>428837.71651333326</v>
      </c>
      <c r="Z76" s="207">
        <f t="shared" si="107"/>
        <v>224977.40458333335</v>
      </c>
      <c r="AA76" s="180"/>
    </row>
    <row r="77" spans="1:27" ht="20.100000000000001" customHeight="1">
      <c r="A77" s="28">
        <v>5</v>
      </c>
      <c r="B77" s="156" t="s">
        <v>152</v>
      </c>
      <c r="C77" s="20" t="s">
        <v>153</v>
      </c>
      <c r="D77" s="28" t="s">
        <v>154</v>
      </c>
      <c r="E77" s="25">
        <v>17784.099999999999</v>
      </c>
      <c r="F77" s="25"/>
      <c r="G77" s="25">
        <f t="shared" si="103"/>
        <v>53352.299999999996</v>
      </c>
      <c r="H77" s="25">
        <f t="shared" si="104"/>
        <v>1333.8074999999999</v>
      </c>
      <c r="I77" s="25"/>
      <c r="J77" s="25">
        <f t="shared" ref="J77:J78" si="112">E77*50%</f>
        <v>8892.0499999999993</v>
      </c>
      <c r="K77" s="25">
        <f t="shared" si="105"/>
        <v>62244.349999999991</v>
      </c>
      <c r="L77" s="25">
        <f t="shared" ref="L77:L78" si="113">E77*100%</f>
        <v>17784.099999999999</v>
      </c>
      <c r="M77" s="179">
        <f>100000</f>
        <v>100000</v>
      </c>
      <c r="N77" s="179"/>
      <c r="O77" s="25">
        <f t="shared" ref="O77:O78" si="114">E77*10%</f>
        <v>1778.4099999999999</v>
      </c>
      <c r="P77" s="25">
        <v>10000</v>
      </c>
      <c r="Q77" s="25"/>
      <c r="R77" s="204">
        <f t="shared" si="111"/>
        <v>273169.11749999999</v>
      </c>
      <c r="S77" s="23"/>
      <c r="T77" s="23">
        <f>50000</f>
        <v>50000</v>
      </c>
      <c r="U77" s="23">
        <f>50000</f>
        <v>50000</v>
      </c>
      <c r="V77" s="23"/>
      <c r="W77" s="25">
        <v>33059.078406666667</v>
      </c>
      <c r="X77" s="258">
        <f t="shared" si="106"/>
        <v>133059.07840666667</v>
      </c>
      <c r="Y77" s="23">
        <v>140110.03909333333</v>
      </c>
      <c r="Z77" s="207">
        <f t="shared" si="107"/>
        <v>140110.03909333333</v>
      </c>
      <c r="AA77" s="180"/>
    </row>
    <row r="78" spans="1:27" ht="20.100000000000001" customHeight="1">
      <c r="A78" s="28">
        <v>6</v>
      </c>
      <c r="B78" s="156" t="s">
        <v>155</v>
      </c>
      <c r="C78" s="20" t="s">
        <v>153</v>
      </c>
      <c r="D78" s="28" t="s">
        <v>73</v>
      </c>
      <c r="E78" s="25">
        <f>14736.14</f>
        <v>14736.14</v>
      </c>
      <c r="F78" s="25"/>
      <c r="G78" s="25">
        <f t="shared" si="103"/>
        <v>44208.42</v>
      </c>
      <c r="H78" s="25">
        <f t="shared" si="104"/>
        <v>1105.2104999999999</v>
      </c>
      <c r="I78" s="25"/>
      <c r="J78" s="25">
        <f t="shared" si="112"/>
        <v>7368.07</v>
      </c>
      <c r="K78" s="25">
        <f t="shared" si="105"/>
        <v>51576.49</v>
      </c>
      <c r="L78" s="25">
        <f t="shared" si="113"/>
        <v>14736.14</v>
      </c>
      <c r="M78" s="179">
        <v>100000</v>
      </c>
      <c r="N78" s="179"/>
      <c r="O78" s="25">
        <f t="shared" si="114"/>
        <v>1473.614</v>
      </c>
      <c r="P78" s="25">
        <v>10000</v>
      </c>
      <c r="Q78" s="25"/>
      <c r="R78" s="204">
        <f t="shared" si="111"/>
        <v>245204.0845</v>
      </c>
      <c r="S78" s="23"/>
      <c r="T78" s="23"/>
      <c r="U78" s="23"/>
      <c r="V78" s="23"/>
      <c r="W78" s="25">
        <f>28360.95</f>
        <v>28360.95</v>
      </c>
      <c r="X78" s="258">
        <f t="shared" si="106"/>
        <v>28360.95</v>
      </c>
      <c r="Y78" s="23">
        <v>216843.13449999999</v>
      </c>
      <c r="Z78" s="207">
        <f t="shared" si="107"/>
        <v>216843.13449999999</v>
      </c>
      <c r="AA78" s="180"/>
    </row>
    <row r="79" spans="1:27" ht="20.100000000000001" customHeight="1">
      <c r="A79" s="28">
        <v>7</v>
      </c>
      <c r="B79" s="156" t="s">
        <v>156</v>
      </c>
      <c r="C79" s="20" t="s">
        <v>157</v>
      </c>
      <c r="D79" s="28" t="s">
        <v>85</v>
      </c>
      <c r="E79" s="25">
        <v>12352.94</v>
      </c>
      <c r="F79" s="25"/>
      <c r="G79" s="25">
        <v>37058.82</v>
      </c>
      <c r="H79" s="25">
        <v>926.47050000000002</v>
      </c>
      <c r="I79" s="25"/>
      <c r="J79" s="25">
        <v>6176.47</v>
      </c>
      <c r="K79" s="25">
        <v>43235.29</v>
      </c>
      <c r="L79" s="25">
        <v>12352.94</v>
      </c>
      <c r="M79" s="179">
        <v>100000</v>
      </c>
      <c r="N79" s="179">
        <v>0</v>
      </c>
      <c r="O79" s="25">
        <v>1235.2940000000001</v>
      </c>
      <c r="P79" s="25">
        <v>10000</v>
      </c>
      <c r="Q79" s="25"/>
      <c r="R79" s="204">
        <f t="shared" si="111"/>
        <v>223338.22450000001</v>
      </c>
      <c r="S79" s="23"/>
      <c r="T79" s="23">
        <v>20000</v>
      </c>
      <c r="U79" s="23">
        <v>0</v>
      </c>
      <c r="V79" s="23">
        <v>0</v>
      </c>
      <c r="W79" s="25">
        <f>24687.49</f>
        <v>24687.49</v>
      </c>
      <c r="X79" s="258">
        <f t="shared" si="106"/>
        <v>44687.490000000005</v>
      </c>
      <c r="Y79" s="23">
        <v>178650.73450000002</v>
      </c>
      <c r="Z79" s="207">
        <f t="shared" si="107"/>
        <v>178650.73450000002</v>
      </c>
      <c r="AA79" s="180"/>
    </row>
    <row r="80" spans="1:27" ht="20.100000000000001" customHeight="1">
      <c r="A80" s="28"/>
      <c r="B80" s="159" t="s">
        <v>86</v>
      </c>
      <c r="C80" s="29">
        <v>7</v>
      </c>
      <c r="D80" s="29"/>
      <c r="E80" s="68">
        <f>SUM(E73:E79)</f>
        <v>215749.34000000003</v>
      </c>
      <c r="F80" s="68">
        <f t="shared" ref="F80:Z80" si="115">SUM(F73:F79)</f>
        <v>0</v>
      </c>
      <c r="G80" s="68">
        <f t="shared" si="115"/>
        <v>647248.02</v>
      </c>
      <c r="H80" s="68">
        <f t="shared" si="115"/>
        <v>16181.200499999997</v>
      </c>
      <c r="I80" s="68">
        <f t="shared" si="115"/>
        <v>160488.76</v>
      </c>
      <c r="J80" s="68">
        <f t="shared" si="115"/>
        <v>107874.67000000001</v>
      </c>
      <c r="K80" s="68">
        <f t="shared" si="115"/>
        <v>755122.69000000006</v>
      </c>
      <c r="L80" s="68">
        <f t="shared" si="115"/>
        <v>215749.34000000003</v>
      </c>
      <c r="M80" s="68">
        <f t="shared" si="115"/>
        <v>800000</v>
      </c>
      <c r="N80" s="68">
        <f t="shared" si="115"/>
        <v>80000</v>
      </c>
      <c r="O80" s="68">
        <f t="shared" si="115"/>
        <v>21574.934000000005</v>
      </c>
      <c r="P80" s="68">
        <f t="shared" si="115"/>
        <v>110000</v>
      </c>
      <c r="Q80" s="68">
        <f t="shared" si="115"/>
        <v>0</v>
      </c>
      <c r="R80" s="68">
        <f t="shared" si="115"/>
        <v>3129988.9545000005</v>
      </c>
      <c r="S80" s="68">
        <f t="shared" si="115"/>
        <v>0</v>
      </c>
      <c r="T80" s="68">
        <f t="shared" si="115"/>
        <v>390000</v>
      </c>
      <c r="U80" s="68">
        <f t="shared" si="115"/>
        <v>206247.97999999998</v>
      </c>
      <c r="V80" s="68">
        <f t="shared" si="115"/>
        <v>638.08625000000006</v>
      </c>
      <c r="W80" s="68">
        <f t="shared" si="115"/>
        <v>459323.44788933342</v>
      </c>
      <c r="X80" s="358">
        <f t="shared" si="115"/>
        <v>1056209.5141393333</v>
      </c>
      <c r="Y80" s="68">
        <v>2277639.752290667</v>
      </c>
      <c r="Z80" s="337">
        <f t="shared" si="115"/>
        <v>2073779.4403606665</v>
      </c>
      <c r="AA80" s="180"/>
    </row>
    <row r="81" spans="1:27" ht="20.100000000000001" customHeight="1">
      <c r="A81" s="28"/>
      <c r="B81" s="159"/>
      <c r="C81" s="29"/>
      <c r="D81" s="29"/>
      <c r="E81" s="30"/>
      <c r="F81" s="30"/>
      <c r="G81" s="30"/>
      <c r="H81" s="30"/>
      <c r="I81" s="30"/>
      <c r="J81" s="30"/>
      <c r="K81" s="30"/>
      <c r="L81" s="30"/>
      <c r="M81" s="179"/>
      <c r="N81" s="179"/>
      <c r="O81" s="30"/>
      <c r="P81" s="30"/>
      <c r="Q81" s="30"/>
      <c r="R81" s="213"/>
      <c r="S81" s="182"/>
      <c r="T81" s="182"/>
      <c r="U81" s="182"/>
      <c r="V81" s="182"/>
      <c r="W81" s="30"/>
      <c r="X81" s="258"/>
      <c r="Y81" s="23"/>
      <c r="Z81" s="207"/>
      <c r="AA81" s="180"/>
    </row>
    <row r="82" spans="1:27" ht="20.100000000000001" customHeight="1">
      <c r="A82" s="28"/>
      <c r="B82" s="159" t="s">
        <v>158</v>
      </c>
      <c r="C82" s="186"/>
      <c r="D82" s="29"/>
      <c r="E82" s="30"/>
      <c r="F82" s="30"/>
      <c r="G82" s="30"/>
      <c r="H82" s="30"/>
      <c r="I82" s="30"/>
      <c r="J82" s="30"/>
      <c r="K82" s="30"/>
      <c r="L82" s="30"/>
      <c r="M82" s="179"/>
      <c r="N82" s="179"/>
      <c r="O82" s="30"/>
      <c r="P82" s="30"/>
      <c r="Q82" s="30"/>
      <c r="R82" s="213"/>
      <c r="S82" s="182"/>
      <c r="T82" s="182"/>
      <c r="U82" s="182"/>
      <c r="V82" s="182"/>
      <c r="W82" s="30"/>
      <c r="X82" s="258"/>
      <c r="Y82" s="23"/>
      <c r="Z82" s="207"/>
      <c r="AA82" s="180"/>
    </row>
    <row r="83" spans="1:27" ht="20.100000000000001" customHeight="1">
      <c r="A83" s="28">
        <v>1</v>
      </c>
      <c r="B83" s="156" t="s">
        <v>159</v>
      </c>
      <c r="C83" s="20" t="s">
        <v>102</v>
      </c>
      <c r="D83" s="28" t="s">
        <v>45</v>
      </c>
      <c r="E83" s="25">
        <v>33507.5</v>
      </c>
      <c r="F83" s="25"/>
      <c r="G83" s="25">
        <f t="shared" ref="G83:G87" si="116">E83*300%</f>
        <v>100522.5</v>
      </c>
      <c r="H83" s="25">
        <f t="shared" ref="H83:H87" si="117">E83*7.5%</f>
        <v>2513.0625</v>
      </c>
      <c r="I83" s="25">
        <f>40122.19</f>
        <v>40122.19</v>
      </c>
      <c r="J83" s="25">
        <f t="shared" ref="J83:J87" si="118">E83*50%</f>
        <v>16753.75</v>
      </c>
      <c r="K83" s="25">
        <f t="shared" ref="K83:K87" si="119">E83*350%</f>
        <v>117276.25</v>
      </c>
      <c r="L83" s="25">
        <f t="shared" ref="L83:L87" si="120">E83*100%</f>
        <v>33507.5</v>
      </c>
      <c r="M83" s="179">
        <f>160000</f>
        <v>160000</v>
      </c>
      <c r="N83" s="179"/>
      <c r="O83" s="25">
        <f t="shared" ref="O83:O87" si="121">E83*10%</f>
        <v>3350.75</v>
      </c>
      <c r="P83" s="25">
        <v>20000</v>
      </c>
      <c r="Q83" s="25">
        <v>100000</v>
      </c>
      <c r="R83" s="204">
        <f t="shared" ref="R83:R93" si="122">SUM(E83:Q83)</f>
        <v>627553.50249999994</v>
      </c>
      <c r="S83" s="23"/>
      <c r="T83" s="23"/>
      <c r="U83" s="23"/>
      <c r="V83" s="23"/>
      <c r="W83" s="25">
        <v>99156.94</v>
      </c>
      <c r="X83" s="258">
        <f t="shared" ref="X83:X93" si="123">W83+V83+U83+T83+S83</f>
        <v>99156.94</v>
      </c>
      <c r="Y83" s="23">
        <v>528396.5625</v>
      </c>
      <c r="Z83" s="207">
        <f t="shared" ref="Z83:Z93" si="124">R83-X83</f>
        <v>528396.5625</v>
      </c>
      <c r="AA83" s="180"/>
    </row>
    <row r="84" spans="1:27" ht="20.100000000000001" customHeight="1">
      <c r="A84" s="28">
        <v>2</v>
      </c>
      <c r="B84" s="156" t="s">
        <v>160</v>
      </c>
      <c r="C84" s="20" t="s">
        <v>102</v>
      </c>
      <c r="D84" s="28" t="s">
        <v>45</v>
      </c>
      <c r="E84" s="25">
        <v>33507.5</v>
      </c>
      <c r="F84" s="25"/>
      <c r="G84" s="25">
        <f>E84*300%</f>
        <v>100522.5</v>
      </c>
      <c r="H84" s="25">
        <f>E84*7.5%</f>
        <v>2513.0625</v>
      </c>
      <c r="I84" s="25">
        <f>40122.19</f>
        <v>40122.19</v>
      </c>
      <c r="J84" s="25">
        <f>E84*50%</f>
        <v>16753.75</v>
      </c>
      <c r="K84" s="25">
        <f>E84*350%</f>
        <v>117276.25</v>
      </c>
      <c r="L84" s="25">
        <f>E84*100%</f>
        <v>33507.5</v>
      </c>
      <c r="M84" s="179">
        <f>160000</f>
        <v>160000</v>
      </c>
      <c r="N84" s="179"/>
      <c r="O84" s="25">
        <f>E84*10%</f>
        <v>3350.75</v>
      </c>
      <c r="P84" s="25">
        <v>20000</v>
      </c>
      <c r="Q84" s="25"/>
      <c r="R84" s="204">
        <f t="shared" si="122"/>
        <v>527553.50249999994</v>
      </c>
      <c r="S84" s="23"/>
      <c r="T84" s="23">
        <f>30000</f>
        <v>30000</v>
      </c>
      <c r="U84" s="23">
        <v>98750</v>
      </c>
      <c r="V84" s="23">
        <v>837.6875</v>
      </c>
      <c r="W84" s="25">
        <v>79796.103146666646</v>
      </c>
      <c r="X84" s="258">
        <f t="shared" si="123"/>
        <v>209383.79064666666</v>
      </c>
      <c r="Y84" s="23">
        <v>318169.71185333328</v>
      </c>
      <c r="Z84" s="207">
        <f t="shared" si="124"/>
        <v>318169.71185333328</v>
      </c>
      <c r="AA84" s="180"/>
    </row>
    <row r="85" spans="1:27" ht="20.100000000000001" customHeight="1">
      <c r="A85" s="28">
        <v>3</v>
      </c>
      <c r="B85" s="158" t="s">
        <v>161</v>
      </c>
      <c r="C85" s="20" t="s">
        <v>102</v>
      </c>
      <c r="D85" s="28" t="s">
        <v>48</v>
      </c>
      <c r="E85" s="25">
        <v>31018.84</v>
      </c>
      <c r="F85" s="25"/>
      <c r="G85" s="25">
        <f>E85*300%</f>
        <v>93056.52</v>
      </c>
      <c r="H85" s="25">
        <f>E85*7.5%</f>
        <v>2326.413</v>
      </c>
      <c r="I85" s="25">
        <f>40122.19</f>
        <v>40122.19</v>
      </c>
      <c r="J85" s="25">
        <f>E85*50%</f>
        <v>15509.42</v>
      </c>
      <c r="K85" s="23">
        <f>E85*350%</f>
        <v>108565.94</v>
      </c>
      <c r="L85" s="25">
        <f>E85*100%</f>
        <v>31018.84</v>
      </c>
      <c r="M85" s="179">
        <v>160000</v>
      </c>
      <c r="N85" s="179"/>
      <c r="O85" s="25">
        <f>E85*10%</f>
        <v>3101.884</v>
      </c>
      <c r="P85" s="25">
        <v>20000</v>
      </c>
      <c r="Q85" s="25">
        <v>0</v>
      </c>
      <c r="R85" s="23">
        <f t="shared" si="122"/>
        <v>504720.04700000002</v>
      </c>
      <c r="S85" s="25"/>
      <c r="T85" s="23">
        <f>20000</f>
        <v>20000</v>
      </c>
      <c r="U85" s="23">
        <f>163103.59</f>
        <v>163103.59</v>
      </c>
      <c r="V85" s="23">
        <f>PROMOTIONS!V15</f>
        <v>837.69</v>
      </c>
      <c r="W85" s="23">
        <f>[3]PROMOTIONS!$X$15</f>
        <v>75440.404746666667</v>
      </c>
      <c r="X85" s="258">
        <f t="shared" si="123"/>
        <v>259381.68474666667</v>
      </c>
      <c r="Y85" s="25">
        <v>851286.19716733287</v>
      </c>
      <c r="Z85" s="207">
        <f t="shared" si="124"/>
        <v>245338.36225333335</v>
      </c>
      <c r="AA85" s="180"/>
    </row>
    <row r="86" spans="1:27" ht="20.100000000000001" customHeight="1">
      <c r="A86" s="28">
        <v>4</v>
      </c>
      <c r="B86" s="156" t="s">
        <v>162</v>
      </c>
      <c r="C86" s="20" t="s">
        <v>102</v>
      </c>
      <c r="D86" s="28" t="s">
        <v>48</v>
      </c>
      <c r="E86" s="25">
        <v>31019.84</v>
      </c>
      <c r="F86" s="25"/>
      <c r="G86" s="25">
        <f t="shared" si="116"/>
        <v>93059.520000000004</v>
      </c>
      <c r="H86" s="25">
        <f t="shared" si="117"/>
        <v>2326.4879999999998</v>
      </c>
      <c r="I86" s="25">
        <f>40122.19</f>
        <v>40122.19</v>
      </c>
      <c r="J86" s="25">
        <f t="shared" si="118"/>
        <v>15509.92</v>
      </c>
      <c r="K86" s="25">
        <f t="shared" si="119"/>
        <v>108569.44</v>
      </c>
      <c r="L86" s="25">
        <f t="shared" si="120"/>
        <v>31019.84</v>
      </c>
      <c r="M86" s="179">
        <v>160000</v>
      </c>
      <c r="N86" s="179"/>
      <c r="O86" s="25">
        <f t="shared" si="121"/>
        <v>3101.9840000000004</v>
      </c>
      <c r="P86" s="25">
        <v>20000</v>
      </c>
      <c r="Q86" s="25"/>
      <c r="R86" s="23">
        <f t="shared" si="122"/>
        <v>504729.22200000007</v>
      </c>
      <c r="S86" s="23"/>
      <c r="T86" s="23">
        <f>50000</f>
        <v>50000</v>
      </c>
      <c r="U86" s="179">
        <f>79861.11</f>
        <v>79861.11</v>
      </c>
      <c r="V86" s="23"/>
      <c r="W86" s="23">
        <f>[3]PROMOTIONS!$X$24</f>
        <v>75572.938666666669</v>
      </c>
      <c r="X86" s="258">
        <f t="shared" si="123"/>
        <v>205434.04866666667</v>
      </c>
      <c r="Y86" s="23">
        <v>373135.97551800002</v>
      </c>
      <c r="Z86" s="207">
        <f t="shared" si="124"/>
        <v>299295.1733333334</v>
      </c>
      <c r="AA86" s="180"/>
    </row>
    <row r="87" spans="1:27" ht="21.6" customHeight="1">
      <c r="A87" s="28">
        <v>5</v>
      </c>
      <c r="B87" s="156" t="s">
        <v>163</v>
      </c>
      <c r="C87" s="20" t="s">
        <v>164</v>
      </c>
      <c r="D87" s="181" t="s">
        <v>165</v>
      </c>
      <c r="E87" s="25">
        <v>25523.45</v>
      </c>
      <c r="F87" s="25"/>
      <c r="G87" s="25">
        <f t="shared" si="116"/>
        <v>76570.350000000006</v>
      </c>
      <c r="H87" s="25">
        <f t="shared" si="117"/>
        <v>1914.25875</v>
      </c>
      <c r="I87" s="25">
        <v>0</v>
      </c>
      <c r="J87" s="25">
        <f t="shared" si="118"/>
        <v>12761.725</v>
      </c>
      <c r="K87" s="23">
        <f t="shared" si="119"/>
        <v>89332.074999999997</v>
      </c>
      <c r="L87" s="25">
        <f t="shared" si="120"/>
        <v>25523.45</v>
      </c>
      <c r="M87" s="179">
        <f>120000</f>
        <v>120000</v>
      </c>
      <c r="N87" s="179"/>
      <c r="O87" s="25">
        <f t="shared" si="121"/>
        <v>2552.3450000000003</v>
      </c>
      <c r="P87" s="25">
        <v>15000</v>
      </c>
      <c r="Q87" s="25">
        <v>0</v>
      </c>
      <c r="R87" s="204">
        <f t="shared" si="122"/>
        <v>369177.65375</v>
      </c>
      <c r="S87" s="23"/>
      <c r="T87" s="23">
        <f>50000</f>
        <v>50000</v>
      </c>
      <c r="U87" s="23">
        <v>0</v>
      </c>
      <c r="V87" s="23"/>
      <c r="W87" s="25">
        <v>49548.776186666662</v>
      </c>
      <c r="X87" s="258">
        <f t="shared" si="123"/>
        <v>99548.776186666655</v>
      </c>
      <c r="Y87" s="23">
        <v>269628.87756333337</v>
      </c>
      <c r="Z87" s="207">
        <f t="shared" si="124"/>
        <v>269628.87756333337</v>
      </c>
      <c r="AA87" s="180"/>
    </row>
    <row r="88" spans="1:27" ht="21.6" customHeight="1">
      <c r="A88" s="28">
        <v>6</v>
      </c>
      <c r="B88" s="156" t="s">
        <v>166</v>
      </c>
      <c r="C88" s="161" t="s">
        <v>131</v>
      </c>
      <c r="D88" s="181" t="s">
        <v>57</v>
      </c>
      <c r="E88" s="25">
        <v>24741.26</v>
      </c>
      <c r="F88" s="25"/>
      <c r="G88" s="25">
        <f t="shared" ref="G88:G92" si="125">E88*300%</f>
        <v>74223.78</v>
      </c>
      <c r="H88" s="25">
        <f t="shared" ref="H88:H92" si="126">E88*7.5%</f>
        <v>1855.5944999999997</v>
      </c>
      <c r="I88" s="25">
        <v>0</v>
      </c>
      <c r="J88" s="25">
        <f t="shared" ref="J88:J92" si="127">E88*50%</f>
        <v>12370.63</v>
      </c>
      <c r="K88" s="23">
        <f t="shared" ref="K88:K92" si="128">E88*350%</f>
        <v>86594.409999999989</v>
      </c>
      <c r="L88" s="25">
        <f t="shared" ref="L88:L92" si="129">E88*100%</f>
        <v>24741.26</v>
      </c>
      <c r="M88" s="179">
        <f t="shared" ref="M88" si="130">120000</f>
        <v>120000</v>
      </c>
      <c r="N88" s="179"/>
      <c r="O88" s="25">
        <f t="shared" ref="O88:O92" si="131">E88*10%</f>
        <v>2474.1260000000002</v>
      </c>
      <c r="P88" s="25">
        <v>15000</v>
      </c>
      <c r="Q88" s="25">
        <v>0</v>
      </c>
      <c r="R88" s="204">
        <f t="shared" si="122"/>
        <v>362001.06049999996</v>
      </c>
      <c r="S88" s="23"/>
      <c r="T88" s="23"/>
      <c r="U88" s="23"/>
      <c r="V88" s="23"/>
      <c r="W88" s="25">
        <v>48170.870282666663</v>
      </c>
      <c r="X88" s="258">
        <f t="shared" si="123"/>
        <v>48170.870282666663</v>
      </c>
      <c r="Y88" s="23">
        <v>313830.19021733332</v>
      </c>
      <c r="Z88" s="207">
        <f t="shared" si="124"/>
        <v>313830.19021733332</v>
      </c>
      <c r="AA88" s="180"/>
    </row>
    <row r="89" spans="1:27" ht="21.6" customHeight="1">
      <c r="A89" s="28">
        <v>7</v>
      </c>
      <c r="B89" s="156" t="s">
        <v>167</v>
      </c>
      <c r="C89" s="161" t="s">
        <v>109</v>
      </c>
      <c r="D89" s="181" t="s">
        <v>168</v>
      </c>
      <c r="E89" s="25">
        <f>[5]Sheet1!$D$17</f>
        <v>24975.81</v>
      </c>
      <c r="F89" s="25"/>
      <c r="G89" s="25">
        <f t="shared" si="125"/>
        <v>74927.430000000008</v>
      </c>
      <c r="H89" s="25">
        <f t="shared" si="126"/>
        <v>1873.1857500000001</v>
      </c>
      <c r="I89" s="25">
        <v>0</v>
      </c>
      <c r="J89" s="25">
        <f t="shared" si="127"/>
        <v>12487.905000000001</v>
      </c>
      <c r="K89" s="23">
        <f t="shared" si="128"/>
        <v>87415.335000000006</v>
      </c>
      <c r="L89" s="25">
        <f t="shared" si="129"/>
        <v>24975.81</v>
      </c>
      <c r="M89" s="179">
        <f>140000</f>
        <v>140000</v>
      </c>
      <c r="N89" s="179"/>
      <c r="O89" s="25">
        <f t="shared" si="131"/>
        <v>2497.5810000000001</v>
      </c>
      <c r="P89" s="25">
        <v>20000</v>
      </c>
      <c r="Q89" s="25">
        <v>0</v>
      </c>
      <c r="R89" s="23">
        <f t="shared" si="122"/>
        <v>389153.05674999999</v>
      </c>
      <c r="S89" s="23"/>
      <c r="T89" s="23">
        <f>100000-100000</f>
        <v>0</v>
      </c>
      <c r="U89" s="23"/>
      <c r="V89" s="23"/>
      <c r="W89" s="25">
        <f>[3]PROMOTIONS!$X$25</f>
        <v>53384.122666666663</v>
      </c>
      <c r="X89" s="258">
        <f t="shared" si="123"/>
        <v>53384.122666666663</v>
      </c>
      <c r="Y89" s="23">
        <v>393093.6891283656</v>
      </c>
      <c r="Z89" s="207">
        <f t="shared" si="124"/>
        <v>335768.93408333336</v>
      </c>
      <c r="AA89" s="180"/>
    </row>
    <row r="90" spans="1:27" ht="21.6" customHeight="1">
      <c r="A90" s="28">
        <v>8</v>
      </c>
      <c r="B90" s="156" t="s">
        <v>169</v>
      </c>
      <c r="C90" s="112" t="s">
        <v>137</v>
      </c>
      <c r="D90" s="181" t="s">
        <v>66</v>
      </c>
      <c r="E90" s="25">
        <f>20749</f>
        <v>20749</v>
      </c>
      <c r="F90" s="25"/>
      <c r="G90" s="25">
        <f t="shared" si="125"/>
        <v>62247</v>
      </c>
      <c r="H90" s="25">
        <f t="shared" si="126"/>
        <v>1556.175</v>
      </c>
      <c r="I90" s="25">
        <v>0</v>
      </c>
      <c r="J90" s="25">
        <f t="shared" si="127"/>
        <v>10374.5</v>
      </c>
      <c r="K90" s="23">
        <f t="shared" si="128"/>
        <v>72621.5</v>
      </c>
      <c r="L90" s="25">
        <f t="shared" si="129"/>
        <v>20749</v>
      </c>
      <c r="M90" s="179">
        <f t="shared" ref="M90" si="132">110000</f>
        <v>110000</v>
      </c>
      <c r="N90" s="179"/>
      <c r="O90" s="25">
        <f t="shared" si="131"/>
        <v>2074.9</v>
      </c>
      <c r="P90" s="25">
        <v>15000</v>
      </c>
      <c r="Q90" s="25">
        <v>0</v>
      </c>
      <c r="R90" s="204">
        <f t="shared" si="122"/>
        <v>315372.07500000001</v>
      </c>
      <c r="S90" s="23"/>
      <c r="T90" s="23">
        <f>20000</f>
        <v>20000</v>
      </c>
      <c r="U90" s="23"/>
      <c r="V90" s="23"/>
      <c r="W90" s="25">
        <v>40149.175266666673</v>
      </c>
      <c r="X90" s="258">
        <f t="shared" si="123"/>
        <v>60149.175266666673</v>
      </c>
      <c r="Y90" s="23">
        <v>255222.89973333332</v>
      </c>
      <c r="Z90" s="207">
        <f t="shared" si="124"/>
        <v>255222.89973333332</v>
      </c>
      <c r="AA90" s="180"/>
    </row>
    <row r="91" spans="1:27" ht="21.6" customHeight="1">
      <c r="A91" s="28">
        <v>9</v>
      </c>
      <c r="B91" s="156" t="s">
        <v>170</v>
      </c>
      <c r="C91" s="112" t="s">
        <v>137</v>
      </c>
      <c r="D91" s="181" t="s">
        <v>66</v>
      </c>
      <c r="E91" s="25">
        <v>20749</v>
      </c>
      <c r="F91" s="25"/>
      <c r="G91" s="25">
        <v>62247</v>
      </c>
      <c r="H91" s="25">
        <v>1556.175</v>
      </c>
      <c r="I91" s="25">
        <v>0</v>
      </c>
      <c r="J91" s="25">
        <v>10374.5</v>
      </c>
      <c r="K91" s="23">
        <v>72621.5</v>
      </c>
      <c r="L91" s="25">
        <v>20749</v>
      </c>
      <c r="M91" s="179">
        <v>110000</v>
      </c>
      <c r="N91" s="179"/>
      <c r="O91" s="25">
        <v>2074.9</v>
      </c>
      <c r="P91" s="25">
        <v>15000</v>
      </c>
      <c r="Q91" s="25">
        <v>0</v>
      </c>
      <c r="R91" s="204">
        <f t="shared" si="122"/>
        <v>315372.07500000001</v>
      </c>
      <c r="S91" s="23"/>
      <c r="T91" s="23">
        <v>0</v>
      </c>
      <c r="U91" s="23"/>
      <c r="V91" s="23">
        <f>0.025*E91</f>
        <v>518.72500000000002</v>
      </c>
      <c r="W91" s="25">
        <v>40149.18</v>
      </c>
      <c r="X91" s="258">
        <f t="shared" si="123"/>
        <v>40667.904999999999</v>
      </c>
      <c r="Y91" s="23">
        <v>274704.17000000004</v>
      </c>
      <c r="Z91" s="207">
        <f t="shared" si="124"/>
        <v>274704.17000000004</v>
      </c>
      <c r="AA91" s="180"/>
    </row>
    <row r="92" spans="1:27" ht="21.6" customHeight="1">
      <c r="A92" s="28">
        <v>10</v>
      </c>
      <c r="B92" s="156" t="s">
        <v>171</v>
      </c>
      <c r="C92" s="20" t="s">
        <v>172</v>
      </c>
      <c r="D92" s="28" t="s">
        <v>95</v>
      </c>
      <c r="E92" s="25">
        <v>17286.330000000002</v>
      </c>
      <c r="F92" s="25"/>
      <c r="G92" s="25">
        <f t="shared" si="125"/>
        <v>51858.990000000005</v>
      </c>
      <c r="H92" s="25">
        <f t="shared" si="126"/>
        <v>1296.4747500000001</v>
      </c>
      <c r="I92" s="25"/>
      <c r="J92" s="25">
        <f t="shared" si="127"/>
        <v>8643.1650000000009</v>
      </c>
      <c r="K92" s="25">
        <f t="shared" si="128"/>
        <v>60502.155000000006</v>
      </c>
      <c r="L92" s="25">
        <f t="shared" si="129"/>
        <v>17286.330000000002</v>
      </c>
      <c r="M92" s="179">
        <v>100000</v>
      </c>
      <c r="N92" s="179"/>
      <c r="O92" s="25">
        <f t="shared" si="131"/>
        <v>1728.6330000000003</v>
      </c>
      <c r="P92" s="25">
        <v>10000</v>
      </c>
      <c r="Q92" s="25"/>
      <c r="R92" s="204">
        <f t="shared" si="122"/>
        <v>268602.07775000005</v>
      </c>
      <c r="S92" s="23"/>
      <c r="T92" s="23"/>
      <c r="U92" s="23"/>
      <c r="V92" s="23"/>
      <c r="W92" s="25">
        <f>32291.82</f>
        <v>32291.82</v>
      </c>
      <c r="X92" s="258">
        <f t="shared" si="123"/>
        <v>32291.82</v>
      </c>
      <c r="Y92" s="23">
        <v>236310.25775000005</v>
      </c>
      <c r="Z92" s="207">
        <f t="shared" si="124"/>
        <v>236310.25775000005</v>
      </c>
      <c r="AA92" s="180"/>
    </row>
    <row r="93" spans="1:27" ht="21.6" customHeight="1">
      <c r="A93" s="28">
        <v>11</v>
      </c>
      <c r="B93" s="156" t="s">
        <v>173</v>
      </c>
      <c r="C93" s="112" t="s">
        <v>174</v>
      </c>
      <c r="D93" s="181" t="s">
        <v>81</v>
      </c>
      <c r="E93" s="25">
        <f>12732</f>
        <v>12732</v>
      </c>
      <c r="F93" s="25"/>
      <c r="G93" s="25">
        <v>37055.82</v>
      </c>
      <c r="H93" s="25">
        <v>926.39549999999997</v>
      </c>
      <c r="I93" s="25"/>
      <c r="J93" s="25">
        <v>6175.97</v>
      </c>
      <c r="K93" s="23">
        <v>43231.79</v>
      </c>
      <c r="L93" s="25">
        <v>12351.94</v>
      </c>
      <c r="M93" s="179">
        <f>100000</f>
        <v>100000</v>
      </c>
      <c r="N93" s="179"/>
      <c r="O93" s="25">
        <v>1235.1940000000002</v>
      </c>
      <c r="P93" s="25">
        <v>10000</v>
      </c>
      <c r="Q93" s="25"/>
      <c r="R93" s="204">
        <f t="shared" si="122"/>
        <v>223709.10949999999</v>
      </c>
      <c r="S93" s="23"/>
      <c r="T93" s="23">
        <v>50000</v>
      </c>
      <c r="U93" s="23"/>
      <c r="V93" s="23">
        <v>0</v>
      </c>
      <c r="W93" s="25">
        <v>24749.797062666661</v>
      </c>
      <c r="X93" s="258">
        <f t="shared" si="123"/>
        <v>74749.797062666665</v>
      </c>
      <c r="Y93" s="23">
        <v>148959.31243733334</v>
      </c>
      <c r="Z93" s="207">
        <f t="shared" si="124"/>
        <v>148959.31243733334</v>
      </c>
      <c r="AA93" s="180"/>
    </row>
    <row r="94" spans="1:27" ht="20.100000000000001" customHeight="1">
      <c r="A94" s="28"/>
      <c r="B94" s="159" t="s">
        <v>86</v>
      </c>
      <c r="C94" s="29">
        <v>11</v>
      </c>
      <c r="D94" s="29"/>
      <c r="E94" s="68">
        <f t="shared" ref="E94:Z94" si="133">SUM(E83:E93)</f>
        <v>275810.53000000003</v>
      </c>
      <c r="F94" s="68">
        <f t="shared" si="133"/>
        <v>0</v>
      </c>
      <c r="G94" s="68">
        <f t="shared" si="133"/>
        <v>826291.41</v>
      </c>
      <c r="H94" s="68">
        <f t="shared" si="133"/>
        <v>20657.285249999997</v>
      </c>
      <c r="I94" s="68">
        <f t="shared" si="133"/>
        <v>160488.76</v>
      </c>
      <c r="J94" s="68">
        <f t="shared" si="133"/>
        <v>137715.23500000002</v>
      </c>
      <c r="K94" s="68">
        <f t="shared" si="133"/>
        <v>964006.64500000002</v>
      </c>
      <c r="L94" s="68">
        <f t="shared" si="133"/>
        <v>275430.47000000003</v>
      </c>
      <c r="M94" s="68">
        <f t="shared" si="133"/>
        <v>1440000</v>
      </c>
      <c r="N94" s="68">
        <f t="shared" si="133"/>
        <v>0</v>
      </c>
      <c r="O94" s="68">
        <f t="shared" si="133"/>
        <v>27543.047000000002</v>
      </c>
      <c r="P94" s="68">
        <f t="shared" si="133"/>
        <v>180000</v>
      </c>
      <c r="Q94" s="68">
        <f t="shared" si="133"/>
        <v>100000</v>
      </c>
      <c r="R94" s="68">
        <f t="shared" si="133"/>
        <v>4407943.3822500007</v>
      </c>
      <c r="S94" s="68">
        <f t="shared" si="133"/>
        <v>0</v>
      </c>
      <c r="T94" s="68">
        <f t="shared" si="133"/>
        <v>220000</v>
      </c>
      <c r="U94" s="68">
        <f t="shared" si="133"/>
        <v>341714.7</v>
      </c>
      <c r="V94" s="68">
        <f t="shared" si="133"/>
        <v>2194.1025</v>
      </c>
      <c r="W94" s="68">
        <f t="shared" si="133"/>
        <v>618410.12802533328</v>
      </c>
      <c r="X94" s="358">
        <f t="shared" si="133"/>
        <v>1182318.9305253332</v>
      </c>
      <c r="Y94" s="68">
        <v>3962737.843868365</v>
      </c>
      <c r="Z94" s="337">
        <f t="shared" si="133"/>
        <v>3225624.4517246666</v>
      </c>
      <c r="AA94" s="180"/>
    </row>
    <row r="95" spans="1:27" ht="20.100000000000001" customHeight="1">
      <c r="A95" s="28"/>
      <c r="B95" s="123"/>
      <c r="C95" s="29"/>
      <c r="D95" s="29"/>
      <c r="E95" s="30"/>
      <c r="F95" s="30"/>
      <c r="G95" s="30"/>
      <c r="H95" s="30"/>
      <c r="I95" s="30"/>
      <c r="J95" s="30"/>
      <c r="K95" s="30"/>
      <c r="L95" s="30"/>
      <c r="M95" s="179"/>
      <c r="N95" s="179"/>
      <c r="O95" s="30"/>
      <c r="P95" s="30"/>
      <c r="Q95" s="30"/>
      <c r="R95" s="212"/>
      <c r="S95" s="30"/>
      <c r="T95" s="30"/>
      <c r="U95" s="30"/>
      <c r="V95" s="30"/>
      <c r="W95" s="30"/>
      <c r="X95" s="260"/>
      <c r="Y95" s="30"/>
      <c r="Z95" s="218"/>
      <c r="AA95" s="180"/>
    </row>
    <row r="96" spans="1:27" ht="20.100000000000001" customHeight="1">
      <c r="A96" s="28"/>
      <c r="B96" s="159" t="s">
        <v>175</v>
      </c>
      <c r="C96" s="29"/>
      <c r="D96" s="29"/>
      <c r="E96" s="30"/>
      <c r="F96" s="30"/>
      <c r="G96" s="30"/>
      <c r="H96" s="30"/>
      <c r="I96" s="30"/>
      <c r="J96" s="30"/>
      <c r="K96" s="30"/>
      <c r="L96" s="30"/>
      <c r="M96" s="179"/>
      <c r="N96" s="179"/>
      <c r="O96" s="30"/>
      <c r="P96" s="30"/>
      <c r="Q96" s="30"/>
      <c r="R96" s="212"/>
      <c r="S96" s="30"/>
      <c r="T96" s="30"/>
      <c r="U96" s="30"/>
      <c r="V96" s="30"/>
      <c r="W96" s="30"/>
      <c r="X96" s="260"/>
      <c r="Y96" s="30"/>
      <c r="Z96" s="218"/>
      <c r="AA96" s="180"/>
    </row>
    <row r="97" spans="1:27" ht="20.100000000000001" customHeight="1">
      <c r="A97" s="28">
        <v>1</v>
      </c>
      <c r="B97" s="158" t="s">
        <v>176</v>
      </c>
      <c r="C97" s="20" t="s">
        <v>177</v>
      </c>
      <c r="D97" s="24" t="s">
        <v>36</v>
      </c>
      <c r="E97" s="25">
        <f>41157.69</f>
        <v>41157.69</v>
      </c>
      <c r="F97" s="25"/>
      <c r="G97" s="25">
        <f>E97*300%</f>
        <v>123473.07</v>
      </c>
      <c r="H97" s="25">
        <f>E97*7.5%</f>
        <v>3086.8267500000002</v>
      </c>
      <c r="I97" s="25">
        <v>40122.19</v>
      </c>
      <c r="J97" s="25">
        <f>E97*50%</f>
        <v>20578.845000000001</v>
      </c>
      <c r="K97" s="25">
        <f>E97*350%</f>
        <v>144051.91500000001</v>
      </c>
      <c r="L97" s="25">
        <f>E97*100%</f>
        <v>41157.69</v>
      </c>
      <c r="M97" s="179"/>
      <c r="N97" s="179">
        <f>80000+10000</f>
        <v>90000</v>
      </c>
      <c r="O97" s="25">
        <f>E97*10%</f>
        <v>4115.7690000000002</v>
      </c>
      <c r="P97" s="25">
        <v>20000</v>
      </c>
      <c r="Q97" s="25">
        <f>100000</f>
        <v>100000</v>
      </c>
      <c r="R97" s="204">
        <f>Q97+P97+O97+N97+M97+L97+K97+J97+I97+H97+G97+F97+E97</f>
        <v>627743.99575</v>
      </c>
      <c r="S97" s="23"/>
      <c r="T97" s="23">
        <f>0</f>
        <v>0</v>
      </c>
      <c r="U97" s="23">
        <v>0</v>
      </c>
      <c r="V97" s="23">
        <v>1028.9422500000001</v>
      </c>
      <c r="W97" s="23">
        <v>99032.677850666674</v>
      </c>
      <c r="X97" s="258">
        <f>W97+V97+U97+T97+S97</f>
        <v>100061.62010066668</v>
      </c>
      <c r="Y97" s="23">
        <v>527682.37564933335</v>
      </c>
      <c r="Z97" s="207">
        <f>R97-X97</f>
        <v>527682.37564933335</v>
      </c>
      <c r="AA97" s="180"/>
    </row>
    <row r="98" spans="1:27" ht="20.100000000000001" customHeight="1">
      <c r="A98" s="28">
        <v>2</v>
      </c>
      <c r="B98" s="156" t="s">
        <v>178</v>
      </c>
      <c r="C98" s="20" t="s">
        <v>179</v>
      </c>
      <c r="D98" s="181" t="s">
        <v>111</v>
      </c>
      <c r="E98" s="25">
        <v>25854.1</v>
      </c>
      <c r="F98" s="25"/>
      <c r="G98" s="25">
        <f>E98*300%</f>
        <v>77562.299999999988</v>
      </c>
      <c r="H98" s="25">
        <f>E98*7.5%</f>
        <v>1939.0574999999999</v>
      </c>
      <c r="I98" s="23">
        <v>0</v>
      </c>
      <c r="J98" s="25">
        <f>E98*50%</f>
        <v>12927.05</v>
      </c>
      <c r="K98" s="23">
        <f>E98*350%</f>
        <v>90489.349999999991</v>
      </c>
      <c r="L98" s="25">
        <f>E98*100%</f>
        <v>25854.1</v>
      </c>
      <c r="M98" s="179"/>
      <c r="N98" s="179">
        <v>70000</v>
      </c>
      <c r="O98" s="25">
        <f>E98*10%</f>
        <v>2585.41</v>
      </c>
      <c r="P98" s="25">
        <v>20000</v>
      </c>
      <c r="Q98" s="25">
        <v>0</v>
      </c>
      <c r="R98" s="23">
        <f>SUM(E98:Q98)</f>
        <v>327211.36749999999</v>
      </c>
      <c r="S98" s="23"/>
      <c r="T98" s="23">
        <f>10000</f>
        <v>10000</v>
      </c>
      <c r="U98" s="23">
        <f>115000</f>
        <v>115000</v>
      </c>
      <c r="V98" s="23"/>
      <c r="W98" s="25">
        <v>40698.124856666655</v>
      </c>
      <c r="X98" s="258">
        <f>W98+V98+U98+T98+S98</f>
        <v>165698.12485666666</v>
      </c>
      <c r="Y98" s="23">
        <v>208300.90720333322</v>
      </c>
      <c r="Z98" s="207">
        <f>R98-X98</f>
        <v>161513.24264333333</v>
      </c>
      <c r="AA98" s="180"/>
    </row>
    <row r="99" spans="1:27" ht="20.100000000000001" customHeight="1">
      <c r="A99" s="28">
        <v>3</v>
      </c>
      <c r="B99" s="156" t="s">
        <v>180</v>
      </c>
      <c r="C99" s="20" t="s">
        <v>181</v>
      </c>
      <c r="D99" s="181" t="s">
        <v>63</v>
      </c>
      <c r="E99" s="25">
        <v>21520.880000000001</v>
      </c>
      <c r="F99" s="25"/>
      <c r="G99" s="25">
        <f>E99*300%</f>
        <v>64562.64</v>
      </c>
      <c r="H99" s="25">
        <f>E99*7.5%</f>
        <v>1614.066</v>
      </c>
      <c r="I99" s="25"/>
      <c r="J99" s="25">
        <f>E99*50%</f>
        <v>10760.44</v>
      </c>
      <c r="K99" s="23">
        <f>E99*350%</f>
        <v>75323.08</v>
      </c>
      <c r="L99" s="25">
        <f>E99*100%</f>
        <v>21520.880000000001</v>
      </c>
      <c r="M99" s="179"/>
      <c r="N99" s="179">
        <f>60000</f>
        <v>60000</v>
      </c>
      <c r="O99" s="25">
        <f>E99*10%</f>
        <v>2152.0880000000002</v>
      </c>
      <c r="P99" s="25">
        <v>15000</v>
      </c>
      <c r="Q99" s="25"/>
      <c r="R99" s="204">
        <f>SUM(E99:Q99)</f>
        <v>272454.07400000002</v>
      </c>
      <c r="S99" s="23"/>
      <c r="T99" s="23">
        <f>5000</f>
        <v>5000</v>
      </c>
      <c r="U99" s="23">
        <f>64806.29</f>
        <v>64806.29</v>
      </c>
      <c r="V99" s="23"/>
      <c r="W99" s="25">
        <v>32938.949999999997</v>
      </c>
      <c r="X99" s="258">
        <f>W99+V99+U99+T99+S99</f>
        <v>102745.23999999999</v>
      </c>
      <c r="Y99" s="23">
        <v>169708.83400000003</v>
      </c>
      <c r="Z99" s="207">
        <f>R99-X99</f>
        <v>169708.83400000003</v>
      </c>
      <c r="AA99" s="180"/>
    </row>
    <row r="100" spans="1:27" ht="20.100000000000001" customHeight="1">
      <c r="A100" s="28">
        <v>4</v>
      </c>
      <c r="B100" s="156" t="s">
        <v>182</v>
      </c>
      <c r="C100" s="20" t="s">
        <v>183</v>
      </c>
      <c r="D100" s="181" t="s">
        <v>95</v>
      </c>
      <c r="E100" s="179">
        <f>17286.33</f>
        <v>17286.330000000002</v>
      </c>
      <c r="F100" s="25"/>
      <c r="G100" s="25">
        <f t="shared" ref="G100" si="134">E100*300%</f>
        <v>51858.990000000005</v>
      </c>
      <c r="H100" s="25">
        <f t="shared" ref="H100" si="135">E100*7.5%</f>
        <v>1296.4747500000001</v>
      </c>
      <c r="I100" s="25"/>
      <c r="J100" s="25">
        <f t="shared" ref="J100" si="136">E100*50%</f>
        <v>8643.1650000000009</v>
      </c>
      <c r="K100" s="23">
        <f t="shared" ref="K100" si="137">E100*350%</f>
        <v>60502.155000000006</v>
      </c>
      <c r="L100" s="25">
        <f t="shared" ref="L100" si="138">E100*100%</f>
        <v>17286.330000000002</v>
      </c>
      <c r="M100" s="179"/>
      <c r="N100" s="179">
        <f>60000</f>
        <v>60000</v>
      </c>
      <c r="O100" s="25">
        <f t="shared" ref="O100" si="139">E100*10%</f>
        <v>1728.6330000000003</v>
      </c>
      <c r="P100" s="25">
        <v>10000</v>
      </c>
      <c r="Q100" s="25"/>
      <c r="R100" s="23">
        <f>SUM(E100:Q100)</f>
        <v>228602.07775000003</v>
      </c>
      <c r="S100" s="23"/>
      <c r="T100" s="23">
        <f>10000</f>
        <v>10000</v>
      </c>
      <c r="U100" s="23"/>
      <c r="V100" s="23"/>
      <c r="W100" s="25">
        <f>[3]PROMOTIONS!$X$31</f>
        <v>25571.732666666667</v>
      </c>
      <c r="X100" s="258">
        <f>T100+W100</f>
        <v>35571.732666666663</v>
      </c>
      <c r="Y100" s="23">
        <v>230372.07173266663</v>
      </c>
      <c r="Z100" s="207">
        <f>R100-X100</f>
        <v>193030.34508333338</v>
      </c>
      <c r="AA100" s="180"/>
    </row>
    <row r="101" spans="1:27" ht="20.100000000000001" customHeight="1">
      <c r="A101" s="20"/>
      <c r="B101" s="159" t="s">
        <v>86</v>
      </c>
      <c r="C101" s="29">
        <v>4</v>
      </c>
      <c r="D101" s="187"/>
      <c r="E101" s="68">
        <f>SUM(E97:E100)</f>
        <v>105819.00000000001</v>
      </c>
      <c r="F101" s="68">
        <f t="shared" ref="F101:Z101" si="140">SUM(F97:F100)</f>
        <v>0</v>
      </c>
      <c r="G101" s="68">
        <f t="shared" si="140"/>
        <v>317457</v>
      </c>
      <c r="H101" s="68">
        <f t="shared" si="140"/>
        <v>7936.4250000000002</v>
      </c>
      <c r="I101" s="68">
        <f t="shared" si="140"/>
        <v>40122.19</v>
      </c>
      <c r="J101" s="68">
        <f t="shared" si="140"/>
        <v>52909.500000000007</v>
      </c>
      <c r="K101" s="68">
        <f t="shared" si="140"/>
        <v>370366.50000000006</v>
      </c>
      <c r="L101" s="68">
        <f t="shared" si="140"/>
        <v>105819.00000000001</v>
      </c>
      <c r="M101" s="68">
        <f t="shared" si="140"/>
        <v>0</v>
      </c>
      <c r="N101" s="68">
        <f t="shared" si="140"/>
        <v>280000</v>
      </c>
      <c r="O101" s="68">
        <f t="shared" si="140"/>
        <v>10581.9</v>
      </c>
      <c r="P101" s="68">
        <f t="shared" si="140"/>
        <v>65000</v>
      </c>
      <c r="Q101" s="68">
        <f t="shared" si="140"/>
        <v>100000</v>
      </c>
      <c r="R101" s="68">
        <f t="shared" si="140"/>
        <v>1456011.5149999999</v>
      </c>
      <c r="S101" s="68">
        <f t="shared" si="140"/>
        <v>0</v>
      </c>
      <c r="T101" s="68">
        <f t="shared" si="140"/>
        <v>25000</v>
      </c>
      <c r="U101" s="68">
        <f t="shared" si="140"/>
        <v>179806.29</v>
      </c>
      <c r="V101" s="68">
        <f t="shared" si="140"/>
        <v>1028.9422500000001</v>
      </c>
      <c r="W101" s="68">
        <f t="shared" si="140"/>
        <v>198241.48537399998</v>
      </c>
      <c r="X101" s="68">
        <f t="shared" si="140"/>
        <v>404076.71762399998</v>
      </c>
      <c r="Y101" s="68">
        <f t="shared" si="140"/>
        <v>1136064.1885853333</v>
      </c>
      <c r="Z101" s="68">
        <f t="shared" si="140"/>
        <v>1051934.7973760001</v>
      </c>
      <c r="AA101" s="180"/>
    </row>
    <row r="102" spans="1:27" ht="20.100000000000001" customHeight="1">
      <c r="A102" s="20"/>
      <c r="B102" s="123"/>
      <c r="C102" s="29"/>
      <c r="D102" s="187"/>
      <c r="E102" s="30"/>
      <c r="F102" s="30"/>
      <c r="G102" s="30"/>
      <c r="H102" s="30"/>
      <c r="I102" s="30"/>
      <c r="J102" s="30"/>
      <c r="K102" s="30"/>
      <c r="L102" s="30"/>
      <c r="M102" s="179"/>
      <c r="N102" s="179"/>
      <c r="O102" s="30"/>
      <c r="P102" s="30"/>
      <c r="Q102" s="30"/>
      <c r="R102" s="212"/>
      <c r="S102" s="30"/>
      <c r="T102" s="30"/>
      <c r="U102" s="30"/>
      <c r="V102" s="30"/>
      <c r="W102" s="30"/>
      <c r="X102" s="260"/>
      <c r="Y102" s="30"/>
      <c r="Z102" s="218"/>
      <c r="AA102" s="180"/>
    </row>
    <row r="103" spans="1:27" ht="20.100000000000001" customHeight="1">
      <c r="A103" s="20"/>
      <c r="B103" s="159" t="s">
        <v>184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179"/>
      <c r="N103" s="179"/>
      <c r="O103" s="20"/>
      <c r="P103" s="20"/>
      <c r="Q103" s="20"/>
      <c r="R103" s="214"/>
      <c r="S103" s="20"/>
      <c r="T103" s="20"/>
      <c r="U103" s="20"/>
      <c r="V103" s="20"/>
      <c r="W103" s="20"/>
      <c r="X103" s="262"/>
      <c r="Y103" s="20"/>
      <c r="Z103" s="219"/>
      <c r="AA103" s="180"/>
    </row>
    <row r="104" spans="1:27" ht="20.100000000000001" customHeight="1">
      <c r="A104" s="20">
        <v>1</v>
      </c>
      <c r="B104" s="156" t="s">
        <v>185</v>
      </c>
      <c r="C104" s="161" t="s">
        <v>186</v>
      </c>
      <c r="D104" s="181" t="s">
        <v>90</v>
      </c>
      <c r="E104" s="25">
        <v>81740.02</v>
      </c>
      <c r="F104" s="25"/>
      <c r="G104" s="25">
        <f>E104*300%</f>
        <v>245220.06</v>
      </c>
      <c r="H104" s="25">
        <f>E104*7.5%</f>
        <v>6130.5015000000003</v>
      </c>
      <c r="I104" s="25">
        <v>80244.38</v>
      </c>
      <c r="J104" s="25">
        <f>E104*50%</f>
        <v>40870.01</v>
      </c>
      <c r="K104" s="25">
        <f>E104*350%</f>
        <v>286090.07</v>
      </c>
      <c r="L104" s="25">
        <f>E104*100%</f>
        <v>81740.02</v>
      </c>
      <c r="M104" s="179">
        <f>200000</f>
        <v>200000</v>
      </c>
      <c r="N104" s="179"/>
      <c r="O104" s="25">
        <f>E104*10%</f>
        <v>8174.0020000000004</v>
      </c>
      <c r="P104" s="25">
        <v>20000</v>
      </c>
      <c r="Q104" s="25">
        <v>0</v>
      </c>
      <c r="R104" s="204">
        <f>SUM(E104:Q104)</f>
        <v>1050209.0635000002</v>
      </c>
      <c r="S104" s="23"/>
      <c r="T104" s="23">
        <f>100000</f>
        <v>100000</v>
      </c>
      <c r="U104" s="23">
        <v>0</v>
      </c>
      <c r="V104" s="23">
        <v>0</v>
      </c>
      <c r="W104" s="25">
        <v>180145.9708586667</v>
      </c>
      <c r="X104" s="258">
        <f>W104+V104+U104+T104+S104</f>
        <v>280145.9708586667</v>
      </c>
      <c r="Y104" s="23">
        <v>770063.09264133347</v>
      </c>
      <c r="Z104" s="207">
        <f t="shared" ref="Z104:Z110" si="141">R104-X104</f>
        <v>770063.09264133347</v>
      </c>
      <c r="AA104" s="180"/>
    </row>
    <row r="105" spans="1:27" ht="20.100000000000001" customHeight="1">
      <c r="A105" s="20">
        <v>2</v>
      </c>
      <c r="B105" s="156" t="s">
        <v>187</v>
      </c>
      <c r="C105" s="20" t="s">
        <v>188</v>
      </c>
      <c r="D105" s="24" t="s">
        <v>36</v>
      </c>
      <c r="E105" s="25">
        <v>41157.69</v>
      </c>
      <c r="F105" s="25"/>
      <c r="G105" s="25">
        <f>E105*300%</f>
        <v>123473.07</v>
      </c>
      <c r="H105" s="25">
        <f>E105*7.5%</f>
        <v>3086.8267500000002</v>
      </c>
      <c r="I105" s="25">
        <v>40122.19</v>
      </c>
      <c r="J105" s="25">
        <f>E105*50%</f>
        <v>20578.845000000001</v>
      </c>
      <c r="K105" s="25">
        <f>E105*350%</f>
        <v>144051.91500000001</v>
      </c>
      <c r="L105" s="25">
        <f>E105*100%</f>
        <v>41157.69</v>
      </c>
      <c r="M105" s="179">
        <f>160000+20000</f>
        <v>180000</v>
      </c>
      <c r="N105" s="179"/>
      <c r="O105" s="25">
        <f>E105*10%</f>
        <v>4115.7690000000002</v>
      </c>
      <c r="P105" s="25">
        <v>20000</v>
      </c>
      <c r="Q105" s="25">
        <v>0</v>
      </c>
      <c r="R105" s="204">
        <f>SUM(E105:Q105)</f>
        <v>617743.99575</v>
      </c>
      <c r="S105" s="23"/>
      <c r="T105" s="23">
        <v>40000</v>
      </c>
      <c r="U105" s="23">
        <f>238888.89</f>
        <v>238888.89</v>
      </c>
      <c r="V105" s="23">
        <v>1028.9422500000001</v>
      </c>
      <c r="W105" s="25">
        <v>97147.085210666657</v>
      </c>
      <c r="X105" s="258">
        <f>SUM(S105:W105)</f>
        <v>377064.91746066668</v>
      </c>
      <c r="Y105" s="23">
        <v>240679.07828933332</v>
      </c>
      <c r="Z105" s="207">
        <f t="shared" si="141"/>
        <v>240679.07828933332</v>
      </c>
      <c r="AA105" s="180"/>
    </row>
    <row r="106" spans="1:27" ht="20.100000000000001" customHeight="1">
      <c r="A106" s="20">
        <v>3</v>
      </c>
      <c r="B106" s="156" t="s">
        <v>189</v>
      </c>
      <c r="C106" s="20" t="s">
        <v>190</v>
      </c>
      <c r="D106" s="28" t="s">
        <v>54</v>
      </c>
      <c r="E106" s="25">
        <v>26339.3</v>
      </c>
      <c r="F106" s="25"/>
      <c r="G106" s="25">
        <f>E106*300%</f>
        <v>79017.899999999994</v>
      </c>
      <c r="H106" s="25">
        <f>E106*7.5%</f>
        <v>1975.4474999999998</v>
      </c>
      <c r="I106" s="25">
        <v>0</v>
      </c>
      <c r="J106" s="25">
        <f>E106*50%</f>
        <v>13169.65</v>
      </c>
      <c r="K106" s="25">
        <f>E106*350%</f>
        <v>92187.55</v>
      </c>
      <c r="L106" s="25">
        <f>E106*100%</f>
        <v>26339.3</v>
      </c>
      <c r="M106" s="179">
        <f>120000</f>
        <v>120000</v>
      </c>
      <c r="N106" s="179"/>
      <c r="O106" s="25">
        <f>E106*10%</f>
        <v>2633.9300000000003</v>
      </c>
      <c r="P106" s="25">
        <v>15000</v>
      </c>
      <c r="Q106" s="25">
        <v>41432.938524999998</v>
      </c>
      <c r="R106" s="204">
        <f>SUM(E106:Q106)</f>
        <v>418096.01602499996</v>
      </c>
      <c r="S106" s="23"/>
      <c r="T106" s="23">
        <v>30000</v>
      </c>
      <c r="U106" s="23">
        <f>61111.11</f>
        <v>61111.11</v>
      </c>
      <c r="V106" s="23">
        <v>658.48250000000007</v>
      </c>
      <c r="W106" s="23">
        <v>58941.101743466657</v>
      </c>
      <c r="X106" s="258">
        <f>W106+V106+U106+T106+S106</f>
        <v>150710.69424346666</v>
      </c>
      <c r="Y106" s="23">
        <v>267385.3217815333</v>
      </c>
      <c r="Z106" s="207">
        <f t="shared" si="141"/>
        <v>267385.3217815333</v>
      </c>
      <c r="AA106" s="180"/>
    </row>
    <row r="107" spans="1:27" ht="20.100000000000001" customHeight="1">
      <c r="A107" s="20">
        <v>4</v>
      </c>
      <c r="B107" s="156" t="s">
        <v>191</v>
      </c>
      <c r="C107" s="20" t="s">
        <v>190</v>
      </c>
      <c r="D107" s="28" t="s">
        <v>54</v>
      </c>
      <c r="E107" s="25">
        <v>26339.3</v>
      </c>
      <c r="F107" s="25"/>
      <c r="G107" s="25">
        <f>E107*300%</f>
        <v>79017.899999999994</v>
      </c>
      <c r="H107" s="25">
        <f>E107*7.5%</f>
        <v>1975.4474999999998</v>
      </c>
      <c r="I107" s="25">
        <v>0</v>
      </c>
      <c r="J107" s="25">
        <f>E107*50%</f>
        <v>13169.65</v>
      </c>
      <c r="K107" s="25">
        <f>E107*350%</f>
        <v>92187.55</v>
      </c>
      <c r="L107" s="25">
        <f>E107*100%</f>
        <v>26339.3</v>
      </c>
      <c r="M107" s="179">
        <f>120000</f>
        <v>120000</v>
      </c>
      <c r="N107" s="179"/>
      <c r="O107" s="25">
        <f>E107*10%</f>
        <v>2633.9300000000003</v>
      </c>
      <c r="P107" s="25">
        <v>15000</v>
      </c>
      <c r="Q107" s="25">
        <v>39820.116654999998</v>
      </c>
      <c r="R107" s="204">
        <f>SUM(E107:Q107)</f>
        <v>416483.19415499998</v>
      </c>
      <c r="S107" s="23"/>
      <c r="T107" s="23">
        <f>50000</f>
        <v>50000</v>
      </c>
      <c r="U107" s="23">
        <f>0</f>
        <v>0</v>
      </c>
      <c r="V107" s="23"/>
      <c r="W107" s="23">
        <v>58941.101743466657</v>
      </c>
      <c r="X107" s="258">
        <f>W107+V107+U107+T107+S107</f>
        <v>108941.10174346666</v>
      </c>
      <c r="Y107" s="23">
        <v>307542.09241153335</v>
      </c>
      <c r="Z107" s="207">
        <f t="shared" si="141"/>
        <v>307542.09241153335</v>
      </c>
      <c r="AA107" s="180"/>
    </row>
    <row r="108" spans="1:27" ht="20.100000000000001" customHeight="1">
      <c r="A108" s="20">
        <v>5</v>
      </c>
      <c r="B108" s="156" t="s">
        <v>192</v>
      </c>
      <c r="C108" s="20" t="s">
        <v>193</v>
      </c>
      <c r="D108" s="181" t="s">
        <v>194</v>
      </c>
      <c r="E108" s="179">
        <f>13872.4</f>
        <v>13872.4</v>
      </c>
      <c r="F108" s="25"/>
      <c r="G108" s="25">
        <f>E108*300%</f>
        <v>41617.199999999997</v>
      </c>
      <c r="H108" s="25">
        <f>E108*7.5%</f>
        <v>1040.4299999999998</v>
      </c>
      <c r="I108" s="25"/>
      <c r="J108" s="25">
        <f>E108*50%</f>
        <v>6936.2</v>
      </c>
      <c r="K108" s="23">
        <f>E108*350%</f>
        <v>48553.4</v>
      </c>
      <c r="L108" s="25">
        <f>E108*100%</f>
        <v>13872.4</v>
      </c>
      <c r="M108" s="179">
        <f>100000</f>
        <v>100000</v>
      </c>
      <c r="N108" s="179"/>
      <c r="O108" s="25">
        <f>E108*10%</f>
        <v>1387.24</v>
      </c>
      <c r="P108" s="25">
        <v>10000</v>
      </c>
      <c r="Q108" s="25">
        <v>25333.447479999999</v>
      </c>
      <c r="R108" s="204">
        <f>SUM(E108:Q108)</f>
        <v>262612.71747999999</v>
      </c>
      <c r="S108" s="23"/>
      <c r="T108" s="23">
        <v>20000</v>
      </c>
      <c r="U108" s="23">
        <f>50000</f>
        <v>50000</v>
      </c>
      <c r="V108" s="23"/>
      <c r="W108" s="25">
        <v>31285.603203306662</v>
      </c>
      <c r="X108" s="258">
        <f>W108+V108+U108+T108+S108</f>
        <v>101285.60320330666</v>
      </c>
      <c r="Y108" s="23">
        <v>161327.11427669332</v>
      </c>
      <c r="Z108" s="207">
        <f t="shared" si="141"/>
        <v>161327.11427669332</v>
      </c>
      <c r="AA108" s="180"/>
    </row>
    <row r="109" spans="1:27" ht="20.100000000000001" customHeight="1">
      <c r="A109" s="20">
        <v>6</v>
      </c>
      <c r="B109" s="157" t="s">
        <v>195</v>
      </c>
      <c r="C109" s="20" t="s">
        <v>193</v>
      </c>
      <c r="D109" s="28" t="s">
        <v>76</v>
      </c>
      <c r="E109" s="25">
        <v>13492.21</v>
      </c>
      <c r="F109" s="25"/>
      <c r="G109" s="25">
        <f t="shared" ref="G109" si="142">E109*300%</f>
        <v>40476.629999999997</v>
      </c>
      <c r="H109" s="25">
        <f t="shared" ref="H109" si="143">E109*7.5%</f>
        <v>1011.9157499999999</v>
      </c>
      <c r="I109" s="25"/>
      <c r="J109" s="25">
        <f t="shared" ref="J109" si="144">E109*50%</f>
        <v>6746.1049999999996</v>
      </c>
      <c r="K109" s="25">
        <f t="shared" ref="K109" si="145">E109*350%</f>
        <v>47222.735000000001</v>
      </c>
      <c r="L109" s="25">
        <f t="shared" ref="L109" si="146">E109*100%</f>
        <v>13492.21</v>
      </c>
      <c r="M109" s="179">
        <f>100000</f>
        <v>100000</v>
      </c>
      <c r="N109" s="179"/>
      <c r="O109" s="25">
        <f t="shared" ref="O109" si="147">E109*10%</f>
        <v>1349.221</v>
      </c>
      <c r="P109" s="25">
        <v>10000</v>
      </c>
      <c r="Q109" s="25">
        <v>24949.771000000001</v>
      </c>
      <c r="R109" s="204">
        <f t="shared" ref="R109" si="148">SUM(E109:Q109)</f>
        <v>258740.79775</v>
      </c>
      <c r="S109" s="23"/>
      <c r="T109" s="23">
        <f>25000</f>
        <v>25000</v>
      </c>
      <c r="U109" s="23">
        <v>0</v>
      </c>
      <c r="V109" s="23"/>
      <c r="W109" s="25">
        <v>30635.120688666666</v>
      </c>
      <c r="X109" s="258">
        <f>W109+V109+U109+T109+S109</f>
        <v>55635.120688666662</v>
      </c>
      <c r="Y109" s="23">
        <v>203105.67706133332</v>
      </c>
      <c r="Z109" s="207">
        <f t="shared" si="141"/>
        <v>203105.67706133332</v>
      </c>
      <c r="AA109" s="180"/>
    </row>
    <row r="110" spans="1:27" ht="20.100000000000001" customHeight="1">
      <c r="A110" s="20">
        <v>7</v>
      </c>
      <c r="B110" s="157" t="s">
        <v>196</v>
      </c>
      <c r="C110" s="20" t="s">
        <v>193</v>
      </c>
      <c r="D110" s="181" t="s">
        <v>81</v>
      </c>
      <c r="E110" s="179">
        <f>12732</f>
        <v>12732</v>
      </c>
      <c r="F110" s="25"/>
      <c r="G110" s="25">
        <f t="shared" ref="G110" si="149">E110*300%</f>
        <v>38196</v>
      </c>
      <c r="H110" s="25">
        <f t="shared" ref="H110" si="150">E110*7.5%</f>
        <v>954.9</v>
      </c>
      <c r="I110" s="25"/>
      <c r="J110" s="25">
        <f t="shared" ref="J110" si="151">E110*50%</f>
        <v>6366</v>
      </c>
      <c r="K110" s="23">
        <f t="shared" ref="K110" si="152">E110*350%</f>
        <v>44562</v>
      </c>
      <c r="L110" s="25">
        <f t="shared" ref="L110" si="153">E110*100%</f>
        <v>12732</v>
      </c>
      <c r="M110" s="179">
        <f t="shared" ref="M110" si="154">100000</f>
        <v>100000</v>
      </c>
      <c r="N110" s="179"/>
      <c r="O110" s="25">
        <f t="shared" ref="O110" si="155">E110*10%</f>
        <v>1273.2</v>
      </c>
      <c r="P110" s="25">
        <v>10000</v>
      </c>
      <c r="Q110" s="25">
        <v>24566.195445000001</v>
      </c>
      <c r="R110" s="204">
        <f t="shared" ref="R110" si="156">SUM(E110:Q110)</f>
        <v>251382.295445</v>
      </c>
      <c r="S110" s="23"/>
      <c r="T110" s="23">
        <f>30000</f>
        <v>30000</v>
      </c>
      <c r="U110" s="23"/>
      <c r="V110" s="23"/>
      <c r="W110" s="25">
        <v>29055.584161426657</v>
      </c>
      <c r="X110" s="258">
        <f>W110+V110+U110+T110+S110</f>
        <v>59055.584161426654</v>
      </c>
      <c r="Y110" s="23">
        <v>192326.71128357336</v>
      </c>
      <c r="Z110" s="207">
        <f t="shared" si="141"/>
        <v>192326.71128357336</v>
      </c>
      <c r="AA110" s="180"/>
    </row>
    <row r="111" spans="1:27" ht="25.5" customHeight="1">
      <c r="A111" s="20"/>
      <c r="B111" s="159" t="s">
        <v>86</v>
      </c>
      <c r="C111" s="29">
        <v>7</v>
      </c>
      <c r="D111" s="20"/>
      <c r="E111" s="188">
        <f>SUM(E104:E110)</f>
        <v>215672.91999999998</v>
      </c>
      <c r="F111" s="188"/>
      <c r="G111" s="188">
        <f t="shared" ref="G111:M111" si="157">SUM(G104:G110)</f>
        <v>647018.76</v>
      </c>
      <c r="H111" s="188">
        <f t="shared" si="157"/>
        <v>16175.469000000001</v>
      </c>
      <c r="I111" s="188">
        <f t="shared" si="157"/>
        <v>120366.57</v>
      </c>
      <c r="J111" s="188">
        <f t="shared" si="157"/>
        <v>107836.45999999999</v>
      </c>
      <c r="K111" s="188">
        <f t="shared" si="157"/>
        <v>754855.22</v>
      </c>
      <c r="L111" s="188">
        <f t="shared" si="157"/>
        <v>215672.91999999998</v>
      </c>
      <c r="M111" s="184">
        <f t="shared" si="157"/>
        <v>920000</v>
      </c>
      <c r="N111" s="184"/>
      <c r="O111" s="188">
        <f>SUM(O104:O110)</f>
        <v>21567.292000000005</v>
      </c>
      <c r="P111" s="188">
        <f>SUM(P104:P110)</f>
        <v>100000</v>
      </c>
      <c r="Q111" s="188">
        <f>SUM(Q104:Q110)</f>
        <v>156102.469105</v>
      </c>
      <c r="R111" s="215">
        <f>SUM(R104:R110)</f>
        <v>3275268.0801050002</v>
      </c>
      <c r="S111" s="188"/>
      <c r="T111" s="188">
        <f>SUM(T104:T110)</f>
        <v>295000</v>
      </c>
      <c r="U111" s="188">
        <f t="shared" ref="U111:Z111" si="158">SUM(U104:U110)</f>
        <v>350000</v>
      </c>
      <c r="V111" s="188">
        <f t="shared" si="158"/>
        <v>1687.4247500000001</v>
      </c>
      <c r="W111" s="188">
        <f t="shared" si="158"/>
        <v>486151.56760966667</v>
      </c>
      <c r="X111" s="359">
        <f t="shared" si="158"/>
        <v>1132838.9923596666</v>
      </c>
      <c r="Y111" s="188">
        <v>2142429.0877453336</v>
      </c>
      <c r="Z111" s="360">
        <f t="shared" si="158"/>
        <v>2142429.0877453336</v>
      </c>
      <c r="AA111" s="180"/>
    </row>
    <row r="112" spans="1:27" ht="20.100000000000001" customHeight="1">
      <c r="A112" s="20"/>
      <c r="B112" s="159"/>
      <c r="C112" s="29"/>
      <c r="D112" s="20"/>
      <c r="E112" s="188"/>
      <c r="F112" s="188"/>
      <c r="G112" s="188"/>
      <c r="H112" s="188"/>
      <c r="I112" s="188"/>
      <c r="J112" s="188"/>
      <c r="K112" s="188"/>
      <c r="L112" s="188"/>
      <c r="M112" s="184"/>
      <c r="N112" s="184"/>
      <c r="O112" s="188"/>
      <c r="P112" s="188"/>
      <c r="Q112" s="188"/>
      <c r="R112" s="215"/>
      <c r="S112" s="188"/>
      <c r="T112" s="188"/>
      <c r="U112" s="188"/>
      <c r="V112" s="188"/>
      <c r="W112" s="188"/>
      <c r="X112" s="359"/>
      <c r="Y112" s="188"/>
      <c r="Z112" s="360"/>
      <c r="AA112" s="180"/>
    </row>
    <row r="113" spans="1:27" ht="20.100000000000001" customHeight="1">
      <c r="A113" s="28"/>
      <c r="B113" s="159" t="s">
        <v>197</v>
      </c>
      <c r="C113" s="29"/>
      <c r="D113" s="29"/>
      <c r="E113" s="30"/>
      <c r="F113" s="30"/>
      <c r="G113" s="30"/>
      <c r="H113" s="30"/>
      <c r="I113" s="30"/>
      <c r="J113" s="30"/>
      <c r="K113" s="30"/>
      <c r="L113" s="30"/>
      <c r="M113" s="179"/>
      <c r="N113" s="179"/>
      <c r="O113" s="30"/>
      <c r="P113" s="30"/>
      <c r="Q113" s="30"/>
      <c r="R113" s="212"/>
      <c r="S113" s="30"/>
      <c r="T113" s="30"/>
      <c r="U113" s="30"/>
      <c r="V113" s="30"/>
      <c r="W113" s="30"/>
      <c r="X113" s="260"/>
      <c r="Y113" s="30"/>
      <c r="Z113" s="218"/>
      <c r="AA113" s="180"/>
    </row>
    <row r="114" spans="1:27" ht="20.100000000000001" customHeight="1">
      <c r="A114" s="28">
        <v>1</v>
      </c>
      <c r="B114" s="156" t="s">
        <v>198</v>
      </c>
      <c r="C114" s="112" t="s">
        <v>137</v>
      </c>
      <c r="D114" s="181" t="s">
        <v>199</v>
      </c>
      <c r="E114" s="25">
        <v>0</v>
      </c>
      <c r="F114" s="25"/>
      <c r="G114" s="25">
        <f t="shared" ref="G114:G115" si="159">E114*300%</f>
        <v>0</v>
      </c>
      <c r="H114" s="25">
        <f t="shared" ref="H114:H115" si="160">E114*7.5%</f>
        <v>0</v>
      </c>
      <c r="I114" s="25">
        <v>0</v>
      </c>
      <c r="J114" s="25">
        <f t="shared" ref="J114" si="161">E114*50%</f>
        <v>0</v>
      </c>
      <c r="K114" s="23">
        <f t="shared" ref="K114:K115" si="162">E114*350%</f>
        <v>0</v>
      </c>
      <c r="L114" s="25">
        <f t="shared" ref="L114:L115" si="163">E114*100%</f>
        <v>0</v>
      </c>
      <c r="M114" s="179">
        <v>0</v>
      </c>
      <c r="N114" s="179"/>
      <c r="O114" s="25">
        <f t="shared" ref="O114:O115" si="164">E114*10%</f>
        <v>0</v>
      </c>
      <c r="P114" s="25">
        <v>0</v>
      </c>
      <c r="Q114" s="25">
        <v>0</v>
      </c>
      <c r="R114" s="204">
        <f t="shared" ref="R114" si="165">SUM(E114:Q114)</f>
        <v>0</v>
      </c>
      <c r="S114" s="23"/>
      <c r="T114" s="23">
        <v>0</v>
      </c>
      <c r="U114" s="23">
        <v>0</v>
      </c>
      <c r="V114" s="23">
        <v>0</v>
      </c>
      <c r="W114" s="25">
        <v>0</v>
      </c>
      <c r="X114" s="261">
        <f t="shared" ref="X114:X115" si="166">W114+V114+U114+T114+S114</f>
        <v>0</v>
      </c>
      <c r="Y114" s="23">
        <v>0</v>
      </c>
      <c r="Z114" s="207">
        <f>R114-X114</f>
        <v>0</v>
      </c>
      <c r="AA114" s="180"/>
    </row>
    <row r="115" spans="1:27" ht="18.75" customHeight="1">
      <c r="A115" s="28">
        <v>2</v>
      </c>
      <c r="B115" s="156" t="s">
        <v>200</v>
      </c>
      <c r="C115" s="20" t="s">
        <v>201</v>
      </c>
      <c r="D115" s="181" t="s">
        <v>63</v>
      </c>
      <c r="E115" s="25">
        <v>21520.880000000001</v>
      </c>
      <c r="F115" s="25"/>
      <c r="G115" s="25">
        <f t="shared" si="159"/>
        <v>64562.64</v>
      </c>
      <c r="H115" s="25">
        <f t="shared" si="160"/>
        <v>1614.066</v>
      </c>
      <c r="I115" s="25"/>
      <c r="J115" s="25">
        <f>E115*50%</f>
        <v>10760.44</v>
      </c>
      <c r="K115" s="23">
        <f t="shared" si="162"/>
        <v>75323.08</v>
      </c>
      <c r="L115" s="25">
        <f t="shared" si="163"/>
        <v>21520.880000000001</v>
      </c>
      <c r="M115" s="179">
        <v>110000</v>
      </c>
      <c r="N115" s="179">
        <v>0</v>
      </c>
      <c r="O115" s="25">
        <f t="shared" si="164"/>
        <v>2152.0880000000002</v>
      </c>
      <c r="P115" s="25">
        <v>15000</v>
      </c>
      <c r="Q115" s="25"/>
      <c r="R115" s="204">
        <f t="shared" ref="R115" si="167">Q115+P115+O115+N115+M115+L115+K115+J115+I115+H115+G115+F115+E115</f>
        <v>322454.07400000002</v>
      </c>
      <c r="S115" s="23"/>
      <c r="T115" s="23">
        <f>20000</f>
        <v>20000</v>
      </c>
      <c r="U115" s="23">
        <f>'[6]OCT 2022 '!$D$184</f>
        <v>43750</v>
      </c>
      <c r="V115" s="23"/>
      <c r="W115" s="25">
        <f>41338.95</f>
        <v>41338.949999999997</v>
      </c>
      <c r="X115" s="258">
        <f t="shared" si="166"/>
        <v>105088.95</v>
      </c>
      <c r="Y115" s="23">
        <v>217365.12400000001</v>
      </c>
      <c r="Z115" s="207">
        <f>R115-X115</f>
        <v>217365.12400000001</v>
      </c>
      <c r="AA115" s="180"/>
    </row>
    <row r="116" spans="1:27" ht="20.100000000000001" customHeight="1">
      <c r="A116" s="28">
        <v>3</v>
      </c>
      <c r="B116" s="156" t="s">
        <v>202</v>
      </c>
      <c r="C116" s="161" t="s">
        <v>203</v>
      </c>
      <c r="D116" s="181" t="s">
        <v>199</v>
      </c>
      <c r="E116" s="25">
        <f>22837.82</f>
        <v>22837.82</v>
      </c>
      <c r="F116" s="25"/>
      <c r="G116" s="25">
        <f>E116*300%</f>
        <v>68513.459999999992</v>
      </c>
      <c r="H116" s="25">
        <f>E116*7.5%</f>
        <v>1712.8364999999999</v>
      </c>
      <c r="I116" s="23"/>
      <c r="J116" s="25">
        <f>E116*50%</f>
        <v>11418.91</v>
      </c>
      <c r="K116" s="23">
        <f>E116*350%</f>
        <v>79932.37</v>
      </c>
      <c r="L116" s="25">
        <f>E116*100%</f>
        <v>22837.82</v>
      </c>
      <c r="M116" s="179"/>
      <c r="N116" s="179">
        <f>60000</f>
        <v>60000</v>
      </c>
      <c r="O116" s="25">
        <f>E116*10%</f>
        <v>2283.7820000000002</v>
      </c>
      <c r="P116" s="25">
        <v>15000</v>
      </c>
      <c r="Q116" s="25"/>
      <c r="R116" s="204">
        <f>Q116+P116+O116+N116+M116+L116+K116+J116+I116+H116+G116+F116+E116</f>
        <v>284536.99849999999</v>
      </c>
      <c r="S116" s="23"/>
      <c r="T116" s="23"/>
      <c r="U116" s="23"/>
      <c r="V116" s="23">
        <v>570.94550000000004</v>
      </c>
      <c r="W116" s="25">
        <v>34871.967414666666</v>
      </c>
      <c r="X116" s="258">
        <f>W116+V116+U116+T116+S116</f>
        <v>35442.912914666667</v>
      </c>
      <c r="Y116" s="23">
        <v>249094.08558533332</v>
      </c>
      <c r="Z116" s="207">
        <f>R116-X116</f>
        <v>249094.08558533332</v>
      </c>
      <c r="AA116" s="180"/>
    </row>
    <row r="117" spans="1:27" ht="24.75" customHeight="1">
      <c r="A117" s="20"/>
      <c r="B117" s="159" t="s">
        <v>86</v>
      </c>
      <c r="C117" s="29">
        <v>3</v>
      </c>
      <c r="D117" s="187"/>
      <c r="E117" s="68">
        <f>SUM(E114:E116)</f>
        <v>44358.7</v>
      </c>
      <c r="F117" s="68">
        <f t="shared" ref="F117:Z117" si="168">SUM(F114:F116)</f>
        <v>0</v>
      </c>
      <c r="G117" s="68">
        <f t="shared" si="168"/>
        <v>133076.09999999998</v>
      </c>
      <c r="H117" s="68">
        <f t="shared" si="168"/>
        <v>3326.9025000000001</v>
      </c>
      <c r="I117" s="68">
        <f t="shared" si="168"/>
        <v>0</v>
      </c>
      <c r="J117" s="68">
        <f t="shared" si="168"/>
        <v>22179.35</v>
      </c>
      <c r="K117" s="68">
        <f t="shared" si="168"/>
        <v>155255.45000000001</v>
      </c>
      <c r="L117" s="68">
        <f t="shared" si="168"/>
        <v>44358.7</v>
      </c>
      <c r="M117" s="68">
        <f t="shared" si="168"/>
        <v>110000</v>
      </c>
      <c r="N117" s="68">
        <f t="shared" si="168"/>
        <v>60000</v>
      </c>
      <c r="O117" s="68">
        <f t="shared" si="168"/>
        <v>4435.8700000000008</v>
      </c>
      <c r="P117" s="68">
        <f t="shared" si="168"/>
        <v>30000</v>
      </c>
      <c r="Q117" s="68">
        <f t="shared" si="168"/>
        <v>0</v>
      </c>
      <c r="R117" s="68">
        <f t="shared" si="168"/>
        <v>606991.07250000001</v>
      </c>
      <c r="S117" s="68">
        <f t="shared" si="168"/>
        <v>0</v>
      </c>
      <c r="T117" s="68">
        <f t="shared" si="168"/>
        <v>20000</v>
      </c>
      <c r="U117" s="68">
        <f t="shared" si="168"/>
        <v>43750</v>
      </c>
      <c r="V117" s="68">
        <f t="shared" si="168"/>
        <v>570.94550000000004</v>
      </c>
      <c r="W117" s="68">
        <f t="shared" si="168"/>
        <v>76210.917414666663</v>
      </c>
      <c r="X117" s="358">
        <f t="shared" si="168"/>
        <v>140531.86291466665</v>
      </c>
      <c r="Y117" s="68">
        <v>466459.20958533336</v>
      </c>
      <c r="Z117" s="337">
        <f t="shared" si="168"/>
        <v>466459.20958533336</v>
      </c>
      <c r="AA117" s="180"/>
    </row>
    <row r="118" spans="1:27" ht="20.100000000000001" customHeight="1">
      <c r="A118" s="20"/>
      <c r="B118" s="123"/>
      <c r="C118" s="28"/>
      <c r="D118" s="20"/>
      <c r="E118" s="189"/>
      <c r="F118" s="176"/>
      <c r="G118" s="189"/>
      <c r="H118" s="189"/>
      <c r="I118" s="189"/>
      <c r="J118" s="189"/>
      <c r="K118" s="189"/>
      <c r="L118" s="189"/>
      <c r="M118" s="179"/>
      <c r="N118" s="179"/>
      <c r="O118" s="189"/>
      <c r="P118" s="189"/>
      <c r="Q118" s="189"/>
      <c r="R118" s="206"/>
      <c r="S118" s="189"/>
      <c r="T118" s="189"/>
      <c r="U118" s="189"/>
      <c r="V118" s="189"/>
      <c r="W118" s="189"/>
      <c r="X118" s="263"/>
      <c r="Y118" s="189"/>
      <c r="Z118" s="209"/>
      <c r="AA118" s="180"/>
    </row>
    <row r="119" spans="1:27" ht="20.100000000000001" customHeight="1">
      <c r="A119" s="20"/>
      <c r="B119" s="159" t="s">
        <v>204</v>
      </c>
      <c r="C119" s="29"/>
      <c r="D119" s="29"/>
      <c r="E119" s="30"/>
      <c r="F119" s="30"/>
      <c r="G119" s="30"/>
      <c r="H119" s="30"/>
      <c r="I119" s="30"/>
      <c r="J119" s="30"/>
      <c r="K119" s="30"/>
      <c r="L119" s="30"/>
      <c r="M119" s="179"/>
      <c r="N119" s="179"/>
      <c r="O119" s="30"/>
      <c r="P119" s="30"/>
      <c r="Q119" s="30"/>
      <c r="R119" s="213"/>
      <c r="S119" s="182"/>
      <c r="T119" s="182"/>
      <c r="U119" s="182"/>
      <c r="V119" s="182"/>
      <c r="W119" s="30"/>
      <c r="X119" s="258"/>
      <c r="Y119" s="23"/>
      <c r="Z119" s="207"/>
      <c r="AA119" s="180"/>
    </row>
    <row r="120" spans="1:27" ht="20.100000000000001" customHeight="1">
      <c r="A120" s="20">
        <v>1</v>
      </c>
      <c r="B120" s="156" t="s">
        <v>205</v>
      </c>
      <c r="C120" s="161" t="s">
        <v>206</v>
      </c>
      <c r="D120" s="181" t="s">
        <v>90</v>
      </c>
      <c r="E120" s="25">
        <v>81740.02</v>
      </c>
      <c r="F120" s="25"/>
      <c r="G120" s="25">
        <f t="shared" ref="G120:G126" si="169">E120*300%</f>
        <v>245220.06</v>
      </c>
      <c r="H120" s="25">
        <f t="shared" ref="H120:H126" si="170">E120*7.5%</f>
        <v>6130.5015000000003</v>
      </c>
      <c r="I120" s="25">
        <f>80244.38</f>
        <v>80244.38</v>
      </c>
      <c r="J120" s="25">
        <f t="shared" ref="J120:J126" si="171">E120*50%</f>
        <v>40870.01</v>
      </c>
      <c r="K120" s="25">
        <f t="shared" ref="K120:K126" si="172">E120*350%</f>
        <v>286090.07</v>
      </c>
      <c r="L120" s="25">
        <f t="shared" ref="L120:L126" si="173">E120*100%</f>
        <v>81740.02</v>
      </c>
      <c r="M120" s="179"/>
      <c r="N120" s="179">
        <f>100000</f>
        <v>100000</v>
      </c>
      <c r="O120" s="25">
        <f t="shared" ref="O120:O126" si="174">E120*10%</f>
        <v>8174.0020000000004</v>
      </c>
      <c r="P120" s="25">
        <v>20000</v>
      </c>
      <c r="Q120" s="25">
        <v>100000</v>
      </c>
      <c r="R120" s="204">
        <f t="shared" ref="R120:R126" si="175">SUM(E120:Q120)</f>
        <v>1050209.0635000002</v>
      </c>
      <c r="S120" s="23"/>
      <c r="T120" s="23">
        <f>200000</f>
        <v>200000</v>
      </c>
      <c r="U120" s="23">
        <f>327777.78</f>
        <v>327777.78000000003</v>
      </c>
      <c r="V120" s="23">
        <v>2043.5005000000001</v>
      </c>
      <c r="W120" s="25">
        <v>179914.4546986667</v>
      </c>
      <c r="X120" s="258">
        <f t="shared" ref="X120:X126" si="176">W120+V120+U120+T120+S120</f>
        <v>709735.73519866669</v>
      </c>
      <c r="Y120" s="23">
        <v>340473.32830133347</v>
      </c>
      <c r="Z120" s="207">
        <f t="shared" ref="Z120:Z129" si="177">R120-X120</f>
        <v>340473.32830133347</v>
      </c>
      <c r="AA120" s="180"/>
    </row>
    <row r="121" spans="1:27" ht="20.100000000000001" customHeight="1">
      <c r="A121" s="20">
        <v>2</v>
      </c>
      <c r="B121" s="156" t="s">
        <v>207</v>
      </c>
      <c r="C121" s="161" t="s">
        <v>208</v>
      </c>
      <c r="D121" s="181" t="s">
        <v>45</v>
      </c>
      <c r="E121" s="25">
        <v>33507.5</v>
      </c>
      <c r="F121" s="25"/>
      <c r="G121" s="25">
        <f t="shared" si="169"/>
        <v>100522.5</v>
      </c>
      <c r="H121" s="25">
        <f t="shared" si="170"/>
        <v>2513.0625</v>
      </c>
      <c r="I121" s="25">
        <v>40122.19</v>
      </c>
      <c r="J121" s="25">
        <f t="shared" si="171"/>
        <v>16753.75</v>
      </c>
      <c r="K121" s="23">
        <f t="shared" si="172"/>
        <v>117276.25</v>
      </c>
      <c r="L121" s="25">
        <f t="shared" si="173"/>
        <v>33507.5</v>
      </c>
      <c r="M121" s="179"/>
      <c r="N121" s="179">
        <f>80000</f>
        <v>80000</v>
      </c>
      <c r="O121" s="25">
        <f t="shared" si="174"/>
        <v>3350.75</v>
      </c>
      <c r="P121" s="25">
        <v>20000</v>
      </c>
      <c r="Q121" s="25">
        <v>100000</v>
      </c>
      <c r="R121" s="204">
        <f t="shared" si="175"/>
        <v>547553.50249999994</v>
      </c>
      <c r="S121" s="23"/>
      <c r="T121" s="23">
        <f>100000</f>
        <v>100000</v>
      </c>
      <c r="U121" s="23">
        <f>0</f>
        <v>0</v>
      </c>
      <c r="V121" s="23">
        <v>837.6875</v>
      </c>
      <c r="W121" s="25">
        <v>83636.103146666646</v>
      </c>
      <c r="X121" s="258">
        <f t="shared" si="176"/>
        <v>184473.79064666666</v>
      </c>
      <c r="Y121" s="23">
        <v>363079.71185333328</v>
      </c>
      <c r="Z121" s="207">
        <f t="shared" si="177"/>
        <v>363079.71185333328</v>
      </c>
      <c r="AA121" s="180"/>
    </row>
    <row r="122" spans="1:27" ht="20.100000000000001" customHeight="1">
      <c r="A122" s="20">
        <v>3</v>
      </c>
      <c r="B122" s="158" t="s">
        <v>209</v>
      </c>
      <c r="C122" s="161" t="s">
        <v>208</v>
      </c>
      <c r="D122" s="181" t="s">
        <v>45</v>
      </c>
      <c r="E122" s="25">
        <v>33507.5</v>
      </c>
      <c r="F122" s="25"/>
      <c r="G122" s="25">
        <f>E122*300%</f>
        <v>100522.5</v>
      </c>
      <c r="H122" s="25">
        <f>E122*7.5%</f>
        <v>2513.0625</v>
      </c>
      <c r="I122" s="25">
        <f>40122.19</f>
        <v>40122.19</v>
      </c>
      <c r="J122" s="25">
        <f>E122*50%</f>
        <v>16753.75</v>
      </c>
      <c r="K122" s="23">
        <f>E122*350%</f>
        <v>117276.25</v>
      </c>
      <c r="L122" s="25">
        <f>E122*100%</f>
        <v>33507.5</v>
      </c>
      <c r="M122" s="179"/>
      <c r="N122" s="179">
        <f t="shared" si="15"/>
        <v>80000</v>
      </c>
      <c r="O122" s="25">
        <f>E122*10%</f>
        <v>3350.75</v>
      </c>
      <c r="P122" s="25">
        <v>20000</v>
      </c>
      <c r="Q122" s="25">
        <f>100000+30000</f>
        <v>130000</v>
      </c>
      <c r="R122" s="204">
        <f>SUM(E122:Q122)</f>
        <v>577553.50249999994</v>
      </c>
      <c r="S122" s="23"/>
      <c r="T122" s="23">
        <f>80000+40000-20000</f>
        <v>100000</v>
      </c>
      <c r="U122" s="23"/>
      <c r="V122" s="23">
        <v>837.6875</v>
      </c>
      <c r="W122" s="25">
        <v>89396.1</v>
      </c>
      <c r="X122" s="258">
        <f t="shared" si="176"/>
        <v>190233.78750000001</v>
      </c>
      <c r="Y122" s="23">
        <v>387319.71499999997</v>
      </c>
      <c r="Z122" s="207">
        <f t="shared" si="177"/>
        <v>387319.71499999997</v>
      </c>
      <c r="AA122" s="180"/>
    </row>
    <row r="123" spans="1:27" ht="20.100000000000001" customHeight="1">
      <c r="A123" s="20">
        <v>4</v>
      </c>
      <c r="B123" s="158" t="s">
        <v>210</v>
      </c>
      <c r="C123" s="161" t="s">
        <v>208</v>
      </c>
      <c r="D123" s="181" t="s">
        <v>48</v>
      </c>
      <c r="E123" s="25">
        <v>31018.84</v>
      </c>
      <c r="F123" s="25"/>
      <c r="G123" s="25">
        <f t="shared" ref="G123" si="178">E123*300%</f>
        <v>93056.52</v>
      </c>
      <c r="H123" s="25">
        <f t="shared" ref="H123" si="179">E123*7.5%</f>
        <v>2326.413</v>
      </c>
      <c r="I123" s="25">
        <v>40122.19</v>
      </c>
      <c r="J123" s="25">
        <f t="shared" ref="J123" si="180">E123*50%</f>
        <v>15509.42</v>
      </c>
      <c r="K123" s="23">
        <f t="shared" ref="K123" si="181">E123*350%</f>
        <v>108565.94</v>
      </c>
      <c r="L123" s="25">
        <f t="shared" ref="L123" si="182">E123*100%</f>
        <v>31018.84</v>
      </c>
      <c r="M123" s="179"/>
      <c r="N123" s="179">
        <f>80000</f>
        <v>80000</v>
      </c>
      <c r="O123" s="25">
        <f t="shared" ref="O123" si="183">E123*10%</f>
        <v>3101.884</v>
      </c>
      <c r="P123" s="25">
        <v>20000</v>
      </c>
      <c r="Q123" s="25">
        <v>0</v>
      </c>
      <c r="R123" s="204">
        <f>SUM(E123:Q123)</f>
        <v>424720.04700000002</v>
      </c>
      <c r="S123" s="23"/>
      <c r="T123" s="23">
        <f>100000</f>
        <v>100000</v>
      </c>
      <c r="U123" s="23">
        <f>51500</f>
        <v>51500</v>
      </c>
      <c r="V123" s="23"/>
      <c r="W123" s="25">
        <v>60212.915690666669</v>
      </c>
      <c r="X123" s="258">
        <f t="shared" si="176"/>
        <v>211712.91569066668</v>
      </c>
      <c r="Y123" s="23">
        <v>213007.13130933334</v>
      </c>
      <c r="Z123" s="207">
        <f t="shared" si="177"/>
        <v>213007.13130933334</v>
      </c>
      <c r="AA123" s="180"/>
    </row>
    <row r="124" spans="1:27" ht="20.100000000000001" customHeight="1">
      <c r="A124" s="20">
        <v>5</v>
      </c>
      <c r="B124" s="156" t="s">
        <v>211</v>
      </c>
      <c r="C124" s="161" t="s">
        <v>212</v>
      </c>
      <c r="D124" s="181" t="s">
        <v>134</v>
      </c>
      <c r="E124" s="25">
        <v>26732.65</v>
      </c>
      <c r="F124" s="25"/>
      <c r="G124" s="25">
        <f t="shared" si="169"/>
        <v>80197.950000000012</v>
      </c>
      <c r="H124" s="25">
        <f t="shared" si="170"/>
        <v>2004.94875</v>
      </c>
      <c r="I124" s="25">
        <v>0</v>
      </c>
      <c r="J124" s="25">
        <f t="shared" si="171"/>
        <v>13366.325000000001</v>
      </c>
      <c r="K124" s="23">
        <f t="shared" si="172"/>
        <v>93564.275000000009</v>
      </c>
      <c r="L124" s="25">
        <f t="shared" si="173"/>
        <v>26732.65</v>
      </c>
      <c r="M124" s="179"/>
      <c r="N124" s="179">
        <f>70000</f>
        <v>70000</v>
      </c>
      <c r="O124" s="25">
        <f t="shared" si="174"/>
        <v>2673.2650000000003</v>
      </c>
      <c r="P124" s="25">
        <f>15000+5000</f>
        <v>20000</v>
      </c>
      <c r="Q124" s="25">
        <v>0</v>
      </c>
      <c r="R124" s="204">
        <f t="shared" si="175"/>
        <v>335272.06374999997</v>
      </c>
      <c r="S124" s="23"/>
      <c r="T124" s="23">
        <f>70000</f>
        <v>70000</v>
      </c>
      <c r="U124" s="23">
        <f>50000</f>
        <v>50000</v>
      </c>
      <c r="V124" s="23"/>
      <c r="W124" s="25">
        <f>43492.37+1680</f>
        <v>45172.37</v>
      </c>
      <c r="X124" s="258">
        <f t="shared" si="176"/>
        <v>165172.37</v>
      </c>
      <c r="Y124" s="23">
        <v>170099.69374999998</v>
      </c>
      <c r="Z124" s="207">
        <f t="shared" si="177"/>
        <v>170099.69374999998</v>
      </c>
      <c r="AA124" s="180"/>
    </row>
    <row r="125" spans="1:27" ht="20.100000000000001" customHeight="1">
      <c r="A125" s="20">
        <v>6</v>
      </c>
      <c r="B125" s="156" t="s">
        <v>213</v>
      </c>
      <c r="C125" s="161" t="s">
        <v>214</v>
      </c>
      <c r="D125" s="181" t="s">
        <v>111</v>
      </c>
      <c r="E125" s="25">
        <v>25854.1</v>
      </c>
      <c r="F125" s="25"/>
      <c r="G125" s="25">
        <f t="shared" si="169"/>
        <v>77562.299999999988</v>
      </c>
      <c r="H125" s="25">
        <f t="shared" si="170"/>
        <v>1939.0574999999999</v>
      </c>
      <c r="I125" s="25"/>
      <c r="J125" s="25">
        <f t="shared" si="171"/>
        <v>12927.05</v>
      </c>
      <c r="K125" s="23">
        <f t="shared" si="172"/>
        <v>90489.349999999991</v>
      </c>
      <c r="L125" s="25">
        <f t="shared" si="173"/>
        <v>25854.1</v>
      </c>
      <c r="M125" s="179"/>
      <c r="N125" s="179">
        <f t="shared" ref="N125:N126" si="184">70000</f>
        <v>70000</v>
      </c>
      <c r="O125" s="25">
        <f t="shared" si="174"/>
        <v>2585.41</v>
      </c>
      <c r="P125" s="25">
        <v>20000</v>
      </c>
      <c r="Q125" s="25">
        <v>0</v>
      </c>
      <c r="R125" s="204">
        <f t="shared" si="175"/>
        <v>327211.36749999999</v>
      </c>
      <c r="S125" s="23"/>
      <c r="T125" s="23">
        <f>20000</f>
        <v>20000</v>
      </c>
      <c r="U125" s="23">
        <v>75694.44</v>
      </c>
      <c r="V125" s="23">
        <v>690.28</v>
      </c>
      <c r="W125" s="25">
        <f>[3]PROMOTIONS!$X$35</f>
        <v>42034.243346666663</v>
      </c>
      <c r="X125" s="258">
        <f t="shared" si="176"/>
        <v>138418.96334666666</v>
      </c>
      <c r="Y125" s="23">
        <v>182160.5275</v>
      </c>
      <c r="Z125" s="207">
        <f t="shared" si="177"/>
        <v>188792.40415333334</v>
      </c>
      <c r="AA125" s="180"/>
    </row>
    <row r="126" spans="1:27" ht="20.100000000000001" customHeight="1">
      <c r="A126" s="20">
        <v>7</v>
      </c>
      <c r="B126" s="156" t="s">
        <v>215</v>
      </c>
      <c r="C126" s="161" t="s">
        <v>212</v>
      </c>
      <c r="D126" s="181" t="s">
        <v>111</v>
      </c>
      <c r="E126" s="25">
        <v>25854.1</v>
      </c>
      <c r="F126" s="25"/>
      <c r="G126" s="25">
        <f t="shared" si="169"/>
        <v>77562.299999999988</v>
      </c>
      <c r="H126" s="25">
        <f t="shared" si="170"/>
        <v>1939.0574999999999</v>
      </c>
      <c r="I126" s="25"/>
      <c r="J126" s="25">
        <f t="shared" si="171"/>
        <v>12927.05</v>
      </c>
      <c r="K126" s="23">
        <f t="shared" si="172"/>
        <v>90489.349999999991</v>
      </c>
      <c r="L126" s="25">
        <f t="shared" si="173"/>
        <v>25854.1</v>
      </c>
      <c r="M126" s="179"/>
      <c r="N126" s="179">
        <f t="shared" si="184"/>
        <v>70000</v>
      </c>
      <c r="O126" s="25">
        <f t="shared" si="174"/>
        <v>2585.41</v>
      </c>
      <c r="P126" s="25">
        <v>20000</v>
      </c>
      <c r="Q126" s="25"/>
      <c r="R126" s="23">
        <f t="shared" si="175"/>
        <v>327211.36749999999</v>
      </c>
      <c r="S126" s="23"/>
      <c r="T126" s="23">
        <f>35000+25000</f>
        <v>60000</v>
      </c>
      <c r="U126" s="23">
        <f>55000</f>
        <v>55000</v>
      </c>
      <c r="V126" s="23">
        <v>690.28</v>
      </c>
      <c r="W126" s="25">
        <f>[3]PROMOTIONS!$X$35</f>
        <v>42034.243346666663</v>
      </c>
      <c r="X126" s="258">
        <f t="shared" si="176"/>
        <v>157724.52334666665</v>
      </c>
      <c r="Y126" s="23">
        <v>229694.60662333324</v>
      </c>
      <c r="Z126" s="207">
        <f t="shared" si="177"/>
        <v>169486.84415333334</v>
      </c>
      <c r="AA126" s="180"/>
    </row>
    <row r="127" spans="1:27" ht="20.100000000000001" customHeight="1">
      <c r="A127" s="20">
        <v>8</v>
      </c>
      <c r="B127" s="156" t="s">
        <v>216</v>
      </c>
      <c r="C127" s="161" t="s">
        <v>217</v>
      </c>
      <c r="D127" s="28" t="s">
        <v>69</v>
      </c>
      <c r="E127" s="25">
        <f>15188.67</f>
        <v>15188.67</v>
      </c>
      <c r="F127" s="25"/>
      <c r="G127" s="25">
        <f t="shared" ref="G127:G128" si="185">E127*300%</f>
        <v>45566.01</v>
      </c>
      <c r="H127" s="25">
        <f t="shared" ref="H127:H128" si="186">E127*7.5%</f>
        <v>1139.1502499999999</v>
      </c>
      <c r="I127" s="25"/>
      <c r="J127" s="25">
        <f t="shared" ref="J127:J128" si="187">E127*50%</f>
        <v>7594.335</v>
      </c>
      <c r="K127" s="25">
        <f t="shared" ref="K127:K128" si="188">E127*350%</f>
        <v>53160.345000000001</v>
      </c>
      <c r="L127" s="25">
        <f t="shared" ref="L127:L128" si="189">E127*100%</f>
        <v>15188.67</v>
      </c>
      <c r="M127" s="179"/>
      <c r="N127" s="179">
        <f>60000</f>
        <v>60000</v>
      </c>
      <c r="O127" s="25">
        <f t="shared" ref="O127:O128" si="190">E127*10%</f>
        <v>1518.8670000000002</v>
      </c>
      <c r="P127" s="25">
        <v>10000</v>
      </c>
      <c r="Q127" s="25"/>
      <c r="R127" s="204">
        <f>SUM(E127:Q127)</f>
        <v>209356.04725</v>
      </c>
      <c r="S127" s="23"/>
      <c r="T127" s="23">
        <v>15000</v>
      </c>
      <c r="U127" s="23">
        <v>30000</v>
      </c>
      <c r="V127" s="23"/>
      <c r="W127" s="25">
        <v>22338.48260466666</v>
      </c>
      <c r="X127" s="258">
        <f>W127+V127+U127+T127</f>
        <v>67338.482604666657</v>
      </c>
      <c r="Y127" s="23">
        <v>142017.56464533333</v>
      </c>
      <c r="Z127" s="207">
        <f t="shared" si="177"/>
        <v>142017.56464533333</v>
      </c>
      <c r="AA127" s="180"/>
    </row>
    <row r="128" spans="1:27" ht="20.100000000000001" customHeight="1">
      <c r="A128" s="20">
        <v>9</v>
      </c>
      <c r="B128" s="157" t="s">
        <v>218</v>
      </c>
      <c r="C128" s="161" t="s">
        <v>219</v>
      </c>
      <c r="D128" s="181" t="s">
        <v>85</v>
      </c>
      <c r="E128" s="25">
        <f>12352.94</f>
        <v>12352.94</v>
      </c>
      <c r="F128" s="25"/>
      <c r="G128" s="25">
        <f t="shared" si="185"/>
        <v>37058.82</v>
      </c>
      <c r="H128" s="25">
        <f t="shared" si="186"/>
        <v>926.47050000000002</v>
      </c>
      <c r="I128" s="25"/>
      <c r="J128" s="25">
        <f t="shared" si="187"/>
        <v>6176.47</v>
      </c>
      <c r="K128" s="25">
        <f t="shared" si="188"/>
        <v>43235.29</v>
      </c>
      <c r="L128" s="25">
        <f t="shared" si="189"/>
        <v>12352.94</v>
      </c>
      <c r="M128" s="179"/>
      <c r="N128" s="179">
        <f>50000</f>
        <v>50000</v>
      </c>
      <c r="O128" s="25">
        <f t="shared" si="190"/>
        <v>1235.2940000000001</v>
      </c>
      <c r="P128" s="25">
        <v>10000</v>
      </c>
      <c r="Q128" s="25"/>
      <c r="R128" s="204">
        <f t="shared" ref="R128" si="191">Q128+P128+O128+N128+M128+L128+K128+J128+I128+H128+G128+F128+E128</f>
        <v>173338.22450000001</v>
      </c>
      <c r="S128" s="23"/>
      <c r="T128" s="23">
        <f>10000</f>
        <v>10000</v>
      </c>
      <c r="U128" s="23">
        <v>70000</v>
      </c>
      <c r="V128" s="23">
        <v>0</v>
      </c>
      <c r="W128" s="25">
        <v>16514.228790666668</v>
      </c>
      <c r="X128" s="258">
        <f>W128+V128+U128+T128+S128</f>
        <v>96514.228790666675</v>
      </c>
      <c r="Y128" s="23">
        <v>76823.995709333336</v>
      </c>
      <c r="Z128" s="207">
        <f t="shared" si="177"/>
        <v>76823.995709333336</v>
      </c>
      <c r="AA128" s="180"/>
    </row>
    <row r="129" spans="1:27" ht="20.100000000000001" customHeight="1">
      <c r="A129" s="20">
        <v>10</v>
      </c>
      <c r="B129" s="157" t="s">
        <v>220</v>
      </c>
      <c r="C129" s="161" t="s">
        <v>221</v>
      </c>
      <c r="D129" s="181" t="s">
        <v>85</v>
      </c>
      <c r="E129" s="25">
        <v>12351.94</v>
      </c>
      <c r="F129" s="25"/>
      <c r="G129" s="25">
        <v>37055.82</v>
      </c>
      <c r="H129" s="25">
        <v>926.39549999999997</v>
      </c>
      <c r="I129" s="25"/>
      <c r="J129" s="25">
        <v>6175.97</v>
      </c>
      <c r="K129" s="25">
        <v>43231.79</v>
      </c>
      <c r="L129" s="25">
        <v>12351.94</v>
      </c>
      <c r="M129" s="179"/>
      <c r="N129" s="179">
        <v>50000</v>
      </c>
      <c r="O129" s="25">
        <v>1235.1940000000002</v>
      </c>
      <c r="P129" s="25">
        <v>10000</v>
      </c>
      <c r="Q129" s="25"/>
      <c r="R129" s="204">
        <v>173329.04949999999</v>
      </c>
      <c r="S129" s="23"/>
      <c r="T129" s="23">
        <v>10000</v>
      </c>
      <c r="U129" s="23">
        <v>63888.89</v>
      </c>
      <c r="V129" s="23">
        <v>0</v>
      </c>
      <c r="W129" s="25">
        <v>16512.68219066667</v>
      </c>
      <c r="X129" s="258">
        <f>W129+V129+U129+T129+S129</f>
        <v>90401.572190666673</v>
      </c>
      <c r="Y129" s="23">
        <v>82927.477309333321</v>
      </c>
      <c r="Z129" s="207">
        <f t="shared" si="177"/>
        <v>82927.477309333321</v>
      </c>
      <c r="AA129" s="180"/>
    </row>
    <row r="130" spans="1:27" ht="28.5" customHeight="1">
      <c r="A130" s="20"/>
      <c r="B130" s="159" t="s">
        <v>86</v>
      </c>
      <c r="C130" s="187" t="s">
        <v>222</v>
      </c>
      <c r="D130" s="181"/>
      <c r="E130" s="30">
        <f>SUM(E120:E129)</f>
        <v>298108.26</v>
      </c>
      <c r="F130" s="30">
        <f t="shared" ref="F130:Z130" si="192">SUM(F120:F129)</f>
        <v>0</v>
      </c>
      <c r="G130" s="30">
        <f t="shared" si="192"/>
        <v>894324.78</v>
      </c>
      <c r="H130" s="30">
        <f t="shared" si="192"/>
        <v>22358.119499999997</v>
      </c>
      <c r="I130" s="30">
        <f t="shared" si="192"/>
        <v>200610.95</v>
      </c>
      <c r="J130" s="30">
        <f t="shared" si="192"/>
        <v>149054.13</v>
      </c>
      <c r="K130" s="30">
        <f t="shared" si="192"/>
        <v>1043378.91</v>
      </c>
      <c r="L130" s="30">
        <f t="shared" si="192"/>
        <v>298108.26</v>
      </c>
      <c r="M130" s="30">
        <f t="shared" si="192"/>
        <v>0</v>
      </c>
      <c r="N130" s="30">
        <f t="shared" si="192"/>
        <v>710000</v>
      </c>
      <c r="O130" s="30">
        <f t="shared" si="192"/>
        <v>29810.825999999997</v>
      </c>
      <c r="P130" s="30">
        <f t="shared" si="192"/>
        <v>170000</v>
      </c>
      <c r="Q130" s="30">
        <f t="shared" si="192"/>
        <v>330000</v>
      </c>
      <c r="R130" s="30">
        <f t="shared" si="192"/>
        <v>4145754.2355000004</v>
      </c>
      <c r="S130" s="30">
        <f t="shared" si="192"/>
        <v>0</v>
      </c>
      <c r="T130" s="30">
        <f t="shared" si="192"/>
        <v>685000</v>
      </c>
      <c r="U130" s="30">
        <f t="shared" si="192"/>
        <v>723861.11</v>
      </c>
      <c r="V130" s="30">
        <f t="shared" si="192"/>
        <v>5099.4354999999996</v>
      </c>
      <c r="W130" s="30">
        <f t="shared" si="192"/>
        <v>597765.82381533331</v>
      </c>
      <c r="X130" s="260">
        <f t="shared" si="192"/>
        <v>2011726.3693153334</v>
      </c>
      <c r="Y130" s="30">
        <v>2187603.7520013331</v>
      </c>
      <c r="Z130" s="218">
        <f t="shared" si="192"/>
        <v>2134027.8661846663</v>
      </c>
      <c r="AA130" s="180"/>
    </row>
    <row r="131" spans="1:27" ht="20.100000000000001" customHeight="1">
      <c r="A131" s="20"/>
      <c r="B131" s="123"/>
      <c r="C131" s="187"/>
      <c r="D131" s="181"/>
      <c r="E131" s="30"/>
      <c r="F131" s="30"/>
      <c r="G131" s="30"/>
      <c r="H131" s="30"/>
      <c r="I131" s="30"/>
      <c r="J131" s="30"/>
      <c r="K131" s="182"/>
      <c r="L131" s="30"/>
      <c r="M131" s="179">
        <f>226713.38+70000</f>
        <v>296713.38</v>
      </c>
      <c r="N131" s="179"/>
      <c r="O131" s="30"/>
      <c r="P131" s="30"/>
      <c r="Q131" s="30"/>
      <c r="R131" s="213"/>
      <c r="S131" s="182"/>
      <c r="T131" s="182"/>
      <c r="U131" s="182"/>
      <c r="V131" s="182"/>
      <c r="W131" s="30"/>
      <c r="X131" s="264"/>
      <c r="Y131" s="182"/>
      <c r="Z131" s="220"/>
      <c r="AA131" s="180"/>
    </row>
    <row r="132" spans="1:27" ht="20.100000000000001" customHeight="1">
      <c r="A132" s="20"/>
      <c r="B132" s="159" t="s">
        <v>223</v>
      </c>
      <c r="C132" s="161"/>
      <c r="D132" s="181"/>
      <c r="E132" s="25"/>
      <c r="F132" s="25"/>
      <c r="G132" s="25"/>
      <c r="H132" s="25"/>
      <c r="I132" s="25"/>
      <c r="J132" s="25"/>
      <c r="K132" s="23"/>
      <c r="L132" s="25"/>
      <c r="M132" s="179"/>
      <c r="N132" s="179"/>
      <c r="O132" s="25"/>
      <c r="P132" s="25"/>
      <c r="Q132" s="25"/>
      <c r="R132" s="204"/>
      <c r="S132" s="23"/>
      <c r="T132" s="23"/>
      <c r="U132" s="23"/>
      <c r="V132" s="23"/>
      <c r="W132" s="25"/>
      <c r="X132" s="258"/>
      <c r="Y132" s="23"/>
      <c r="Z132" s="207"/>
      <c r="AA132" s="180"/>
    </row>
    <row r="133" spans="1:27" ht="20.100000000000001" customHeight="1">
      <c r="A133" s="191">
        <v>1</v>
      </c>
      <c r="B133" s="156" t="s">
        <v>224</v>
      </c>
      <c r="C133" s="161" t="s">
        <v>225</v>
      </c>
      <c r="D133" s="181" t="s">
        <v>90</v>
      </c>
      <c r="E133" s="25">
        <v>81740.02</v>
      </c>
      <c r="F133" s="25"/>
      <c r="G133" s="25">
        <f>E133*300%</f>
        <v>245220.06</v>
      </c>
      <c r="H133" s="25">
        <f>E133*7.5%</f>
        <v>6130.5015000000003</v>
      </c>
      <c r="I133" s="25">
        <f>80244.38</f>
        <v>80244.38</v>
      </c>
      <c r="J133" s="25">
        <f>E133*50%</f>
        <v>40870.01</v>
      </c>
      <c r="K133" s="25">
        <f>E133*350%</f>
        <v>286090.07</v>
      </c>
      <c r="L133" s="25">
        <f>E133*100%</f>
        <v>81740.02</v>
      </c>
      <c r="M133" s="179"/>
      <c r="N133" s="179">
        <f>100000</f>
        <v>100000</v>
      </c>
      <c r="O133" s="25">
        <f>E133*10%</f>
        <v>8174.0020000000004</v>
      </c>
      <c r="P133" s="25">
        <v>20000</v>
      </c>
      <c r="Q133" s="25">
        <v>0</v>
      </c>
      <c r="R133" s="204">
        <f>SUM(E133:Q133)</f>
        <v>950209.06350000005</v>
      </c>
      <c r="S133" s="23"/>
      <c r="T133" s="23">
        <f>100000</f>
        <v>100000</v>
      </c>
      <c r="U133" s="23">
        <f>208526.24</f>
        <v>208526.24</v>
      </c>
      <c r="V133" s="23"/>
      <c r="W133" s="25">
        <v>161106.80685866668</v>
      </c>
      <c r="X133" s="258">
        <f t="shared" ref="X133:X149" si="193">W133+V133+U133+T133+S133</f>
        <v>469633.0468586667</v>
      </c>
      <c r="Y133" s="23">
        <v>480576.01664133335</v>
      </c>
      <c r="Z133" s="207">
        <f t="shared" ref="Z133:Z164" si="194">R133-X133</f>
        <v>480576.01664133335</v>
      </c>
      <c r="AA133" s="180"/>
    </row>
    <row r="134" spans="1:27" ht="20.100000000000001" customHeight="1">
      <c r="A134" s="191">
        <v>2</v>
      </c>
      <c r="B134" s="156" t="s">
        <v>226</v>
      </c>
      <c r="C134" s="161" t="s">
        <v>227</v>
      </c>
      <c r="D134" s="181" t="s">
        <v>228</v>
      </c>
      <c r="E134" s="25">
        <v>42653.17</v>
      </c>
      <c r="F134" s="25"/>
      <c r="G134" s="25">
        <v>127959.51</v>
      </c>
      <c r="H134" s="25">
        <v>3198.9877499999998</v>
      </c>
      <c r="I134" s="25">
        <v>40122.19</v>
      </c>
      <c r="J134" s="25">
        <v>21326.584999999999</v>
      </c>
      <c r="K134" s="25">
        <v>149286.095</v>
      </c>
      <c r="L134" s="25">
        <v>42653.17</v>
      </c>
      <c r="M134" s="179"/>
      <c r="N134" s="179">
        <v>90000</v>
      </c>
      <c r="O134" s="25">
        <v>4265.317</v>
      </c>
      <c r="P134" s="25">
        <v>20000</v>
      </c>
      <c r="Q134" s="25"/>
      <c r="R134" s="204">
        <f>SUM(E134:Q134)</f>
        <v>541465.02474999998</v>
      </c>
      <c r="S134" s="23"/>
      <c r="T134" s="35">
        <v>50000</v>
      </c>
      <c r="U134" s="35">
        <v>200000</v>
      </c>
      <c r="W134" s="23">
        <v>82467.115418666668</v>
      </c>
      <c r="X134" s="258">
        <f t="shared" si="193"/>
        <v>332467.11541866668</v>
      </c>
      <c r="Y134" s="23">
        <v>208997.9093313333</v>
      </c>
      <c r="Z134" s="207">
        <f t="shared" si="194"/>
        <v>208997.9093313333</v>
      </c>
      <c r="AA134" s="180"/>
    </row>
    <row r="135" spans="1:27" ht="20.100000000000001" customHeight="1">
      <c r="A135" s="191">
        <v>3</v>
      </c>
      <c r="B135" s="158" t="s">
        <v>229</v>
      </c>
      <c r="C135" s="20" t="s">
        <v>230</v>
      </c>
      <c r="D135" s="24" t="s">
        <v>36</v>
      </c>
      <c r="E135" s="25">
        <v>41157.69</v>
      </c>
      <c r="F135" s="25"/>
      <c r="G135" s="25">
        <f t="shared" ref="G135:G184" si="195">E135*300%</f>
        <v>123473.07</v>
      </c>
      <c r="H135" s="25">
        <f t="shared" ref="H135:H184" si="196">E135*7.5%</f>
        <v>3086.8267500000002</v>
      </c>
      <c r="I135" s="25">
        <v>40122.19</v>
      </c>
      <c r="J135" s="25">
        <f t="shared" ref="J135:J184" si="197">E135*50%</f>
        <v>20578.845000000001</v>
      </c>
      <c r="K135" s="25">
        <f t="shared" ref="K135:K184" si="198">E135*350%</f>
        <v>144051.91500000001</v>
      </c>
      <c r="L135" s="25">
        <f t="shared" ref="L135:L153" si="199">E135*100%</f>
        <v>41157.69</v>
      </c>
      <c r="M135" s="179"/>
      <c r="N135" s="179">
        <f>80000+10000</f>
        <v>90000</v>
      </c>
      <c r="O135" s="25">
        <f t="shared" ref="O135:O153" si="200">E135*10%</f>
        <v>4115.7690000000002</v>
      </c>
      <c r="P135" s="25">
        <v>20000</v>
      </c>
      <c r="Q135" s="25">
        <v>50000</v>
      </c>
      <c r="R135" s="204">
        <f t="shared" ref="R135:R155" si="201">SUM(E135:Q135)</f>
        <v>577743.99575</v>
      </c>
      <c r="S135" s="23"/>
      <c r="T135" s="23">
        <f>37500</f>
        <v>37500</v>
      </c>
      <c r="U135" s="23"/>
      <c r="V135" s="23">
        <v>1028.9422500000001</v>
      </c>
      <c r="W135" s="23">
        <v>89465.197050666669</v>
      </c>
      <c r="X135" s="258">
        <f t="shared" si="193"/>
        <v>127994.13930066666</v>
      </c>
      <c r="Y135" s="23">
        <v>449749.85644933337</v>
      </c>
      <c r="Z135" s="207">
        <f t="shared" si="194"/>
        <v>449749.85644933337</v>
      </c>
      <c r="AA135" s="180"/>
    </row>
    <row r="136" spans="1:27" ht="20.100000000000001" customHeight="1">
      <c r="A136" s="191">
        <v>4</v>
      </c>
      <c r="B136" s="156" t="s">
        <v>231</v>
      </c>
      <c r="C136" s="161" t="s">
        <v>232</v>
      </c>
      <c r="D136" s="181" t="s">
        <v>51</v>
      </c>
      <c r="E136" s="25">
        <v>27611.23</v>
      </c>
      <c r="F136" s="25"/>
      <c r="G136" s="25">
        <f t="shared" si="195"/>
        <v>82833.69</v>
      </c>
      <c r="H136" s="25">
        <f t="shared" si="196"/>
        <v>2070.8422499999997</v>
      </c>
      <c r="I136" s="25">
        <v>0</v>
      </c>
      <c r="J136" s="25">
        <f t="shared" si="197"/>
        <v>13805.615</v>
      </c>
      <c r="K136" s="23">
        <f t="shared" si="198"/>
        <v>96639.304999999993</v>
      </c>
      <c r="L136" s="25">
        <f t="shared" si="199"/>
        <v>27611.23</v>
      </c>
      <c r="M136" s="179"/>
      <c r="N136" s="179">
        <v>70000</v>
      </c>
      <c r="O136" s="25">
        <f t="shared" si="200"/>
        <v>2761.123</v>
      </c>
      <c r="P136" s="25">
        <v>20000</v>
      </c>
      <c r="Q136" s="25"/>
      <c r="R136" s="204">
        <f t="shared" si="201"/>
        <v>343333.03525000007</v>
      </c>
      <c r="S136" s="23"/>
      <c r="T136" s="23">
        <v>30000</v>
      </c>
      <c r="U136" s="23">
        <f>91666.67</f>
        <v>91666.67</v>
      </c>
      <c r="V136" s="23">
        <v>690.28075000000001</v>
      </c>
      <c r="W136" s="25">
        <v>44734.339388666674</v>
      </c>
      <c r="X136" s="258">
        <f t="shared" si="193"/>
        <v>167091.29013866666</v>
      </c>
      <c r="Y136" s="23">
        <v>176241.74511133341</v>
      </c>
      <c r="Z136" s="207">
        <f t="shared" si="194"/>
        <v>176241.74511133341</v>
      </c>
      <c r="AA136" s="180"/>
    </row>
    <row r="137" spans="1:27" ht="20.100000000000001" customHeight="1">
      <c r="A137" s="191">
        <v>5</v>
      </c>
      <c r="B137" s="156" t="s">
        <v>233</v>
      </c>
      <c r="C137" s="20" t="s">
        <v>234</v>
      </c>
      <c r="D137" s="181" t="s">
        <v>51</v>
      </c>
      <c r="E137" s="25">
        <v>27611.23</v>
      </c>
      <c r="F137" s="25"/>
      <c r="G137" s="25">
        <f t="shared" si="195"/>
        <v>82833.69</v>
      </c>
      <c r="H137" s="25">
        <f t="shared" si="196"/>
        <v>2070.8422499999997</v>
      </c>
      <c r="I137" s="25">
        <v>0</v>
      </c>
      <c r="J137" s="25">
        <f t="shared" si="197"/>
        <v>13805.615</v>
      </c>
      <c r="K137" s="23">
        <f t="shared" si="198"/>
        <v>96639.304999999993</v>
      </c>
      <c r="L137" s="25">
        <f t="shared" si="199"/>
        <v>27611.23</v>
      </c>
      <c r="M137" s="179"/>
      <c r="N137" s="179">
        <v>70000</v>
      </c>
      <c r="O137" s="25">
        <f t="shared" si="200"/>
        <v>2761.123</v>
      </c>
      <c r="P137" s="25">
        <v>20000</v>
      </c>
      <c r="Q137" s="25">
        <v>0</v>
      </c>
      <c r="R137" s="204">
        <f t="shared" si="201"/>
        <v>343333.03525000007</v>
      </c>
      <c r="S137" s="23"/>
      <c r="T137" s="23">
        <f>0</f>
        <v>0</v>
      </c>
      <c r="U137" s="23">
        <f>163333.33</f>
        <v>163333.32999999999</v>
      </c>
      <c r="V137" s="23">
        <v>690.28075000000001</v>
      </c>
      <c r="W137" s="25">
        <v>44846.616588666679</v>
      </c>
      <c r="X137" s="258">
        <f t="shared" si="193"/>
        <v>208870.22733866668</v>
      </c>
      <c r="Y137" s="23">
        <v>134462.8079113334</v>
      </c>
      <c r="Z137" s="207">
        <f t="shared" si="194"/>
        <v>134462.8079113334</v>
      </c>
      <c r="AA137" s="180"/>
    </row>
    <row r="138" spans="1:27" ht="20.100000000000001" customHeight="1">
      <c r="A138" s="191">
        <v>6</v>
      </c>
      <c r="B138" s="156" t="s">
        <v>235</v>
      </c>
      <c r="C138" s="20" t="s">
        <v>234</v>
      </c>
      <c r="D138" s="181" t="s">
        <v>51</v>
      </c>
      <c r="E138" s="25">
        <v>27611.23</v>
      </c>
      <c r="F138" s="25"/>
      <c r="G138" s="25">
        <f t="shared" ref="G138" si="202">E138*300%</f>
        <v>82833.69</v>
      </c>
      <c r="H138" s="25">
        <f t="shared" ref="H138" si="203">E138*7.5%</f>
        <v>2070.8422499999997</v>
      </c>
      <c r="I138" s="25">
        <v>0</v>
      </c>
      <c r="J138" s="25">
        <f t="shared" ref="J138" si="204">E138*50%</f>
        <v>13805.615</v>
      </c>
      <c r="K138" s="23">
        <f t="shared" ref="K138" si="205">E138*350%</f>
        <v>96639.304999999993</v>
      </c>
      <c r="L138" s="25">
        <f t="shared" ref="L138" si="206">E138*100%</f>
        <v>27611.23</v>
      </c>
      <c r="M138" s="179"/>
      <c r="N138" s="179">
        <v>70000</v>
      </c>
      <c r="O138" s="25">
        <f t="shared" ref="O138" si="207">E138*10%</f>
        <v>2761.123</v>
      </c>
      <c r="P138" s="25">
        <v>20000</v>
      </c>
      <c r="Q138" s="25">
        <v>0</v>
      </c>
      <c r="R138" s="204">
        <f t="shared" ref="R138" si="208">SUM(E138:Q138)</f>
        <v>343333.03525000007</v>
      </c>
      <c r="S138" s="23"/>
      <c r="T138" s="23">
        <f>0</f>
        <v>0</v>
      </c>
      <c r="U138" s="23">
        <v>50000</v>
      </c>
      <c r="V138" s="23">
        <v>690.28075000000001</v>
      </c>
      <c r="W138" s="25">
        <v>44846.616588666679</v>
      </c>
      <c r="X138" s="258">
        <f t="shared" ref="X138" si="209">W138+V138+U138+T138+S138</f>
        <v>95536.897338666677</v>
      </c>
      <c r="Y138" s="23">
        <v>247796.13791133341</v>
      </c>
      <c r="Z138" s="207">
        <f t="shared" si="194"/>
        <v>247796.13791133341</v>
      </c>
      <c r="AA138" s="180"/>
    </row>
    <row r="139" spans="1:27" ht="20.100000000000001" customHeight="1">
      <c r="A139" s="191">
        <v>7</v>
      </c>
      <c r="B139" s="156" t="s">
        <v>236</v>
      </c>
      <c r="C139" s="161" t="s">
        <v>237</v>
      </c>
      <c r="D139" s="181" t="s">
        <v>199</v>
      </c>
      <c r="E139" s="25">
        <f>22837.82</f>
        <v>22837.82</v>
      </c>
      <c r="F139" s="25"/>
      <c r="G139" s="25">
        <f>E139*300%</f>
        <v>68513.459999999992</v>
      </c>
      <c r="H139" s="25">
        <f>E139*7.5%</f>
        <v>1712.8364999999999</v>
      </c>
      <c r="I139" s="25">
        <v>0</v>
      </c>
      <c r="J139" s="25">
        <f>E139*50%</f>
        <v>11418.91</v>
      </c>
      <c r="K139" s="23">
        <f>E139*350%</f>
        <v>79932.37</v>
      </c>
      <c r="L139" s="25">
        <f>E139*100%</f>
        <v>22837.82</v>
      </c>
      <c r="M139" s="179"/>
      <c r="N139" s="179">
        <f>60000</f>
        <v>60000</v>
      </c>
      <c r="O139" s="25">
        <f>E139*10%</f>
        <v>2283.7820000000002</v>
      </c>
      <c r="P139" s="25">
        <v>15000</v>
      </c>
      <c r="Q139" s="25">
        <v>0</v>
      </c>
      <c r="R139" s="204">
        <f>SUM(E139:Q139)</f>
        <v>284536.99849999999</v>
      </c>
      <c r="S139" s="23"/>
      <c r="T139" s="23">
        <v>10000</v>
      </c>
      <c r="U139" s="23">
        <v>0</v>
      </c>
      <c r="V139" s="23">
        <v>570.94550000000004</v>
      </c>
      <c r="W139" s="25">
        <v>34968.882414666667</v>
      </c>
      <c r="X139" s="258">
        <f t="shared" si="193"/>
        <v>45539.827914666668</v>
      </c>
      <c r="Y139" s="23">
        <v>238997.17058533331</v>
      </c>
      <c r="Z139" s="207">
        <f t="shared" si="194"/>
        <v>238997.17058533331</v>
      </c>
      <c r="AA139" s="180"/>
    </row>
    <row r="140" spans="1:27" ht="20.100000000000001" customHeight="1">
      <c r="A140" s="191">
        <v>8</v>
      </c>
      <c r="B140" s="156" t="s">
        <v>238</v>
      </c>
      <c r="C140" s="161" t="s">
        <v>237</v>
      </c>
      <c r="D140" s="181" t="s">
        <v>199</v>
      </c>
      <c r="E140" s="25">
        <f t="shared" ref="E140:E141" si="210">22837.82</f>
        <v>22837.82</v>
      </c>
      <c r="F140" s="25"/>
      <c r="G140" s="25">
        <f>E140*300%</f>
        <v>68513.459999999992</v>
      </c>
      <c r="H140" s="25">
        <f>E140*7.5%</f>
        <v>1712.8364999999999</v>
      </c>
      <c r="I140" s="25">
        <v>0</v>
      </c>
      <c r="J140" s="25">
        <f>E140*50%</f>
        <v>11418.91</v>
      </c>
      <c r="K140" s="23">
        <f>E140*350%</f>
        <v>79932.37</v>
      </c>
      <c r="L140" s="25">
        <f t="shared" si="199"/>
        <v>22837.82</v>
      </c>
      <c r="M140" s="179"/>
      <c r="N140" s="179">
        <f>60000</f>
        <v>60000</v>
      </c>
      <c r="O140" s="25">
        <f t="shared" si="200"/>
        <v>2283.7820000000002</v>
      </c>
      <c r="P140" s="25">
        <v>15000</v>
      </c>
      <c r="Q140" s="25">
        <v>0</v>
      </c>
      <c r="R140" s="204">
        <f t="shared" si="201"/>
        <v>284536.99849999999</v>
      </c>
      <c r="S140" s="23"/>
      <c r="T140" s="23"/>
      <c r="U140" s="23">
        <f>100000</f>
        <v>100000</v>
      </c>
      <c r="V140" s="23"/>
      <c r="W140" s="25">
        <v>34968.882414666667</v>
      </c>
      <c r="X140" s="258">
        <f t="shared" si="193"/>
        <v>134968.88241466667</v>
      </c>
      <c r="Y140" s="23">
        <v>149568.11608533331</v>
      </c>
      <c r="Z140" s="207">
        <f t="shared" si="194"/>
        <v>149568.11608533331</v>
      </c>
      <c r="AA140" s="180"/>
    </row>
    <row r="141" spans="1:27" ht="20.100000000000001" customHeight="1">
      <c r="A141" s="191">
        <v>9</v>
      </c>
      <c r="B141" s="156" t="s">
        <v>239</v>
      </c>
      <c r="C141" s="20" t="s">
        <v>240</v>
      </c>
      <c r="D141" s="181" t="s">
        <v>199</v>
      </c>
      <c r="E141" s="25">
        <f t="shared" si="210"/>
        <v>22837.82</v>
      </c>
      <c r="F141" s="25"/>
      <c r="G141" s="25">
        <f>E141*300%</f>
        <v>68513.459999999992</v>
      </c>
      <c r="H141" s="25">
        <f>E141*7.5%</f>
        <v>1712.8364999999999</v>
      </c>
      <c r="I141" s="23"/>
      <c r="J141" s="25">
        <f>E141*50%</f>
        <v>11418.91</v>
      </c>
      <c r="K141" s="23">
        <f>E141*350%</f>
        <v>79932.37</v>
      </c>
      <c r="L141" s="25">
        <f>E141*100%</f>
        <v>22837.82</v>
      </c>
      <c r="M141" s="179"/>
      <c r="N141" s="179">
        <f>60000</f>
        <v>60000</v>
      </c>
      <c r="O141" s="25">
        <f>E141*10%</f>
        <v>2283.7820000000002</v>
      </c>
      <c r="P141" s="25">
        <v>15000</v>
      </c>
      <c r="Q141" s="25"/>
      <c r="R141" s="204">
        <f>SUM(E141:Q141)</f>
        <v>284536.99849999999</v>
      </c>
      <c r="S141" s="23"/>
      <c r="T141" s="23">
        <f>30000</f>
        <v>30000</v>
      </c>
      <c r="U141" s="23">
        <f>45833.33</f>
        <v>45833.33</v>
      </c>
      <c r="V141" s="23"/>
      <c r="W141" s="25">
        <v>34968.882414666667</v>
      </c>
      <c r="X141" s="258">
        <f t="shared" si="193"/>
        <v>110802.21241466666</v>
      </c>
      <c r="Y141" s="23">
        <v>173734.78608533333</v>
      </c>
      <c r="Z141" s="207">
        <f t="shared" si="194"/>
        <v>173734.78608533333</v>
      </c>
      <c r="AA141" s="180"/>
    </row>
    <row r="142" spans="1:27" ht="20.100000000000001" customHeight="1">
      <c r="A142" s="191">
        <v>10</v>
      </c>
      <c r="B142" s="156" t="s">
        <v>241</v>
      </c>
      <c r="C142" s="161" t="s">
        <v>242</v>
      </c>
      <c r="D142" s="181" t="s">
        <v>63</v>
      </c>
      <c r="E142" s="25">
        <v>21520.880000000001</v>
      </c>
      <c r="F142" s="25"/>
      <c r="G142" s="25">
        <f>E142*300%</f>
        <v>64562.64</v>
      </c>
      <c r="H142" s="25">
        <f>E142*7.5%</f>
        <v>1614.066</v>
      </c>
      <c r="I142" s="25"/>
      <c r="J142" s="25">
        <f>E142*50%</f>
        <v>10760.44</v>
      </c>
      <c r="K142" s="23">
        <f>E142*350%</f>
        <v>75323.08</v>
      </c>
      <c r="L142" s="25">
        <f t="shared" si="199"/>
        <v>21520.880000000001</v>
      </c>
      <c r="M142" s="179"/>
      <c r="N142" s="179">
        <f>60000</f>
        <v>60000</v>
      </c>
      <c r="O142" s="25">
        <f t="shared" si="200"/>
        <v>2152.0880000000002</v>
      </c>
      <c r="P142" s="25">
        <v>15000</v>
      </c>
      <c r="Q142" s="25"/>
      <c r="R142" s="204">
        <f t="shared" si="201"/>
        <v>272454.07400000002</v>
      </c>
      <c r="S142" s="23"/>
      <c r="T142" s="23">
        <v>35000</v>
      </c>
      <c r="U142" s="23">
        <v>159722.22</v>
      </c>
      <c r="V142" s="23"/>
      <c r="W142" s="25">
        <f>32938.95</f>
        <v>32938.949999999997</v>
      </c>
      <c r="X142" s="258">
        <f t="shared" si="193"/>
        <v>227661.16999999998</v>
      </c>
      <c r="Y142" s="23">
        <v>44792.904000000039</v>
      </c>
      <c r="Z142" s="207">
        <f t="shared" si="194"/>
        <v>44792.904000000039</v>
      </c>
      <c r="AA142" s="180"/>
    </row>
    <row r="143" spans="1:27" ht="20.100000000000001" customHeight="1">
      <c r="A143" s="191">
        <v>11</v>
      </c>
      <c r="B143" s="156" t="s">
        <v>243</v>
      </c>
      <c r="C143" s="161" t="s">
        <v>244</v>
      </c>
      <c r="D143" s="181" t="s">
        <v>66</v>
      </c>
      <c r="E143" s="179">
        <v>20749</v>
      </c>
      <c r="F143" s="25"/>
      <c r="G143" s="25">
        <f t="shared" si="195"/>
        <v>62247</v>
      </c>
      <c r="H143" s="25">
        <f t="shared" si="196"/>
        <v>1556.175</v>
      </c>
      <c r="I143" s="25"/>
      <c r="J143" s="25">
        <f t="shared" si="197"/>
        <v>10374.5</v>
      </c>
      <c r="K143" s="23">
        <f t="shared" si="198"/>
        <v>72621.5</v>
      </c>
      <c r="L143" s="25">
        <f t="shared" si="199"/>
        <v>20749</v>
      </c>
      <c r="M143" s="179"/>
      <c r="N143" s="179">
        <f>60000</f>
        <v>60000</v>
      </c>
      <c r="O143" s="25">
        <f t="shared" si="200"/>
        <v>2074.9</v>
      </c>
      <c r="P143" s="25">
        <v>15000</v>
      </c>
      <c r="Q143" s="25"/>
      <c r="R143" s="23">
        <f t="shared" si="201"/>
        <v>265372.07499999995</v>
      </c>
      <c r="S143" s="23"/>
      <c r="T143" s="23">
        <f>10000</f>
        <v>10000</v>
      </c>
      <c r="U143" s="23">
        <v>100000</v>
      </c>
      <c r="V143" s="23">
        <f>570.95</f>
        <v>570.95000000000005</v>
      </c>
      <c r="W143" s="25">
        <f>[3]PROMOTIONS!$X$39</f>
        <v>31653.201066666661</v>
      </c>
      <c r="X143" s="258">
        <f t="shared" si="193"/>
        <v>142224.15106666667</v>
      </c>
      <c r="Y143" s="23">
        <v>316062.02647333377</v>
      </c>
      <c r="Z143" s="207">
        <f t="shared" si="194"/>
        <v>123147.92393333328</v>
      </c>
      <c r="AA143" s="180"/>
    </row>
    <row r="144" spans="1:27" ht="20.100000000000001" customHeight="1">
      <c r="A144" s="191">
        <v>12</v>
      </c>
      <c r="B144" s="156" t="s">
        <v>245</v>
      </c>
      <c r="C144" s="161" t="s">
        <v>246</v>
      </c>
      <c r="D144" s="181" t="s">
        <v>199</v>
      </c>
      <c r="E144" s="25">
        <v>22837.82</v>
      </c>
      <c r="F144" s="25"/>
      <c r="G144" s="25">
        <f>E144*300%</f>
        <v>68513.459999999992</v>
      </c>
      <c r="H144" s="25">
        <f>E144*7.5%</f>
        <v>1712.8364999999999</v>
      </c>
      <c r="I144" s="23"/>
      <c r="J144" s="25">
        <f>E144*50%</f>
        <v>11418.91</v>
      </c>
      <c r="K144" s="23">
        <f>E144*350%</f>
        <v>79932.37</v>
      </c>
      <c r="L144" s="25">
        <f>E144*100%</f>
        <v>22837.82</v>
      </c>
      <c r="M144" s="179"/>
      <c r="N144" s="179">
        <f>60000</f>
        <v>60000</v>
      </c>
      <c r="O144" s="25">
        <f>E144*10%</f>
        <v>2283.7820000000002</v>
      </c>
      <c r="P144" s="25">
        <v>15000</v>
      </c>
      <c r="Q144" s="25"/>
      <c r="R144" s="204">
        <f>SUM(E144:Q144)</f>
        <v>284536.99849999999</v>
      </c>
      <c r="S144" s="23"/>
      <c r="T144" s="23">
        <v>20000</v>
      </c>
      <c r="U144" s="23">
        <f>68750</f>
        <v>68750</v>
      </c>
      <c r="V144" s="23">
        <v>570.94550000000004</v>
      </c>
      <c r="W144" s="25">
        <v>34128.882414666667</v>
      </c>
      <c r="X144" s="258">
        <f t="shared" si="193"/>
        <v>123449.82791466668</v>
      </c>
      <c r="Y144" s="23">
        <v>161087.17058533331</v>
      </c>
      <c r="Z144" s="207">
        <f t="shared" si="194"/>
        <v>161087.17058533331</v>
      </c>
      <c r="AA144" s="180"/>
    </row>
    <row r="145" spans="1:27" ht="20.100000000000001" customHeight="1">
      <c r="A145" s="191">
        <v>13</v>
      </c>
      <c r="B145" s="157" t="s">
        <v>247</v>
      </c>
      <c r="C145" s="20" t="s">
        <v>248</v>
      </c>
      <c r="D145" s="181" t="s">
        <v>66</v>
      </c>
      <c r="E145" s="179">
        <v>20749</v>
      </c>
      <c r="F145" s="25"/>
      <c r="G145" s="25">
        <f>E145*300%</f>
        <v>62247</v>
      </c>
      <c r="H145" s="25">
        <f>E145*7.5%</f>
        <v>1556.175</v>
      </c>
      <c r="I145" s="25"/>
      <c r="J145" s="25">
        <f>E145*50%</f>
        <v>10374.5</v>
      </c>
      <c r="K145" s="25">
        <f>E145*350%</f>
        <v>72621.5</v>
      </c>
      <c r="L145" s="25">
        <f>E145*100%</f>
        <v>20749</v>
      </c>
      <c r="M145" s="179"/>
      <c r="N145" s="179">
        <v>60000</v>
      </c>
      <c r="O145" s="25">
        <f>E145*10%</f>
        <v>2074.9</v>
      </c>
      <c r="P145" s="25">
        <v>15000</v>
      </c>
      <c r="Q145" s="25"/>
      <c r="R145" s="23">
        <f>Q145+P145+O145+N145+M145+L145+K145+J145+I145+H145+G145+F145+E145</f>
        <v>265372.07499999995</v>
      </c>
      <c r="S145" s="23"/>
      <c r="T145" s="23">
        <f>30000</f>
        <v>30000</v>
      </c>
      <c r="U145" s="23">
        <v>0</v>
      </c>
      <c r="V145" s="23">
        <v>0</v>
      </c>
      <c r="W145" s="25">
        <f>[3]PROMOTIONS!$X$40</f>
        <v>31749.120666666666</v>
      </c>
      <c r="X145" s="258">
        <f>W145+V145+U145+T145+S145</f>
        <v>61749.120666666669</v>
      </c>
      <c r="Y145" s="23">
        <v>222818.58585333335</v>
      </c>
      <c r="Z145" s="207">
        <f t="shared" si="194"/>
        <v>203622.9543333333</v>
      </c>
      <c r="AA145" s="180"/>
    </row>
    <row r="146" spans="1:27" ht="20.100000000000001" customHeight="1">
      <c r="A146" s="191">
        <v>14</v>
      </c>
      <c r="B146" s="156" t="s">
        <v>249</v>
      </c>
      <c r="C146" s="20" t="s">
        <v>250</v>
      </c>
      <c r="D146" s="181" t="s">
        <v>154</v>
      </c>
      <c r="E146" s="179">
        <v>18281.64</v>
      </c>
      <c r="F146" s="25"/>
      <c r="G146" s="25">
        <f t="shared" si="195"/>
        <v>54844.92</v>
      </c>
      <c r="H146" s="25">
        <f t="shared" si="196"/>
        <v>1371.1229999999998</v>
      </c>
      <c r="I146" s="25"/>
      <c r="J146" s="25">
        <f t="shared" si="197"/>
        <v>9140.82</v>
      </c>
      <c r="K146" s="23">
        <f t="shared" si="198"/>
        <v>63985.74</v>
      </c>
      <c r="L146" s="25">
        <f t="shared" si="199"/>
        <v>18281.64</v>
      </c>
      <c r="M146" s="179"/>
      <c r="N146" s="179">
        <f>60000</f>
        <v>60000</v>
      </c>
      <c r="O146" s="25">
        <f t="shared" si="200"/>
        <v>1828.164</v>
      </c>
      <c r="P146" s="25">
        <v>10000</v>
      </c>
      <c r="Q146" s="25"/>
      <c r="R146" s="204">
        <f t="shared" si="201"/>
        <v>237734.04699999996</v>
      </c>
      <c r="S146" s="23"/>
      <c r="T146" s="23">
        <f>10000</f>
        <v>10000</v>
      </c>
      <c r="U146" s="23">
        <v>50000</v>
      </c>
      <c r="V146" s="23"/>
      <c r="W146" s="25">
        <v>27031.29334266666</v>
      </c>
      <c r="X146" s="258">
        <f t="shared" si="193"/>
        <v>87031.293342666657</v>
      </c>
      <c r="Y146" s="23">
        <v>150702.75365733332</v>
      </c>
      <c r="Z146" s="207">
        <f t="shared" si="194"/>
        <v>150702.75365733332</v>
      </c>
      <c r="AA146" s="180"/>
    </row>
    <row r="147" spans="1:27" ht="20.100000000000001" customHeight="1">
      <c r="A147" s="191">
        <v>15</v>
      </c>
      <c r="B147" s="156" t="s">
        <v>251</v>
      </c>
      <c r="C147" s="20" t="s">
        <v>250</v>
      </c>
      <c r="D147" s="181" t="s">
        <v>252</v>
      </c>
      <c r="E147" s="179">
        <v>18281.64</v>
      </c>
      <c r="F147" s="25"/>
      <c r="G147" s="25">
        <f t="shared" si="195"/>
        <v>54844.92</v>
      </c>
      <c r="H147" s="25">
        <f t="shared" si="196"/>
        <v>1371.1229999999998</v>
      </c>
      <c r="I147" s="25"/>
      <c r="J147" s="25">
        <f t="shared" si="197"/>
        <v>9140.82</v>
      </c>
      <c r="K147" s="23">
        <f t="shared" si="198"/>
        <v>63985.74</v>
      </c>
      <c r="L147" s="25">
        <f t="shared" si="199"/>
        <v>18281.64</v>
      </c>
      <c r="M147" s="179"/>
      <c r="N147" s="179">
        <f>60000</f>
        <v>60000</v>
      </c>
      <c r="O147" s="25">
        <f t="shared" si="200"/>
        <v>1828.164</v>
      </c>
      <c r="P147" s="25">
        <v>10000</v>
      </c>
      <c r="Q147" s="25"/>
      <c r="R147" s="204">
        <f t="shared" si="201"/>
        <v>237734.04699999996</v>
      </c>
      <c r="S147" s="23"/>
      <c r="T147" s="23">
        <f>10000</f>
        <v>10000</v>
      </c>
      <c r="U147" s="23">
        <v>0</v>
      </c>
      <c r="V147" s="23">
        <v>457.041</v>
      </c>
      <c r="W147" s="25">
        <v>27105.986562666658</v>
      </c>
      <c r="X147" s="258">
        <f t="shared" si="193"/>
        <v>37563.027562666655</v>
      </c>
      <c r="Y147" s="23">
        <v>200171.01943733331</v>
      </c>
      <c r="Z147" s="207">
        <f t="shared" si="194"/>
        <v>200171.01943733331</v>
      </c>
      <c r="AA147" s="180"/>
    </row>
    <row r="148" spans="1:27" ht="20.100000000000001" customHeight="1">
      <c r="A148" s="191">
        <v>16</v>
      </c>
      <c r="B148" s="156" t="s">
        <v>253</v>
      </c>
      <c r="C148" s="20" t="s">
        <v>250</v>
      </c>
      <c r="D148" s="181" t="s">
        <v>252</v>
      </c>
      <c r="E148" s="179">
        <v>18281.64</v>
      </c>
      <c r="F148" s="25"/>
      <c r="G148" s="25">
        <f t="shared" si="195"/>
        <v>54844.92</v>
      </c>
      <c r="H148" s="25">
        <f t="shared" si="196"/>
        <v>1371.1229999999998</v>
      </c>
      <c r="I148" s="25"/>
      <c r="J148" s="25">
        <f t="shared" si="197"/>
        <v>9140.82</v>
      </c>
      <c r="K148" s="23">
        <f t="shared" si="198"/>
        <v>63985.74</v>
      </c>
      <c r="L148" s="25">
        <f t="shared" si="199"/>
        <v>18281.64</v>
      </c>
      <c r="M148" s="179"/>
      <c r="N148" s="179">
        <f>60000</f>
        <v>60000</v>
      </c>
      <c r="O148" s="25">
        <f t="shared" si="200"/>
        <v>1828.164</v>
      </c>
      <c r="P148" s="25">
        <v>10000</v>
      </c>
      <c r="Q148" s="25"/>
      <c r="R148" s="204">
        <f t="shared" si="201"/>
        <v>237734.04699999996</v>
      </c>
      <c r="S148" s="23"/>
      <c r="T148" s="23">
        <f>10000</f>
        <v>10000</v>
      </c>
      <c r="U148" s="23"/>
      <c r="V148" s="23"/>
      <c r="W148" s="25">
        <v>27105.986562666658</v>
      </c>
      <c r="X148" s="258">
        <f t="shared" si="193"/>
        <v>37105.986562666658</v>
      </c>
      <c r="Y148" s="23">
        <v>200628.0604373333</v>
      </c>
      <c r="Z148" s="207">
        <f t="shared" si="194"/>
        <v>200628.0604373333</v>
      </c>
      <c r="AA148" s="180"/>
    </row>
    <row r="149" spans="1:27" ht="20.100000000000001" customHeight="1">
      <c r="A149" s="191">
        <v>17</v>
      </c>
      <c r="B149" s="156" t="s">
        <v>254</v>
      </c>
      <c r="C149" s="161" t="s">
        <v>255</v>
      </c>
      <c r="D149" s="181" t="s">
        <v>95</v>
      </c>
      <c r="E149" s="179">
        <f>17286.33</f>
        <v>17286.330000000002</v>
      </c>
      <c r="F149" s="25"/>
      <c r="G149" s="25">
        <f t="shared" ref="G149:G150" si="211">E149*300%</f>
        <v>51858.990000000005</v>
      </c>
      <c r="H149" s="25">
        <f t="shared" ref="H149:H150" si="212">E149*7.5%</f>
        <v>1296.4747500000001</v>
      </c>
      <c r="I149" s="25"/>
      <c r="J149" s="25">
        <f t="shared" ref="J149:J150" si="213">E149*50%</f>
        <v>8643.1650000000009</v>
      </c>
      <c r="K149" s="23">
        <f t="shared" ref="K149:K150" si="214">E149*350%</f>
        <v>60502.155000000006</v>
      </c>
      <c r="L149" s="25">
        <f t="shared" ref="L149:L150" si="215">E149*100%</f>
        <v>17286.330000000002</v>
      </c>
      <c r="M149" s="179"/>
      <c r="N149" s="179">
        <f>60000</f>
        <v>60000</v>
      </c>
      <c r="O149" s="25">
        <f t="shared" ref="O149:O150" si="216">E149*10%</f>
        <v>1728.6330000000003</v>
      </c>
      <c r="P149" s="25">
        <v>10000</v>
      </c>
      <c r="Q149" s="25"/>
      <c r="R149" s="204">
        <f>SUM(E149:Q149)</f>
        <v>228602.07775000003</v>
      </c>
      <c r="S149" s="23"/>
      <c r="T149" s="23">
        <f>30000</f>
        <v>30000</v>
      </c>
      <c r="U149" s="23"/>
      <c r="V149" s="23"/>
      <c r="W149" s="25">
        <v>25571.815728666668</v>
      </c>
      <c r="X149" s="258">
        <f t="shared" si="193"/>
        <v>55571.815728666668</v>
      </c>
      <c r="Y149" s="23">
        <v>173030.26202133336</v>
      </c>
      <c r="Z149" s="207">
        <f t="shared" si="194"/>
        <v>173030.26202133336</v>
      </c>
      <c r="AA149" s="180"/>
    </row>
    <row r="150" spans="1:27" ht="20.100000000000001" customHeight="1">
      <c r="A150" s="191">
        <v>18</v>
      </c>
      <c r="B150" s="156" t="s">
        <v>256</v>
      </c>
      <c r="C150" s="161" t="s">
        <v>257</v>
      </c>
      <c r="D150" s="28" t="s">
        <v>73</v>
      </c>
      <c r="E150" s="25">
        <f>14736.14</f>
        <v>14736.14</v>
      </c>
      <c r="F150" s="25"/>
      <c r="G150" s="25">
        <f t="shared" si="211"/>
        <v>44208.42</v>
      </c>
      <c r="H150" s="25">
        <f t="shared" si="212"/>
        <v>1105.2104999999999</v>
      </c>
      <c r="I150" s="25"/>
      <c r="J150" s="25">
        <f t="shared" si="213"/>
        <v>7368.07</v>
      </c>
      <c r="K150" s="25">
        <f t="shared" si="214"/>
        <v>51576.49</v>
      </c>
      <c r="L150" s="25">
        <f t="shared" si="215"/>
        <v>14736.14</v>
      </c>
      <c r="M150" s="179"/>
      <c r="N150" s="179">
        <f>60000</f>
        <v>60000</v>
      </c>
      <c r="O150" s="25">
        <f t="shared" si="216"/>
        <v>1473.614</v>
      </c>
      <c r="P150" s="25">
        <v>10000</v>
      </c>
      <c r="Q150" s="25"/>
      <c r="R150" s="204">
        <f>SUM(E150:Q150)</f>
        <v>205204.0845</v>
      </c>
      <c r="S150" s="23"/>
      <c r="T150" s="23">
        <f>30000</f>
        <v>30000</v>
      </c>
      <c r="U150" s="23"/>
      <c r="V150" s="23"/>
      <c r="W150" s="25">
        <v>21640.952862666669</v>
      </c>
      <c r="X150" s="258">
        <f>W150+V150+U150+T150</f>
        <v>51640.952862666672</v>
      </c>
      <c r="Y150" s="23">
        <v>153563.13163733331</v>
      </c>
      <c r="Z150" s="207">
        <f t="shared" si="194"/>
        <v>153563.13163733331</v>
      </c>
      <c r="AA150" s="180"/>
    </row>
    <row r="151" spans="1:27" ht="20.100000000000001" customHeight="1">
      <c r="A151" s="191">
        <v>19</v>
      </c>
      <c r="B151" s="156" t="s">
        <v>258</v>
      </c>
      <c r="C151" s="161" t="s">
        <v>259</v>
      </c>
      <c r="D151" s="181" t="s">
        <v>154</v>
      </c>
      <c r="E151" s="179">
        <v>18281.64</v>
      </c>
      <c r="F151" s="25"/>
      <c r="G151" s="25">
        <f t="shared" si="195"/>
        <v>54844.92</v>
      </c>
      <c r="H151" s="25">
        <f t="shared" si="196"/>
        <v>1371.1229999999998</v>
      </c>
      <c r="I151" s="25"/>
      <c r="J151" s="25">
        <f t="shared" si="197"/>
        <v>9140.82</v>
      </c>
      <c r="K151" s="23">
        <f t="shared" si="198"/>
        <v>63985.74</v>
      </c>
      <c r="L151" s="25">
        <f t="shared" si="199"/>
        <v>18281.64</v>
      </c>
      <c r="M151" s="179"/>
      <c r="N151" s="179">
        <f>50000+10000</f>
        <v>60000</v>
      </c>
      <c r="O151" s="25">
        <f t="shared" si="200"/>
        <v>1828.164</v>
      </c>
      <c r="P151" s="25">
        <v>10000</v>
      </c>
      <c r="Q151" s="25"/>
      <c r="R151" s="204">
        <f t="shared" si="201"/>
        <v>237734.04699999996</v>
      </c>
      <c r="S151" s="23"/>
      <c r="T151" s="23">
        <v>10000</v>
      </c>
      <c r="U151" s="23"/>
      <c r="V151" s="23"/>
      <c r="W151" s="25">
        <v>27105.986562666658</v>
      </c>
      <c r="X151" s="258">
        <f t="shared" ref="X151:X187" si="217">W151+V151+U151+T151+S151</f>
        <v>37105.986562666658</v>
      </c>
      <c r="Y151" s="23">
        <v>200628.0604373333</v>
      </c>
      <c r="Z151" s="207">
        <f t="shared" si="194"/>
        <v>200628.0604373333</v>
      </c>
      <c r="AA151" s="180"/>
    </row>
    <row r="152" spans="1:27" ht="20.100000000000001" customHeight="1">
      <c r="A152" s="191">
        <v>20</v>
      </c>
      <c r="B152" s="156" t="s">
        <v>260</v>
      </c>
      <c r="C152" s="161" t="s">
        <v>261</v>
      </c>
      <c r="D152" s="181" t="s">
        <v>69</v>
      </c>
      <c r="E152" s="179">
        <f>15188.67</f>
        <v>15188.67</v>
      </c>
      <c r="F152" s="25"/>
      <c r="G152" s="25">
        <f t="shared" si="195"/>
        <v>45566.01</v>
      </c>
      <c r="H152" s="25">
        <f t="shared" si="196"/>
        <v>1139.1502499999999</v>
      </c>
      <c r="I152" s="25"/>
      <c r="J152" s="25">
        <f t="shared" si="197"/>
        <v>7594.335</v>
      </c>
      <c r="K152" s="23">
        <f t="shared" si="198"/>
        <v>53160.345000000001</v>
      </c>
      <c r="L152" s="25">
        <f t="shared" si="199"/>
        <v>15188.67</v>
      </c>
      <c r="M152" s="179"/>
      <c r="N152" s="179">
        <f>50000+10000</f>
        <v>60000</v>
      </c>
      <c r="O152" s="25">
        <f t="shared" si="200"/>
        <v>1518.8670000000002</v>
      </c>
      <c r="P152" s="25">
        <v>10000</v>
      </c>
      <c r="Q152" s="25"/>
      <c r="R152" s="204">
        <f t="shared" si="201"/>
        <v>209356.04725</v>
      </c>
      <c r="S152" s="23"/>
      <c r="T152" s="23">
        <f>30000+10000</f>
        <v>40000</v>
      </c>
      <c r="U152" s="23">
        <f>70000</f>
        <v>70000</v>
      </c>
      <c r="V152" s="23"/>
      <c r="W152" s="25">
        <v>22281.815364666661</v>
      </c>
      <c r="X152" s="258">
        <f t="shared" si="217"/>
        <v>132281.81536466666</v>
      </c>
      <c r="Y152" s="23">
        <v>77074.231885333342</v>
      </c>
      <c r="Z152" s="207">
        <f t="shared" si="194"/>
        <v>77074.231885333342</v>
      </c>
      <c r="AA152" s="180"/>
    </row>
    <row r="153" spans="1:27" ht="20.100000000000001" customHeight="1">
      <c r="A153" s="191">
        <v>21</v>
      </c>
      <c r="B153" s="156" t="s">
        <v>262</v>
      </c>
      <c r="C153" s="161" t="s">
        <v>263</v>
      </c>
      <c r="D153" s="181" t="s">
        <v>154</v>
      </c>
      <c r="E153" s="179">
        <v>18281.64</v>
      </c>
      <c r="F153" s="25"/>
      <c r="G153" s="25">
        <f t="shared" si="195"/>
        <v>54844.92</v>
      </c>
      <c r="H153" s="25">
        <f t="shared" si="196"/>
        <v>1371.1229999999998</v>
      </c>
      <c r="I153" s="25"/>
      <c r="J153" s="25">
        <f t="shared" si="197"/>
        <v>9140.82</v>
      </c>
      <c r="K153" s="23">
        <f t="shared" si="198"/>
        <v>63985.74</v>
      </c>
      <c r="L153" s="25">
        <f t="shared" si="199"/>
        <v>18281.64</v>
      </c>
      <c r="M153" s="179"/>
      <c r="N153" s="179">
        <f>50000+10000</f>
        <v>60000</v>
      </c>
      <c r="O153" s="25">
        <f t="shared" si="200"/>
        <v>1828.164</v>
      </c>
      <c r="P153" s="25">
        <v>10000</v>
      </c>
      <c r="Q153" s="25"/>
      <c r="R153" s="204">
        <f t="shared" si="201"/>
        <v>237734.04699999996</v>
      </c>
      <c r="S153" s="23"/>
      <c r="T153" s="23">
        <f>10000</f>
        <v>10000</v>
      </c>
      <c r="U153" s="23">
        <f>90000</f>
        <v>90000</v>
      </c>
      <c r="V153" s="23">
        <v>457.041</v>
      </c>
      <c r="W153" s="25">
        <v>27105.986562666658</v>
      </c>
      <c r="X153" s="258">
        <f t="shared" si="217"/>
        <v>127563.02756266666</v>
      </c>
      <c r="Y153" s="23">
        <v>110171.01943733331</v>
      </c>
      <c r="Z153" s="207">
        <f t="shared" si="194"/>
        <v>110171.01943733331</v>
      </c>
      <c r="AA153" s="180"/>
    </row>
    <row r="154" spans="1:27" ht="20.100000000000001" customHeight="1">
      <c r="A154" s="191">
        <v>22</v>
      </c>
      <c r="B154" s="156" t="s">
        <v>264</v>
      </c>
      <c r="C154" s="161" t="s">
        <v>265</v>
      </c>
      <c r="D154" s="181" t="s">
        <v>69</v>
      </c>
      <c r="E154" s="179">
        <v>15188.67</v>
      </c>
      <c r="F154" s="25"/>
      <c r="G154" s="25">
        <f>E154*300%</f>
        <v>45566.01</v>
      </c>
      <c r="H154" s="25">
        <f>E154*7.5%</f>
        <v>1139.1502499999999</v>
      </c>
      <c r="I154" s="25"/>
      <c r="J154" s="25">
        <f>E154*50%</f>
        <v>7594.335</v>
      </c>
      <c r="K154" s="23">
        <f>E154*350%</f>
        <v>53160.345000000001</v>
      </c>
      <c r="L154" s="25">
        <f>E154*100%</f>
        <v>15188.67</v>
      </c>
      <c r="M154" s="179"/>
      <c r="N154" s="179">
        <f>50000+10000</f>
        <v>60000</v>
      </c>
      <c r="O154" s="25">
        <f>E154*10%</f>
        <v>1518.8670000000002</v>
      </c>
      <c r="P154" s="25">
        <v>10000</v>
      </c>
      <c r="Q154" s="25"/>
      <c r="R154" s="204">
        <f>SUM(E154:Q154)</f>
        <v>209356.04725</v>
      </c>
      <c r="S154" s="23"/>
      <c r="T154" s="23"/>
      <c r="U154" s="23">
        <v>0</v>
      </c>
      <c r="V154" s="23"/>
      <c r="W154" s="25">
        <v>22338.48260466666</v>
      </c>
      <c r="X154" s="258">
        <f t="shared" si="217"/>
        <v>22338.48260466666</v>
      </c>
      <c r="Y154" s="23">
        <v>87017.60464533334</v>
      </c>
      <c r="Z154" s="207">
        <f t="shared" si="194"/>
        <v>187017.56464533333</v>
      </c>
      <c r="AA154" s="180"/>
    </row>
    <row r="155" spans="1:27" ht="20.100000000000001" customHeight="1">
      <c r="A155" s="191">
        <v>23</v>
      </c>
      <c r="B155" s="157" t="s">
        <v>266</v>
      </c>
      <c r="C155" s="161" t="s">
        <v>267</v>
      </c>
      <c r="D155" s="181" t="s">
        <v>73</v>
      </c>
      <c r="E155" s="179">
        <v>14736.14</v>
      </c>
      <c r="F155" s="25"/>
      <c r="G155" s="25">
        <f t="shared" si="195"/>
        <v>44208.42</v>
      </c>
      <c r="H155" s="25">
        <f t="shared" si="196"/>
        <v>1105.2104999999999</v>
      </c>
      <c r="I155" s="25"/>
      <c r="J155" s="25">
        <f t="shared" si="197"/>
        <v>7368.07</v>
      </c>
      <c r="K155" s="23">
        <f t="shared" si="198"/>
        <v>51576.49</v>
      </c>
      <c r="L155" s="25">
        <f>E155*100%</f>
        <v>14736.14</v>
      </c>
      <c r="M155" s="179"/>
      <c r="N155" s="179">
        <f>60000</f>
        <v>60000</v>
      </c>
      <c r="O155" s="25">
        <f>E155*10%</f>
        <v>1473.614</v>
      </c>
      <c r="P155" s="25">
        <v>10000</v>
      </c>
      <c r="Q155" s="20"/>
      <c r="R155" s="25">
        <f t="shared" si="201"/>
        <v>205204.0845</v>
      </c>
      <c r="S155" s="25"/>
      <c r="T155" s="23">
        <v>30000</v>
      </c>
      <c r="U155" s="23">
        <f>60000</f>
        <v>60000</v>
      </c>
      <c r="V155" s="23"/>
      <c r="W155" s="25">
        <f>[3]PROMOTIONS!$X$41</f>
        <v>21640.882666666668</v>
      </c>
      <c r="X155" s="258">
        <f t="shared" si="217"/>
        <v>111640.88266666667</v>
      </c>
      <c r="Y155" s="23">
        <v>129312.52179866665</v>
      </c>
      <c r="Z155" s="207">
        <f t="shared" si="194"/>
        <v>93563.201833333325</v>
      </c>
      <c r="AA155" s="180"/>
    </row>
    <row r="156" spans="1:27" ht="20.100000000000001" customHeight="1">
      <c r="A156" s="191">
        <v>24</v>
      </c>
      <c r="B156" s="157" t="s">
        <v>268</v>
      </c>
      <c r="C156" s="161" t="s">
        <v>269</v>
      </c>
      <c r="D156" s="181" t="s">
        <v>85</v>
      </c>
      <c r="E156" s="25">
        <v>12351.94</v>
      </c>
      <c r="F156" s="25"/>
      <c r="G156" s="25">
        <f t="shared" ref="G156" si="218">E156*300%</f>
        <v>37055.82</v>
      </c>
      <c r="H156" s="25">
        <f t="shared" ref="H156" si="219">E156*7.5%</f>
        <v>926.39549999999997</v>
      </c>
      <c r="I156" s="25"/>
      <c r="J156" s="25">
        <f t="shared" ref="J156" si="220">E156*50%</f>
        <v>6175.97</v>
      </c>
      <c r="K156" s="25">
        <f t="shared" ref="K156" si="221">E156*350%</f>
        <v>43231.79</v>
      </c>
      <c r="L156" s="25">
        <f t="shared" ref="L156" si="222">E156*100%</f>
        <v>12351.94</v>
      </c>
      <c r="M156" s="179"/>
      <c r="N156" s="179">
        <f>50000</f>
        <v>50000</v>
      </c>
      <c r="O156" s="25">
        <f t="shared" ref="O156" si="223">E156*10%</f>
        <v>1235.1940000000002</v>
      </c>
      <c r="P156" s="25">
        <v>10000</v>
      </c>
      <c r="Q156" s="25"/>
      <c r="R156" s="204">
        <f t="shared" ref="R156" si="224">Q156+P156+O156+N156+M156+L156+K156+J156+I156+H156+G156+F156+E156</f>
        <v>173329.04949999999</v>
      </c>
      <c r="S156" s="23"/>
      <c r="T156" s="23">
        <f>20000</f>
        <v>20000</v>
      </c>
      <c r="U156" s="23"/>
      <c r="V156" s="23">
        <v>0</v>
      </c>
      <c r="W156" s="25">
        <v>16512.68219066667</v>
      </c>
      <c r="X156" s="258">
        <f t="shared" si="217"/>
        <v>36512.682190666674</v>
      </c>
      <c r="Y156" s="23">
        <v>136816.36730933332</v>
      </c>
      <c r="Z156" s="207">
        <f t="shared" si="194"/>
        <v>136816.36730933332</v>
      </c>
      <c r="AA156" s="180"/>
    </row>
    <row r="157" spans="1:27" ht="20.100000000000001" customHeight="1">
      <c r="A157" s="191">
        <v>25</v>
      </c>
      <c r="B157" s="157" t="s">
        <v>270</v>
      </c>
      <c r="C157" s="161" t="s">
        <v>271</v>
      </c>
      <c r="D157" s="181" t="s">
        <v>85</v>
      </c>
      <c r="E157" s="25">
        <v>12352.94</v>
      </c>
      <c r="F157" s="25"/>
      <c r="G157" s="25">
        <f t="shared" ref="G157" si="225">E157*300%</f>
        <v>37058.82</v>
      </c>
      <c r="H157" s="25">
        <f t="shared" ref="H157" si="226">E157*7.5%</f>
        <v>926.47050000000002</v>
      </c>
      <c r="I157" s="25"/>
      <c r="J157" s="25">
        <f t="shared" ref="J157" si="227">E157*50%</f>
        <v>6176.47</v>
      </c>
      <c r="K157" s="25">
        <f t="shared" ref="K157" si="228">E157*350%</f>
        <v>43235.29</v>
      </c>
      <c r="L157" s="25">
        <f t="shared" ref="L157" si="229">E157*100%</f>
        <v>12352.94</v>
      </c>
      <c r="M157" s="179"/>
      <c r="N157" s="179">
        <f>50000</f>
        <v>50000</v>
      </c>
      <c r="O157" s="25">
        <f t="shared" ref="O157" si="230">E157*10%</f>
        <v>1235.2940000000001</v>
      </c>
      <c r="P157" s="25">
        <v>10000</v>
      </c>
      <c r="Q157" s="25"/>
      <c r="R157" s="204">
        <f t="shared" ref="R157" si="231">Q157+P157+O157+N157+M157+L157+K157+J157+I157+H157+G157+F157+E157</f>
        <v>173338.22450000001</v>
      </c>
      <c r="S157" s="23"/>
      <c r="T157" s="23">
        <f>12000-2000</f>
        <v>10000</v>
      </c>
      <c r="U157" s="23"/>
      <c r="V157" s="23">
        <v>0</v>
      </c>
      <c r="W157" s="25">
        <v>16514.228790666668</v>
      </c>
      <c r="X157" s="258">
        <f t="shared" ref="X157" si="232">W157+V157+U157+T157+S157</f>
        <v>26514.228790666668</v>
      </c>
      <c r="Y157" s="23">
        <v>146823.99570933334</v>
      </c>
      <c r="Z157" s="207">
        <f t="shared" si="194"/>
        <v>146823.99570933334</v>
      </c>
      <c r="AA157" s="180"/>
    </row>
    <row r="158" spans="1:27" ht="20.100000000000001" customHeight="1">
      <c r="A158" s="191">
        <v>26</v>
      </c>
      <c r="B158" s="157" t="s">
        <v>272</v>
      </c>
      <c r="C158" s="161" t="s">
        <v>273</v>
      </c>
      <c r="D158" s="181" t="s">
        <v>85</v>
      </c>
      <c r="E158" s="25">
        <v>12352.94</v>
      </c>
      <c r="F158" s="25"/>
      <c r="G158" s="25">
        <f t="shared" ref="G158" si="233">E158*300%</f>
        <v>37058.82</v>
      </c>
      <c r="H158" s="25">
        <f t="shared" ref="H158" si="234">E158*7.5%</f>
        <v>926.47050000000002</v>
      </c>
      <c r="I158" s="25"/>
      <c r="J158" s="25">
        <f t="shared" ref="J158" si="235">E158*50%</f>
        <v>6176.47</v>
      </c>
      <c r="K158" s="25">
        <f t="shared" ref="K158" si="236">E158*350%</f>
        <v>43235.29</v>
      </c>
      <c r="L158" s="25">
        <f t="shared" ref="L158" si="237">E158*100%</f>
        <v>12352.94</v>
      </c>
      <c r="M158" s="179"/>
      <c r="N158" s="179">
        <f>50000</f>
        <v>50000</v>
      </c>
      <c r="O158" s="25">
        <f t="shared" ref="O158" si="238">E158*10%</f>
        <v>1235.2940000000001</v>
      </c>
      <c r="P158" s="25">
        <v>10000</v>
      </c>
      <c r="Q158" s="25"/>
      <c r="R158" s="204">
        <f t="shared" ref="R158" si="239">Q158+P158+O158+N158+M158+L158+K158+J158+I158+H158+G158+F158+E158</f>
        <v>173338.22450000001</v>
      </c>
      <c r="S158" s="23"/>
      <c r="T158" s="23">
        <v>0</v>
      </c>
      <c r="U158" s="23"/>
      <c r="V158" s="23">
        <v>0</v>
      </c>
      <c r="W158" s="25">
        <v>16514.228790666668</v>
      </c>
      <c r="X158" s="258">
        <f t="shared" ref="X158" si="240">W158+V158+U158+T158+S158</f>
        <v>16514.228790666668</v>
      </c>
      <c r="Y158" s="23">
        <v>156823.99570933334</v>
      </c>
      <c r="Z158" s="207">
        <f t="shared" si="194"/>
        <v>156823.99570933334</v>
      </c>
      <c r="AA158" s="180"/>
    </row>
    <row r="159" spans="1:27" ht="20.100000000000001" customHeight="1">
      <c r="A159" s="191">
        <v>27</v>
      </c>
      <c r="B159" s="157" t="s">
        <v>274</v>
      </c>
      <c r="C159" s="161" t="s">
        <v>275</v>
      </c>
      <c r="D159" s="181" t="s">
        <v>81</v>
      </c>
      <c r="E159" s="25">
        <v>12732</v>
      </c>
      <c r="F159" s="25"/>
      <c r="G159" s="25">
        <f t="shared" ref="G159" si="241">E159*300%</f>
        <v>38196</v>
      </c>
      <c r="H159" s="25">
        <f t="shared" ref="H159" si="242">E159*7.5%</f>
        <v>954.9</v>
      </c>
      <c r="I159" s="25"/>
      <c r="J159" s="25">
        <f t="shared" ref="J159" si="243">E159*50%</f>
        <v>6366</v>
      </c>
      <c r="K159" s="25">
        <f t="shared" ref="K159" si="244">E159*350%</f>
        <v>44562</v>
      </c>
      <c r="L159" s="25">
        <f t="shared" ref="L159" si="245">E159*100%</f>
        <v>12732</v>
      </c>
      <c r="M159" s="179"/>
      <c r="N159" s="179">
        <f>50000</f>
        <v>50000</v>
      </c>
      <c r="O159" s="25">
        <f t="shared" ref="O159" si="246">E159*10%</f>
        <v>1273.2</v>
      </c>
      <c r="P159" s="25">
        <v>10000</v>
      </c>
      <c r="Q159" s="25"/>
      <c r="R159" s="204">
        <f>(Q159+P159+O159+N159+M159+L159+K159+J159+I159+H159+G159+F159+E159)</f>
        <v>176816.09999999998</v>
      </c>
      <c r="S159" s="23"/>
      <c r="T159" s="23">
        <f>10000+5000+5000</f>
        <v>20000</v>
      </c>
      <c r="U159" s="23">
        <f>32000</f>
        <v>32000</v>
      </c>
      <c r="V159" s="23">
        <v>0</v>
      </c>
      <c r="W159" s="25">
        <v>17008.323359999995</v>
      </c>
      <c r="X159" s="258">
        <f t="shared" si="217"/>
        <v>69008.323359999995</v>
      </c>
      <c r="Y159" s="23">
        <v>107807.77663999998</v>
      </c>
      <c r="Z159" s="207">
        <f t="shared" si="194"/>
        <v>107807.77663999998</v>
      </c>
      <c r="AA159" s="180"/>
    </row>
    <row r="160" spans="1:27" ht="20.100000000000001" customHeight="1">
      <c r="A160" s="191">
        <v>28</v>
      </c>
      <c r="B160" s="157" t="s">
        <v>276</v>
      </c>
      <c r="C160" s="161" t="s">
        <v>271</v>
      </c>
      <c r="D160" s="181" t="s">
        <v>85</v>
      </c>
      <c r="E160" s="25">
        <v>12352.94</v>
      </c>
      <c r="F160" s="25"/>
      <c r="G160" s="25">
        <v>37058.82</v>
      </c>
      <c r="H160" s="25">
        <v>926.47050000000002</v>
      </c>
      <c r="I160" s="25"/>
      <c r="J160" s="25">
        <v>6176.47</v>
      </c>
      <c r="K160" s="25">
        <v>43235.29</v>
      </c>
      <c r="L160" s="25">
        <v>12352.94</v>
      </c>
      <c r="M160" s="179"/>
      <c r="N160" s="179">
        <v>50000</v>
      </c>
      <c r="O160" s="25">
        <v>1235.2940000000001</v>
      </c>
      <c r="P160" s="25">
        <v>10000</v>
      </c>
      <c r="Q160" s="25"/>
      <c r="R160" s="204">
        <v>173339.22450000001</v>
      </c>
      <c r="S160" s="23"/>
      <c r="T160" s="23">
        <v>30000</v>
      </c>
      <c r="U160" s="23">
        <v>0</v>
      </c>
      <c r="V160" s="23">
        <v>0</v>
      </c>
      <c r="W160" s="25">
        <v>16514.228790666668</v>
      </c>
      <c r="X160" s="258">
        <f t="shared" si="217"/>
        <v>46514.228790666668</v>
      </c>
      <c r="Y160" s="23">
        <v>126824.99570933334</v>
      </c>
      <c r="Z160" s="207">
        <f t="shared" si="194"/>
        <v>126824.99570933334</v>
      </c>
      <c r="AA160" s="180"/>
    </row>
    <row r="161" spans="1:27" ht="20.100000000000001" customHeight="1">
      <c r="A161" s="191">
        <v>29</v>
      </c>
      <c r="B161" s="156" t="s">
        <v>277</v>
      </c>
      <c r="C161" s="161" t="s">
        <v>278</v>
      </c>
      <c r="D161" s="181" t="s">
        <v>279</v>
      </c>
      <c r="E161" s="192">
        <f>10527.6</f>
        <v>10527.6</v>
      </c>
      <c r="F161" s="179"/>
      <c r="G161" s="25">
        <f t="shared" si="195"/>
        <v>31582.800000000003</v>
      </c>
      <c r="H161" s="25">
        <f t="shared" si="196"/>
        <v>789.57</v>
      </c>
      <c r="I161" s="179">
        <v>0</v>
      </c>
      <c r="J161" s="25">
        <f t="shared" si="197"/>
        <v>5263.8</v>
      </c>
      <c r="K161" s="23">
        <f t="shared" si="198"/>
        <v>36846.6</v>
      </c>
      <c r="L161" s="25">
        <f t="shared" ref="L161:L168" si="247">E161*100%</f>
        <v>10527.6</v>
      </c>
      <c r="M161" s="179"/>
      <c r="N161" s="179">
        <f>30000</f>
        <v>30000</v>
      </c>
      <c r="O161" s="25">
        <f t="shared" ref="O161:O184" si="248">E161*10%</f>
        <v>1052.76</v>
      </c>
      <c r="P161" s="179">
        <v>5000</v>
      </c>
      <c r="Q161" s="25">
        <f>4000</f>
        <v>4000</v>
      </c>
      <c r="R161" s="204">
        <f t="shared" ref="R161:R184" si="249">SUM(E161:Q161)</f>
        <v>135590.72999999998</v>
      </c>
      <c r="S161" s="23"/>
      <c r="T161" s="23">
        <f>20000+5000+5000</f>
        <v>30000</v>
      </c>
      <c r="U161" s="23">
        <f>47916.66</f>
        <v>47916.66</v>
      </c>
      <c r="V161" s="23">
        <v>263.19</v>
      </c>
      <c r="W161" s="23">
        <v>10776.457626666665</v>
      </c>
      <c r="X161" s="258">
        <f t="shared" si="217"/>
        <v>88956.307626666676</v>
      </c>
      <c r="Y161" s="23">
        <v>46634.422373333306</v>
      </c>
      <c r="Z161" s="207">
        <f t="shared" si="194"/>
        <v>46634.422373333306</v>
      </c>
      <c r="AA161" s="180"/>
    </row>
    <row r="162" spans="1:27" ht="20.100000000000001" customHeight="1">
      <c r="A162" s="191">
        <v>30</v>
      </c>
      <c r="B162" s="156" t="s">
        <v>280</v>
      </c>
      <c r="C162" s="161" t="s">
        <v>278</v>
      </c>
      <c r="D162" s="181" t="s">
        <v>279</v>
      </c>
      <c r="E162" s="192">
        <f t="shared" ref="E162:E165" si="250">10527.6</f>
        <v>10527.6</v>
      </c>
      <c r="F162" s="179"/>
      <c r="G162" s="25">
        <f t="shared" si="195"/>
        <v>31582.800000000003</v>
      </c>
      <c r="H162" s="25">
        <f t="shared" si="196"/>
        <v>789.57</v>
      </c>
      <c r="I162" s="179">
        <v>0</v>
      </c>
      <c r="J162" s="25">
        <f t="shared" si="197"/>
        <v>5263.8</v>
      </c>
      <c r="K162" s="23">
        <f t="shared" si="198"/>
        <v>36846.6</v>
      </c>
      <c r="L162" s="25">
        <f t="shared" si="247"/>
        <v>10527.6</v>
      </c>
      <c r="M162" s="179"/>
      <c r="N162" s="179">
        <f>30000</f>
        <v>30000</v>
      </c>
      <c r="O162" s="25">
        <f t="shared" si="248"/>
        <v>1052.76</v>
      </c>
      <c r="P162" s="179">
        <v>5000</v>
      </c>
      <c r="Q162" s="25">
        <f>7000</f>
        <v>7000</v>
      </c>
      <c r="R162" s="204">
        <f t="shared" si="249"/>
        <v>138590.72999999998</v>
      </c>
      <c r="S162" s="23"/>
      <c r="T162" s="23">
        <f>5000+5000+5000</f>
        <v>15000</v>
      </c>
      <c r="U162" s="23">
        <f>14524.11</f>
        <v>14524.11</v>
      </c>
      <c r="V162" s="23"/>
      <c r="W162" s="23">
        <v>11232.457626666665</v>
      </c>
      <c r="X162" s="258">
        <f t="shared" si="217"/>
        <v>40756.567626666663</v>
      </c>
      <c r="Y162" s="23">
        <v>97834.162373333325</v>
      </c>
      <c r="Z162" s="207">
        <f t="shared" si="194"/>
        <v>97834.162373333325</v>
      </c>
      <c r="AA162" s="180"/>
    </row>
    <row r="163" spans="1:27" ht="20.100000000000001" customHeight="1">
      <c r="A163" s="191">
        <v>31</v>
      </c>
      <c r="B163" s="156" t="s">
        <v>281</v>
      </c>
      <c r="C163" s="161" t="s">
        <v>278</v>
      </c>
      <c r="D163" s="181" t="s">
        <v>279</v>
      </c>
      <c r="E163" s="192">
        <f t="shared" si="250"/>
        <v>10527.6</v>
      </c>
      <c r="F163" s="179"/>
      <c r="G163" s="25">
        <f t="shared" si="195"/>
        <v>31582.800000000003</v>
      </c>
      <c r="H163" s="25">
        <f t="shared" si="196"/>
        <v>789.57</v>
      </c>
      <c r="I163" s="25">
        <v>0</v>
      </c>
      <c r="J163" s="25">
        <f t="shared" si="197"/>
        <v>5263.8</v>
      </c>
      <c r="K163" s="23">
        <f t="shared" si="198"/>
        <v>36846.6</v>
      </c>
      <c r="L163" s="25">
        <f t="shared" si="247"/>
        <v>10527.6</v>
      </c>
      <c r="M163" s="179"/>
      <c r="N163" s="179">
        <f>30000</f>
        <v>30000</v>
      </c>
      <c r="O163" s="25">
        <f t="shared" si="248"/>
        <v>1052.76</v>
      </c>
      <c r="P163" s="25">
        <v>5000</v>
      </c>
      <c r="Q163" s="25">
        <f>4000</f>
        <v>4000</v>
      </c>
      <c r="R163" s="204">
        <f t="shared" si="249"/>
        <v>135590.72999999998</v>
      </c>
      <c r="S163" s="23"/>
      <c r="T163" s="23">
        <f>10000+5000+5000</f>
        <v>20000</v>
      </c>
      <c r="U163" s="23">
        <f>26250</f>
        <v>26250</v>
      </c>
      <c r="V163" s="23"/>
      <c r="W163" s="23">
        <v>10776.457626666665</v>
      </c>
      <c r="X163" s="258">
        <f t="shared" si="217"/>
        <v>57026.457626666663</v>
      </c>
      <c r="Y163" s="23">
        <v>78564.272373333311</v>
      </c>
      <c r="Z163" s="207">
        <f t="shared" si="194"/>
        <v>78564.272373333311</v>
      </c>
      <c r="AA163" s="180"/>
    </row>
    <row r="164" spans="1:27" ht="20.100000000000001" customHeight="1">
      <c r="A164" s="191">
        <v>32</v>
      </c>
      <c r="B164" s="156" t="s">
        <v>282</v>
      </c>
      <c r="C164" s="161" t="s">
        <v>278</v>
      </c>
      <c r="D164" s="181" t="s">
        <v>279</v>
      </c>
      <c r="E164" s="192">
        <f t="shared" si="250"/>
        <v>10527.6</v>
      </c>
      <c r="F164" s="179"/>
      <c r="G164" s="25">
        <f t="shared" si="195"/>
        <v>31582.800000000003</v>
      </c>
      <c r="H164" s="25">
        <f t="shared" si="196"/>
        <v>789.57</v>
      </c>
      <c r="I164" s="25">
        <v>0</v>
      </c>
      <c r="J164" s="25">
        <f t="shared" si="197"/>
        <v>5263.8</v>
      </c>
      <c r="K164" s="23">
        <f t="shared" si="198"/>
        <v>36846.6</v>
      </c>
      <c r="L164" s="25">
        <f t="shared" si="247"/>
        <v>10527.6</v>
      </c>
      <c r="M164" s="179"/>
      <c r="N164" s="179">
        <f>30000</f>
        <v>30000</v>
      </c>
      <c r="O164" s="25">
        <f t="shared" si="248"/>
        <v>1052.76</v>
      </c>
      <c r="P164" s="25">
        <v>5000</v>
      </c>
      <c r="Q164" s="25">
        <f>4000</f>
        <v>4000</v>
      </c>
      <c r="R164" s="204">
        <f t="shared" si="249"/>
        <v>135590.72999999998</v>
      </c>
      <c r="S164" s="23"/>
      <c r="T164" s="23">
        <f>5000+5000+5000</f>
        <v>15000</v>
      </c>
      <c r="U164" s="23">
        <f>85704.84-50000</f>
        <v>35704.839999999997</v>
      </c>
      <c r="V164" s="23">
        <v>263.19</v>
      </c>
      <c r="W164" s="23">
        <v>10743.737199999998</v>
      </c>
      <c r="X164" s="258">
        <f t="shared" si="217"/>
        <v>61711.767199999995</v>
      </c>
      <c r="Y164" s="23">
        <v>73878.962799999979</v>
      </c>
      <c r="Z164" s="207">
        <f t="shared" si="194"/>
        <v>73878.962799999979</v>
      </c>
      <c r="AA164" s="180"/>
    </row>
    <row r="165" spans="1:27" ht="20.100000000000001" customHeight="1">
      <c r="A165" s="191">
        <v>33</v>
      </c>
      <c r="B165" s="156" t="s">
        <v>283</v>
      </c>
      <c r="C165" s="161" t="s">
        <v>278</v>
      </c>
      <c r="D165" s="181" t="s">
        <v>279</v>
      </c>
      <c r="E165" s="192">
        <f t="shared" si="250"/>
        <v>10527.6</v>
      </c>
      <c r="F165" s="179"/>
      <c r="G165" s="25">
        <f t="shared" si="195"/>
        <v>31582.800000000003</v>
      </c>
      <c r="H165" s="25">
        <f t="shared" si="196"/>
        <v>789.57</v>
      </c>
      <c r="I165" s="25">
        <v>0</v>
      </c>
      <c r="J165" s="25">
        <f t="shared" si="197"/>
        <v>5263.8</v>
      </c>
      <c r="K165" s="23">
        <f t="shared" si="198"/>
        <v>36846.6</v>
      </c>
      <c r="L165" s="25">
        <f t="shared" si="247"/>
        <v>10527.6</v>
      </c>
      <c r="M165" s="179"/>
      <c r="N165" s="179">
        <f>30000</f>
        <v>30000</v>
      </c>
      <c r="O165" s="25">
        <f t="shared" si="248"/>
        <v>1052.76</v>
      </c>
      <c r="P165" s="25">
        <v>5000</v>
      </c>
      <c r="Q165" s="25">
        <f>4000</f>
        <v>4000</v>
      </c>
      <c r="R165" s="204">
        <f t="shared" si="249"/>
        <v>135590.72999999998</v>
      </c>
      <c r="S165" s="23"/>
      <c r="T165" s="23">
        <f>10000+5000+5000</f>
        <v>20000</v>
      </c>
      <c r="U165" s="23">
        <f>15112.49</f>
        <v>15112.49</v>
      </c>
      <c r="V165" s="23"/>
      <c r="W165" s="23">
        <v>10776.457626666665</v>
      </c>
      <c r="X165" s="258">
        <f t="shared" si="217"/>
        <v>45888.947626666661</v>
      </c>
      <c r="Y165" s="23">
        <v>89701.782373333321</v>
      </c>
      <c r="Z165" s="207">
        <f t="shared" ref="Z165:Z191" si="251">R165-X165</f>
        <v>89701.782373333321</v>
      </c>
      <c r="AA165" s="180"/>
    </row>
    <row r="166" spans="1:27" ht="20.100000000000001" customHeight="1">
      <c r="A166" s="191">
        <v>34</v>
      </c>
      <c r="B166" s="156" t="s">
        <v>284</v>
      </c>
      <c r="C166" s="161" t="s">
        <v>278</v>
      </c>
      <c r="D166" s="181" t="s">
        <v>285</v>
      </c>
      <c r="E166" s="25">
        <v>9050.14</v>
      </c>
      <c r="F166" s="179"/>
      <c r="G166" s="25">
        <f t="shared" si="195"/>
        <v>27150.42</v>
      </c>
      <c r="H166" s="25">
        <f t="shared" si="196"/>
        <v>678.76049999999998</v>
      </c>
      <c r="I166" s="25">
        <v>0</v>
      </c>
      <c r="J166" s="25">
        <f t="shared" si="197"/>
        <v>4525.07</v>
      </c>
      <c r="K166" s="23">
        <f t="shared" si="198"/>
        <v>31675.489999999998</v>
      </c>
      <c r="L166" s="25">
        <f t="shared" si="247"/>
        <v>9050.14</v>
      </c>
      <c r="M166" s="179"/>
      <c r="N166" s="179">
        <f>20000+10000</f>
        <v>30000</v>
      </c>
      <c r="O166" s="25">
        <f t="shared" si="248"/>
        <v>905.01400000000001</v>
      </c>
      <c r="P166" s="25">
        <v>5000</v>
      </c>
      <c r="Q166" s="25">
        <f>7000</f>
        <v>7000</v>
      </c>
      <c r="R166" s="204">
        <f t="shared" si="249"/>
        <v>125035.03449999999</v>
      </c>
      <c r="S166" s="23"/>
      <c r="T166" s="23">
        <f>5000+5000+15000+5000</f>
        <v>30000</v>
      </c>
      <c r="U166" s="23">
        <f>26430.62</f>
        <v>26430.62</v>
      </c>
      <c r="V166" s="23"/>
      <c r="W166" s="23">
        <v>9504.2041399999998</v>
      </c>
      <c r="X166" s="258">
        <f t="shared" si="217"/>
        <v>65934.824139999997</v>
      </c>
      <c r="Y166" s="23">
        <v>59100.210359999997</v>
      </c>
      <c r="Z166" s="207">
        <f t="shared" si="251"/>
        <v>59100.210359999997</v>
      </c>
      <c r="AA166" s="180"/>
    </row>
    <row r="167" spans="1:27" ht="20.100000000000001" customHeight="1">
      <c r="A167" s="191">
        <v>35</v>
      </c>
      <c r="B167" s="156" t="s">
        <v>286</v>
      </c>
      <c r="C167" s="161" t="s">
        <v>278</v>
      </c>
      <c r="D167" s="181" t="s">
        <v>285</v>
      </c>
      <c r="E167" s="25">
        <v>9050.14</v>
      </c>
      <c r="F167" s="179"/>
      <c r="G167" s="25">
        <f t="shared" si="195"/>
        <v>27150.42</v>
      </c>
      <c r="H167" s="25">
        <f t="shared" si="196"/>
        <v>678.76049999999998</v>
      </c>
      <c r="I167" s="25">
        <v>0</v>
      </c>
      <c r="J167" s="25">
        <f t="shared" si="197"/>
        <v>4525.07</v>
      </c>
      <c r="K167" s="23">
        <f t="shared" si="198"/>
        <v>31675.489999999998</v>
      </c>
      <c r="L167" s="25">
        <f t="shared" si="247"/>
        <v>9050.14</v>
      </c>
      <c r="M167" s="179"/>
      <c r="N167" s="179">
        <f t="shared" ref="N167:N171" si="252">20000+10000</f>
        <v>30000</v>
      </c>
      <c r="O167" s="25">
        <f t="shared" si="248"/>
        <v>905.01400000000001</v>
      </c>
      <c r="P167" s="25">
        <v>5000</v>
      </c>
      <c r="Q167" s="25">
        <f>4000</f>
        <v>4000</v>
      </c>
      <c r="R167" s="204">
        <f t="shared" si="249"/>
        <v>122035.03449999999</v>
      </c>
      <c r="S167" s="23"/>
      <c r="T167" s="23">
        <f>3000+5000+17000+5000</f>
        <v>30000</v>
      </c>
      <c r="U167" s="23">
        <f>25555.56</f>
        <v>25555.56</v>
      </c>
      <c r="V167" s="23"/>
      <c r="W167" s="23">
        <v>9144.2041399999998</v>
      </c>
      <c r="X167" s="258">
        <f t="shared" si="217"/>
        <v>64699.764139999999</v>
      </c>
      <c r="Y167" s="23">
        <v>57335.270359999995</v>
      </c>
      <c r="Z167" s="207">
        <f t="shared" si="251"/>
        <v>57335.270359999995</v>
      </c>
      <c r="AA167" s="180"/>
    </row>
    <row r="168" spans="1:27" ht="20.100000000000001" customHeight="1">
      <c r="A168" s="191">
        <v>36</v>
      </c>
      <c r="B168" s="158" t="s">
        <v>287</v>
      </c>
      <c r="C168" s="161" t="s">
        <v>278</v>
      </c>
      <c r="D168" s="181" t="s">
        <v>285</v>
      </c>
      <c r="E168" s="25">
        <v>9050.14</v>
      </c>
      <c r="F168" s="179"/>
      <c r="G168" s="25">
        <f t="shared" si="195"/>
        <v>27150.42</v>
      </c>
      <c r="H168" s="25">
        <f t="shared" si="196"/>
        <v>678.76049999999998</v>
      </c>
      <c r="I168" s="25">
        <v>0</v>
      </c>
      <c r="J168" s="25">
        <f t="shared" si="197"/>
        <v>4525.07</v>
      </c>
      <c r="K168" s="23">
        <f t="shared" si="198"/>
        <v>31675.489999999998</v>
      </c>
      <c r="L168" s="25">
        <f t="shared" si="247"/>
        <v>9050.14</v>
      </c>
      <c r="M168" s="179"/>
      <c r="N168" s="179">
        <f t="shared" si="252"/>
        <v>30000</v>
      </c>
      <c r="O168" s="25">
        <f t="shared" si="248"/>
        <v>905.01400000000001</v>
      </c>
      <c r="P168" s="25">
        <v>5000</v>
      </c>
      <c r="Q168" s="25">
        <f>7000</f>
        <v>7000</v>
      </c>
      <c r="R168" s="204">
        <f t="shared" si="249"/>
        <v>125035.03449999999</v>
      </c>
      <c r="S168" s="23"/>
      <c r="T168" s="23">
        <f>5000+5000+5000+5000</f>
        <v>20000</v>
      </c>
      <c r="U168" s="23">
        <f>20000</f>
        <v>20000</v>
      </c>
      <c r="V168" s="23"/>
      <c r="W168" s="23">
        <v>9504.2041399999998</v>
      </c>
      <c r="X168" s="258">
        <f t="shared" si="217"/>
        <v>49504.204140000002</v>
      </c>
      <c r="Y168" s="23">
        <v>75530.830359999993</v>
      </c>
      <c r="Z168" s="207">
        <f t="shared" si="251"/>
        <v>75530.830359999993</v>
      </c>
      <c r="AA168" s="180"/>
    </row>
    <row r="169" spans="1:27" ht="20.100000000000001" customHeight="1">
      <c r="A169" s="191">
        <v>37</v>
      </c>
      <c r="B169" s="156" t="s">
        <v>288</v>
      </c>
      <c r="C169" s="161" t="s">
        <v>278</v>
      </c>
      <c r="D169" s="181" t="s">
        <v>285</v>
      </c>
      <c r="E169" s="25">
        <v>9050.14</v>
      </c>
      <c r="F169" s="179"/>
      <c r="G169" s="25">
        <f t="shared" si="195"/>
        <v>27150.42</v>
      </c>
      <c r="H169" s="25">
        <f t="shared" si="196"/>
        <v>678.76049999999998</v>
      </c>
      <c r="I169" s="25"/>
      <c r="J169" s="25">
        <f t="shared" si="197"/>
        <v>4525.07</v>
      </c>
      <c r="K169" s="23">
        <f t="shared" si="198"/>
        <v>31675.489999999998</v>
      </c>
      <c r="L169" s="25">
        <f t="shared" ref="L169:L184" si="253">E169*100%</f>
        <v>9050.14</v>
      </c>
      <c r="M169" s="179"/>
      <c r="N169" s="179">
        <f t="shared" si="252"/>
        <v>30000</v>
      </c>
      <c r="O169" s="25">
        <f t="shared" si="248"/>
        <v>905.01400000000001</v>
      </c>
      <c r="P169" s="25">
        <v>5000</v>
      </c>
      <c r="Q169" s="25">
        <f>4000</f>
        <v>4000</v>
      </c>
      <c r="R169" s="204">
        <f t="shared" si="249"/>
        <v>122035.03449999999</v>
      </c>
      <c r="S169" s="23"/>
      <c r="T169" s="23">
        <f>10000+5000+5000</f>
        <v>20000</v>
      </c>
      <c r="U169" s="23">
        <f>13750</f>
        <v>13750</v>
      </c>
      <c r="V169" s="23"/>
      <c r="W169" s="23">
        <v>9144.2041399999998</v>
      </c>
      <c r="X169" s="258">
        <f t="shared" si="217"/>
        <v>42894.204140000002</v>
      </c>
      <c r="Y169" s="23">
        <v>79140.830359999993</v>
      </c>
      <c r="Z169" s="207">
        <f t="shared" si="251"/>
        <v>79140.830359999993</v>
      </c>
      <c r="AA169" s="180"/>
    </row>
    <row r="170" spans="1:27" ht="20.100000000000001" customHeight="1">
      <c r="A170" s="191">
        <v>38</v>
      </c>
      <c r="B170" s="157" t="s">
        <v>289</v>
      </c>
      <c r="C170" s="161" t="s">
        <v>278</v>
      </c>
      <c r="D170" s="181" t="s">
        <v>285</v>
      </c>
      <c r="E170" s="25">
        <v>9050.14</v>
      </c>
      <c r="F170" s="179"/>
      <c r="G170" s="25">
        <f t="shared" si="195"/>
        <v>27150.42</v>
      </c>
      <c r="H170" s="25">
        <f t="shared" si="196"/>
        <v>678.76049999999998</v>
      </c>
      <c r="I170" s="25"/>
      <c r="J170" s="25">
        <f t="shared" si="197"/>
        <v>4525.07</v>
      </c>
      <c r="K170" s="23">
        <f t="shared" si="198"/>
        <v>31675.489999999998</v>
      </c>
      <c r="L170" s="25">
        <f t="shared" si="253"/>
        <v>9050.14</v>
      </c>
      <c r="M170" s="179"/>
      <c r="N170" s="179">
        <f t="shared" si="252"/>
        <v>30000</v>
      </c>
      <c r="O170" s="25">
        <f t="shared" si="248"/>
        <v>905.01400000000001</v>
      </c>
      <c r="P170" s="25">
        <v>5000</v>
      </c>
      <c r="Q170" s="25">
        <f>4000</f>
        <v>4000</v>
      </c>
      <c r="R170" s="204">
        <f t="shared" si="249"/>
        <v>122035.03449999999</v>
      </c>
      <c r="S170" s="23"/>
      <c r="T170" s="23">
        <f>3000+5000+7000+5000</f>
        <v>20000</v>
      </c>
      <c r="U170" s="23">
        <f>16958.34</f>
        <v>16958.34</v>
      </c>
      <c r="V170" s="23"/>
      <c r="W170" s="23">
        <v>9144.2041399999998</v>
      </c>
      <c r="X170" s="258">
        <f t="shared" si="217"/>
        <v>46102.544139999998</v>
      </c>
      <c r="Y170" s="23">
        <v>75932.490359999996</v>
      </c>
      <c r="Z170" s="207">
        <f t="shared" si="251"/>
        <v>75932.490359999996</v>
      </c>
      <c r="AA170" s="180"/>
    </row>
    <row r="171" spans="1:27" ht="20.100000000000001" customHeight="1">
      <c r="A171" s="191">
        <v>39</v>
      </c>
      <c r="B171" s="157" t="s">
        <v>290</v>
      </c>
      <c r="C171" s="161" t="s">
        <v>278</v>
      </c>
      <c r="D171" s="181" t="s">
        <v>285</v>
      </c>
      <c r="E171" s="25">
        <v>9050.14</v>
      </c>
      <c r="F171" s="179"/>
      <c r="G171" s="25">
        <f t="shared" si="195"/>
        <v>27150.42</v>
      </c>
      <c r="H171" s="25">
        <f t="shared" si="196"/>
        <v>678.76049999999998</v>
      </c>
      <c r="I171" s="25"/>
      <c r="J171" s="25">
        <f t="shared" si="197"/>
        <v>4525.07</v>
      </c>
      <c r="K171" s="23">
        <f t="shared" si="198"/>
        <v>31675.489999999998</v>
      </c>
      <c r="L171" s="25">
        <f t="shared" si="253"/>
        <v>9050.14</v>
      </c>
      <c r="M171" s="179"/>
      <c r="N171" s="179">
        <f t="shared" si="252"/>
        <v>30000</v>
      </c>
      <c r="O171" s="25">
        <f t="shared" si="248"/>
        <v>905.01400000000001</v>
      </c>
      <c r="P171" s="25">
        <v>5000</v>
      </c>
      <c r="Q171" s="25">
        <f>7000</f>
        <v>7000</v>
      </c>
      <c r="R171" s="204">
        <f t="shared" si="249"/>
        <v>125035.03449999999</v>
      </c>
      <c r="S171" s="23"/>
      <c r="T171" s="23">
        <f>10000+5000+5000</f>
        <v>20000</v>
      </c>
      <c r="U171" s="23">
        <f>22361.11</f>
        <v>22361.11</v>
      </c>
      <c r="V171" s="23"/>
      <c r="W171" s="23">
        <v>9504.2041399999998</v>
      </c>
      <c r="X171" s="258">
        <f t="shared" si="217"/>
        <v>51865.314140000002</v>
      </c>
      <c r="Y171" s="23">
        <v>73169.720359999992</v>
      </c>
      <c r="Z171" s="207">
        <f t="shared" si="251"/>
        <v>73169.720359999992</v>
      </c>
      <c r="AA171" s="180"/>
    </row>
    <row r="172" spans="1:27" ht="20.100000000000001" customHeight="1">
      <c r="A172" s="191">
        <v>40</v>
      </c>
      <c r="B172" s="156" t="s">
        <v>291</v>
      </c>
      <c r="C172" s="161" t="s">
        <v>292</v>
      </c>
      <c r="D172" s="181" t="s">
        <v>293</v>
      </c>
      <c r="E172" s="25">
        <f>8730.79</f>
        <v>8730.7900000000009</v>
      </c>
      <c r="F172" s="179">
        <v>52918.620144688117</v>
      </c>
      <c r="G172" s="25">
        <f t="shared" si="195"/>
        <v>26192.370000000003</v>
      </c>
      <c r="H172" s="25">
        <f t="shared" si="196"/>
        <v>654.80925000000002</v>
      </c>
      <c r="I172" s="25"/>
      <c r="J172" s="25">
        <f t="shared" si="197"/>
        <v>4365.3950000000004</v>
      </c>
      <c r="K172" s="23">
        <f t="shared" si="198"/>
        <v>30557.765000000003</v>
      </c>
      <c r="L172" s="25">
        <f t="shared" si="253"/>
        <v>8730.7900000000009</v>
      </c>
      <c r="M172" s="179"/>
      <c r="N172" s="179">
        <f>30000</f>
        <v>30000</v>
      </c>
      <c r="O172" s="25">
        <f t="shared" si="248"/>
        <v>873.07900000000018</v>
      </c>
      <c r="P172" s="25">
        <v>5000</v>
      </c>
      <c r="Q172" s="25">
        <f>7000</f>
        <v>7000</v>
      </c>
      <c r="R172" s="23">
        <f t="shared" si="249"/>
        <v>175023.61839468812</v>
      </c>
      <c r="S172" s="23"/>
      <c r="T172" s="23">
        <f>10000+5000+5000</f>
        <v>20000</v>
      </c>
      <c r="U172" s="23">
        <f>15625</f>
        <v>15625</v>
      </c>
      <c r="V172" s="23"/>
      <c r="W172" s="23">
        <f>9152.6</f>
        <v>9152.6</v>
      </c>
      <c r="X172" s="23">
        <f t="shared" si="217"/>
        <v>44777.599999999999</v>
      </c>
      <c r="Y172" s="23">
        <v>106043.96784954835</v>
      </c>
      <c r="Z172" s="23">
        <f t="shared" si="251"/>
        <v>130246.01839468812</v>
      </c>
      <c r="AA172" s="180"/>
    </row>
    <row r="173" spans="1:27" ht="20.100000000000001" customHeight="1">
      <c r="A173" s="191">
        <v>41</v>
      </c>
      <c r="B173" s="156" t="s">
        <v>294</v>
      </c>
      <c r="C173" s="161" t="s">
        <v>292</v>
      </c>
      <c r="D173" s="181" t="s">
        <v>293</v>
      </c>
      <c r="E173" s="25">
        <f t="shared" ref="E173:E174" si="254">8730.79</f>
        <v>8730.7900000000009</v>
      </c>
      <c r="F173" s="179">
        <v>46353.569052215018</v>
      </c>
      <c r="G173" s="25">
        <f t="shared" si="195"/>
        <v>26192.370000000003</v>
      </c>
      <c r="H173" s="25">
        <f t="shared" si="196"/>
        <v>654.80925000000002</v>
      </c>
      <c r="I173" s="25"/>
      <c r="J173" s="25">
        <f t="shared" si="197"/>
        <v>4365.3950000000004</v>
      </c>
      <c r="K173" s="23">
        <f t="shared" si="198"/>
        <v>30557.765000000003</v>
      </c>
      <c r="L173" s="25">
        <f t="shared" si="253"/>
        <v>8730.7900000000009</v>
      </c>
      <c r="M173" s="179"/>
      <c r="N173" s="179">
        <f>30000</f>
        <v>30000</v>
      </c>
      <c r="O173" s="25">
        <f t="shared" si="248"/>
        <v>873.07900000000018</v>
      </c>
      <c r="P173" s="25">
        <v>5000</v>
      </c>
      <c r="Q173" s="25">
        <f>7000</f>
        <v>7000</v>
      </c>
      <c r="R173" s="23">
        <f>SUM(E173:Q173)</f>
        <v>168458.56730221503</v>
      </c>
      <c r="S173" s="23"/>
      <c r="T173" s="23">
        <v>20000</v>
      </c>
      <c r="U173" s="23">
        <v>18333.330000000002</v>
      </c>
      <c r="V173" s="23"/>
      <c r="W173" s="23">
        <f t="shared" ref="W173:W174" si="255">9152.6</f>
        <v>9152.6</v>
      </c>
      <c r="X173" s="23">
        <f t="shared" si="217"/>
        <v>47485.93</v>
      </c>
      <c r="Y173" s="23">
        <v>80609.452233032236</v>
      </c>
      <c r="Z173" s="23">
        <f t="shared" si="251"/>
        <v>120972.63730221504</v>
      </c>
      <c r="AA173" s="180"/>
    </row>
    <row r="174" spans="1:27" ht="20.100000000000001" customHeight="1">
      <c r="A174" s="191">
        <v>42</v>
      </c>
      <c r="B174" s="157" t="s">
        <v>295</v>
      </c>
      <c r="C174" s="161" t="s">
        <v>292</v>
      </c>
      <c r="D174" s="181" t="s">
        <v>293</v>
      </c>
      <c r="E174" s="25">
        <f t="shared" si="254"/>
        <v>8730.7900000000009</v>
      </c>
      <c r="F174" s="179">
        <v>90087.389279999974</v>
      </c>
      <c r="G174" s="25">
        <f t="shared" si="195"/>
        <v>26192.370000000003</v>
      </c>
      <c r="H174" s="25">
        <f t="shared" si="196"/>
        <v>654.80925000000002</v>
      </c>
      <c r="I174" s="25"/>
      <c r="J174" s="25">
        <f t="shared" si="197"/>
        <v>4365.3950000000004</v>
      </c>
      <c r="K174" s="23">
        <f t="shared" si="198"/>
        <v>30557.765000000003</v>
      </c>
      <c r="L174" s="25">
        <f t="shared" si="253"/>
        <v>8730.7900000000009</v>
      </c>
      <c r="M174" s="179"/>
      <c r="N174" s="179">
        <f>30000</f>
        <v>30000</v>
      </c>
      <c r="O174" s="25">
        <f t="shared" si="248"/>
        <v>873.07900000000018</v>
      </c>
      <c r="P174" s="25">
        <v>5000</v>
      </c>
      <c r="Q174" s="25">
        <f>7000</f>
        <v>7000</v>
      </c>
      <c r="R174" s="23">
        <f t="shared" si="249"/>
        <v>212192.38753000001</v>
      </c>
      <c r="S174" s="23"/>
      <c r="T174" s="23">
        <f>3000+5000+5000</f>
        <v>13000</v>
      </c>
      <c r="U174" s="23">
        <f>44000</f>
        <v>44000</v>
      </c>
      <c r="V174" s="23"/>
      <c r="W174" s="23">
        <f t="shared" si="255"/>
        <v>9152.6</v>
      </c>
      <c r="X174" s="23">
        <f t="shared" si="217"/>
        <v>66152.600000000006</v>
      </c>
      <c r="Y174" s="23">
        <v>239903.58369333335</v>
      </c>
      <c r="Z174" s="23">
        <f t="shared" si="251"/>
        <v>146039.78753</v>
      </c>
      <c r="AA174" s="180"/>
    </row>
    <row r="175" spans="1:27" ht="20.100000000000001" customHeight="1">
      <c r="A175" s="191">
        <v>43</v>
      </c>
      <c r="B175" s="156" t="s">
        <v>296</v>
      </c>
      <c r="C175" s="161" t="s">
        <v>297</v>
      </c>
      <c r="D175" s="181" t="s">
        <v>298</v>
      </c>
      <c r="E175" s="25">
        <v>5257.44</v>
      </c>
      <c r="F175" s="179"/>
      <c r="G175" s="25">
        <f t="shared" si="195"/>
        <v>15772.32</v>
      </c>
      <c r="H175" s="25">
        <f t="shared" si="196"/>
        <v>394.30799999999994</v>
      </c>
      <c r="I175" s="25"/>
      <c r="J175" s="25">
        <f t="shared" si="197"/>
        <v>2628.72</v>
      </c>
      <c r="K175" s="23">
        <f t="shared" si="198"/>
        <v>18401.039999999997</v>
      </c>
      <c r="L175" s="25">
        <f t="shared" si="253"/>
        <v>5257.44</v>
      </c>
      <c r="M175" s="179"/>
      <c r="N175" s="179">
        <f>20000</f>
        <v>20000</v>
      </c>
      <c r="O175" s="25">
        <f t="shared" si="248"/>
        <v>525.74400000000003</v>
      </c>
      <c r="P175" s="25">
        <v>5000</v>
      </c>
      <c r="Q175" s="25">
        <f>7000</f>
        <v>7000</v>
      </c>
      <c r="R175" s="204">
        <f t="shared" si="249"/>
        <v>80237.012000000002</v>
      </c>
      <c r="S175" s="23"/>
      <c r="T175" s="23">
        <f>15000</f>
        <v>15000</v>
      </c>
      <c r="U175" s="23">
        <f>20000</f>
        <v>20000</v>
      </c>
      <c r="V175" s="23"/>
      <c r="W175" s="23">
        <v>4227.5237226666677</v>
      </c>
      <c r="X175" s="258">
        <f t="shared" si="217"/>
        <v>39227.523722666665</v>
      </c>
      <c r="Y175" s="23">
        <v>41009.488277333337</v>
      </c>
      <c r="Z175" s="207">
        <f t="shared" si="251"/>
        <v>41009.488277333337</v>
      </c>
      <c r="AA175" s="180"/>
    </row>
    <row r="176" spans="1:27" ht="20.100000000000001" customHeight="1">
      <c r="A176" s="191">
        <v>44</v>
      </c>
      <c r="B176" s="156" t="s">
        <v>299</v>
      </c>
      <c r="C176" s="161" t="s">
        <v>300</v>
      </c>
      <c r="D176" s="181" t="s">
        <v>301</v>
      </c>
      <c r="E176" s="25">
        <v>5086.76</v>
      </c>
      <c r="F176" s="179"/>
      <c r="G176" s="25">
        <f t="shared" si="195"/>
        <v>15260.28</v>
      </c>
      <c r="H176" s="25">
        <f t="shared" si="196"/>
        <v>381.50700000000001</v>
      </c>
      <c r="I176" s="25"/>
      <c r="J176" s="25">
        <f t="shared" si="197"/>
        <v>2543.38</v>
      </c>
      <c r="K176" s="23">
        <f t="shared" si="198"/>
        <v>17803.66</v>
      </c>
      <c r="L176" s="25">
        <f t="shared" si="253"/>
        <v>5086.76</v>
      </c>
      <c r="M176" s="179"/>
      <c r="N176" s="179">
        <f>20000</f>
        <v>20000</v>
      </c>
      <c r="O176" s="25">
        <f t="shared" si="248"/>
        <v>508.67600000000004</v>
      </c>
      <c r="P176" s="25">
        <v>5000</v>
      </c>
      <c r="Q176" s="25">
        <f>7000</f>
        <v>7000</v>
      </c>
      <c r="R176" s="204">
        <f t="shared" si="249"/>
        <v>78671.023000000016</v>
      </c>
      <c r="S176" s="23"/>
      <c r="T176" s="23">
        <f>5000+5000+5000</f>
        <v>15000</v>
      </c>
      <c r="U176" s="23">
        <f>15000</f>
        <v>15000</v>
      </c>
      <c r="V176" s="23"/>
      <c r="W176" s="23">
        <v>4089.716690666668</v>
      </c>
      <c r="X176" s="258">
        <f t="shared" si="217"/>
        <v>34089.716690666668</v>
      </c>
      <c r="Y176" s="23">
        <v>44581.306309333348</v>
      </c>
      <c r="Z176" s="207">
        <f t="shared" si="251"/>
        <v>44581.306309333348</v>
      </c>
      <c r="AA176" s="180"/>
    </row>
    <row r="177" spans="1:27" ht="20.100000000000001" customHeight="1">
      <c r="A177" s="191">
        <v>45</v>
      </c>
      <c r="B177" s="156" t="s">
        <v>302</v>
      </c>
      <c r="C177" s="161" t="s">
        <v>300</v>
      </c>
      <c r="D177" s="181" t="s">
        <v>301</v>
      </c>
      <c r="E177" s="25">
        <v>5086.76</v>
      </c>
      <c r="F177" s="179"/>
      <c r="G177" s="25">
        <f t="shared" si="195"/>
        <v>15260.28</v>
      </c>
      <c r="H177" s="25">
        <f t="shared" si="196"/>
        <v>381.50700000000001</v>
      </c>
      <c r="I177" s="25"/>
      <c r="J177" s="25">
        <f t="shared" si="197"/>
        <v>2543.38</v>
      </c>
      <c r="K177" s="23">
        <f t="shared" si="198"/>
        <v>17803.66</v>
      </c>
      <c r="L177" s="25">
        <f t="shared" si="253"/>
        <v>5086.76</v>
      </c>
      <c r="M177" s="179"/>
      <c r="N177" s="179">
        <f>20000</f>
        <v>20000</v>
      </c>
      <c r="O177" s="25">
        <f t="shared" si="248"/>
        <v>508.67600000000004</v>
      </c>
      <c r="P177" s="25">
        <v>5000</v>
      </c>
      <c r="Q177" s="25">
        <f>4000</f>
        <v>4000</v>
      </c>
      <c r="R177" s="204">
        <f t="shared" si="249"/>
        <v>75671.023000000016</v>
      </c>
      <c r="S177" s="23"/>
      <c r="T177" s="23">
        <f>15000+5000+5000+5000</f>
        <v>30000</v>
      </c>
      <c r="U177" s="23">
        <f>25555.56</f>
        <v>25555.56</v>
      </c>
      <c r="V177" s="23"/>
      <c r="W177" s="23">
        <v>3825.716690666668</v>
      </c>
      <c r="X177" s="258">
        <f t="shared" si="217"/>
        <v>59381.276690666666</v>
      </c>
      <c r="Y177" s="23">
        <v>16289.74630933335</v>
      </c>
      <c r="Z177" s="207">
        <f t="shared" si="251"/>
        <v>16289.74630933335</v>
      </c>
      <c r="AA177" s="180"/>
    </row>
    <row r="178" spans="1:27" ht="20.100000000000001" customHeight="1">
      <c r="A178" s="191">
        <v>46</v>
      </c>
      <c r="B178" s="156" t="s">
        <v>303</v>
      </c>
      <c r="C178" s="161" t="s">
        <v>300</v>
      </c>
      <c r="D178" s="181" t="s">
        <v>301</v>
      </c>
      <c r="E178" s="25">
        <v>5086.76</v>
      </c>
      <c r="F178" s="179"/>
      <c r="G178" s="25">
        <f t="shared" si="195"/>
        <v>15260.28</v>
      </c>
      <c r="H178" s="25">
        <f t="shared" si="196"/>
        <v>381.50700000000001</v>
      </c>
      <c r="I178" s="25"/>
      <c r="J178" s="25">
        <f t="shared" si="197"/>
        <v>2543.38</v>
      </c>
      <c r="K178" s="23">
        <f t="shared" si="198"/>
        <v>17803.66</v>
      </c>
      <c r="L178" s="25">
        <f t="shared" si="253"/>
        <v>5086.76</v>
      </c>
      <c r="M178" s="179"/>
      <c r="N178" s="179">
        <f>20000</f>
        <v>20000</v>
      </c>
      <c r="O178" s="25">
        <f t="shared" si="248"/>
        <v>508.67600000000004</v>
      </c>
      <c r="P178" s="25">
        <v>5000</v>
      </c>
      <c r="Q178" s="25">
        <f>7000</f>
        <v>7000</v>
      </c>
      <c r="R178" s="204">
        <f t="shared" si="249"/>
        <v>78671.023000000016</v>
      </c>
      <c r="S178" s="23"/>
      <c r="T178" s="23">
        <f>5000+5000+5000</f>
        <v>15000</v>
      </c>
      <c r="U178" s="23">
        <v>15972.22</v>
      </c>
      <c r="V178" s="23"/>
      <c r="W178" s="23">
        <v>4089.716690666668</v>
      </c>
      <c r="X178" s="258">
        <f t="shared" si="217"/>
        <v>35061.936690666669</v>
      </c>
      <c r="Y178" s="23">
        <v>43609.086309333346</v>
      </c>
      <c r="Z178" s="207">
        <f t="shared" si="251"/>
        <v>43609.086309333346</v>
      </c>
      <c r="AA178" s="180"/>
    </row>
    <row r="179" spans="1:27" ht="20.100000000000001" customHeight="1">
      <c r="A179" s="191">
        <v>47</v>
      </c>
      <c r="B179" s="156" t="s">
        <v>304</v>
      </c>
      <c r="C179" s="161" t="s">
        <v>300</v>
      </c>
      <c r="D179" s="181" t="s">
        <v>301</v>
      </c>
      <c r="E179" s="25">
        <v>5086.76</v>
      </c>
      <c r="F179" s="179"/>
      <c r="G179" s="25">
        <f t="shared" si="195"/>
        <v>15260.28</v>
      </c>
      <c r="H179" s="25">
        <f t="shared" si="196"/>
        <v>381.50700000000001</v>
      </c>
      <c r="I179" s="25"/>
      <c r="J179" s="25">
        <f t="shared" si="197"/>
        <v>2543.38</v>
      </c>
      <c r="K179" s="23">
        <f t="shared" si="198"/>
        <v>17803.66</v>
      </c>
      <c r="L179" s="25">
        <f t="shared" si="253"/>
        <v>5086.76</v>
      </c>
      <c r="M179" s="179"/>
      <c r="N179" s="179">
        <f>20000</f>
        <v>20000</v>
      </c>
      <c r="O179" s="25">
        <f t="shared" si="248"/>
        <v>508.67600000000004</v>
      </c>
      <c r="P179" s="25">
        <v>5000</v>
      </c>
      <c r="Q179" s="25">
        <f>4000</f>
        <v>4000</v>
      </c>
      <c r="R179" s="204">
        <f t="shared" si="249"/>
        <v>75671.023000000016</v>
      </c>
      <c r="S179" s="23"/>
      <c r="T179" s="23">
        <f>10000+5000+5000</f>
        <v>20000</v>
      </c>
      <c r="U179" s="23">
        <v>8416.67</v>
      </c>
      <c r="V179" s="23"/>
      <c r="W179" s="23">
        <v>3825.716690666668</v>
      </c>
      <c r="X179" s="258">
        <f t="shared" si="217"/>
        <v>32242.386690666666</v>
      </c>
      <c r="Y179" s="23">
        <v>43428.636309333349</v>
      </c>
      <c r="Z179" s="207">
        <f t="shared" si="251"/>
        <v>43428.636309333349</v>
      </c>
      <c r="AA179" s="180"/>
    </row>
    <row r="180" spans="1:27" ht="20.100000000000001" customHeight="1">
      <c r="A180" s="191">
        <v>48</v>
      </c>
      <c r="B180" s="156" t="s">
        <v>305</v>
      </c>
      <c r="C180" s="161" t="s">
        <v>300</v>
      </c>
      <c r="D180" s="181" t="s">
        <v>301</v>
      </c>
      <c r="E180" s="25">
        <v>5086.76</v>
      </c>
      <c r="F180" s="179"/>
      <c r="G180" s="25">
        <f t="shared" si="195"/>
        <v>15260.28</v>
      </c>
      <c r="H180" s="25">
        <f t="shared" si="196"/>
        <v>381.50700000000001</v>
      </c>
      <c r="I180" s="25"/>
      <c r="J180" s="25">
        <f t="shared" si="197"/>
        <v>2543.38</v>
      </c>
      <c r="K180" s="23">
        <f t="shared" si="198"/>
        <v>17803.66</v>
      </c>
      <c r="L180" s="25">
        <f t="shared" si="253"/>
        <v>5086.76</v>
      </c>
      <c r="M180" s="179"/>
      <c r="N180" s="179">
        <f>20000</f>
        <v>20000</v>
      </c>
      <c r="O180" s="25">
        <f t="shared" si="248"/>
        <v>508.67600000000004</v>
      </c>
      <c r="P180" s="25">
        <v>5000</v>
      </c>
      <c r="Q180" s="25">
        <f>7000</f>
        <v>7000</v>
      </c>
      <c r="R180" s="204">
        <f t="shared" si="249"/>
        <v>78671.023000000016</v>
      </c>
      <c r="S180" s="23"/>
      <c r="T180" s="23">
        <f>5000</f>
        <v>5000</v>
      </c>
      <c r="U180" s="23">
        <f>30000</f>
        <v>30000</v>
      </c>
      <c r="V180" s="23"/>
      <c r="W180" s="23">
        <v>4089.716690666668</v>
      </c>
      <c r="X180" s="258">
        <f t="shared" si="217"/>
        <v>39089.716690666668</v>
      </c>
      <c r="Y180" s="23">
        <v>39581.306309333348</v>
      </c>
      <c r="Z180" s="207">
        <f t="shared" si="251"/>
        <v>39581.306309333348</v>
      </c>
      <c r="AA180" s="180"/>
    </row>
    <row r="181" spans="1:27" ht="20.100000000000001" customHeight="1">
      <c r="A181" s="191">
        <v>49</v>
      </c>
      <c r="B181" s="157" t="s">
        <v>306</v>
      </c>
      <c r="C181" s="161" t="s">
        <v>300</v>
      </c>
      <c r="D181" s="181" t="s">
        <v>301</v>
      </c>
      <c r="E181" s="25">
        <v>5086.76</v>
      </c>
      <c r="F181" s="179"/>
      <c r="G181" s="25">
        <f t="shared" ref="G181" si="256">E181*300%</f>
        <v>15260.28</v>
      </c>
      <c r="H181" s="25">
        <f t="shared" ref="H181" si="257">E181*7.5%</f>
        <v>381.50700000000001</v>
      </c>
      <c r="I181" s="25"/>
      <c r="J181" s="25">
        <f t="shared" ref="J181" si="258">E181*50%</f>
        <v>2543.38</v>
      </c>
      <c r="K181" s="23">
        <f t="shared" ref="K181" si="259">E181*350%</f>
        <v>17803.66</v>
      </c>
      <c r="L181" s="25">
        <f t="shared" ref="L181" si="260">E181*100%</f>
        <v>5086.76</v>
      </c>
      <c r="M181" s="179"/>
      <c r="N181" s="179">
        <f>20000</f>
        <v>20000</v>
      </c>
      <c r="O181" s="25">
        <f t="shared" ref="O181" si="261">E181*10%</f>
        <v>508.67600000000004</v>
      </c>
      <c r="P181" s="25">
        <v>5000</v>
      </c>
      <c r="Q181" s="25">
        <f>4000</f>
        <v>4000</v>
      </c>
      <c r="R181" s="204">
        <f t="shared" ref="R181" si="262">SUM(E181:Q181)</f>
        <v>75671.023000000016</v>
      </c>
      <c r="S181" s="23"/>
      <c r="T181" s="23">
        <v>5000</v>
      </c>
      <c r="U181" s="23">
        <v>0</v>
      </c>
      <c r="V181" s="23"/>
      <c r="W181" s="23">
        <v>3825.716690666668</v>
      </c>
      <c r="X181" s="258">
        <f t="shared" si="217"/>
        <v>8825.716690666668</v>
      </c>
      <c r="Y181" s="23">
        <v>66845.306309333348</v>
      </c>
      <c r="Z181" s="207">
        <f t="shared" si="251"/>
        <v>66845.306309333348</v>
      </c>
      <c r="AA181" s="180"/>
    </row>
    <row r="182" spans="1:27" ht="20.100000000000001" customHeight="1">
      <c r="A182" s="191">
        <v>50</v>
      </c>
      <c r="B182" s="157" t="s">
        <v>307</v>
      </c>
      <c r="C182" s="161" t="s">
        <v>300</v>
      </c>
      <c r="D182" s="181" t="s">
        <v>301</v>
      </c>
      <c r="E182" s="25">
        <v>5086.76</v>
      </c>
      <c r="F182" s="179"/>
      <c r="G182" s="25">
        <f>E182*300%</f>
        <v>15260.28</v>
      </c>
      <c r="H182" s="25">
        <f>E182*7.5%</f>
        <v>381.50700000000001</v>
      </c>
      <c r="I182" s="25"/>
      <c r="J182" s="25">
        <f>E182*50%</f>
        <v>2543.38</v>
      </c>
      <c r="K182" s="23">
        <f>E182*350%</f>
        <v>17803.66</v>
      </c>
      <c r="L182" s="25">
        <f>E182*100%</f>
        <v>5086.76</v>
      </c>
      <c r="M182" s="179"/>
      <c r="N182" s="179">
        <f>20000</f>
        <v>20000</v>
      </c>
      <c r="O182" s="25">
        <f>E182*10%</f>
        <v>508.67600000000004</v>
      </c>
      <c r="P182" s="25">
        <v>5000</v>
      </c>
      <c r="Q182" s="25">
        <f>7000</f>
        <v>7000</v>
      </c>
      <c r="R182" s="204">
        <f t="shared" ref="R182" si="263">SUM(E182:Q182)</f>
        <v>78671.023000000016</v>
      </c>
      <c r="S182" s="23"/>
      <c r="T182" s="23">
        <f>10000+5000+5000</f>
        <v>20000</v>
      </c>
      <c r="U182" s="23">
        <f>0</f>
        <v>0</v>
      </c>
      <c r="V182" s="23"/>
      <c r="W182" s="23">
        <v>4089.716690666668</v>
      </c>
      <c r="X182" s="258">
        <f t="shared" si="217"/>
        <v>24089.716690666668</v>
      </c>
      <c r="Y182" s="23">
        <v>54581.306309333348</v>
      </c>
      <c r="Z182" s="207">
        <f t="shared" si="251"/>
        <v>54581.306309333348</v>
      </c>
      <c r="AA182" s="180"/>
    </row>
    <row r="183" spans="1:27" ht="20.100000000000001" customHeight="1">
      <c r="A183" s="191">
        <v>51</v>
      </c>
      <c r="B183" s="156" t="s">
        <v>308</v>
      </c>
      <c r="C183" s="161" t="s">
        <v>297</v>
      </c>
      <c r="D183" s="181" t="s">
        <v>301</v>
      </c>
      <c r="E183" s="25">
        <v>5086.76</v>
      </c>
      <c r="F183" s="179"/>
      <c r="G183" s="25">
        <v>15260.28</v>
      </c>
      <c r="H183" s="25">
        <v>381.50700000000001</v>
      </c>
      <c r="I183" s="25"/>
      <c r="J183" s="25">
        <v>2543.38</v>
      </c>
      <c r="K183" s="23">
        <v>17803.66</v>
      </c>
      <c r="L183" s="25">
        <v>5086.76</v>
      </c>
      <c r="M183" s="179"/>
      <c r="N183" s="179">
        <v>20000</v>
      </c>
      <c r="O183" s="25">
        <v>508.67600000000004</v>
      </c>
      <c r="P183" s="25">
        <v>5000</v>
      </c>
      <c r="Q183" s="25">
        <v>7000</v>
      </c>
      <c r="R183" s="204">
        <f>78671.023</f>
        <v>78671.023000000001</v>
      </c>
      <c r="S183" s="23"/>
      <c r="T183" s="23">
        <v>20000</v>
      </c>
      <c r="U183" s="23">
        <v>10000</v>
      </c>
      <c r="V183" s="23"/>
      <c r="W183" s="23">
        <f>4089.71669066667</f>
        <v>4089.7166906666698</v>
      </c>
      <c r="X183" s="258">
        <f t="shared" si="217"/>
        <v>34089.716690666668</v>
      </c>
      <c r="Y183" s="23">
        <v>44581.306309333333</v>
      </c>
      <c r="Z183" s="207">
        <f t="shared" si="251"/>
        <v>44581.306309333333</v>
      </c>
      <c r="AA183" s="180"/>
    </row>
    <row r="184" spans="1:27" ht="20.100000000000001" customHeight="1">
      <c r="A184" s="191">
        <v>52</v>
      </c>
      <c r="B184" s="156" t="s">
        <v>309</v>
      </c>
      <c r="C184" s="161" t="s">
        <v>297</v>
      </c>
      <c r="D184" s="181" t="s">
        <v>301</v>
      </c>
      <c r="E184" s="25">
        <v>5086.76</v>
      </c>
      <c r="F184" s="179"/>
      <c r="G184" s="25">
        <f t="shared" si="195"/>
        <v>15260.28</v>
      </c>
      <c r="H184" s="25">
        <f t="shared" si="196"/>
        <v>381.50700000000001</v>
      </c>
      <c r="I184" s="25"/>
      <c r="J184" s="25">
        <f t="shared" si="197"/>
        <v>2543.38</v>
      </c>
      <c r="K184" s="23">
        <f t="shared" si="198"/>
        <v>17803.66</v>
      </c>
      <c r="L184" s="25">
        <f t="shared" si="253"/>
        <v>5086.76</v>
      </c>
      <c r="M184" s="179"/>
      <c r="N184" s="179">
        <v>20000</v>
      </c>
      <c r="O184" s="25">
        <f t="shared" si="248"/>
        <v>508.67600000000004</v>
      </c>
      <c r="P184" s="25">
        <v>5000</v>
      </c>
      <c r="Q184" s="25">
        <f>7000</f>
        <v>7000</v>
      </c>
      <c r="R184" s="204">
        <f t="shared" si="249"/>
        <v>78671.023000000016</v>
      </c>
      <c r="S184" s="23"/>
      <c r="T184" s="23">
        <f>10000+5000+5000</f>
        <v>20000</v>
      </c>
      <c r="U184" s="23">
        <f>26222.06</f>
        <v>26222.06</v>
      </c>
      <c r="V184" s="23"/>
      <c r="W184" s="23">
        <v>4089.716690666668</v>
      </c>
      <c r="X184" s="258">
        <f t="shared" si="217"/>
        <v>50311.776690666666</v>
      </c>
      <c r="Y184" s="23">
        <v>28359.24630933335</v>
      </c>
      <c r="Z184" s="207">
        <f t="shared" si="251"/>
        <v>28359.24630933335</v>
      </c>
      <c r="AA184" s="180"/>
    </row>
    <row r="185" spans="1:27" ht="20.100000000000001" customHeight="1">
      <c r="A185" s="191">
        <v>53</v>
      </c>
      <c r="B185" s="157" t="s">
        <v>310</v>
      </c>
      <c r="C185" s="161" t="s">
        <v>311</v>
      </c>
      <c r="D185" s="181" t="s">
        <v>312</v>
      </c>
      <c r="E185" s="25">
        <f>[5]Sheet1!$D$40</f>
        <v>4915.9399999999996</v>
      </c>
      <c r="F185" s="179"/>
      <c r="G185" s="25">
        <f t="shared" ref="G185" si="264">E185*300%</f>
        <v>14747.82</v>
      </c>
      <c r="H185" s="25">
        <f t="shared" ref="H185" si="265">E185*7.5%</f>
        <v>368.69549999999998</v>
      </c>
      <c r="I185" s="25"/>
      <c r="J185" s="25">
        <f t="shared" ref="J185" si="266">E185*50%</f>
        <v>2457.9699999999998</v>
      </c>
      <c r="K185" s="23">
        <f t="shared" ref="K185" si="267">E185*350%</f>
        <v>17205.789999999997</v>
      </c>
      <c r="L185" s="25">
        <f t="shared" ref="L185" si="268">E185*100%</f>
        <v>4915.9399999999996</v>
      </c>
      <c r="M185" s="179"/>
      <c r="N185" s="179">
        <f>20000</f>
        <v>20000</v>
      </c>
      <c r="O185" s="25">
        <f t="shared" ref="O185" si="269">E185*10%</f>
        <v>491.59399999999999</v>
      </c>
      <c r="P185" s="25">
        <v>5000</v>
      </c>
      <c r="Q185" s="25">
        <f>4000+3000</f>
        <v>7000</v>
      </c>
      <c r="R185" s="23">
        <f t="shared" ref="R185" si="270">SUM(E185:Q185)</f>
        <v>77103.749500000005</v>
      </c>
      <c r="S185" s="23"/>
      <c r="T185" s="23">
        <f>10000+5000+5000</f>
        <v>20000</v>
      </c>
      <c r="U185" s="23">
        <f>32916.67</f>
        <v>32916.67</v>
      </c>
      <c r="V185" s="23"/>
      <c r="W185" s="23">
        <f>[3]PROMOTIONS!$X$45</f>
        <v>3951.8553333333325</v>
      </c>
      <c r="X185" s="258">
        <f t="shared" si="217"/>
        <v>56868.525333333331</v>
      </c>
      <c r="Y185" s="23">
        <v>82209.602541118249</v>
      </c>
      <c r="Z185" s="207">
        <f t="shared" si="251"/>
        <v>20235.224166666674</v>
      </c>
      <c r="AA185" s="180"/>
    </row>
    <row r="186" spans="1:27" ht="20.100000000000001" customHeight="1">
      <c r="A186" s="191">
        <v>54</v>
      </c>
      <c r="B186" s="157" t="s">
        <v>313</v>
      </c>
      <c r="C186" s="161" t="s">
        <v>300</v>
      </c>
      <c r="D186" s="181" t="s">
        <v>314</v>
      </c>
      <c r="E186" s="179">
        <f>4395.43</f>
        <v>4395.43</v>
      </c>
      <c r="F186" s="179"/>
      <c r="G186" s="25">
        <f t="shared" ref="G186:G187" si="271">E186*300%</f>
        <v>13186.29</v>
      </c>
      <c r="H186" s="25">
        <f t="shared" ref="H186:H187" si="272">E186*7.5%</f>
        <v>329.65725000000003</v>
      </c>
      <c r="I186" s="25"/>
      <c r="J186" s="25">
        <f t="shared" ref="J186:J187" si="273">E186*50%</f>
        <v>2197.7150000000001</v>
      </c>
      <c r="K186" s="23">
        <f t="shared" ref="K186:K187" si="274">E186*350%</f>
        <v>15384.005000000001</v>
      </c>
      <c r="L186" s="25">
        <f t="shared" ref="L186" si="275">E186*100%</f>
        <v>4395.43</v>
      </c>
      <c r="M186" s="179"/>
      <c r="N186" s="179">
        <f>15000</f>
        <v>15000</v>
      </c>
      <c r="O186" s="25">
        <f t="shared" ref="O186:O187" si="276">E186*10%</f>
        <v>439.54300000000006</v>
      </c>
      <c r="P186" s="25">
        <v>5000</v>
      </c>
      <c r="Q186" s="25">
        <f>7000</f>
        <v>7000</v>
      </c>
      <c r="R186" s="204">
        <f>SUM(E186:Q186)</f>
        <v>67328.070250000004</v>
      </c>
      <c r="S186" s="23"/>
      <c r="T186" s="23">
        <f>5000</f>
        <v>5000</v>
      </c>
      <c r="U186" s="23">
        <f>11518</f>
        <v>11518</v>
      </c>
      <c r="V186" s="23"/>
      <c r="W186" s="23">
        <v>3091.5368486666671</v>
      </c>
      <c r="X186" s="258">
        <f t="shared" si="217"/>
        <v>19609.536848666667</v>
      </c>
      <c r="Y186" s="23">
        <v>47718.533401333334</v>
      </c>
      <c r="Z186" s="207">
        <f t="shared" si="251"/>
        <v>47718.533401333334</v>
      </c>
      <c r="AA186" s="180"/>
    </row>
    <row r="187" spans="1:27" ht="20.100000000000001" customHeight="1">
      <c r="A187" s="191">
        <v>55</v>
      </c>
      <c r="B187" s="157" t="s">
        <v>315</v>
      </c>
      <c r="C187" s="161" t="s">
        <v>316</v>
      </c>
      <c r="D187" s="181" t="s">
        <v>317</v>
      </c>
      <c r="E187" s="51">
        <v>4101.58</v>
      </c>
      <c r="F187" s="35"/>
      <c r="G187" s="51">
        <f t="shared" si="271"/>
        <v>12304.74</v>
      </c>
      <c r="H187" s="51">
        <f t="shared" si="272"/>
        <v>307.61849999999998</v>
      </c>
      <c r="I187" s="51"/>
      <c r="J187" s="51">
        <f t="shared" si="273"/>
        <v>2050.79</v>
      </c>
      <c r="K187" s="35">
        <f t="shared" si="274"/>
        <v>14355.529999999999</v>
      </c>
      <c r="L187" s="51">
        <f>E187*100%</f>
        <v>4101.58</v>
      </c>
      <c r="M187" s="20"/>
      <c r="N187" s="51">
        <v>15000</v>
      </c>
      <c r="O187" s="51">
        <f t="shared" si="276"/>
        <v>410.15800000000002</v>
      </c>
      <c r="P187" s="51">
        <v>5000</v>
      </c>
      <c r="Q187" s="51">
        <v>4000</v>
      </c>
      <c r="R187" s="290">
        <f t="shared" ref="R187" si="277">SUM(E187:Q187)</f>
        <v>61631.996500000001</v>
      </c>
      <c r="S187" s="23"/>
      <c r="T187" s="23"/>
      <c r="U187" s="23"/>
      <c r="V187" s="23"/>
      <c r="W187" s="23">
        <f>2590.28</f>
        <v>2590.2800000000002</v>
      </c>
      <c r="X187" s="258">
        <f t="shared" si="217"/>
        <v>2590.2800000000002</v>
      </c>
      <c r="Y187" s="23">
        <v>304835.04649999994</v>
      </c>
      <c r="Z187" s="207">
        <f t="shared" si="251"/>
        <v>59041.716500000002</v>
      </c>
      <c r="AA187" s="180"/>
    </row>
    <row r="188" spans="1:27" ht="20.100000000000001" customHeight="1">
      <c r="A188" s="191">
        <v>56</v>
      </c>
      <c r="B188" s="157" t="s">
        <v>318</v>
      </c>
      <c r="C188" s="161" t="s">
        <v>316</v>
      </c>
      <c r="D188" s="181" t="s">
        <v>317</v>
      </c>
      <c r="E188" s="51">
        <v>4101.58</v>
      </c>
      <c r="F188" s="35"/>
      <c r="G188" s="51">
        <f t="shared" ref="G188:G190" si="278">E188*300%</f>
        <v>12304.74</v>
      </c>
      <c r="H188" s="51">
        <f t="shared" ref="H188:H190" si="279">E188*7.5%</f>
        <v>307.61849999999998</v>
      </c>
      <c r="I188" s="51"/>
      <c r="J188" s="51">
        <f t="shared" ref="J188:J190" si="280">E188*50%</f>
        <v>2050.79</v>
      </c>
      <c r="K188" s="35">
        <f t="shared" ref="K188:K190" si="281">E188*350%</f>
        <v>14355.529999999999</v>
      </c>
      <c r="L188" s="51">
        <f t="shared" ref="L188:L190" si="282">E188*100%</f>
        <v>4101.58</v>
      </c>
      <c r="M188" s="20"/>
      <c r="N188" s="51">
        <v>15000</v>
      </c>
      <c r="O188" s="51">
        <f t="shared" ref="O188:O190" si="283">E188*10%</f>
        <v>410.15800000000002</v>
      </c>
      <c r="P188" s="51">
        <v>5000</v>
      </c>
      <c r="Q188" s="51">
        <v>4000</v>
      </c>
      <c r="R188" s="290">
        <f t="shared" ref="R188:R189" si="284">SUM(E188:Q188)</f>
        <v>61631.996500000001</v>
      </c>
      <c r="S188" s="23"/>
      <c r="T188" s="23"/>
      <c r="U188" s="23"/>
      <c r="V188" s="23"/>
      <c r="W188" s="23">
        <f t="shared" ref="W188:W189" si="285">2590.28</f>
        <v>2590.2800000000002</v>
      </c>
      <c r="X188" s="258">
        <f t="shared" ref="X188:X190" si="286">W188+V188+U188+T188+S188</f>
        <v>2590.2800000000002</v>
      </c>
      <c r="Y188" s="23">
        <v>304835.04649999994</v>
      </c>
      <c r="Z188" s="207">
        <f t="shared" si="251"/>
        <v>59041.716500000002</v>
      </c>
      <c r="AA188" s="180"/>
    </row>
    <row r="189" spans="1:27" ht="20.100000000000001" customHeight="1">
      <c r="A189" s="191">
        <v>57</v>
      </c>
      <c r="B189" s="157" t="s">
        <v>319</v>
      </c>
      <c r="C189" s="161" t="s">
        <v>316</v>
      </c>
      <c r="D189" s="181" t="s">
        <v>317</v>
      </c>
      <c r="E189" s="51">
        <v>4101.58</v>
      </c>
      <c r="F189" s="35"/>
      <c r="G189" s="51">
        <f t="shared" si="278"/>
        <v>12304.74</v>
      </c>
      <c r="H189" s="51">
        <f t="shared" si="279"/>
        <v>307.61849999999998</v>
      </c>
      <c r="I189" s="51"/>
      <c r="J189" s="51">
        <f t="shared" si="280"/>
        <v>2050.79</v>
      </c>
      <c r="K189" s="35">
        <f t="shared" si="281"/>
        <v>14355.529999999999</v>
      </c>
      <c r="L189" s="51">
        <f t="shared" si="282"/>
        <v>4101.58</v>
      </c>
      <c r="M189" s="20"/>
      <c r="N189" s="51">
        <v>15000</v>
      </c>
      <c r="O189" s="51">
        <f t="shared" si="283"/>
        <v>410.15800000000002</v>
      </c>
      <c r="P189" s="51">
        <v>5000</v>
      </c>
      <c r="Q189" s="51">
        <v>4000</v>
      </c>
      <c r="R189" s="290">
        <f t="shared" si="284"/>
        <v>61631.996500000001</v>
      </c>
      <c r="S189" s="23"/>
      <c r="T189" s="23"/>
      <c r="U189" s="23"/>
      <c r="V189" s="23"/>
      <c r="W189" s="23">
        <f t="shared" si="285"/>
        <v>2590.2800000000002</v>
      </c>
      <c r="X189" s="258">
        <f t="shared" si="286"/>
        <v>2590.2800000000002</v>
      </c>
      <c r="Y189" s="23">
        <v>304835.04649999994</v>
      </c>
      <c r="Z189" s="207">
        <f t="shared" si="251"/>
        <v>59041.716500000002</v>
      </c>
      <c r="AA189" s="180"/>
    </row>
    <row r="190" spans="1:27" ht="20.100000000000001" customHeight="1">
      <c r="A190" s="191">
        <v>58</v>
      </c>
      <c r="B190" s="157" t="s">
        <v>320</v>
      </c>
      <c r="C190" s="161" t="s">
        <v>321</v>
      </c>
      <c r="D190" s="181" t="s">
        <v>322</v>
      </c>
      <c r="E190" s="179">
        <f>4745.29</f>
        <v>4745.29</v>
      </c>
      <c r="F190" s="35"/>
      <c r="G190" s="25">
        <f t="shared" si="278"/>
        <v>14235.869999999999</v>
      </c>
      <c r="H190" s="25">
        <f t="shared" si="279"/>
        <v>355.89675</v>
      </c>
      <c r="I190" s="25"/>
      <c r="J190" s="25">
        <f t="shared" si="280"/>
        <v>2372.645</v>
      </c>
      <c r="K190" s="23">
        <f t="shared" si="281"/>
        <v>16608.514999999999</v>
      </c>
      <c r="L190" s="25">
        <f t="shared" si="282"/>
        <v>4745.29</v>
      </c>
      <c r="M190" s="179"/>
      <c r="N190" s="179">
        <f>15000</f>
        <v>15000</v>
      </c>
      <c r="O190" s="25">
        <f t="shared" si="283"/>
        <v>474.529</v>
      </c>
      <c r="P190" s="25">
        <v>5000</v>
      </c>
      <c r="Q190" s="25">
        <v>7000</v>
      </c>
      <c r="R190" s="204">
        <f>SUM(E190:Q190)</f>
        <v>70538.03575000001</v>
      </c>
      <c r="S190" s="23"/>
      <c r="T190" s="23"/>
      <c r="U190" s="23"/>
      <c r="V190" s="23"/>
      <c r="W190" s="23">
        <f>3374.01</f>
        <v>3374.01</v>
      </c>
      <c r="X190" s="258">
        <f t="shared" si="286"/>
        <v>3374.01</v>
      </c>
      <c r="Y190" s="23">
        <v>312957.35575000005</v>
      </c>
      <c r="Z190" s="207">
        <f t="shared" si="251"/>
        <v>67164.025750000015</v>
      </c>
      <c r="AA190" s="180"/>
    </row>
    <row r="191" spans="1:27" ht="20.100000000000001" customHeight="1">
      <c r="A191" s="191">
        <v>59</v>
      </c>
      <c r="B191" s="157" t="s">
        <v>323</v>
      </c>
      <c r="C191" s="161" t="s">
        <v>321</v>
      </c>
      <c r="D191" s="181" t="s">
        <v>322</v>
      </c>
      <c r="E191" s="179">
        <f>4745.29</f>
        <v>4745.29</v>
      </c>
      <c r="F191" s="35"/>
      <c r="G191" s="25">
        <f t="shared" ref="G191" si="287">E191*300%</f>
        <v>14235.869999999999</v>
      </c>
      <c r="H191" s="25">
        <f t="shared" ref="H191" si="288">E191*7.5%</f>
        <v>355.89675</v>
      </c>
      <c r="I191" s="25"/>
      <c r="J191" s="25">
        <f t="shared" ref="J191" si="289">E191*50%</f>
        <v>2372.645</v>
      </c>
      <c r="K191" s="23">
        <f t="shared" ref="K191" si="290">E191*350%</f>
        <v>16608.514999999999</v>
      </c>
      <c r="L191" s="25">
        <f t="shared" ref="L191" si="291">E191*100%</f>
        <v>4745.29</v>
      </c>
      <c r="M191" s="179"/>
      <c r="N191" s="179">
        <f>15000</f>
        <v>15000</v>
      </c>
      <c r="O191" s="25">
        <f t="shared" ref="O191" si="292">E191*10%</f>
        <v>474.529</v>
      </c>
      <c r="P191" s="25">
        <v>5000</v>
      </c>
      <c r="Q191" s="25">
        <v>7000</v>
      </c>
      <c r="R191" s="204">
        <f>SUM(E191:Q191)</f>
        <v>70538.03575000001</v>
      </c>
      <c r="S191" s="23"/>
      <c r="T191" s="23"/>
      <c r="U191" s="23"/>
      <c r="V191" s="23"/>
      <c r="W191" s="23">
        <f>3374.01</f>
        <v>3374.01</v>
      </c>
      <c r="X191" s="258">
        <f t="shared" ref="X191" si="293">W191+V191+U191+T191+S191</f>
        <v>3374.01</v>
      </c>
      <c r="Y191" s="23">
        <v>312957.35575000005</v>
      </c>
      <c r="Z191" s="207">
        <f t="shared" si="251"/>
        <v>67164.025750000015</v>
      </c>
      <c r="AA191" s="180"/>
    </row>
    <row r="192" spans="1:27" ht="20.100000000000001" customHeight="1">
      <c r="A192" s="191"/>
      <c r="B192" s="177" t="s">
        <v>86</v>
      </c>
      <c r="C192" s="193" t="s">
        <v>324</v>
      </c>
      <c r="D192" s="22"/>
      <c r="E192" s="68">
        <f>SUM(E133:E191)</f>
        <v>848717.82</v>
      </c>
      <c r="F192" s="68">
        <f t="shared" ref="F192:Z192" si="294">SUM(F133:F191)</f>
        <v>189359.57847690312</v>
      </c>
      <c r="G192" s="68">
        <f t="shared" si="294"/>
        <v>2546153.4599999986</v>
      </c>
      <c r="H192" s="68">
        <f t="shared" si="294"/>
        <v>63653.836499999954</v>
      </c>
      <c r="I192" s="68">
        <f t="shared" si="294"/>
        <v>160488.76</v>
      </c>
      <c r="J192" s="68">
        <f t="shared" si="294"/>
        <v>424358.91</v>
      </c>
      <c r="K192" s="68">
        <f t="shared" si="294"/>
        <v>2970512.3700000034</v>
      </c>
      <c r="L192" s="68">
        <f t="shared" si="294"/>
        <v>848717.82</v>
      </c>
      <c r="M192" s="68">
        <f t="shared" si="294"/>
        <v>0</v>
      </c>
      <c r="N192" s="68">
        <f t="shared" si="294"/>
        <v>2490000</v>
      </c>
      <c r="O192" s="68">
        <f t="shared" si="294"/>
        <v>84871.781999999992</v>
      </c>
      <c r="P192" s="68">
        <f t="shared" si="294"/>
        <v>530000</v>
      </c>
      <c r="Q192" s="68">
        <f t="shared" si="294"/>
        <v>228000</v>
      </c>
      <c r="R192" s="68">
        <f t="shared" si="294"/>
        <v>11384835.336976906</v>
      </c>
      <c r="S192" s="68">
        <f t="shared" si="294"/>
        <v>0</v>
      </c>
      <c r="T192" s="68">
        <f t="shared" si="294"/>
        <v>1095500</v>
      </c>
      <c r="U192" s="68">
        <f t="shared" si="294"/>
        <v>2027955.0300000005</v>
      </c>
      <c r="V192" s="68">
        <f t="shared" si="294"/>
        <v>6253.0874999999987</v>
      </c>
      <c r="W192" s="68">
        <f t="shared" si="294"/>
        <v>1234350.1926966682</v>
      </c>
      <c r="X192" s="358">
        <f t="shared" si="294"/>
        <v>4364058.310196666</v>
      </c>
      <c r="Y192" s="68">
        <v>8488875.7097290326</v>
      </c>
      <c r="Z192" s="337">
        <f t="shared" si="294"/>
        <v>7020777.0267802384</v>
      </c>
      <c r="AA192" s="180"/>
    </row>
    <row r="193" spans="1:27" ht="19.5" customHeight="1">
      <c r="A193" s="20"/>
      <c r="B193" s="194" t="s">
        <v>325</v>
      </c>
      <c r="C193" s="195">
        <f>C29+C35+C50+C55+C70+C80+C94+C101+C111+C130+C192</f>
        <v>149</v>
      </c>
      <c r="D193" s="196"/>
      <c r="E193" s="197">
        <f t="shared" ref="E193:Z193" si="295">E192+E130+E117+E111+E101+E94+E80+E70+E55+E50+E35+E29</f>
        <v>3608966.6700000004</v>
      </c>
      <c r="F193" s="197">
        <f t="shared" si="295"/>
        <v>1850703.9072909234</v>
      </c>
      <c r="G193" s="197">
        <f t="shared" si="295"/>
        <v>10665271.08</v>
      </c>
      <c r="H193" s="197">
        <f t="shared" si="295"/>
        <v>306753.96949999995</v>
      </c>
      <c r="I193" s="197">
        <f t="shared" si="295"/>
        <v>1805498.5499999998</v>
      </c>
      <c r="J193" s="197">
        <f t="shared" si="295"/>
        <v>1796268.8700000003</v>
      </c>
      <c r="K193" s="197">
        <f t="shared" si="295"/>
        <v>12068342.510000005</v>
      </c>
      <c r="L193" s="197">
        <f t="shared" si="295"/>
        <v>3568464.4300000006</v>
      </c>
      <c r="M193" s="197">
        <f t="shared" si="295"/>
        <v>7600000</v>
      </c>
      <c r="N193" s="197">
        <f t="shared" si="295"/>
        <v>4990000</v>
      </c>
      <c r="O193" s="197">
        <f t="shared" si="295"/>
        <v>360858.66600000003</v>
      </c>
      <c r="P193" s="197">
        <f t="shared" si="295"/>
        <v>1995000</v>
      </c>
      <c r="Q193" s="197">
        <f t="shared" si="295"/>
        <v>1739337.4691050001</v>
      </c>
      <c r="R193" s="197">
        <f t="shared" si="295"/>
        <v>52355467.121895924</v>
      </c>
      <c r="S193" s="197">
        <f t="shared" si="295"/>
        <v>0</v>
      </c>
      <c r="T193" s="197">
        <f t="shared" si="295"/>
        <v>4808500</v>
      </c>
      <c r="U193" s="197">
        <f t="shared" si="295"/>
        <v>7343362.3500000006</v>
      </c>
      <c r="V193" s="197">
        <f t="shared" si="295"/>
        <v>23299.42425</v>
      </c>
      <c r="W193" s="197">
        <f t="shared" si="295"/>
        <v>6999867.4915050017</v>
      </c>
      <c r="X193" s="197">
        <f t="shared" si="295"/>
        <v>19175029.265754998</v>
      </c>
      <c r="Y193" s="197">
        <f t="shared" si="295"/>
        <v>33407267.62193447</v>
      </c>
      <c r="Z193" s="197">
        <f t="shared" si="295"/>
        <v>33180437.856140926</v>
      </c>
      <c r="AA193" s="180"/>
    </row>
    <row r="194" spans="1:27" ht="20.100000000000001" customHeight="1">
      <c r="B194" s="198"/>
      <c r="D194" s="199"/>
      <c r="E194" s="199"/>
      <c r="F194" s="199"/>
      <c r="G194" s="199"/>
      <c r="H194" s="199"/>
      <c r="I194" s="199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1"/>
      <c r="X194" s="201"/>
      <c r="Y194" s="201"/>
      <c r="Z194" s="201"/>
      <c r="AA194" s="202"/>
    </row>
    <row r="195" spans="1:27" ht="36.75" customHeight="1">
      <c r="B195" s="198"/>
      <c r="C195" s="199"/>
      <c r="D195" s="199"/>
      <c r="E195" s="199"/>
      <c r="F195" s="199"/>
      <c r="G195" s="199"/>
      <c r="H195" s="199"/>
      <c r="I195" s="199"/>
      <c r="J195" s="200"/>
      <c r="K195" s="200"/>
      <c r="L195" s="200"/>
      <c r="M195" s="200"/>
      <c r="N195" s="200"/>
      <c r="O195" s="200"/>
      <c r="P195" s="200"/>
      <c r="R195" s="200" t="s">
        <v>326</v>
      </c>
      <c r="S195" s="200"/>
      <c r="T195" s="200"/>
      <c r="U195" s="200"/>
      <c r="V195" s="200"/>
      <c r="W195" s="201"/>
      <c r="X195" s="201"/>
      <c r="Y195" s="201"/>
      <c r="Z195" s="202"/>
    </row>
    <row r="198" spans="1:27" ht="20.100000000000001" customHeight="1">
      <c r="R198" s="202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9" orientation="landscape" horizontalDpi="1200" verticalDpi="1200" r:id="rId1"/>
  <headerFooter alignWithMargins="0"/>
  <rowBreaks count="4" manualBreakCount="4">
    <brk id="40" max="25" man="1"/>
    <brk id="80" max="25" man="1"/>
    <brk id="118" max="25" man="1"/>
    <brk id="157" max="25" man="1"/>
  </rowBreaks>
  <colBreaks count="1" manualBreakCount="1">
    <brk id="14" max="19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6"/>
  <sheetViews>
    <sheetView topLeftCell="I30" zoomScale="91" zoomScaleNormal="91" workbookViewId="0">
      <selection activeCell="I32" sqref="I32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5"/>
      <c r="C1" s="155"/>
      <c r="D1" s="155"/>
      <c r="E1" s="155"/>
      <c r="F1" s="155"/>
      <c r="G1" s="155"/>
      <c r="H1" s="155"/>
    </row>
    <row r="2" spans="1:8" ht="29.25" customHeight="1">
      <c r="A2" s="383" t="s">
        <v>0</v>
      </c>
      <c r="B2" s="383"/>
      <c r="C2" s="383"/>
      <c r="D2" s="383"/>
      <c r="E2" s="383"/>
      <c r="F2" s="383"/>
      <c r="G2" s="383"/>
      <c r="H2" s="383"/>
    </row>
    <row r="3" spans="1:8" ht="27" customHeight="1">
      <c r="A3" s="383" t="s">
        <v>327</v>
      </c>
      <c r="B3" s="383"/>
      <c r="C3" s="383"/>
      <c r="D3" s="383"/>
      <c r="E3" s="383"/>
      <c r="F3" s="383"/>
      <c r="G3" s="383"/>
      <c r="H3" s="383"/>
    </row>
    <row r="4" spans="1:8" ht="15.6" hidden="1" customHeight="1">
      <c r="A4" s="142" t="s">
        <v>328</v>
      </c>
      <c r="B4" s="142"/>
      <c r="C4" s="142"/>
      <c r="D4" s="142"/>
      <c r="E4" s="142"/>
      <c r="F4" s="142"/>
      <c r="G4" s="73"/>
      <c r="H4" s="73"/>
    </row>
    <row r="5" spans="1:8" ht="9.6" hidden="1" customHeight="1">
      <c r="A5" s="384" t="s">
        <v>329</v>
      </c>
      <c r="B5" s="384"/>
      <c r="C5" s="384"/>
      <c r="D5" s="384"/>
      <c r="E5" s="384"/>
      <c r="F5" s="384"/>
      <c r="G5" s="73"/>
      <c r="H5" s="73"/>
    </row>
    <row r="6" spans="1:8" ht="29.25" hidden="1" customHeight="1">
      <c r="A6" s="384" t="s">
        <v>330</v>
      </c>
      <c r="B6" s="384"/>
      <c r="C6" s="384"/>
      <c r="D6" s="384"/>
      <c r="E6" s="384"/>
      <c r="F6" s="384"/>
      <c r="G6" s="73"/>
      <c r="H6" s="73"/>
    </row>
    <row r="7" spans="1:8" ht="25.15" hidden="1" customHeight="1">
      <c r="A7" s="384" t="s">
        <v>331</v>
      </c>
      <c r="B7" s="384"/>
      <c r="C7" s="384"/>
      <c r="D7" s="384"/>
      <c r="E7" s="384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385" t="s">
        <v>332</v>
      </c>
      <c r="B9" s="385"/>
      <c r="C9" s="385"/>
      <c r="D9" s="385"/>
      <c r="E9" s="385"/>
      <c r="F9" s="385"/>
      <c r="G9" s="73"/>
      <c r="H9" s="73"/>
    </row>
    <row r="10" spans="1:8" ht="13.15" hidden="1" customHeight="1">
      <c r="A10" s="384" t="s">
        <v>333</v>
      </c>
      <c r="B10" s="384"/>
      <c r="C10" s="384"/>
      <c r="D10" s="384"/>
      <c r="E10" s="384"/>
      <c r="F10" s="384"/>
      <c r="G10" s="384"/>
      <c r="H10" s="384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334</v>
      </c>
      <c r="B13" s="4"/>
      <c r="C13" s="4" t="s">
        <v>335</v>
      </c>
      <c r="D13" s="4"/>
      <c r="E13" s="4"/>
      <c r="F13" s="64"/>
      <c r="G13" s="85"/>
      <c r="H13" s="73"/>
    </row>
    <row r="14" spans="1:8" ht="20.25" customHeight="1">
      <c r="A14" s="4" t="s">
        <v>336</v>
      </c>
      <c r="B14" s="64"/>
      <c r="C14" s="4" t="s">
        <v>337</v>
      </c>
      <c r="D14" s="4"/>
      <c r="E14" s="4"/>
      <c r="F14" s="4"/>
      <c r="G14" s="1"/>
      <c r="H14" s="73"/>
    </row>
    <row r="15" spans="1:8" ht="21" customHeight="1">
      <c r="A15" s="4" t="s">
        <v>338</v>
      </c>
      <c r="B15" s="4"/>
      <c r="C15" s="4" t="s">
        <v>339</v>
      </c>
      <c r="D15" s="4"/>
      <c r="E15" s="4"/>
      <c r="F15" s="4"/>
      <c r="G15" s="1"/>
      <c r="H15" s="73"/>
    </row>
    <row r="16" spans="1:8" ht="21" customHeight="1">
      <c r="A16" s="4" t="s">
        <v>340</v>
      </c>
      <c r="B16" s="4"/>
      <c r="C16" s="4" t="s">
        <v>341</v>
      </c>
      <c r="D16" s="4"/>
      <c r="E16" s="64"/>
      <c r="F16" s="64"/>
      <c r="G16" s="85"/>
      <c r="H16" s="73"/>
    </row>
    <row r="17" spans="1:10" ht="9.7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342</v>
      </c>
      <c r="B18" s="80"/>
      <c r="C18" s="93"/>
      <c r="D18" s="93"/>
      <c r="E18" s="93"/>
      <c r="F18" s="93"/>
      <c r="G18" s="85"/>
      <c r="H18" s="73"/>
    </row>
    <row r="19" spans="1:10" ht="30.75" customHeight="1">
      <c r="A19" s="1" t="s">
        <v>343</v>
      </c>
      <c r="B19" s="1"/>
      <c r="C19" s="85"/>
      <c r="D19" s="85"/>
      <c r="E19" s="85"/>
      <c r="F19" s="85"/>
      <c r="G19" s="162" t="s">
        <v>344</v>
      </c>
      <c r="H19" s="162" t="s">
        <v>344</v>
      </c>
    </row>
    <row r="20" spans="1:10" ht="21" customHeight="1">
      <c r="A20" s="378" t="s">
        <v>345</v>
      </c>
      <c r="B20" s="378"/>
      <c r="C20" s="378"/>
      <c r="D20" s="378"/>
      <c r="E20" s="378"/>
      <c r="F20" s="378"/>
      <c r="G20" s="378"/>
      <c r="H20" s="83">
        <f>'NOVEMBER 2023'!R193</f>
        <v>52355467.121895924</v>
      </c>
      <c r="J20" s="66"/>
    </row>
    <row r="21" spans="1:10" ht="9" customHeight="1">
      <c r="A21" s="236"/>
      <c r="B21" s="236"/>
      <c r="C21" s="236"/>
      <c r="D21" s="236"/>
      <c r="E21" s="236"/>
      <c r="F21" s="236"/>
      <c r="G21" s="236"/>
      <c r="H21" s="83"/>
      <c r="J21" s="66"/>
    </row>
    <row r="22" spans="1:10" ht="21.75" customHeight="1">
      <c r="A22" s="386" t="s">
        <v>346</v>
      </c>
      <c r="B22" s="386"/>
      <c r="C22" s="386"/>
      <c r="D22" s="386"/>
      <c r="E22" s="386"/>
      <c r="F22" s="386"/>
      <c r="G22" s="86"/>
      <c r="H22" s="1"/>
      <c r="I22" s="66"/>
    </row>
    <row r="23" spans="1:10" ht="18.75" customHeight="1">
      <c r="A23" s="376" t="s">
        <v>347</v>
      </c>
      <c r="B23" s="376"/>
      <c r="C23" s="376"/>
      <c r="D23" s="376"/>
      <c r="E23" s="376"/>
      <c r="F23" s="376"/>
      <c r="G23" s="33">
        <f>'NOVEMBER 2023'!T193</f>
        <v>4808500</v>
      </c>
      <c r="H23" s="1"/>
      <c r="J23" s="66"/>
    </row>
    <row r="24" spans="1:10" ht="19.5" customHeight="1">
      <c r="A24" s="376" t="s">
        <v>348</v>
      </c>
      <c r="B24" s="376"/>
      <c r="C24" s="376"/>
      <c r="D24" s="376"/>
      <c r="E24" s="376"/>
      <c r="F24" s="376"/>
      <c r="G24" s="33">
        <f>'NOVEMBER 2023'!U193</f>
        <v>7343362.3500000006</v>
      </c>
      <c r="H24" s="1"/>
    </row>
    <row r="25" spans="1:10" ht="20.25" customHeight="1">
      <c r="A25" s="376" t="s">
        <v>349</v>
      </c>
      <c r="B25" s="376"/>
      <c r="C25" s="376"/>
      <c r="D25" s="376"/>
      <c r="E25" s="376"/>
      <c r="F25" s="376"/>
      <c r="G25" s="33">
        <f>'NOVEMBER 2023'!W193</f>
        <v>6999867.4915050017</v>
      </c>
      <c r="H25" s="1"/>
    </row>
    <row r="26" spans="1:10" ht="21" customHeight="1">
      <c r="A26" s="377" t="s">
        <v>350</v>
      </c>
      <c r="B26" s="377"/>
      <c r="C26" s="377"/>
      <c r="D26" s="377"/>
      <c r="E26" s="377"/>
      <c r="F26" s="377"/>
      <c r="G26" s="87">
        <f>'NOVEMBER 2023'!V193</f>
        <v>23299.42425</v>
      </c>
      <c r="H26" s="1"/>
    </row>
    <row r="27" spans="1:10" ht="28.5" customHeight="1">
      <c r="A27" s="376" t="s">
        <v>351</v>
      </c>
      <c r="B27" s="376"/>
      <c r="C27" s="376"/>
      <c r="D27" s="376"/>
      <c r="E27" s="376"/>
      <c r="F27" s="376"/>
      <c r="G27" s="33"/>
      <c r="H27" s="88">
        <f>G23+G24+G25+G26</f>
        <v>19175029.265755001</v>
      </c>
      <c r="I27" s="31"/>
    </row>
    <row r="28" spans="1:10" ht="20.25" customHeight="1">
      <c r="A28" s="376" t="s">
        <v>352</v>
      </c>
      <c r="B28" s="376"/>
      <c r="C28" s="376"/>
      <c r="D28" s="376"/>
      <c r="E28" s="376"/>
      <c r="F28" s="376"/>
      <c r="G28" s="80"/>
      <c r="H28" s="43">
        <f>H20-H27</f>
        <v>33180437.856140923</v>
      </c>
      <c r="I28" s="34"/>
    </row>
    <row r="29" spans="1:10" ht="21" customHeight="1">
      <c r="A29" s="376" t="s">
        <v>353</v>
      </c>
      <c r="B29" s="376"/>
      <c r="C29" s="376"/>
      <c r="D29" s="376"/>
      <c r="E29" s="376"/>
      <c r="F29" s="376"/>
      <c r="G29" s="80"/>
      <c r="H29" s="92">
        <f>'NOVEMBER 2023'!Y193</f>
        <v>33407267.62193447</v>
      </c>
    </row>
    <row r="30" spans="1:10" ht="21" customHeight="1">
      <c r="A30" s="376" t="s">
        <v>354</v>
      </c>
      <c r="B30" s="376"/>
      <c r="C30" s="376"/>
      <c r="D30" s="376"/>
      <c r="E30" s="376"/>
      <c r="F30" s="376"/>
      <c r="G30" s="80"/>
      <c r="H30" s="118">
        <f>H28-H29</f>
        <v>-226829.76579354703</v>
      </c>
    </row>
    <row r="31" spans="1:10" ht="29.25" customHeight="1">
      <c r="A31" s="378" t="s">
        <v>355</v>
      </c>
      <c r="B31" s="378"/>
      <c r="C31" s="378"/>
      <c r="D31" s="378"/>
      <c r="E31" s="378"/>
      <c r="F31" s="378"/>
      <c r="G31" s="378"/>
      <c r="H31" s="1"/>
    </row>
    <row r="32" spans="1:10" ht="21.75" customHeight="1">
      <c r="A32" s="84" t="s">
        <v>356</v>
      </c>
      <c r="B32" s="84"/>
      <c r="C32" s="84"/>
      <c r="D32" s="84"/>
      <c r="E32" s="84"/>
      <c r="F32" s="84"/>
      <c r="G32" s="84"/>
      <c r="H32" s="89">
        <f>-120416.63</f>
        <v>-120416.63</v>
      </c>
      <c r="J32" s="31"/>
    </row>
    <row r="33" spans="1:17" ht="21.75" customHeight="1">
      <c r="A33" s="84" t="s">
        <v>357</v>
      </c>
      <c r="B33" s="84"/>
      <c r="C33" s="84"/>
      <c r="D33" s="84"/>
      <c r="E33" s="84"/>
      <c r="F33" s="84"/>
      <c r="G33" s="84"/>
      <c r="H33" s="89">
        <f>-520927.28-663193.3-284617.02</f>
        <v>-1468737.6</v>
      </c>
      <c r="J33" s="31"/>
    </row>
    <row r="34" spans="1:17" ht="21.75" customHeight="1">
      <c r="A34" s="84" t="s">
        <v>358</v>
      </c>
      <c r="B34" s="84"/>
      <c r="C34" s="84"/>
      <c r="D34" s="84"/>
      <c r="E34" s="84"/>
      <c r="F34" s="84"/>
      <c r="G34" s="84"/>
      <c r="H34" s="89">
        <f>-598077.82-177017.56</f>
        <v>-775095.37999999989</v>
      </c>
      <c r="I34" s="66"/>
      <c r="J34" s="31"/>
    </row>
    <row r="35" spans="1:17" ht="21.75" customHeight="1">
      <c r="A35" s="84" t="s">
        <v>359</v>
      </c>
      <c r="B35" s="84"/>
      <c r="C35" s="84"/>
      <c r="D35" s="84"/>
      <c r="E35" s="84"/>
      <c r="F35" s="84"/>
      <c r="G35" s="84"/>
      <c r="H35" s="89">
        <f>2102520.88</f>
        <v>2102520.88</v>
      </c>
      <c r="J35" s="31"/>
    </row>
    <row r="36" spans="1:17" ht="21.75" customHeight="1">
      <c r="A36" s="84" t="s">
        <v>360</v>
      </c>
      <c r="B36" s="84"/>
      <c r="C36" s="84"/>
      <c r="D36" s="84"/>
      <c r="E36" s="84"/>
      <c r="F36" s="84"/>
      <c r="G36" s="84"/>
      <c r="H36" s="89">
        <f>1228966.65</f>
        <v>1228966.6499999999</v>
      </c>
      <c r="J36" s="31"/>
    </row>
    <row r="37" spans="1:17" ht="21.75" customHeight="1">
      <c r="A37" s="84" t="s">
        <v>361</v>
      </c>
      <c r="B37" s="84"/>
      <c r="C37" s="84"/>
      <c r="D37" s="84"/>
      <c r="E37" s="84"/>
      <c r="F37" s="84"/>
      <c r="G37" s="84"/>
      <c r="H37" s="89">
        <f>-16425.11-192147.86</f>
        <v>-208572.96999999997</v>
      </c>
      <c r="J37" s="31"/>
    </row>
    <row r="38" spans="1:17" ht="21.75" customHeight="1">
      <c r="A38" s="84" t="s">
        <v>362</v>
      </c>
      <c r="B38" s="84"/>
      <c r="C38" s="84"/>
      <c r="D38" s="84"/>
      <c r="E38" s="84"/>
      <c r="F38" s="84"/>
      <c r="G38" s="84"/>
      <c r="H38" s="89">
        <f>-307745.54</f>
        <v>-307745.53999999998</v>
      </c>
      <c r="J38" s="31"/>
    </row>
    <row r="39" spans="1:17" ht="21.75" customHeight="1">
      <c r="A39" s="84" t="s">
        <v>363</v>
      </c>
      <c r="B39" s="84"/>
      <c r="C39" s="84"/>
      <c r="D39" s="84"/>
      <c r="E39" s="84"/>
      <c r="F39" s="84"/>
      <c r="G39" s="84"/>
      <c r="H39" s="89">
        <v>-224089.64</v>
      </c>
      <c r="J39" s="31"/>
    </row>
    <row r="40" spans="1:17" ht="21" customHeight="1">
      <c r="H40" s="90">
        <f>SUM(H32:H39)</f>
        <v>226829.76999999996</v>
      </c>
      <c r="I40" s="31"/>
      <c r="J40" s="223"/>
      <c r="K40" s="66"/>
      <c r="L40" s="65"/>
      <c r="M40" s="65"/>
      <c r="N40" s="66"/>
      <c r="P40" s="139"/>
      <c r="Q40" s="66"/>
    </row>
    <row r="41" spans="1:17" ht="12.75" customHeight="1">
      <c r="A41" s="84"/>
      <c r="B41" s="84"/>
      <c r="C41" s="84"/>
      <c r="D41" s="84"/>
      <c r="E41" s="84"/>
      <c r="F41" s="84"/>
      <c r="G41" s="84"/>
      <c r="H41" s="90"/>
      <c r="I41" s="31"/>
      <c r="J41" s="223"/>
      <c r="K41" s="66"/>
      <c r="L41" s="65"/>
      <c r="M41" s="65"/>
      <c r="N41" s="66"/>
      <c r="P41" s="139"/>
      <c r="Q41" s="66"/>
    </row>
    <row r="42" spans="1:17" ht="28.5" customHeight="1">
      <c r="A42" s="1"/>
      <c r="B42" s="1"/>
      <c r="C42" s="1"/>
      <c r="D42" s="1"/>
      <c r="E42" s="379" t="s">
        <v>23</v>
      </c>
      <c r="F42" s="380"/>
      <c r="G42" s="379" t="s">
        <v>24</v>
      </c>
      <c r="H42" s="380"/>
      <c r="I42" s="31"/>
      <c r="J42" s="31"/>
      <c r="K42" s="66"/>
    </row>
    <row r="43" spans="1:17" ht="18.600000000000001" customHeight="1">
      <c r="A43" s="1"/>
      <c r="B43" s="1"/>
      <c r="C43" s="1"/>
      <c r="D43" s="1"/>
      <c r="E43" s="7" t="s">
        <v>364</v>
      </c>
      <c r="F43" s="50" t="s">
        <v>25</v>
      </c>
      <c r="G43" s="7" t="s">
        <v>364</v>
      </c>
      <c r="H43" s="50" t="s">
        <v>25</v>
      </c>
      <c r="I43" s="31"/>
      <c r="J43" s="31"/>
    </row>
    <row r="44" spans="1:17" ht="28.5" customHeight="1">
      <c r="A44" s="11">
        <v>1</v>
      </c>
      <c r="B44" s="381" t="s">
        <v>365</v>
      </c>
      <c r="C44" s="376"/>
      <c r="D44" s="376"/>
      <c r="E44" s="3">
        <v>33</v>
      </c>
      <c r="F44" s="12">
        <f>'NOVEMBER 2023'!Y29</f>
        <v>6099547.1330242371</v>
      </c>
      <c r="G44" s="3">
        <f>'NOVEMBER 2023'!C29</f>
        <v>22</v>
      </c>
      <c r="H44" s="12">
        <f>'NOVEMBER 2023'!Z29</f>
        <v>6749311.0029973332</v>
      </c>
      <c r="I44" s="31"/>
      <c r="J44" s="31"/>
    </row>
    <row r="45" spans="1:17" ht="21.75" customHeight="1">
      <c r="A45" s="11">
        <v>2</v>
      </c>
      <c r="B45" s="67" t="s">
        <v>366</v>
      </c>
      <c r="C45" s="84"/>
      <c r="D45" s="84"/>
      <c r="E45" s="3">
        <v>2</v>
      </c>
      <c r="F45" s="12">
        <f>'NOVEMBER 2023'!Y35</f>
        <v>1002936.188596</v>
      </c>
      <c r="G45" s="3">
        <f>'NOVEMBER 2023'!C35</f>
        <v>3</v>
      </c>
      <c r="H45" s="12">
        <f>'NOVEMBER 2023'!Z35</f>
        <v>1195084.0517006665</v>
      </c>
      <c r="I45" s="31"/>
      <c r="J45" s="31"/>
    </row>
    <row r="46" spans="1:17" ht="24.75" customHeight="1">
      <c r="A46" s="11">
        <v>3</v>
      </c>
      <c r="B46" s="376" t="s">
        <v>367</v>
      </c>
      <c r="C46" s="376"/>
      <c r="D46" s="376"/>
      <c r="E46" s="3">
        <v>11</v>
      </c>
      <c r="F46" s="12">
        <f>'NOVEMBER 2023'!Y50</f>
        <v>2790088.3695375486</v>
      </c>
      <c r="G46" s="3">
        <f>'NOVEMBER 2023'!C50</f>
        <v>12</v>
      </c>
      <c r="H46" s="12">
        <f>'NOVEMBER 2023'!Z50</f>
        <v>2789135.7827066225</v>
      </c>
      <c r="I46" s="31"/>
      <c r="J46" s="31"/>
    </row>
    <row r="47" spans="1:17" ht="23.25" customHeight="1">
      <c r="A47" s="11">
        <v>4</v>
      </c>
      <c r="B47" s="376" t="s">
        <v>368</v>
      </c>
      <c r="C47" s="376"/>
      <c r="D47" s="382"/>
      <c r="E47" s="3">
        <v>2</v>
      </c>
      <c r="F47" s="12">
        <f>'NOVEMBER 2023'!Y55</f>
        <v>178732.07000000004</v>
      </c>
      <c r="G47" s="3">
        <f>'NOVEMBER 2023'!C55</f>
        <v>2</v>
      </c>
      <c r="H47" s="12">
        <f>'NOVEMBER 2023'!Z55</f>
        <v>808634.32664133352</v>
      </c>
      <c r="I47" s="31"/>
      <c r="J47" s="31"/>
    </row>
    <row r="48" spans="1:17" ht="24" customHeight="1">
      <c r="A48" s="11">
        <v>5</v>
      </c>
      <c r="B48" s="376" t="s">
        <v>369</v>
      </c>
      <c r="C48" s="376"/>
      <c r="D48" s="382"/>
      <c r="E48" s="3">
        <v>13</v>
      </c>
      <c r="F48" s="12">
        <f>'NOVEMBER 2023'!Y70</f>
        <v>2674154.3169712904</v>
      </c>
      <c r="G48" s="3">
        <f>'NOVEMBER 2023'!C70</f>
        <v>12</v>
      </c>
      <c r="H48" s="12">
        <f>'NOVEMBER 2023'!Z70</f>
        <v>3523240.8123380649</v>
      </c>
      <c r="I48" s="31"/>
      <c r="J48" s="31"/>
    </row>
    <row r="49" spans="1:14" ht="21" customHeight="1">
      <c r="A49" s="11">
        <v>6</v>
      </c>
      <c r="B49" s="376" t="s">
        <v>370</v>
      </c>
      <c r="C49" s="376"/>
      <c r="D49" s="382"/>
      <c r="E49" s="3">
        <v>4</v>
      </c>
      <c r="F49" s="12">
        <f>'NOVEMBER 2023'!Y80</f>
        <v>2277639.752290667</v>
      </c>
      <c r="G49" s="3">
        <f>'NOVEMBER 2023'!C80</f>
        <v>7</v>
      </c>
      <c r="H49" s="12">
        <f>'NOVEMBER 2023'!Z80</f>
        <v>2073779.4403606665</v>
      </c>
      <c r="I49" s="31"/>
      <c r="J49" s="31"/>
    </row>
    <row r="50" spans="1:14" ht="23.25" customHeight="1">
      <c r="A50" s="11">
        <v>7</v>
      </c>
      <c r="B50" s="84" t="s">
        <v>371</v>
      </c>
      <c r="C50" s="84"/>
      <c r="D50" s="84"/>
      <c r="E50" s="3">
        <v>12</v>
      </c>
      <c r="F50" s="12">
        <f>'NOVEMBER 2023'!Y94</f>
        <v>3962737.843868365</v>
      </c>
      <c r="G50" s="3">
        <f>'NOVEMBER 2023'!C94</f>
        <v>11</v>
      </c>
      <c r="H50" s="12">
        <f>'NOVEMBER 2023'!Z94</f>
        <v>3225624.4517246666</v>
      </c>
      <c r="I50" s="31"/>
      <c r="J50" s="31"/>
    </row>
    <row r="51" spans="1:14" ht="25.5" customHeight="1">
      <c r="A51" s="11">
        <v>8</v>
      </c>
      <c r="B51" s="84" t="s">
        <v>372</v>
      </c>
      <c r="C51" s="84"/>
      <c r="D51" s="84"/>
      <c r="E51" s="3">
        <v>4</v>
      </c>
      <c r="F51" s="12">
        <f>'NOVEMBER 2023'!Y101</f>
        <v>1136064.1885853333</v>
      </c>
      <c r="G51" s="3">
        <f>'NOVEMBER 2023'!C101</f>
        <v>4</v>
      </c>
      <c r="H51" s="12">
        <f>'NOVEMBER 2023'!Z101</f>
        <v>1051934.7973760001</v>
      </c>
      <c r="I51" s="31"/>
      <c r="J51" s="31"/>
    </row>
    <row r="52" spans="1:14" ht="21.75" customHeight="1">
      <c r="A52" s="11">
        <v>9</v>
      </c>
      <c r="B52" s="84" t="s">
        <v>373</v>
      </c>
      <c r="C52" s="84"/>
      <c r="D52" s="84"/>
      <c r="E52" s="3">
        <v>8</v>
      </c>
      <c r="F52" s="12">
        <f>'NOVEMBER 2023'!Y111</f>
        <v>2142429.0877453336</v>
      </c>
      <c r="G52" s="3">
        <f>'NOVEMBER 2023'!C111</f>
        <v>7</v>
      </c>
      <c r="H52" s="12">
        <f>'NOVEMBER 2023'!Z111</f>
        <v>2142429.0877453336</v>
      </c>
      <c r="I52" s="31"/>
      <c r="J52" s="31"/>
    </row>
    <row r="53" spans="1:14" ht="21.75" customHeight="1">
      <c r="A53" s="11">
        <v>10</v>
      </c>
      <c r="B53" s="84" t="s">
        <v>374</v>
      </c>
      <c r="C53" s="84"/>
      <c r="D53" s="84"/>
      <c r="E53" s="3">
        <v>2</v>
      </c>
      <c r="F53" s="12">
        <f>'NOVEMBER 2023'!Y117</f>
        <v>466459.20958533336</v>
      </c>
      <c r="G53" s="3">
        <f>'NOVEMBER 2023'!C117</f>
        <v>3</v>
      </c>
      <c r="H53" s="12">
        <f>'NOVEMBER 2023'!Z117</f>
        <v>466459.20958533336</v>
      </c>
      <c r="I53" s="31"/>
      <c r="J53" s="31"/>
    </row>
    <row r="54" spans="1:14" ht="24.75" customHeight="1">
      <c r="A54" s="11">
        <v>11</v>
      </c>
      <c r="B54" s="84" t="s">
        <v>375</v>
      </c>
      <c r="C54" s="84"/>
      <c r="D54" s="84"/>
      <c r="E54" s="3">
        <v>9</v>
      </c>
      <c r="F54" s="12">
        <f>'NOVEMBER 2023'!Y130</f>
        <v>2187603.7520013331</v>
      </c>
      <c r="G54" s="222" t="str">
        <f>'NOVEMBER 2023'!C130</f>
        <v>10</v>
      </c>
      <c r="H54" s="12">
        <f>'NOVEMBER 2023'!Z130</f>
        <v>2134027.8661846663</v>
      </c>
      <c r="I54" s="31"/>
      <c r="J54" s="31"/>
    </row>
    <row r="55" spans="1:14" ht="24.75" customHeight="1">
      <c r="A55" s="11">
        <v>12</v>
      </c>
      <c r="B55" s="376" t="s">
        <v>376</v>
      </c>
      <c r="C55" s="376"/>
      <c r="D55" s="376"/>
      <c r="E55" s="3">
        <v>58</v>
      </c>
      <c r="F55" s="12">
        <f>'NOVEMBER 2023'!Y192</f>
        <v>8488875.7097290326</v>
      </c>
      <c r="G55" s="222" t="str">
        <f>'NOVEMBER 2023'!C192</f>
        <v>59</v>
      </c>
      <c r="H55" s="12">
        <f>'NOVEMBER 2023'!Z192</f>
        <v>7020777.0267802384</v>
      </c>
      <c r="I55" s="31"/>
      <c r="J55" s="31"/>
    </row>
    <row r="56" spans="1:14" ht="24" customHeight="1">
      <c r="A56" s="1"/>
      <c r="B56" s="1"/>
      <c r="C56" s="1"/>
      <c r="D56" s="1"/>
      <c r="E56" s="7">
        <f>SUM(E44:E55)</f>
        <v>158</v>
      </c>
      <c r="F56" s="13">
        <f>SUM(F44:F55)</f>
        <v>33407267.621934481</v>
      </c>
      <c r="G56" s="7">
        <v>154</v>
      </c>
      <c r="H56" s="13">
        <f>SUM(H44:H55)</f>
        <v>33180437.856140926</v>
      </c>
      <c r="I56" s="31"/>
      <c r="J56" s="31"/>
    </row>
    <row r="57" spans="1:14" ht="6" customHeight="1">
      <c r="A57" s="1"/>
      <c r="B57" s="1"/>
      <c r="C57" s="1"/>
      <c r="D57" s="1"/>
      <c r="E57" s="143"/>
      <c r="F57" s="83"/>
      <c r="G57" s="143"/>
      <c r="H57" s="83"/>
      <c r="I57" s="31"/>
      <c r="J57" s="31"/>
    </row>
    <row r="58" spans="1:14" ht="87.75" customHeight="1">
      <c r="A58" s="377" t="s">
        <v>377</v>
      </c>
      <c r="B58" s="377"/>
      <c r="C58" s="377"/>
      <c r="D58" s="377"/>
      <c r="E58" s="377"/>
      <c r="F58" s="377"/>
      <c r="G58" s="377"/>
      <c r="H58" s="377"/>
      <c r="I58" s="1"/>
      <c r="J58" s="33"/>
      <c r="K58" s="33"/>
      <c r="L58" s="1"/>
      <c r="M58" s="1"/>
      <c r="N58" s="1"/>
    </row>
    <row r="59" spans="1:14" ht="4.5" customHeight="1">
      <c r="A59" s="91"/>
      <c r="B59" s="91"/>
      <c r="C59" s="91"/>
      <c r="D59" s="91"/>
      <c r="E59" s="91"/>
      <c r="F59" s="91"/>
      <c r="G59" s="91"/>
      <c r="H59" s="91"/>
      <c r="I59" s="1"/>
      <c r="J59" s="1"/>
      <c r="K59" s="1"/>
      <c r="L59" s="1"/>
      <c r="M59" s="1"/>
      <c r="N59" s="1"/>
    </row>
    <row r="60" spans="1:14" ht="2.25" hidden="1" customHeight="1">
      <c r="A60" s="91"/>
      <c r="B60" s="91"/>
      <c r="C60" s="91"/>
      <c r="D60" s="91"/>
      <c r="E60" s="91"/>
      <c r="F60" s="91"/>
      <c r="G60" s="91"/>
      <c r="H60" s="91"/>
      <c r="I60" s="1"/>
      <c r="J60" s="1"/>
      <c r="K60" s="1"/>
      <c r="L60" s="1"/>
      <c r="M60" s="1"/>
      <c r="N60" s="1"/>
    </row>
    <row r="61" spans="1:14" ht="30" customHeight="1">
      <c r="A61" s="378" t="s">
        <v>207</v>
      </c>
      <c r="B61" s="378"/>
      <c r="C61" s="378"/>
      <c r="D61" s="378"/>
      <c r="E61" s="378"/>
      <c r="F61" s="1"/>
      <c r="G61" s="1"/>
      <c r="H61" s="1"/>
    </row>
    <row r="62" spans="1:14" ht="17.25" customHeight="1">
      <c r="A62" s="376" t="s">
        <v>378</v>
      </c>
      <c r="B62" s="376"/>
      <c r="C62" s="376"/>
      <c r="D62" s="376"/>
      <c r="E62" s="376"/>
      <c r="F62" s="1"/>
      <c r="G62" s="1"/>
      <c r="H62" s="1"/>
      <c r="K62" s="65"/>
    </row>
    <row r="63" spans="1:14">
      <c r="A63" s="9"/>
      <c r="B63" s="9"/>
      <c r="C63" s="9"/>
      <c r="D63" s="9" t="s">
        <v>379</v>
      </c>
      <c r="E63" s="9"/>
      <c r="F63" s="9"/>
      <c r="G63" s="9"/>
      <c r="H63" s="9"/>
      <c r="K63" s="65"/>
    </row>
    <row r="64" spans="1:14">
      <c r="K64" s="65"/>
    </row>
    <row r="65" spans="3:11">
      <c r="K65" s="65"/>
    </row>
    <row r="68" spans="3:11">
      <c r="C68" t="s">
        <v>380</v>
      </c>
    </row>
    <row r="166" spans="3:3">
      <c r="C166">
        <f>10000</f>
        <v>10000</v>
      </c>
    </row>
  </sheetData>
  <mergeCells count="29">
    <mergeCell ref="A25:F25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62:E62"/>
    <mergeCell ref="B47:D47"/>
    <mergeCell ref="B48:D48"/>
    <mergeCell ref="B49:D49"/>
    <mergeCell ref="B55:D55"/>
    <mergeCell ref="A58:H58"/>
    <mergeCell ref="A61:E61"/>
    <mergeCell ref="B46:D46"/>
    <mergeCell ref="A26:F26"/>
    <mergeCell ref="A27:F27"/>
    <mergeCell ref="A28:F28"/>
    <mergeCell ref="A29:F29"/>
    <mergeCell ref="A30:F30"/>
    <mergeCell ref="A31:G31"/>
    <mergeCell ref="E42:F42"/>
    <mergeCell ref="G42:H42"/>
    <mergeCell ref="B44:D44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2"/>
  <sheetViews>
    <sheetView zoomScaleNormal="100" zoomScaleSheetLayoutView="50" workbookViewId="0">
      <pane xSplit="3" ySplit="6" topLeftCell="S7" activePane="bottomRight" state="frozen"/>
      <selection pane="bottomRight" activeCell="X12" sqref="X1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39.42578125" style="164" customWidth="1"/>
    <col min="3" max="3" width="26.57031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20" width="19.28515625" style="164" customWidth="1"/>
    <col min="21" max="21" width="14.85546875" style="164" customWidth="1"/>
    <col min="22" max="22" width="13.5703125" style="164" customWidth="1"/>
    <col min="23" max="23" width="20.42578125" style="315" customWidth="1"/>
    <col min="24" max="24" width="16.42578125" style="164" customWidth="1"/>
    <col min="25" max="26" width="17.7109375" style="164" customWidth="1"/>
    <col min="27" max="27" width="11.140625" style="164" customWidth="1"/>
    <col min="28" max="28" width="17.85546875" style="164" customWidth="1"/>
    <col min="29" max="29" width="21.7109375" style="164" customWidth="1"/>
    <col min="30" max="30" width="14.28515625" style="164" customWidth="1"/>
    <col min="31" max="16384" width="9.140625" style="164"/>
  </cols>
  <sheetData>
    <row r="1" spans="1:30" ht="27" customHeight="1">
      <c r="A1" s="439" t="s">
        <v>0</v>
      </c>
      <c r="B1" s="439"/>
      <c r="C1" s="439"/>
      <c r="D1" s="439"/>
      <c r="E1" s="439"/>
      <c r="F1" s="439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30" ht="33.75" customHeight="1">
      <c r="A2" s="165" t="s">
        <v>1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169"/>
      <c r="T2" s="169"/>
      <c r="U2" s="169"/>
      <c r="V2" s="169"/>
      <c r="W2" s="316"/>
      <c r="X2" s="169"/>
      <c r="Y2" s="169"/>
      <c r="Z2" s="169"/>
      <c r="AA2" s="169"/>
      <c r="AB2" s="169"/>
    </row>
    <row r="3" spans="1:30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30" ht="60" customHeight="1">
      <c r="A4" s="20"/>
      <c r="B4" s="171" t="s">
        <v>2</v>
      </c>
      <c r="C4" s="171" t="s">
        <v>3</v>
      </c>
      <c r="D4" s="172" t="s">
        <v>381</v>
      </c>
      <c r="E4" s="175" t="s">
        <v>5</v>
      </c>
      <c r="F4" s="29" t="s">
        <v>7</v>
      </c>
      <c r="G4" s="29" t="s">
        <v>8</v>
      </c>
      <c r="H4" s="175" t="s">
        <v>9</v>
      </c>
      <c r="I4" s="29" t="s">
        <v>10</v>
      </c>
      <c r="J4" s="29" t="s">
        <v>11</v>
      </c>
      <c r="K4" s="29" t="s">
        <v>12</v>
      </c>
      <c r="L4" s="175" t="s">
        <v>13</v>
      </c>
      <c r="M4" s="175" t="s">
        <v>13</v>
      </c>
      <c r="N4" s="29" t="s">
        <v>14</v>
      </c>
      <c r="O4" s="29" t="s">
        <v>14</v>
      </c>
      <c r="P4" s="175" t="s">
        <v>15</v>
      </c>
      <c r="Q4" s="336" t="s">
        <v>382</v>
      </c>
      <c r="R4" s="172" t="s">
        <v>383</v>
      </c>
      <c r="S4" s="336" t="s">
        <v>384</v>
      </c>
      <c r="T4" s="175" t="s">
        <v>385</v>
      </c>
      <c r="U4" s="175" t="s">
        <v>386</v>
      </c>
      <c r="V4" s="175" t="s">
        <v>387</v>
      </c>
      <c r="W4" s="175" t="s">
        <v>388</v>
      </c>
      <c r="X4" s="175" t="s">
        <v>389</v>
      </c>
      <c r="Y4" s="340" t="s">
        <v>390</v>
      </c>
      <c r="Z4" s="341" t="s">
        <v>391</v>
      </c>
      <c r="AA4" s="175" t="s">
        <v>392</v>
      </c>
      <c r="AB4" s="221" t="s">
        <v>393</v>
      </c>
    </row>
    <row r="5" spans="1:30" ht="17.25" customHeight="1">
      <c r="C5" s="177"/>
      <c r="D5" s="177"/>
      <c r="E5" s="178" t="s">
        <v>25</v>
      </c>
      <c r="F5" s="178" t="s">
        <v>25</v>
      </c>
      <c r="G5" s="178" t="s">
        <v>25</v>
      </c>
      <c r="H5" s="178" t="s">
        <v>25</v>
      </c>
      <c r="I5" s="178" t="s">
        <v>25</v>
      </c>
      <c r="J5" s="178" t="s">
        <v>25</v>
      </c>
      <c r="K5" s="178" t="s">
        <v>25</v>
      </c>
      <c r="L5" s="178" t="s">
        <v>25</v>
      </c>
      <c r="M5" s="178" t="s">
        <v>25</v>
      </c>
      <c r="N5" s="178" t="s">
        <v>25</v>
      </c>
      <c r="O5" s="178" t="s">
        <v>25</v>
      </c>
      <c r="P5" s="178" t="s">
        <v>25</v>
      </c>
      <c r="Q5" s="210" t="s">
        <v>25</v>
      </c>
      <c r="R5" s="177"/>
      <c r="S5" s="210" t="s">
        <v>25</v>
      </c>
      <c r="T5" s="178"/>
      <c r="U5" s="178" t="s">
        <v>25</v>
      </c>
      <c r="V5" s="178"/>
      <c r="W5" s="317" t="s">
        <v>25</v>
      </c>
      <c r="X5" s="178"/>
      <c r="Y5" s="178"/>
      <c r="Z5" s="216"/>
      <c r="AA5" s="178"/>
      <c r="AB5" s="216"/>
    </row>
    <row r="6" spans="1:30" ht="20.100000000000001" customHeight="1">
      <c r="A6" s="176" t="s">
        <v>26</v>
      </c>
      <c r="B6" s="177" t="s">
        <v>27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210"/>
      <c r="T6" s="178"/>
      <c r="U6" s="178"/>
      <c r="V6" s="178"/>
      <c r="W6" s="317"/>
      <c r="X6" s="178"/>
      <c r="Y6" s="178"/>
      <c r="Z6" s="216"/>
      <c r="AA6" s="178"/>
      <c r="AB6" s="216"/>
    </row>
    <row r="7" spans="1:30" ht="18.75" customHeight="1">
      <c r="A7" s="28">
        <v>1</v>
      </c>
      <c r="B7" s="157" t="s">
        <v>93</v>
      </c>
      <c r="C7" s="161" t="s">
        <v>394</v>
      </c>
      <c r="D7" s="181" t="s">
        <v>69</v>
      </c>
      <c r="E7" s="25">
        <f t="shared" ref="E7" si="0">15188.67</f>
        <v>15188.67</v>
      </c>
      <c r="F7" s="25"/>
      <c r="G7" s="25">
        <f>E7*300%</f>
        <v>45566.01</v>
      </c>
      <c r="H7" s="25">
        <f>E7*7.5%</f>
        <v>1139.1502499999999</v>
      </c>
      <c r="I7" s="25"/>
      <c r="J7" s="25">
        <f>E7*50%</f>
        <v>7594.335</v>
      </c>
      <c r="K7" s="23">
        <f>E7*350%</f>
        <v>53160.345000000001</v>
      </c>
      <c r="L7" s="25">
        <f>E7*100%</f>
        <v>15188.67</v>
      </c>
      <c r="M7" s="179"/>
      <c r="N7" s="179">
        <f>50000+10000</f>
        <v>60000</v>
      </c>
      <c r="O7" s="25">
        <f>E7*10%</f>
        <v>1518.8670000000002</v>
      </c>
      <c r="P7" s="25">
        <v>10000</v>
      </c>
      <c r="Q7" s="204">
        <f ca="1">SUM(E7:Q7)</f>
        <v>209356.04725</v>
      </c>
      <c r="R7" s="362" t="s">
        <v>95</v>
      </c>
      <c r="S7" s="205">
        <f>'SALARY STRUCTURE'!H14+60000</f>
        <v>228601.58333333334</v>
      </c>
      <c r="T7" s="23">
        <f>228601.58-209356.05</f>
        <v>19245.53</v>
      </c>
      <c r="U7" s="25"/>
      <c r="V7" s="23"/>
      <c r="W7" s="318">
        <f>22338.48</f>
        <v>22338.48</v>
      </c>
      <c r="X7" s="25">
        <f>25571.73</f>
        <v>25571.73</v>
      </c>
      <c r="Y7" s="25">
        <f>X7-W7</f>
        <v>3233.25</v>
      </c>
      <c r="Z7" s="208">
        <f>T7-Y7</f>
        <v>16012.279999999999</v>
      </c>
      <c r="AA7" s="25">
        <f>11</f>
        <v>11</v>
      </c>
      <c r="AB7" s="208">
        <f>Z7*AA7</f>
        <v>176135.08</v>
      </c>
      <c r="AC7" s="180"/>
      <c r="AD7" s="202"/>
    </row>
    <row r="8" spans="1:30" ht="26.25" customHeight="1">
      <c r="A8" s="28"/>
      <c r="B8" s="159" t="s">
        <v>86</v>
      </c>
      <c r="C8" s="29"/>
      <c r="D8" s="181"/>
      <c r="E8" s="183">
        <f t="shared" ref="E8:P8" si="1">SUM(E7:E7)</f>
        <v>15188.67</v>
      </c>
      <c r="F8" s="183">
        <f t="shared" si="1"/>
        <v>0</v>
      </c>
      <c r="G8" s="183">
        <f t="shared" si="1"/>
        <v>45566.01</v>
      </c>
      <c r="H8" s="183">
        <f t="shared" si="1"/>
        <v>1139.1502499999999</v>
      </c>
      <c r="I8" s="183">
        <f t="shared" si="1"/>
        <v>0</v>
      </c>
      <c r="J8" s="183">
        <f t="shared" si="1"/>
        <v>7594.335</v>
      </c>
      <c r="K8" s="183">
        <f t="shared" si="1"/>
        <v>53160.345000000001</v>
      </c>
      <c r="L8" s="183">
        <f t="shared" si="1"/>
        <v>15188.67</v>
      </c>
      <c r="M8" s="183">
        <f t="shared" si="1"/>
        <v>0</v>
      </c>
      <c r="N8" s="183">
        <f t="shared" si="1"/>
        <v>60000</v>
      </c>
      <c r="O8" s="183">
        <f t="shared" si="1"/>
        <v>1518.8670000000002</v>
      </c>
      <c r="P8" s="183">
        <f t="shared" si="1"/>
        <v>10000</v>
      </c>
      <c r="Q8" s="361">
        <f ca="1">SUM(E8:Q8)</f>
        <v>209356.04725</v>
      </c>
      <c r="R8" s="181"/>
      <c r="S8" s="183">
        <f t="shared" ref="S8:Z8" si="2">SUM(S7:S7)</f>
        <v>228601.58333333334</v>
      </c>
      <c r="T8" s="183">
        <f t="shared" si="2"/>
        <v>19245.53</v>
      </c>
      <c r="U8" s="183">
        <f t="shared" si="2"/>
        <v>0</v>
      </c>
      <c r="V8" s="183">
        <f t="shared" si="2"/>
        <v>0</v>
      </c>
      <c r="W8" s="183">
        <f t="shared" si="2"/>
        <v>22338.48</v>
      </c>
      <c r="X8" s="183">
        <f t="shared" si="2"/>
        <v>25571.73</v>
      </c>
      <c r="Y8" s="183">
        <f t="shared" si="2"/>
        <v>3233.25</v>
      </c>
      <c r="Z8" s="217">
        <f t="shared" si="2"/>
        <v>16012.279999999999</v>
      </c>
      <c r="AA8" s="183"/>
      <c r="AB8" s="217">
        <f>SUM(AB7:AB7)</f>
        <v>176135.08</v>
      </c>
      <c r="AC8" s="180"/>
    </row>
    <row r="9" spans="1:30" ht="20.100000000000001" customHeight="1">
      <c r="A9" s="28"/>
      <c r="B9" s="158"/>
      <c r="C9" s="20"/>
      <c r="D9" s="28"/>
      <c r="E9" s="183"/>
      <c r="F9" s="183"/>
      <c r="G9" s="183"/>
      <c r="H9" s="183"/>
      <c r="I9" s="183"/>
      <c r="J9" s="183"/>
      <c r="K9" s="183"/>
      <c r="L9" s="179"/>
      <c r="M9" s="179"/>
      <c r="N9" s="183"/>
      <c r="O9" s="183"/>
      <c r="P9" s="183"/>
      <c r="Q9" s="211"/>
      <c r="R9" s="28"/>
      <c r="S9" s="211"/>
      <c r="T9" s="23"/>
      <c r="U9" s="183"/>
      <c r="V9" s="183"/>
      <c r="W9" s="319"/>
      <c r="X9" s="183"/>
      <c r="Y9" s="25"/>
      <c r="Z9" s="208"/>
      <c r="AA9" s="183"/>
      <c r="AB9" s="208"/>
      <c r="AC9" s="180"/>
    </row>
    <row r="10" spans="1:30" ht="20.100000000000001" customHeight="1">
      <c r="A10" s="28"/>
      <c r="B10" s="185" t="s">
        <v>96</v>
      </c>
      <c r="C10" s="170"/>
      <c r="D10" s="174"/>
      <c r="E10" s="183"/>
      <c r="F10" s="183"/>
      <c r="G10" s="23"/>
      <c r="H10" s="23"/>
      <c r="I10" s="23"/>
      <c r="J10" s="23"/>
      <c r="K10" s="23"/>
      <c r="L10" s="179"/>
      <c r="M10" s="179"/>
      <c r="N10" s="23"/>
      <c r="O10" s="23"/>
      <c r="P10" s="23"/>
      <c r="Q10" s="204"/>
      <c r="R10" s="174"/>
      <c r="S10" s="204"/>
      <c r="T10" s="23"/>
      <c r="U10" s="23"/>
      <c r="V10" s="23"/>
      <c r="W10" s="320"/>
      <c r="X10" s="23"/>
      <c r="Y10" s="25"/>
      <c r="Z10" s="208"/>
      <c r="AA10" s="23"/>
      <c r="AB10" s="208"/>
      <c r="AC10" s="180"/>
    </row>
    <row r="11" spans="1:30" ht="20.100000000000001" customHeight="1">
      <c r="A11" s="28">
        <v>2</v>
      </c>
      <c r="B11" s="156" t="s">
        <v>101</v>
      </c>
      <c r="C11" s="20" t="s">
        <v>102</v>
      </c>
      <c r="D11" s="28" t="s">
        <v>45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9">
        <f>160000</f>
        <v>160000</v>
      </c>
      <c r="N11" s="179"/>
      <c r="O11" s="25">
        <f>E11*10%</f>
        <v>3350.75</v>
      </c>
      <c r="P11" s="25">
        <v>20000</v>
      </c>
      <c r="Q11" s="204">
        <f ca="1">SUM(E11:Q11)</f>
        <v>527553.50249999994</v>
      </c>
      <c r="R11" s="362" t="s">
        <v>395</v>
      </c>
      <c r="S11" s="204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8">
        <f>79956.94</f>
        <v>79956.94</v>
      </c>
      <c r="X11" s="25">
        <f>94639.15</f>
        <v>94639.15</v>
      </c>
      <c r="Y11" s="25">
        <f t="shared" ref="Y11:Y18" si="3">X11-W11</f>
        <v>14682.209999999992</v>
      </c>
      <c r="Z11" s="208">
        <f t="shared" ref="Z11:Z18" si="4">T11-Y11</f>
        <v>61787.619999999966</v>
      </c>
      <c r="AA11" s="25">
        <v>8</v>
      </c>
      <c r="AB11" s="208">
        <f t="shared" ref="AB11:AB18" si="5">Z11*AA11</f>
        <v>494300.95999999973</v>
      </c>
      <c r="AC11" s="180"/>
    </row>
    <row r="12" spans="1:30" ht="20.100000000000001" customHeight="1">
      <c r="A12" s="28">
        <v>3</v>
      </c>
      <c r="B12" s="156" t="s">
        <v>106</v>
      </c>
      <c r="C12" s="20" t="s">
        <v>107</v>
      </c>
      <c r="D12" s="28" t="s">
        <v>51</v>
      </c>
      <c r="E12" s="25">
        <v>27611.23</v>
      </c>
      <c r="F12" s="25"/>
      <c r="G12" s="25">
        <f t="shared" ref="G12" si="6">E12*300%</f>
        <v>82833.69</v>
      </c>
      <c r="H12" s="25">
        <f t="shared" ref="H12" si="7">E12*7.5%</f>
        <v>2070.8422499999997</v>
      </c>
      <c r="I12" s="25"/>
      <c r="J12" s="25">
        <f t="shared" ref="J12" si="8">E12*50%</f>
        <v>13805.615</v>
      </c>
      <c r="K12" s="25">
        <f t="shared" ref="K12" si="9">E12*350%</f>
        <v>96639.304999999993</v>
      </c>
      <c r="L12" s="25">
        <f t="shared" ref="L12" si="10">E12*100%</f>
        <v>27611.23</v>
      </c>
      <c r="M12" s="179">
        <f t="shared" ref="M12" si="11">140000</f>
        <v>140000</v>
      </c>
      <c r="N12" s="179"/>
      <c r="O12" s="25">
        <f t="shared" ref="O12" si="12">E12*10%</f>
        <v>2761.123</v>
      </c>
      <c r="P12" s="25">
        <v>20000</v>
      </c>
      <c r="Q12" s="204">
        <f ca="1">SUM(E12:Q12)</f>
        <v>413333.03525000007</v>
      </c>
      <c r="R12" s="362" t="s">
        <v>48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8">
        <f>75436.17</f>
        <v>75436.17</v>
      </c>
      <c r="Y12" s="25">
        <f t="shared" si="3"/>
        <v>17546.30520533333</v>
      </c>
      <c r="Z12" s="208">
        <f>T12-Y12</f>
        <v>73840.704794666672</v>
      </c>
      <c r="AA12" s="180">
        <f>4/30</f>
        <v>0.13333333333333333</v>
      </c>
      <c r="AB12" s="363">
        <f>Z12*AA12</f>
        <v>9845.4273059555562</v>
      </c>
    </row>
    <row r="13" spans="1:30" ht="25.5" customHeight="1">
      <c r="A13" s="28"/>
      <c r="B13" s="159" t="s">
        <v>86</v>
      </c>
      <c r="C13" s="29"/>
      <c r="D13" s="29"/>
      <c r="E13" s="68">
        <f>SUM(E11:E12)</f>
        <v>61118.729999999996</v>
      </c>
      <c r="F13" s="68">
        <f t="shared" ref="F13:AB13" si="13">SUM(F11:F12)</f>
        <v>0</v>
      </c>
      <c r="G13" s="68">
        <f t="shared" si="13"/>
        <v>183356.19</v>
      </c>
      <c r="H13" s="68">
        <f t="shared" si="13"/>
        <v>4583.9047499999997</v>
      </c>
      <c r="I13" s="68">
        <f t="shared" si="13"/>
        <v>40122.19</v>
      </c>
      <c r="J13" s="68">
        <f t="shared" si="13"/>
        <v>30559.364999999998</v>
      </c>
      <c r="K13" s="68">
        <f t="shared" si="13"/>
        <v>213915.55499999999</v>
      </c>
      <c r="L13" s="68">
        <f t="shared" si="13"/>
        <v>61118.729999999996</v>
      </c>
      <c r="M13" s="68">
        <f t="shared" si="13"/>
        <v>300000</v>
      </c>
      <c r="N13" s="68">
        <f t="shared" si="13"/>
        <v>0</v>
      </c>
      <c r="O13" s="68">
        <f t="shared" si="13"/>
        <v>6111.8729999999996</v>
      </c>
      <c r="P13" s="68">
        <f t="shared" si="13"/>
        <v>40000</v>
      </c>
      <c r="Q13" s="68">
        <f ca="1">SUM(Q11:Q12)</f>
        <v>61118.729999999996</v>
      </c>
      <c r="R13" s="68">
        <f t="shared" si="13"/>
        <v>0</v>
      </c>
      <c r="S13" s="68">
        <f t="shared" si="13"/>
        <v>1108743.5</v>
      </c>
      <c r="T13" s="68">
        <f t="shared" si="13"/>
        <v>167856.83999999997</v>
      </c>
      <c r="U13" s="68">
        <f t="shared" si="13"/>
        <v>837.69</v>
      </c>
      <c r="V13" s="68">
        <f t="shared" si="13"/>
        <v>1028.94</v>
      </c>
      <c r="W13" s="68">
        <f t="shared" si="13"/>
        <v>137846.80479466668</v>
      </c>
      <c r="X13" s="68">
        <f t="shared" si="13"/>
        <v>170075.32</v>
      </c>
      <c r="Y13" s="68">
        <f t="shared" si="13"/>
        <v>32228.515205333322</v>
      </c>
      <c r="Z13" s="68">
        <f t="shared" si="13"/>
        <v>135628.32479466664</v>
      </c>
      <c r="AA13" s="68">
        <f t="shared" si="13"/>
        <v>8.1333333333333329</v>
      </c>
      <c r="AB13" s="68">
        <f t="shared" si="13"/>
        <v>504146.38730595529</v>
      </c>
      <c r="AC13" s="180"/>
    </row>
    <row r="14" spans="1:30" ht="20.100000000000001" customHeight="1">
      <c r="A14" s="28"/>
      <c r="B14" s="159"/>
      <c r="C14" s="29"/>
      <c r="D14" s="29"/>
      <c r="E14" s="30"/>
      <c r="F14" s="30"/>
      <c r="G14" s="30"/>
      <c r="H14" s="30"/>
      <c r="I14" s="30"/>
      <c r="J14" s="30"/>
      <c r="K14" s="30"/>
      <c r="L14" s="179"/>
      <c r="M14" s="179"/>
      <c r="N14" s="30"/>
      <c r="O14" s="30"/>
      <c r="P14" s="30"/>
      <c r="Q14" s="212"/>
      <c r="R14" s="29"/>
      <c r="S14" s="212"/>
      <c r="T14" s="23">
        <f t="shared" ref="T14" si="14">S14-Q14</f>
        <v>0</v>
      </c>
      <c r="U14" s="30"/>
      <c r="V14" s="30"/>
      <c r="W14" s="322"/>
      <c r="X14" s="30"/>
      <c r="Y14" s="25"/>
      <c r="Z14" s="208"/>
      <c r="AA14" s="30"/>
      <c r="AB14" s="208"/>
      <c r="AC14" s="180"/>
    </row>
    <row r="15" spans="1:30" ht="20.100000000000001" customHeight="1">
      <c r="A15" s="20"/>
      <c r="B15" s="123"/>
      <c r="C15" s="28"/>
      <c r="D15" s="20"/>
      <c r="E15" s="189"/>
      <c r="F15" s="189"/>
      <c r="G15" s="189"/>
      <c r="H15" s="189"/>
      <c r="I15" s="189"/>
      <c r="J15" s="189"/>
      <c r="K15" s="189"/>
      <c r="L15" s="179"/>
      <c r="M15" s="179"/>
      <c r="N15" s="189"/>
      <c r="O15" s="189"/>
      <c r="P15" s="189"/>
      <c r="Q15" s="206"/>
      <c r="R15" s="20"/>
      <c r="S15" s="206"/>
      <c r="T15" s="23"/>
      <c r="U15" s="189"/>
      <c r="V15" s="189"/>
      <c r="W15" s="323"/>
      <c r="X15" s="189"/>
      <c r="Y15" s="25">
        <f t="shared" si="3"/>
        <v>0</v>
      </c>
      <c r="Z15" s="208">
        <f t="shared" si="4"/>
        <v>0</v>
      </c>
      <c r="AA15" s="189"/>
      <c r="AB15" s="208">
        <f t="shared" si="5"/>
        <v>0</v>
      </c>
      <c r="AC15" s="180"/>
    </row>
    <row r="16" spans="1:30" ht="20.100000000000001" customHeight="1">
      <c r="A16" s="20"/>
      <c r="B16" s="159" t="s">
        <v>204</v>
      </c>
      <c r="C16" s="29"/>
      <c r="D16" s="29"/>
      <c r="E16" s="30"/>
      <c r="F16" s="30"/>
      <c r="G16" s="30"/>
      <c r="H16" s="30"/>
      <c r="I16" s="30"/>
      <c r="J16" s="30"/>
      <c r="K16" s="30"/>
      <c r="L16" s="179"/>
      <c r="M16" s="179"/>
      <c r="N16" s="30"/>
      <c r="O16" s="30"/>
      <c r="P16" s="30"/>
      <c r="Q16" s="213"/>
      <c r="R16" s="29"/>
      <c r="S16" s="213"/>
      <c r="T16" s="23"/>
      <c r="U16" s="182"/>
      <c r="V16" s="182"/>
      <c r="W16" s="322"/>
      <c r="X16" s="30"/>
      <c r="Y16" s="25">
        <f t="shared" si="3"/>
        <v>0</v>
      </c>
      <c r="Z16" s="208">
        <f t="shared" si="4"/>
        <v>0</v>
      </c>
      <c r="AA16" s="30"/>
      <c r="AB16" s="208">
        <f t="shared" si="5"/>
        <v>0</v>
      </c>
      <c r="AC16" s="180"/>
    </row>
    <row r="17" spans="1:29" ht="20.100000000000001" customHeight="1">
      <c r="A17" s="20">
        <v>3</v>
      </c>
      <c r="B17" s="156" t="s">
        <v>207</v>
      </c>
      <c r="C17" s="161" t="s">
        <v>208</v>
      </c>
      <c r="D17" s="181" t="s">
        <v>45</v>
      </c>
      <c r="E17" s="25">
        <v>33507.5</v>
      </c>
      <c r="F17" s="25"/>
      <c r="G17" s="25">
        <f t="shared" ref="G17:G18" si="15">E17*300%</f>
        <v>100522.5</v>
      </c>
      <c r="H17" s="25">
        <f t="shared" ref="H17:H18" si="16">E17*7.5%</f>
        <v>2513.0625</v>
      </c>
      <c r="I17" s="25">
        <v>40122.19</v>
      </c>
      <c r="J17" s="25">
        <f t="shared" ref="J17:J18" si="17">E17*50%</f>
        <v>16753.75</v>
      </c>
      <c r="K17" s="23">
        <f t="shared" ref="K17:K18" si="18">E17*350%</f>
        <v>117276.25</v>
      </c>
      <c r="L17" s="25">
        <f t="shared" ref="L17:L18" si="19">E17*100%</f>
        <v>33507.5</v>
      </c>
      <c r="M17" s="179">
        <f>80000</f>
        <v>80000</v>
      </c>
      <c r="N17" s="25">
        <f>E17*10%</f>
        <v>3350.75</v>
      </c>
      <c r="O17" s="25">
        <v>20000</v>
      </c>
      <c r="P17" s="25">
        <v>100000</v>
      </c>
      <c r="Q17" s="204">
        <f>SUM(E17:P17)</f>
        <v>547553.50249999994</v>
      </c>
      <c r="R17" s="362" t="s">
        <v>395</v>
      </c>
      <c r="S17" s="204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8">
        <f>83626.1</f>
        <v>83626.100000000006</v>
      </c>
      <c r="X17" s="25">
        <f>96398.31</f>
        <v>96398.31</v>
      </c>
      <c r="Y17" s="25">
        <f t="shared" si="3"/>
        <v>12772.209999999992</v>
      </c>
      <c r="Z17" s="208">
        <f t="shared" si="4"/>
        <v>53697.62083333332</v>
      </c>
      <c r="AA17" s="25">
        <v>10</v>
      </c>
      <c r="AB17" s="208">
        <f t="shared" si="5"/>
        <v>536976.20833333326</v>
      </c>
      <c r="AC17" s="180"/>
    </row>
    <row r="18" spans="1:29" ht="20.100000000000001" customHeight="1">
      <c r="A18" s="20"/>
      <c r="B18" s="156" t="s">
        <v>213</v>
      </c>
      <c r="C18" s="161" t="s">
        <v>214</v>
      </c>
      <c r="D18" s="181" t="s">
        <v>165</v>
      </c>
      <c r="E18" s="25">
        <v>25523.45</v>
      </c>
      <c r="F18" s="25"/>
      <c r="G18" s="25">
        <f t="shared" si="15"/>
        <v>76570.350000000006</v>
      </c>
      <c r="H18" s="25">
        <f t="shared" si="16"/>
        <v>1914.25875</v>
      </c>
      <c r="I18" s="25"/>
      <c r="J18" s="25">
        <f t="shared" si="17"/>
        <v>12761.725</v>
      </c>
      <c r="K18" s="23">
        <f t="shared" si="18"/>
        <v>89332.074999999997</v>
      </c>
      <c r="L18" s="25">
        <f t="shared" si="19"/>
        <v>25523.45</v>
      </c>
      <c r="M18" s="179"/>
      <c r="N18" s="179">
        <f t="shared" ref="N18" si="20">70000</f>
        <v>70000</v>
      </c>
      <c r="O18" s="25">
        <f t="shared" ref="O18" si="21">E18*10%</f>
        <v>2552.3450000000003</v>
      </c>
      <c r="P18" s="25">
        <v>15000</v>
      </c>
      <c r="Q18" s="204">
        <f ca="1">SUM(E18:Q18)</f>
        <v>319177.65375</v>
      </c>
      <c r="R18" s="28" t="s">
        <v>396</v>
      </c>
      <c r="S18" s="23">
        <f>'NOVEMBER 2023'!R126</f>
        <v>327211.36749999999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8">
        <v>42034.239999999998</v>
      </c>
      <c r="Y18" s="25">
        <f t="shared" si="3"/>
        <v>1349.6399999999994</v>
      </c>
      <c r="Z18" s="208">
        <f t="shared" si="4"/>
        <v>6684.0799999999726</v>
      </c>
      <c r="AA18" s="25">
        <v>0</v>
      </c>
      <c r="AB18" s="208">
        <f t="shared" si="5"/>
        <v>0</v>
      </c>
      <c r="AC18" s="180"/>
    </row>
    <row r="19" spans="1:29" ht="28.5" customHeight="1">
      <c r="A19" s="20"/>
      <c r="B19" s="159" t="s">
        <v>86</v>
      </c>
      <c r="C19" s="187"/>
      <c r="D19" s="181"/>
      <c r="E19" s="30">
        <f t="shared" ref="E19:L19" si="22">SUM(E17:E17)</f>
        <v>33507.5</v>
      </c>
      <c r="F19" s="30">
        <f t="shared" si="22"/>
        <v>0</v>
      </c>
      <c r="G19" s="30">
        <f t="shared" si="22"/>
        <v>100522.5</v>
      </c>
      <c r="H19" s="30">
        <f t="shared" si="22"/>
        <v>2513.0625</v>
      </c>
      <c r="I19" s="30">
        <f t="shared" si="22"/>
        <v>40122.19</v>
      </c>
      <c r="J19" s="30">
        <f t="shared" si="22"/>
        <v>16753.75</v>
      </c>
      <c r="K19" s="30">
        <f t="shared" si="22"/>
        <v>117276.25</v>
      </c>
      <c r="L19" s="30">
        <f t="shared" si="22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81"/>
      <c r="S19" s="30">
        <f t="shared" ref="S19:Z19" si="23">SUM(S17:S17)</f>
        <v>614023.33333333326</v>
      </c>
      <c r="T19" s="30">
        <f t="shared" si="23"/>
        <v>66469.830833333312</v>
      </c>
      <c r="U19" s="30">
        <f t="shared" si="23"/>
        <v>837.69</v>
      </c>
      <c r="V19" s="30">
        <f t="shared" si="23"/>
        <v>1028.94</v>
      </c>
      <c r="W19" s="30">
        <f t="shared" si="23"/>
        <v>83626.100000000006</v>
      </c>
      <c r="X19" s="30">
        <f t="shared" si="23"/>
        <v>96398.31</v>
      </c>
      <c r="Y19" s="30">
        <f t="shared" si="23"/>
        <v>12772.209999999992</v>
      </c>
      <c r="Z19" s="218">
        <f t="shared" si="23"/>
        <v>53697.62083333332</v>
      </c>
      <c r="AA19" s="30"/>
      <c r="AB19" s="218">
        <f>SUM(AB17:AB17)</f>
        <v>536976.20833333326</v>
      </c>
      <c r="AC19" s="180"/>
    </row>
    <row r="20" spans="1:29" ht="18.75" customHeight="1">
      <c r="A20" s="20"/>
      <c r="B20" s="159"/>
      <c r="C20" s="187"/>
      <c r="D20" s="181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81"/>
      <c r="S20" s="30"/>
      <c r="T20" s="30"/>
      <c r="U20" s="30"/>
      <c r="V20" s="30"/>
      <c r="W20" s="30"/>
      <c r="X20" s="30"/>
      <c r="Y20" s="30"/>
      <c r="Z20" s="218"/>
      <c r="AA20" s="30"/>
      <c r="AB20" s="218"/>
      <c r="AC20" s="180"/>
    </row>
    <row r="21" spans="1:29" ht="28.5" customHeight="1">
      <c r="A21" s="20"/>
      <c r="B21" s="159" t="s">
        <v>204</v>
      </c>
      <c r="C21" s="187"/>
      <c r="D21" s="181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81"/>
      <c r="S21" s="30"/>
      <c r="T21" s="30"/>
      <c r="U21" s="30"/>
      <c r="V21" s="30"/>
      <c r="W21" s="30"/>
      <c r="X21" s="30"/>
      <c r="Y21" s="30"/>
      <c r="Z21" s="218"/>
      <c r="AA21" s="30"/>
      <c r="AB21" s="218"/>
      <c r="AC21" s="180"/>
    </row>
    <row r="22" spans="1:29" ht="20.100000000000001" customHeight="1">
      <c r="A22" s="191">
        <v>15</v>
      </c>
      <c r="B22" s="156" t="s">
        <v>291</v>
      </c>
      <c r="C22" s="161" t="s">
        <v>297</v>
      </c>
      <c r="D22" s="181" t="s">
        <v>397</v>
      </c>
      <c r="E22" s="25">
        <v>5428.12</v>
      </c>
      <c r="F22" s="25">
        <f t="shared" ref="F22:F24" si="24">E22*300%</f>
        <v>16284.36</v>
      </c>
      <c r="G22" s="25">
        <f t="shared" ref="G22:G24" si="25">E22*7.5%</f>
        <v>407.10899999999998</v>
      </c>
      <c r="H22" s="25"/>
      <c r="I22" s="25">
        <f t="shared" ref="I22:I24" si="26">E22*50%</f>
        <v>2714.06</v>
      </c>
      <c r="J22" s="23">
        <f t="shared" ref="J22:J24" si="27">E22*350%</f>
        <v>18998.419999999998</v>
      </c>
      <c r="K22" s="25">
        <f t="shared" ref="K22:K24" si="28">E22*100%</f>
        <v>5428.12</v>
      </c>
      <c r="L22" s="179"/>
      <c r="M22" s="179">
        <f>20000</f>
        <v>20000</v>
      </c>
      <c r="N22" s="25">
        <f t="shared" ref="N22:N24" si="29">E22*10%</f>
        <v>542.81200000000001</v>
      </c>
      <c r="O22" s="25">
        <v>5000</v>
      </c>
      <c r="P22" s="25">
        <f>7000</f>
        <v>7000</v>
      </c>
      <c r="Q22" s="204">
        <f t="shared" ref="Q22:Q24" si="30">SUM(E22:P22)</f>
        <v>81803.001000000018</v>
      </c>
      <c r="R22" s="181" t="s">
        <v>293</v>
      </c>
      <c r="S22" s="204" t="e">
        <f>'SALARY STRUCTURE'!#REF!+30000</f>
        <v>#REF!</v>
      </c>
      <c r="T22" s="23" t="e">
        <f t="shared" ref="T22:T24" si="31">S22-Q22</f>
        <v>#REF!</v>
      </c>
      <c r="U22" s="23"/>
      <c r="V22" s="23"/>
      <c r="W22" s="320">
        <v>4365.3307546666683</v>
      </c>
      <c r="X22" s="23">
        <f>'[7]October 2023'!$Z$164</f>
        <v>8312.5899999999983</v>
      </c>
      <c r="Y22" s="25">
        <f t="shared" ref="Y22:Y24" si="32">X22-W22</f>
        <v>3947.25924533333</v>
      </c>
      <c r="Z22" s="208" t="e">
        <f t="shared" ref="Z22:Z24" si="33">T22-Y22</f>
        <v>#REF!</v>
      </c>
      <c r="AA22" s="23">
        <f>(10/31)+2</f>
        <v>2.3225806451612905</v>
      </c>
      <c r="AB22" s="208" t="e">
        <f t="shared" ref="AB22:AB24" si="34">Z22*AA22</f>
        <v>#REF!</v>
      </c>
      <c r="AC22" s="180"/>
    </row>
    <row r="23" spans="1:29" s="357" customFormat="1" ht="20.100000000000001" customHeight="1">
      <c r="A23" s="350">
        <v>16</v>
      </c>
      <c r="B23" s="351" t="s">
        <v>294</v>
      </c>
      <c r="C23" s="352" t="s">
        <v>297</v>
      </c>
      <c r="D23" s="353" t="s">
        <v>397</v>
      </c>
      <c r="E23" s="17">
        <v>5428.12</v>
      </c>
      <c r="F23" s="17">
        <f t="shared" si="24"/>
        <v>16284.36</v>
      </c>
      <c r="G23" s="17">
        <f t="shared" si="25"/>
        <v>407.10899999999998</v>
      </c>
      <c r="H23" s="17"/>
      <c r="I23" s="17">
        <f t="shared" si="26"/>
        <v>2714.06</v>
      </c>
      <c r="J23" s="15">
        <f t="shared" si="27"/>
        <v>18998.419999999998</v>
      </c>
      <c r="K23" s="17">
        <f t="shared" si="28"/>
        <v>5428.12</v>
      </c>
      <c r="L23" s="354"/>
      <c r="M23" s="354">
        <f>20000</f>
        <v>20000</v>
      </c>
      <c r="N23" s="17">
        <f t="shared" si="29"/>
        <v>542.81200000000001</v>
      </c>
      <c r="O23" s="17">
        <v>5000</v>
      </c>
      <c r="P23" s="17">
        <f>7000</f>
        <v>7000</v>
      </c>
      <c r="Q23" s="15">
        <f t="shared" si="30"/>
        <v>81803.001000000018</v>
      </c>
      <c r="R23" s="353" t="s">
        <v>293</v>
      </c>
      <c r="S23" s="15" t="e">
        <f>'SALARY STRUCTURE'!#REF!+30000</f>
        <v>#REF!</v>
      </c>
      <c r="T23" s="15" t="e">
        <f t="shared" si="31"/>
        <v>#REF!</v>
      </c>
      <c r="U23" s="15"/>
      <c r="V23" s="15"/>
      <c r="W23" s="355">
        <f>4365.33075466667</f>
        <v>4365.3307546666701</v>
      </c>
      <c r="X23" s="15">
        <f>'[7]October 2023'!$Z$164</f>
        <v>8312.5899999999983</v>
      </c>
      <c r="Y23" s="17">
        <f t="shared" si="32"/>
        <v>3947.2592453333282</v>
      </c>
      <c r="Z23" s="17" t="e">
        <f t="shared" si="33"/>
        <v>#REF!</v>
      </c>
      <c r="AA23" s="15">
        <f>(17/31)+1</f>
        <v>1.5483870967741935</v>
      </c>
      <c r="AB23" s="17" t="e">
        <f t="shared" si="34"/>
        <v>#REF!</v>
      </c>
      <c r="AC23" s="356"/>
    </row>
    <row r="24" spans="1:29" ht="20.100000000000001" customHeight="1">
      <c r="A24" s="191">
        <v>17</v>
      </c>
      <c r="B24" s="157" t="s">
        <v>295</v>
      </c>
      <c r="C24" s="161" t="s">
        <v>297</v>
      </c>
      <c r="D24" s="181" t="s">
        <v>398</v>
      </c>
      <c r="E24" s="25">
        <f>5598.92</f>
        <v>5598.92</v>
      </c>
      <c r="F24" s="25">
        <f t="shared" si="24"/>
        <v>16796.760000000002</v>
      </c>
      <c r="G24" s="25">
        <f t="shared" si="25"/>
        <v>419.91899999999998</v>
      </c>
      <c r="H24" s="25"/>
      <c r="I24" s="25">
        <f t="shared" si="26"/>
        <v>2799.46</v>
      </c>
      <c r="J24" s="23">
        <f t="shared" si="27"/>
        <v>19596.22</v>
      </c>
      <c r="K24" s="25">
        <f t="shared" si="28"/>
        <v>5598.92</v>
      </c>
      <c r="L24" s="179"/>
      <c r="M24" s="179">
        <f>20000</f>
        <v>20000</v>
      </c>
      <c r="N24" s="25">
        <f t="shared" si="29"/>
        <v>559.89200000000005</v>
      </c>
      <c r="O24" s="25">
        <v>5000</v>
      </c>
      <c r="P24" s="25">
        <f>7000</f>
        <v>7000</v>
      </c>
      <c r="Q24" s="204">
        <f t="shared" si="30"/>
        <v>83370.091</v>
      </c>
      <c r="R24" s="181" t="s">
        <v>293</v>
      </c>
      <c r="S24" s="204">
        <v>115104.91666666667</v>
      </c>
      <c r="T24" s="23">
        <f t="shared" si="31"/>
        <v>31734.825666666671</v>
      </c>
      <c r="U24" s="23"/>
      <c r="V24" s="23"/>
      <c r="W24" s="320">
        <v>4504.4109199999994</v>
      </c>
      <c r="X24" s="23">
        <f>'[7]October 2023'!$Z$164</f>
        <v>8312.5899999999983</v>
      </c>
      <c r="Y24" s="25">
        <f t="shared" si="32"/>
        <v>3808.179079999999</v>
      </c>
      <c r="Z24" s="208">
        <f t="shared" si="33"/>
        <v>27926.646586666673</v>
      </c>
      <c r="AA24" s="23">
        <v>8</v>
      </c>
      <c r="AB24" s="208">
        <f t="shared" si="34"/>
        <v>223413.17269333338</v>
      </c>
      <c r="AC24" s="180"/>
    </row>
    <row r="25" spans="1:29" ht="20.100000000000001" customHeight="1">
      <c r="A25" s="20"/>
      <c r="B25" s="123"/>
      <c r="C25" s="187"/>
      <c r="D25" s="181"/>
      <c r="E25" s="30"/>
      <c r="F25" s="30"/>
      <c r="G25" s="30"/>
      <c r="H25" s="30"/>
      <c r="I25" s="30"/>
      <c r="J25" s="182"/>
      <c r="K25" s="30"/>
      <c r="L25" s="179">
        <f>226713.38+70000</f>
        <v>296713.38</v>
      </c>
      <c r="M25" s="179"/>
      <c r="N25" s="30"/>
      <c r="O25" s="30"/>
      <c r="P25" s="30"/>
      <c r="Q25" s="213"/>
      <c r="R25" s="181"/>
      <c r="S25" s="213"/>
      <c r="T25" s="23"/>
      <c r="U25" s="182"/>
      <c r="V25" s="182"/>
      <c r="W25" s="322"/>
      <c r="X25" s="30"/>
      <c r="Y25" s="25"/>
      <c r="Z25" s="208"/>
      <c r="AA25" s="30"/>
      <c r="AB25" s="208"/>
      <c r="AC25" s="180"/>
    </row>
    <row r="26" spans="1:29" ht="20.100000000000001" customHeight="1">
      <c r="A26" s="20"/>
      <c r="B26" s="123"/>
      <c r="C26" s="187"/>
      <c r="D26" s="181"/>
      <c r="E26" s="30"/>
      <c r="F26" s="30"/>
      <c r="G26" s="30"/>
      <c r="H26" s="30"/>
      <c r="I26" s="30"/>
      <c r="J26" s="182"/>
      <c r="K26" s="30"/>
      <c r="L26" s="179"/>
      <c r="M26" s="179"/>
      <c r="N26" s="30"/>
      <c r="O26" s="30"/>
      <c r="P26" s="30"/>
      <c r="Q26" s="213"/>
      <c r="R26" s="181"/>
      <c r="S26" s="213"/>
      <c r="T26" s="23"/>
      <c r="U26" s="182"/>
      <c r="V26" s="182"/>
      <c r="W26" s="322"/>
      <c r="X26" s="30"/>
      <c r="Y26" s="25"/>
      <c r="Z26" s="208"/>
      <c r="AA26" s="30"/>
      <c r="AB26" s="208"/>
      <c r="AC26" s="180"/>
    </row>
    <row r="27" spans="1:29" ht="19.5" customHeight="1">
      <c r="A27" s="20"/>
      <c r="B27" s="194" t="s">
        <v>325</v>
      </c>
      <c r="C27" s="195"/>
      <c r="D27" s="196"/>
      <c r="E27" s="197">
        <f>E19+E13+E8</f>
        <v>109814.9</v>
      </c>
      <c r="F27" s="197">
        <f t="shared" ref="F27:AB27" si="35">F19+F13+F8</f>
        <v>0</v>
      </c>
      <c r="G27" s="197">
        <f t="shared" si="35"/>
        <v>329444.7</v>
      </c>
      <c r="H27" s="197">
        <f t="shared" si="35"/>
        <v>8236.1175000000003</v>
      </c>
      <c r="I27" s="197">
        <f t="shared" si="35"/>
        <v>80244.38</v>
      </c>
      <c r="J27" s="197">
        <f t="shared" si="35"/>
        <v>54907.45</v>
      </c>
      <c r="K27" s="197">
        <f t="shared" si="35"/>
        <v>384352.15</v>
      </c>
      <c r="L27" s="197">
        <f t="shared" si="35"/>
        <v>109814.9</v>
      </c>
      <c r="M27" s="197" t="e">
        <f t="shared" si="35"/>
        <v>#REF!</v>
      </c>
      <c r="N27" s="197">
        <f t="shared" si="35"/>
        <v>140000</v>
      </c>
      <c r="O27" s="197">
        <f t="shared" si="35"/>
        <v>10981.49</v>
      </c>
      <c r="P27" s="197">
        <f t="shared" si="35"/>
        <v>70000</v>
      </c>
      <c r="Q27" s="197">
        <f t="shared" ca="1" si="35"/>
        <v>82203.67</v>
      </c>
      <c r="R27" s="197">
        <f t="shared" si="35"/>
        <v>0</v>
      </c>
      <c r="S27" s="197">
        <f t="shared" si="35"/>
        <v>1951368.4166666665</v>
      </c>
      <c r="T27" s="197">
        <f t="shared" si="35"/>
        <v>253572.20083333328</v>
      </c>
      <c r="U27" s="197">
        <f t="shared" si="35"/>
        <v>1675.38</v>
      </c>
      <c r="V27" s="197">
        <f t="shared" si="35"/>
        <v>2057.88</v>
      </c>
      <c r="W27" s="197">
        <f t="shared" si="35"/>
        <v>243811.38479466669</v>
      </c>
      <c r="X27" s="197">
        <f t="shared" si="35"/>
        <v>292045.36</v>
      </c>
      <c r="Y27" s="197">
        <f t="shared" si="35"/>
        <v>48233.975205333314</v>
      </c>
      <c r="Z27" s="197">
        <f t="shared" si="35"/>
        <v>205338.22562799996</v>
      </c>
      <c r="AA27" s="197">
        <f t="shared" si="35"/>
        <v>8.1333333333333329</v>
      </c>
      <c r="AB27" s="197">
        <f t="shared" si="35"/>
        <v>1217257.6756392885</v>
      </c>
      <c r="AC27" s="180"/>
    </row>
    <row r="28" spans="1:29" ht="20.100000000000001" customHeight="1">
      <c r="B28" s="198"/>
      <c r="D28" s="199"/>
      <c r="E28" s="199"/>
      <c r="F28" s="199"/>
      <c r="G28" s="199"/>
      <c r="H28" s="199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324"/>
      <c r="X28" s="201"/>
      <c r="Y28" s="201"/>
      <c r="Z28" s="201"/>
      <c r="AA28" s="201"/>
      <c r="AB28" s="201"/>
      <c r="AC28" s="202"/>
    </row>
    <row r="29" spans="1:29" ht="36.75" customHeight="1">
      <c r="B29" s="198"/>
      <c r="C29" s="199"/>
      <c r="D29" s="199"/>
      <c r="E29" s="199"/>
      <c r="F29" s="199"/>
      <c r="G29" s="199"/>
      <c r="H29" s="199"/>
      <c r="I29" s="200"/>
      <c r="J29" s="200"/>
      <c r="K29" s="200"/>
      <c r="L29" s="200"/>
      <c r="M29" s="200"/>
      <c r="N29" s="200"/>
      <c r="O29" s="200"/>
      <c r="Q29" s="200"/>
      <c r="R29" s="200"/>
      <c r="S29" s="200"/>
      <c r="T29" s="200"/>
      <c r="U29" s="200"/>
      <c r="V29" s="200"/>
      <c r="W29" s="324"/>
      <c r="X29" s="201"/>
      <c r="Y29" s="201"/>
      <c r="Z29" s="201"/>
      <c r="AA29" s="201"/>
      <c r="AB29" s="201"/>
    </row>
    <row r="32" spans="1:29" ht="20.100000000000001" customHeight="1">
      <c r="Q32" s="202"/>
      <c r="R32" s="202"/>
      <c r="S32" s="202"/>
      <c r="T32" s="20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9"/>
  <sheetViews>
    <sheetView zoomScaleNormal="100" zoomScaleSheetLayoutView="50" workbookViewId="0">
      <pane xSplit="3" ySplit="6" topLeftCell="T7" activePane="bottomRight" state="frozen"/>
      <selection pane="bottomRight" activeCell="B16" sqref="B1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39.42578125" style="164" customWidth="1"/>
    <col min="3" max="3" width="26.57031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18" width="19.28515625" style="164" customWidth="1"/>
    <col min="19" max="19" width="20.42578125" style="315" customWidth="1"/>
    <col min="20" max="20" width="16.42578125" style="164" customWidth="1"/>
    <col min="21" max="22" width="17.7109375" style="164" customWidth="1"/>
    <col min="23" max="23" width="14.5703125" style="164" customWidth="1"/>
    <col min="24" max="24" width="17.85546875" style="164" customWidth="1"/>
    <col min="25" max="25" width="21.7109375" style="164" customWidth="1"/>
    <col min="26" max="16384" width="9.140625" style="164"/>
  </cols>
  <sheetData>
    <row r="1" spans="1:25" ht="27" customHeight="1">
      <c r="A1" s="439" t="s">
        <v>0</v>
      </c>
      <c r="B1" s="439"/>
      <c r="C1" s="439"/>
      <c r="D1" s="439"/>
      <c r="E1" s="439"/>
      <c r="F1" s="439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25" ht="33.75" customHeight="1">
      <c r="A2" s="165" t="s">
        <v>1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316"/>
      <c r="T2" s="169"/>
      <c r="U2" s="169"/>
      <c r="V2" s="169"/>
      <c r="W2" s="169"/>
      <c r="X2" s="169"/>
    </row>
    <row r="3" spans="1:25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25" ht="60" customHeight="1">
      <c r="A4" s="20"/>
      <c r="B4" s="171" t="s">
        <v>2</v>
      </c>
      <c r="C4" s="171" t="s">
        <v>3</v>
      </c>
      <c r="D4" s="172" t="s">
        <v>4</v>
      </c>
      <c r="E4" s="173" t="s">
        <v>5</v>
      </c>
      <c r="F4" s="173" t="s">
        <v>6</v>
      </c>
      <c r="G4" s="174" t="s">
        <v>7</v>
      </c>
      <c r="H4" s="174" t="s">
        <v>8</v>
      </c>
      <c r="I4" s="173" t="s">
        <v>9</v>
      </c>
      <c r="J4" s="174" t="s">
        <v>10</v>
      </c>
      <c r="K4" s="174" t="s">
        <v>11</v>
      </c>
      <c r="L4" s="174" t="s">
        <v>12</v>
      </c>
      <c r="M4" s="173" t="s">
        <v>13</v>
      </c>
      <c r="N4" s="173" t="s">
        <v>13</v>
      </c>
      <c r="O4" s="174" t="s">
        <v>14</v>
      </c>
      <c r="P4" s="174" t="s">
        <v>14</v>
      </c>
      <c r="Q4" s="173" t="s">
        <v>15</v>
      </c>
      <c r="R4" s="203" t="s">
        <v>16</v>
      </c>
      <c r="S4" s="174" t="s">
        <v>21</v>
      </c>
      <c r="T4" s="256" t="s">
        <v>22</v>
      </c>
      <c r="U4" s="175" t="s">
        <v>23</v>
      </c>
      <c r="V4" s="221" t="s">
        <v>24</v>
      </c>
      <c r="W4" s="175" t="s">
        <v>392</v>
      </c>
      <c r="X4" s="221" t="s">
        <v>393</v>
      </c>
    </row>
    <row r="5" spans="1:25" ht="17.25" customHeight="1">
      <c r="C5" s="177"/>
      <c r="D5" s="177"/>
      <c r="E5" s="178" t="s">
        <v>25</v>
      </c>
      <c r="F5" s="178" t="s">
        <v>25</v>
      </c>
      <c r="G5" s="178" t="s">
        <v>25</v>
      </c>
      <c r="H5" s="178" t="s">
        <v>25</v>
      </c>
      <c r="I5" s="178" t="s">
        <v>25</v>
      </c>
      <c r="J5" s="178" t="s">
        <v>25</v>
      </c>
      <c r="K5" s="178" t="s">
        <v>25</v>
      </c>
      <c r="L5" s="178" t="s">
        <v>25</v>
      </c>
      <c r="M5" s="178" t="s">
        <v>25</v>
      </c>
      <c r="N5" s="178" t="s">
        <v>25</v>
      </c>
      <c r="O5" s="178" t="s">
        <v>25</v>
      </c>
      <c r="P5" s="178" t="s">
        <v>25</v>
      </c>
      <c r="Q5" s="210" t="s">
        <v>25</v>
      </c>
      <c r="R5" s="177"/>
      <c r="S5" s="317" t="s">
        <v>25</v>
      </c>
      <c r="T5" s="178"/>
      <c r="U5" s="178"/>
      <c r="V5" s="216"/>
      <c r="W5" s="178"/>
      <c r="X5" s="216"/>
    </row>
    <row r="6" spans="1:25" ht="20.100000000000001" customHeight="1">
      <c r="A6" s="176" t="s">
        <v>26</v>
      </c>
      <c r="B6" s="177" t="s">
        <v>27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317"/>
      <c r="T6" s="178"/>
      <c r="U6" s="178"/>
      <c r="V6" s="216"/>
      <c r="W6" s="178"/>
      <c r="X6" s="216"/>
    </row>
    <row r="7" spans="1:25" ht="20.100000000000001" customHeight="1">
      <c r="A7" s="20">
        <v>3</v>
      </c>
      <c r="B7" s="156" t="s">
        <v>52</v>
      </c>
      <c r="C7" s="20" t="s">
        <v>53</v>
      </c>
      <c r="D7" s="28" t="s">
        <v>54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9">
        <v>70000</v>
      </c>
      <c r="N7" s="179"/>
      <c r="O7" s="25">
        <f>E7*10%</f>
        <v>2633.9300000000003</v>
      </c>
      <c r="P7" s="25">
        <v>15000</v>
      </c>
      <c r="Q7" s="25"/>
      <c r="R7" s="204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7">
        <f>R7-T7</f>
        <v>284617.01749999996</v>
      </c>
      <c r="W7" s="180">
        <v>1</v>
      </c>
      <c r="X7" s="363">
        <f>V7*W7</f>
        <v>284617.01749999996</v>
      </c>
    </row>
    <row r="8" spans="1:25" ht="26.25" customHeight="1">
      <c r="A8" s="28"/>
      <c r="B8" s="159" t="s">
        <v>86</v>
      </c>
      <c r="C8" s="29"/>
      <c r="D8" s="181"/>
      <c r="E8" s="183">
        <f t="shared" ref="E8:P8" si="0">SUM(E7:E7)</f>
        <v>26339.3</v>
      </c>
      <c r="F8" s="183">
        <f t="shared" si="0"/>
        <v>0</v>
      </c>
      <c r="G8" s="183">
        <f t="shared" si="0"/>
        <v>79017.899999999994</v>
      </c>
      <c r="H8" s="183">
        <f t="shared" si="0"/>
        <v>1975.4474999999998</v>
      </c>
      <c r="I8" s="183">
        <f t="shared" si="0"/>
        <v>0</v>
      </c>
      <c r="J8" s="183">
        <f t="shared" si="0"/>
        <v>13169.65</v>
      </c>
      <c r="K8" s="183">
        <f t="shared" si="0"/>
        <v>92187.55</v>
      </c>
      <c r="L8" s="183">
        <f t="shared" si="0"/>
        <v>26339.3</v>
      </c>
      <c r="M8" s="183">
        <f t="shared" si="0"/>
        <v>70000</v>
      </c>
      <c r="N8" s="183">
        <f t="shared" si="0"/>
        <v>0</v>
      </c>
      <c r="O8" s="183">
        <f t="shared" si="0"/>
        <v>2633.9300000000003</v>
      </c>
      <c r="P8" s="183">
        <f t="shared" si="0"/>
        <v>15000</v>
      </c>
      <c r="R8" s="361">
        <f>SUM(R7)</f>
        <v>326663.07749999996</v>
      </c>
      <c r="S8" s="183">
        <f>SUM(S7:S7)</f>
        <v>42046.06</v>
      </c>
      <c r="T8" s="183">
        <f>SUM(T7:T7)</f>
        <v>42046.06</v>
      </c>
      <c r="U8" s="183">
        <f>SUM(U7:U7)</f>
        <v>0</v>
      </c>
      <c r="V8" s="217">
        <f>SUM(V7:V7)</f>
        <v>284617.01749999996</v>
      </c>
      <c r="W8" s="183"/>
      <c r="X8" s="217">
        <f>SUM(X7:X7)</f>
        <v>284617.01749999996</v>
      </c>
      <c r="Y8" s="180"/>
    </row>
    <row r="9" spans="1:25" ht="20.100000000000001" customHeight="1">
      <c r="A9" s="28"/>
      <c r="B9" s="158"/>
      <c r="C9" s="20"/>
      <c r="D9" s="28"/>
      <c r="E9" s="183"/>
      <c r="F9" s="183"/>
      <c r="G9" s="183"/>
      <c r="H9" s="183"/>
      <c r="I9" s="183"/>
      <c r="J9" s="183"/>
      <c r="K9" s="183"/>
      <c r="L9" s="179"/>
      <c r="M9" s="179"/>
      <c r="N9" s="183"/>
      <c r="O9" s="183"/>
      <c r="P9" s="183"/>
      <c r="Q9" s="211"/>
      <c r="R9" s="364"/>
      <c r="S9" s="319"/>
      <c r="T9" s="183"/>
      <c r="U9" s="25"/>
      <c r="V9" s="208"/>
      <c r="W9" s="183"/>
      <c r="X9" s="208"/>
      <c r="Y9" s="180"/>
    </row>
    <row r="10" spans="1:25" ht="20.100000000000001" customHeight="1">
      <c r="A10" s="28"/>
      <c r="B10" s="185" t="s">
        <v>399</v>
      </c>
      <c r="C10" s="170"/>
      <c r="D10" s="174"/>
      <c r="E10" s="183"/>
      <c r="F10" s="183"/>
      <c r="G10" s="23"/>
      <c r="H10" s="23"/>
      <c r="I10" s="23"/>
      <c r="J10" s="23"/>
      <c r="K10" s="23"/>
      <c r="L10" s="179"/>
      <c r="M10" s="179"/>
      <c r="N10" s="23"/>
      <c r="O10" s="23"/>
      <c r="P10" s="23"/>
      <c r="Q10" s="204"/>
      <c r="R10" s="174"/>
      <c r="S10" s="320"/>
      <c r="T10" s="23"/>
      <c r="U10" s="25"/>
      <c r="V10" s="208"/>
      <c r="W10" s="23"/>
      <c r="X10" s="208"/>
      <c r="Y10" s="180"/>
    </row>
    <row r="11" spans="1:25" ht="21.6" customHeight="1">
      <c r="A11" s="28">
        <v>10</v>
      </c>
      <c r="B11" s="156" t="s">
        <v>141</v>
      </c>
      <c r="C11" s="20" t="s">
        <v>113</v>
      </c>
      <c r="D11" s="28" t="s">
        <v>95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9">
        <v>100000</v>
      </c>
      <c r="N11" s="179"/>
      <c r="O11" s="25">
        <f t="shared" ref="O11" si="6">E11*10%</f>
        <v>1728.6330000000003</v>
      </c>
      <c r="P11" s="25">
        <v>10000</v>
      </c>
      <c r="Q11" s="25"/>
      <c r="R11" s="204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7">
        <f>R11-T11</f>
        <v>236310.25775000005</v>
      </c>
      <c r="W11" s="180">
        <f>(25/31)+2</f>
        <v>2.806451612903226</v>
      </c>
      <c r="X11" s="164">
        <f>V11*W11</f>
        <v>663193.30400806468</v>
      </c>
    </row>
    <row r="12" spans="1:25" ht="25.5" customHeight="1">
      <c r="A12" s="28"/>
      <c r="B12" s="159" t="s">
        <v>86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80"/>
    </row>
    <row r="13" spans="1:25" ht="20.100000000000001" customHeight="1">
      <c r="A13" s="28"/>
      <c r="B13" s="159"/>
      <c r="C13" s="29"/>
      <c r="D13" s="29"/>
      <c r="E13" s="30"/>
      <c r="F13" s="30"/>
      <c r="G13" s="30"/>
      <c r="H13" s="30"/>
      <c r="I13" s="30"/>
      <c r="J13" s="30"/>
      <c r="K13" s="30"/>
      <c r="L13" s="179"/>
      <c r="M13" s="179"/>
      <c r="N13" s="30"/>
      <c r="O13" s="30"/>
      <c r="P13" s="30"/>
      <c r="Q13" s="212"/>
      <c r="R13" s="29"/>
      <c r="S13" s="322"/>
      <c r="T13" s="30"/>
      <c r="U13" s="25"/>
      <c r="V13" s="208"/>
      <c r="W13" s="30"/>
      <c r="X13" s="208"/>
      <c r="Y13" s="180"/>
    </row>
    <row r="14" spans="1:25" ht="19.5" customHeight="1">
      <c r="A14" s="20"/>
      <c r="B14" s="194" t="s">
        <v>325</v>
      </c>
      <c r="C14" s="195"/>
      <c r="D14" s="196"/>
      <c r="E14" s="197">
        <f>E8+E12</f>
        <v>43625.630000000005</v>
      </c>
      <c r="F14" s="197">
        <f t="shared" ref="F14:X14" si="9">F8+F12</f>
        <v>0</v>
      </c>
      <c r="G14" s="197">
        <f t="shared" si="9"/>
        <v>130876.89</v>
      </c>
      <c r="H14" s="197">
        <f t="shared" si="9"/>
        <v>3271.9222499999996</v>
      </c>
      <c r="I14" s="197">
        <f t="shared" si="9"/>
        <v>0</v>
      </c>
      <c r="J14" s="197">
        <f t="shared" si="9"/>
        <v>21812.815000000002</v>
      </c>
      <c r="K14" s="197">
        <f t="shared" si="9"/>
        <v>152689.70500000002</v>
      </c>
      <c r="L14" s="197">
        <f t="shared" si="9"/>
        <v>43625.630000000005</v>
      </c>
      <c r="M14" s="197">
        <f t="shared" si="9"/>
        <v>170000</v>
      </c>
      <c r="N14" s="197">
        <f t="shared" si="9"/>
        <v>0</v>
      </c>
      <c r="O14" s="197">
        <f t="shared" si="9"/>
        <v>4362.5630000000001</v>
      </c>
      <c r="P14" s="197">
        <f t="shared" si="9"/>
        <v>25000</v>
      </c>
      <c r="Q14" s="197">
        <f t="shared" si="9"/>
        <v>0</v>
      </c>
      <c r="R14" s="197">
        <f t="shared" si="9"/>
        <v>595265.15525000007</v>
      </c>
      <c r="S14" s="197">
        <f t="shared" si="9"/>
        <v>74337.88</v>
      </c>
      <c r="T14" s="197">
        <f t="shared" si="9"/>
        <v>74337.88</v>
      </c>
      <c r="U14" s="197">
        <f t="shared" si="9"/>
        <v>0</v>
      </c>
      <c r="V14" s="197">
        <f t="shared" si="9"/>
        <v>520927.27525000001</v>
      </c>
      <c r="W14" s="197"/>
      <c r="X14" s="197">
        <f t="shared" si="9"/>
        <v>947810.32150806463</v>
      </c>
      <c r="Y14" s="180"/>
    </row>
    <row r="15" spans="1:25" ht="20.100000000000001" customHeight="1">
      <c r="B15" s="198"/>
      <c r="D15" s="199"/>
      <c r="E15" s="199"/>
      <c r="F15" s="199"/>
      <c r="G15" s="199"/>
      <c r="H15" s="199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324"/>
      <c r="T15" s="201"/>
      <c r="U15" s="201"/>
      <c r="V15" s="201"/>
      <c r="W15" s="201"/>
      <c r="X15" s="201"/>
      <c r="Y15" s="202"/>
    </row>
    <row r="16" spans="1:25" ht="36.75" customHeight="1">
      <c r="B16" s="198"/>
      <c r="C16" s="199"/>
      <c r="D16" s="199"/>
      <c r="E16" s="199"/>
      <c r="F16" s="199"/>
      <c r="G16" s="199"/>
      <c r="H16" s="199"/>
      <c r="I16" s="200"/>
      <c r="J16" s="200"/>
      <c r="K16" s="200"/>
      <c r="L16" s="200"/>
      <c r="M16" s="200"/>
      <c r="N16" s="200"/>
      <c r="O16" s="200"/>
      <c r="Q16" s="200"/>
      <c r="R16" s="200"/>
      <c r="S16" s="324"/>
      <c r="T16" s="201"/>
      <c r="U16" s="201"/>
      <c r="V16" s="201"/>
      <c r="W16" s="201"/>
      <c r="X16" s="201"/>
    </row>
    <row r="19" spans="17:18" ht="20.100000000000001" customHeight="1">
      <c r="Q19" s="202"/>
      <c r="R19" s="20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bottomRight" activeCell="AE8" sqref="AE8:AE1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37.140625" style="164" customWidth="1"/>
    <col min="3" max="3" width="37.285156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18" width="19.28515625" style="164" customWidth="1"/>
    <col min="19" max="19" width="20.42578125" style="315" customWidth="1"/>
    <col min="20" max="20" width="16.42578125" style="164" customWidth="1"/>
    <col min="21" max="22" width="17.7109375" style="164" customWidth="1"/>
    <col min="23" max="23" width="14.5703125" style="164" customWidth="1"/>
    <col min="24" max="24" width="17.85546875" style="164" customWidth="1"/>
    <col min="25" max="25" width="21.7109375" style="164" customWidth="1"/>
    <col min="26" max="26" width="18.85546875" style="164" customWidth="1"/>
    <col min="27" max="27" width="17.7109375" style="164" customWidth="1"/>
    <col min="28" max="28" width="15.7109375" style="164" customWidth="1"/>
    <col min="29" max="29" width="18.28515625" style="164" customWidth="1"/>
    <col min="30" max="30" width="17.7109375" style="164" customWidth="1"/>
    <col min="31" max="31" width="19.85546875" style="164" customWidth="1"/>
    <col min="32" max="16384" width="9.140625" style="164"/>
  </cols>
  <sheetData>
    <row r="1" spans="1:31" ht="27" customHeight="1">
      <c r="A1" s="439" t="s">
        <v>0</v>
      </c>
      <c r="B1" s="439"/>
      <c r="C1" s="439"/>
      <c r="D1" s="439"/>
      <c r="E1" s="439"/>
      <c r="F1" s="439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31" ht="33.75" customHeight="1">
      <c r="A2" s="165" t="s">
        <v>1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316"/>
      <c r="T2" s="169"/>
      <c r="U2" s="169"/>
      <c r="V2" s="169"/>
      <c r="W2" s="169"/>
      <c r="X2" s="169"/>
    </row>
    <row r="3" spans="1:31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31" ht="62.25" customHeight="1">
      <c r="A4" s="20"/>
      <c r="B4" s="170" t="s">
        <v>2</v>
      </c>
      <c r="C4" s="171" t="s">
        <v>3</v>
      </c>
      <c r="D4" s="172" t="s">
        <v>4</v>
      </c>
      <c r="E4" s="173" t="s">
        <v>5</v>
      </c>
      <c r="F4" s="173" t="s">
        <v>6</v>
      </c>
      <c r="G4" s="174" t="s">
        <v>7</v>
      </c>
      <c r="H4" s="174" t="s">
        <v>8</v>
      </c>
      <c r="I4" s="173" t="s">
        <v>9</v>
      </c>
      <c r="J4" s="174" t="s">
        <v>10</v>
      </c>
      <c r="K4" s="174" t="s">
        <v>11</v>
      </c>
      <c r="L4" s="174" t="s">
        <v>12</v>
      </c>
      <c r="M4" s="173" t="s">
        <v>13</v>
      </c>
      <c r="N4" s="173" t="s">
        <v>13</v>
      </c>
      <c r="O4" s="174" t="s">
        <v>14</v>
      </c>
      <c r="P4" s="174" t="s">
        <v>14</v>
      </c>
      <c r="Q4" s="173" t="s">
        <v>15</v>
      </c>
      <c r="R4" s="203" t="s">
        <v>16</v>
      </c>
      <c r="S4" s="172" t="s">
        <v>383</v>
      </c>
      <c r="T4" s="336" t="s">
        <v>384</v>
      </c>
      <c r="U4" s="175" t="s">
        <v>385</v>
      </c>
      <c r="V4" s="175" t="s">
        <v>386</v>
      </c>
      <c r="W4" s="175" t="s">
        <v>387</v>
      </c>
      <c r="X4" s="175" t="s">
        <v>388</v>
      </c>
      <c r="Y4" s="175" t="s">
        <v>389</v>
      </c>
      <c r="Z4" s="340" t="s">
        <v>390</v>
      </c>
      <c r="AA4" s="341" t="s">
        <v>391</v>
      </c>
      <c r="AB4" s="175" t="s">
        <v>392</v>
      </c>
      <c r="AC4" s="221" t="s">
        <v>393</v>
      </c>
      <c r="AD4" s="221" t="s">
        <v>400</v>
      </c>
      <c r="AE4" s="221" t="s">
        <v>401</v>
      </c>
    </row>
    <row r="5" spans="1:31" ht="17.25" customHeight="1">
      <c r="C5" s="177"/>
      <c r="D5" s="177"/>
      <c r="E5" s="178" t="s">
        <v>25</v>
      </c>
      <c r="F5" s="178" t="s">
        <v>25</v>
      </c>
      <c r="G5" s="178" t="s">
        <v>25</v>
      </c>
      <c r="H5" s="178" t="s">
        <v>25</v>
      </c>
      <c r="I5" s="178" t="s">
        <v>25</v>
      </c>
      <c r="J5" s="178" t="s">
        <v>25</v>
      </c>
      <c r="K5" s="178" t="s">
        <v>25</v>
      </c>
      <c r="L5" s="178" t="s">
        <v>25</v>
      </c>
      <c r="M5" s="178" t="s">
        <v>25</v>
      </c>
      <c r="N5" s="178" t="s">
        <v>25</v>
      </c>
      <c r="O5" s="178" t="s">
        <v>25</v>
      </c>
      <c r="P5" s="178" t="s">
        <v>25</v>
      </c>
      <c r="Q5" s="210" t="s">
        <v>25</v>
      </c>
      <c r="R5" s="177"/>
      <c r="S5" s="317" t="s">
        <v>25</v>
      </c>
      <c r="T5" s="178"/>
      <c r="U5" s="178"/>
      <c r="V5" s="216"/>
      <c r="W5" s="178"/>
      <c r="X5" s="216"/>
    </row>
    <row r="6" spans="1:31" ht="20.100000000000001" customHeight="1">
      <c r="A6" s="176" t="s">
        <v>26</v>
      </c>
      <c r="B6" s="177" t="s">
        <v>402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317"/>
      <c r="T6" s="178"/>
      <c r="U6" s="178"/>
      <c r="V6" s="216"/>
      <c r="W6" s="178"/>
      <c r="X6" s="216"/>
    </row>
    <row r="7" spans="1:31" ht="20.100000000000001" customHeight="1">
      <c r="A7" s="20"/>
      <c r="B7" s="156"/>
      <c r="C7" s="20"/>
      <c r="D7" s="28"/>
      <c r="E7" s="25"/>
      <c r="F7" s="25"/>
      <c r="G7" s="25"/>
      <c r="H7" s="25"/>
      <c r="I7" s="25"/>
      <c r="J7" s="25"/>
      <c r="K7" s="25"/>
      <c r="L7" s="25"/>
      <c r="M7" s="179"/>
      <c r="N7" s="179"/>
      <c r="O7" s="25"/>
      <c r="P7" s="25"/>
      <c r="Q7" s="25"/>
      <c r="R7" s="204"/>
      <c r="S7" s="23"/>
      <c r="T7" s="23"/>
      <c r="U7" s="23"/>
      <c r="V7" s="207"/>
      <c r="W7" s="180"/>
      <c r="X7" s="363"/>
    </row>
    <row r="8" spans="1:31" s="333" customFormat="1" ht="20.100000000000001" customHeight="1">
      <c r="A8" s="335">
        <v>40</v>
      </c>
      <c r="B8" s="334" t="s">
        <v>291</v>
      </c>
      <c r="C8" s="327" t="s">
        <v>292</v>
      </c>
      <c r="D8" s="328" t="s">
        <v>293</v>
      </c>
      <c r="E8" s="330">
        <v>5428.12</v>
      </c>
      <c r="F8" s="329"/>
      <c r="G8" s="330">
        <f t="shared" ref="G8:G10" si="0">E8*300%</f>
        <v>16284.36</v>
      </c>
      <c r="H8" s="330">
        <f t="shared" ref="H8:H10" si="1">E8*7.5%</f>
        <v>407.10899999999998</v>
      </c>
      <c r="I8" s="330"/>
      <c r="J8" s="330">
        <f t="shared" ref="J8:J10" si="2">E8*50%</f>
        <v>2714.06</v>
      </c>
      <c r="K8" s="331">
        <f t="shared" ref="K8:K10" si="3">E8*350%</f>
        <v>18998.419999999998</v>
      </c>
      <c r="L8" s="330">
        <f t="shared" ref="L8:L10" si="4">E8*100%</f>
        <v>5428.12</v>
      </c>
      <c r="M8" s="329"/>
      <c r="N8" s="329">
        <f>20000</f>
        <v>20000</v>
      </c>
      <c r="O8" s="330">
        <f t="shared" ref="O8:O10" si="5">E8*10%</f>
        <v>542.81200000000001</v>
      </c>
      <c r="P8" s="330">
        <v>5000</v>
      </c>
      <c r="Q8" s="330">
        <f>7000</f>
        <v>7000</v>
      </c>
      <c r="R8" s="331">
        <f t="shared" ref="R8:R10" si="6">SUM(E8:Q8)</f>
        <v>81803.001000000018</v>
      </c>
      <c r="S8" s="370" t="s">
        <v>293</v>
      </c>
      <c r="T8" s="331">
        <f>122105</f>
        <v>122105</v>
      </c>
      <c r="U8" s="331">
        <f>T8-R8</f>
        <v>40301.998999999982</v>
      </c>
      <c r="V8" s="331"/>
      <c r="W8" s="331"/>
      <c r="X8" s="23">
        <v>4365.3307546666683</v>
      </c>
      <c r="Y8" s="331">
        <f>9152.6</f>
        <v>9152.6</v>
      </c>
      <c r="Z8" s="207">
        <f>Y8-X8</f>
        <v>4787.269245333332</v>
      </c>
      <c r="AA8" s="372">
        <f>U8-Z8</f>
        <v>35514.729754666652</v>
      </c>
      <c r="AB8" s="373">
        <f>(11/31)+3</f>
        <v>3.3548387096774195</v>
      </c>
      <c r="AC8" s="374">
        <f>AA8*AB8</f>
        <v>119146.19014468812</v>
      </c>
      <c r="AD8" s="17">
        <f>66227.57</f>
        <v>66227.570000000007</v>
      </c>
      <c r="AE8" s="371">
        <f>AC8-AD8</f>
        <v>52918.620144688117</v>
      </c>
    </row>
    <row r="9" spans="1:31" s="333" customFormat="1" ht="20.100000000000001" customHeight="1">
      <c r="A9" s="335">
        <v>41</v>
      </c>
      <c r="B9" s="334" t="s">
        <v>294</v>
      </c>
      <c r="C9" s="327" t="s">
        <v>292</v>
      </c>
      <c r="D9" s="328" t="s">
        <v>293</v>
      </c>
      <c r="E9" s="330">
        <v>5428.12</v>
      </c>
      <c r="F9" s="329"/>
      <c r="G9" s="330">
        <f t="shared" si="0"/>
        <v>16284.36</v>
      </c>
      <c r="H9" s="330">
        <f t="shared" si="1"/>
        <v>407.10899999999998</v>
      </c>
      <c r="I9" s="330"/>
      <c r="J9" s="330">
        <f t="shared" si="2"/>
        <v>2714.06</v>
      </c>
      <c r="K9" s="331">
        <f t="shared" si="3"/>
        <v>18998.419999999998</v>
      </c>
      <c r="L9" s="330">
        <f t="shared" si="4"/>
        <v>5428.12</v>
      </c>
      <c r="M9" s="329"/>
      <c r="N9" s="329">
        <f>20000</f>
        <v>20000</v>
      </c>
      <c r="O9" s="330">
        <f t="shared" si="5"/>
        <v>542.81200000000001</v>
      </c>
      <c r="P9" s="330">
        <v>5000</v>
      </c>
      <c r="Q9" s="330">
        <f>7000</f>
        <v>7000</v>
      </c>
      <c r="R9" s="331">
        <f>SUM(E9:Q9)</f>
        <v>81803.001000000018</v>
      </c>
      <c r="S9" s="370" t="s">
        <v>293</v>
      </c>
      <c r="T9" s="331">
        <f t="shared" ref="T9:T10" si="7">122105</f>
        <v>122105</v>
      </c>
      <c r="U9" s="331">
        <f t="shared" ref="U9:U10" si="8">T9-R9</f>
        <v>40301.998999999982</v>
      </c>
      <c r="V9" s="331"/>
      <c r="W9" s="331"/>
      <c r="X9" s="23">
        <f>4365.33075466667</f>
        <v>4365.3307546666701</v>
      </c>
      <c r="Y9" s="331">
        <f t="shared" ref="Y9:Y10" si="9">9152.6</f>
        <v>9152.6</v>
      </c>
      <c r="Z9" s="207">
        <f t="shared" ref="Z9:Z10" si="10">Y9-X9</f>
        <v>4787.2692453333302</v>
      </c>
      <c r="AA9" s="372">
        <f t="shared" ref="AA9:AA10" si="11">U9-Z9</f>
        <v>35514.729754666652</v>
      </c>
      <c r="AB9" s="373">
        <f>(17/31)+2</f>
        <v>2.5483870967741935</v>
      </c>
      <c r="AC9" s="374">
        <f t="shared" ref="AC9:AC10" si="12">AA9*AB9</f>
        <v>90505.279052215017</v>
      </c>
      <c r="AD9" s="208">
        <v>44151.71</v>
      </c>
      <c r="AE9" s="371">
        <f t="shared" ref="AE9:AE10" si="13">AC9-AD9</f>
        <v>46353.569052215018</v>
      </c>
    </row>
    <row r="10" spans="1:31" s="333" customFormat="1" ht="20.100000000000001" customHeight="1">
      <c r="A10" s="335">
        <v>42</v>
      </c>
      <c r="B10" s="326" t="s">
        <v>295</v>
      </c>
      <c r="C10" s="327" t="s">
        <v>292</v>
      </c>
      <c r="D10" s="328" t="s">
        <v>293</v>
      </c>
      <c r="E10" s="330">
        <v>5598.92</v>
      </c>
      <c r="F10" s="329"/>
      <c r="G10" s="330">
        <f t="shared" si="0"/>
        <v>16796.760000000002</v>
      </c>
      <c r="H10" s="330">
        <f t="shared" si="1"/>
        <v>419.91899999999998</v>
      </c>
      <c r="I10" s="330"/>
      <c r="J10" s="330">
        <f t="shared" si="2"/>
        <v>2799.46</v>
      </c>
      <c r="K10" s="331">
        <f t="shared" si="3"/>
        <v>19596.22</v>
      </c>
      <c r="L10" s="330">
        <f t="shared" si="4"/>
        <v>5598.92</v>
      </c>
      <c r="M10" s="329"/>
      <c r="N10" s="329">
        <f>20000</f>
        <v>20000</v>
      </c>
      <c r="O10" s="330">
        <f t="shared" si="5"/>
        <v>559.89200000000005</v>
      </c>
      <c r="P10" s="330">
        <v>5000</v>
      </c>
      <c r="Q10" s="330">
        <f>7000</f>
        <v>7000</v>
      </c>
      <c r="R10" s="331">
        <f t="shared" si="6"/>
        <v>83370.091</v>
      </c>
      <c r="S10" s="370" t="s">
        <v>293</v>
      </c>
      <c r="T10" s="331">
        <f t="shared" si="7"/>
        <v>122105</v>
      </c>
      <c r="U10" s="331">
        <f t="shared" si="8"/>
        <v>38734.909</v>
      </c>
      <c r="V10" s="331"/>
      <c r="W10" s="331"/>
      <c r="X10" s="23">
        <v>4504.4109199999994</v>
      </c>
      <c r="Y10" s="331">
        <f t="shared" si="9"/>
        <v>9152.6</v>
      </c>
      <c r="Z10" s="207">
        <f t="shared" si="10"/>
        <v>4648.189080000001</v>
      </c>
      <c r="AA10" s="372">
        <f t="shared" si="11"/>
        <v>34086.719919999996</v>
      </c>
      <c r="AB10" s="373">
        <v>9</v>
      </c>
      <c r="AC10" s="374">
        <f t="shared" si="12"/>
        <v>306780.47927999997</v>
      </c>
      <c r="AD10" s="208">
        <v>216693.09</v>
      </c>
      <c r="AE10" s="371">
        <f t="shared" si="13"/>
        <v>90087.389279999974</v>
      </c>
    </row>
    <row r="11" spans="1:31" s="333" customFormat="1" ht="20.100000000000001" customHeight="1">
      <c r="A11" s="335"/>
      <c r="B11" s="326"/>
      <c r="C11" s="327"/>
      <c r="D11" s="328"/>
      <c r="E11" s="330"/>
      <c r="F11" s="329"/>
      <c r="G11" s="330"/>
      <c r="H11" s="330"/>
      <c r="I11" s="330"/>
      <c r="J11" s="330"/>
      <c r="K11" s="331"/>
      <c r="L11" s="330"/>
      <c r="M11" s="329"/>
      <c r="N11" s="329"/>
      <c r="O11" s="330"/>
      <c r="P11" s="330"/>
      <c r="Q11" s="330"/>
      <c r="R11" s="331"/>
      <c r="S11" s="331"/>
      <c r="T11" s="331"/>
      <c r="U11" s="331"/>
      <c r="V11" s="331"/>
      <c r="W11" s="367"/>
      <c r="X11" s="368"/>
      <c r="Y11" s="367"/>
      <c r="Z11" s="369"/>
      <c r="AA11" s="332"/>
      <c r="AE11" s="375">
        <f>SUM(AE8:AE10)</f>
        <v>189359.57847690312</v>
      </c>
    </row>
    <row r="12" spans="1:31" ht="21.6" customHeight="1">
      <c r="A12" s="28"/>
      <c r="B12" s="156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9"/>
      <c r="N12" s="179"/>
      <c r="O12" s="25"/>
      <c r="P12" s="25"/>
      <c r="Q12" s="25"/>
      <c r="R12" s="204"/>
      <c r="S12" s="25"/>
      <c r="T12" s="25"/>
      <c r="U12" s="23"/>
      <c r="V12" s="207"/>
      <c r="W12" s="180"/>
    </row>
    <row r="13" spans="1:31" s="333" customFormat="1" ht="20.100000000000001" customHeight="1">
      <c r="A13" s="335">
        <v>40</v>
      </c>
      <c r="B13" s="334" t="s">
        <v>291</v>
      </c>
      <c r="C13" s="327" t="s">
        <v>292</v>
      </c>
      <c r="D13" s="328" t="s">
        <v>293</v>
      </c>
      <c r="E13" s="330">
        <f>8730.79</f>
        <v>8730.7900000000009</v>
      </c>
      <c r="F13" s="329"/>
      <c r="G13" s="330">
        <f t="shared" ref="G13:G15" si="14">E13*300%</f>
        <v>26192.370000000003</v>
      </c>
      <c r="H13" s="330">
        <f t="shared" ref="H13:H15" si="15">E13*7.5%</f>
        <v>654.80925000000002</v>
      </c>
      <c r="I13" s="330"/>
      <c r="J13" s="330">
        <f t="shared" ref="J13:J15" si="16">E13*50%</f>
        <v>4365.3950000000004</v>
      </c>
      <c r="K13" s="331">
        <f t="shared" ref="K13:K15" si="17">E13*350%</f>
        <v>30557.765000000003</v>
      </c>
      <c r="L13" s="330">
        <f t="shared" ref="L13:L15" si="18">E13*100%</f>
        <v>8730.7900000000009</v>
      </c>
      <c r="M13" s="329"/>
      <c r="N13" s="329">
        <v>30000</v>
      </c>
      <c r="O13" s="330">
        <f t="shared" ref="O13:O15" si="19">E13*10%</f>
        <v>873.07900000000018</v>
      </c>
      <c r="P13" s="330">
        <v>5000</v>
      </c>
      <c r="Q13" s="330">
        <f>7000</f>
        <v>7000</v>
      </c>
      <c r="R13" s="331">
        <f t="shared" ref="R13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[3]PROMOTIONS!$X$42</f>
        <v>8312.5899999999983</v>
      </c>
      <c r="X13" s="258">
        <f t="shared" ref="X13:X15" si="21">W13+V13+U13+T13+S13</f>
        <v>43937.59</v>
      </c>
      <c r="Y13" s="331">
        <v>106043.96784954835</v>
      </c>
      <c r="Z13" s="207">
        <f t="shared" ref="Z13:Z15" si="22">R13-X13</f>
        <v>78167.408250000008</v>
      </c>
      <c r="AA13" s="332"/>
    </row>
    <row r="14" spans="1:31" s="333" customFormat="1" ht="20.100000000000001" customHeight="1">
      <c r="A14" s="335">
        <v>41</v>
      </c>
      <c r="B14" s="334" t="s">
        <v>294</v>
      </c>
      <c r="C14" s="327" t="s">
        <v>292</v>
      </c>
      <c r="D14" s="328" t="s">
        <v>293</v>
      </c>
      <c r="E14" s="330">
        <f t="shared" ref="E14:E15" si="23">8730.79</f>
        <v>8730.7900000000009</v>
      </c>
      <c r="F14" s="329"/>
      <c r="G14" s="330">
        <f t="shared" si="14"/>
        <v>26192.370000000003</v>
      </c>
      <c r="H14" s="330">
        <f t="shared" si="15"/>
        <v>654.80925000000002</v>
      </c>
      <c r="I14" s="330"/>
      <c r="J14" s="330">
        <f t="shared" si="16"/>
        <v>4365.3950000000004</v>
      </c>
      <c r="K14" s="331">
        <f t="shared" si="17"/>
        <v>30557.765000000003</v>
      </c>
      <c r="L14" s="330">
        <f t="shared" si="18"/>
        <v>8730.7900000000009</v>
      </c>
      <c r="M14" s="329"/>
      <c r="N14" s="329">
        <v>30000</v>
      </c>
      <c r="O14" s="330">
        <f t="shared" si="19"/>
        <v>873.07900000000018</v>
      </c>
      <c r="P14" s="330">
        <v>5000</v>
      </c>
      <c r="Q14" s="330">
        <f>7000</f>
        <v>7000</v>
      </c>
      <c r="R14" s="331">
        <f>SUM(E14:Q14)</f>
        <v>122104.99825</v>
      </c>
      <c r="S14" s="331"/>
      <c r="T14" s="331">
        <v>20000</v>
      </c>
      <c r="U14" s="331">
        <v>18333.330000000002</v>
      </c>
      <c r="V14" s="331"/>
      <c r="W14" s="331">
        <f>[3]PROMOTIONS!$X$42</f>
        <v>8312.5899999999983</v>
      </c>
      <c r="X14" s="258">
        <f t="shared" si="21"/>
        <v>46645.919999999998</v>
      </c>
      <c r="Y14" s="331">
        <v>80609.452233032236</v>
      </c>
      <c r="Z14" s="207">
        <f t="shared" si="22"/>
        <v>75459.078250000006</v>
      </c>
      <c r="AA14" s="332"/>
    </row>
    <row r="15" spans="1:31" s="333" customFormat="1" ht="20.100000000000001" customHeight="1">
      <c r="A15" s="335">
        <v>42</v>
      </c>
      <c r="B15" s="326" t="s">
        <v>295</v>
      </c>
      <c r="C15" s="327" t="s">
        <v>292</v>
      </c>
      <c r="D15" s="328" t="s">
        <v>293</v>
      </c>
      <c r="E15" s="330">
        <f t="shared" si="23"/>
        <v>8730.7900000000009</v>
      </c>
      <c r="F15" s="329"/>
      <c r="G15" s="330">
        <f t="shared" si="14"/>
        <v>26192.370000000003</v>
      </c>
      <c r="H15" s="330">
        <f t="shared" si="15"/>
        <v>654.80925000000002</v>
      </c>
      <c r="I15" s="330"/>
      <c r="J15" s="330">
        <f t="shared" si="16"/>
        <v>4365.3950000000004</v>
      </c>
      <c r="K15" s="331">
        <f t="shared" si="17"/>
        <v>30557.765000000003</v>
      </c>
      <c r="L15" s="330">
        <f t="shared" si="18"/>
        <v>8730.7900000000009</v>
      </c>
      <c r="M15" s="329"/>
      <c r="N15" s="329">
        <v>30000</v>
      </c>
      <c r="O15" s="330">
        <f t="shared" si="19"/>
        <v>873.07900000000018</v>
      </c>
      <c r="P15" s="330">
        <v>5000</v>
      </c>
      <c r="Q15" s="330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[3]PROMOTIONS!$X$42</f>
        <v>8312.5899999999983</v>
      </c>
      <c r="X15" s="258">
        <f t="shared" si="21"/>
        <v>65312.59</v>
      </c>
      <c r="Y15" s="331">
        <v>239903.58369333335</v>
      </c>
      <c r="Z15" s="207">
        <f t="shared" si="22"/>
        <v>56792.408250000008</v>
      </c>
      <c r="AA15" s="332"/>
    </row>
    <row r="16" spans="1:31" ht="19.5" customHeight="1">
      <c r="A16" s="20"/>
      <c r="B16" s="194" t="s">
        <v>325</v>
      </c>
      <c r="C16" s="195"/>
      <c r="D16" s="196"/>
      <c r="E16" s="197">
        <f t="shared" ref="E16:V16" si="25">E8+E14</f>
        <v>14158.91</v>
      </c>
      <c r="F16" s="197">
        <f t="shared" si="25"/>
        <v>0</v>
      </c>
      <c r="G16" s="197">
        <f t="shared" si="25"/>
        <v>42476.73</v>
      </c>
      <c r="H16" s="197">
        <f t="shared" si="25"/>
        <v>1061.9182499999999</v>
      </c>
      <c r="I16" s="197">
        <f t="shared" si="25"/>
        <v>0</v>
      </c>
      <c r="J16" s="197">
        <f t="shared" si="25"/>
        <v>7079.4549999999999</v>
      </c>
      <c r="K16" s="197">
        <f t="shared" si="25"/>
        <v>49556.184999999998</v>
      </c>
      <c r="L16" s="197">
        <f t="shared" si="25"/>
        <v>14158.91</v>
      </c>
      <c r="M16" s="197">
        <f t="shared" si="25"/>
        <v>0</v>
      </c>
      <c r="N16" s="197">
        <f t="shared" si="25"/>
        <v>50000</v>
      </c>
      <c r="O16" s="197">
        <f t="shared" si="25"/>
        <v>1415.8910000000001</v>
      </c>
      <c r="P16" s="197">
        <f t="shared" si="25"/>
        <v>10000</v>
      </c>
      <c r="Q16" s="197">
        <f t="shared" si="25"/>
        <v>14000</v>
      </c>
      <c r="R16" s="197">
        <f t="shared" si="25"/>
        <v>203907.99925000002</v>
      </c>
      <c r="S16" s="197" t="e">
        <f t="shared" si="25"/>
        <v>#VALUE!</v>
      </c>
      <c r="T16" s="197">
        <f t="shared" si="25"/>
        <v>142105</v>
      </c>
      <c r="U16" s="197">
        <f t="shared" si="25"/>
        <v>58635.328999999983</v>
      </c>
      <c r="V16" s="197">
        <f t="shared" si="25"/>
        <v>0</v>
      </c>
      <c r="W16" s="197"/>
      <c r="X16" s="197">
        <f>X8+X14</f>
        <v>51011.250754666667</v>
      </c>
      <c r="Y16" s="180"/>
    </row>
    <row r="17" spans="1:27" ht="20.100000000000001" customHeight="1">
      <c r="B17" s="198"/>
      <c r="D17" s="199"/>
      <c r="E17" s="199"/>
      <c r="F17" s="199"/>
      <c r="G17" s="199"/>
      <c r="H17" s="199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324"/>
      <c r="T17" s="201"/>
      <c r="U17" s="201"/>
      <c r="V17" s="201"/>
      <c r="W17" s="201"/>
      <c r="X17" s="201"/>
      <c r="Y17" s="202"/>
    </row>
    <row r="18" spans="1:27" ht="36.75" customHeight="1">
      <c r="B18" s="198"/>
      <c r="C18" s="199"/>
      <c r="D18" s="199"/>
      <c r="E18" s="199"/>
      <c r="F18" s="199"/>
      <c r="G18" s="199"/>
      <c r="H18" s="199"/>
      <c r="I18" s="200"/>
      <c r="J18" s="200"/>
      <c r="K18" s="200"/>
      <c r="L18" s="200"/>
      <c r="M18" s="200"/>
      <c r="N18" s="200"/>
      <c r="O18" s="200"/>
      <c r="Q18" s="200"/>
      <c r="R18" s="200"/>
      <c r="S18" s="324"/>
      <c r="T18" s="201"/>
      <c r="U18" s="201"/>
      <c r="V18" s="201"/>
      <c r="W18" s="201"/>
      <c r="X18" s="201"/>
    </row>
    <row r="21" spans="1:27" s="315" customFormat="1" ht="20.100000000000001" customHeight="1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202"/>
      <c r="R21" s="202"/>
      <c r="T21" s="164"/>
      <c r="U21" s="164"/>
      <c r="V21" s="164"/>
      <c r="W21" s="164"/>
      <c r="X21" s="164"/>
      <c r="Y21" s="164"/>
      <c r="Z21" s="164"/>
      <c r="AA21" s="164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bottomRight" activeCell="A42" sqref="A42:XFD4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39.42578125" style="164" customWidth="1"/>
    <col min="3" max="3" width="26.57031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20" width="19.28515625" style="164" customWidth="1"/>
    <col min="21" max="21" width="14.85546875" style="164" customWidth="1"/>
    <col min="22" max="22" width="13.5703125" style="164" customWidth="1"/>
    <col min="23" max="23" width="20.42578125" style="315" customWidth="1"/>
    <col min="24" max="24" width="16.42578125" style="164" customWidth="1"/>
    <col min="25" max="26" width="17.7109375" style="164" customWidth="1"/>
    <col min="27" max="27" width="11.140625" style="164" customWidth="1"/>
    <col min="28" max="28" width="17.85546875" style="164" customWidth="1"/>
    <col min="29" max="29" width="21.7109375" style="164" customWidth="1"/>
    <col min="30" max="16384" width="9.140625" style="164"/>
  </cols>
  <sheetData>
    <row r="1" spans="1:29" ht="27" customHeight="1">
      <c r="A1" s="439" t="s">
        <v>0</v>
      </c>
      <c r="B1" s="439"/>
      <c r="C1" s="439"/>
      <c r="D1" s="439"/>
      <c r="E1" s="439"/>
      <c r="F1" s="439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29" ht="33.75" customHeight="1">
      <c r="A2" s="165" t="s">
        <v>403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169"/>
      <c r="T2" s="169"/>
      <c r="U2" s="169"/>
      <c r="V2" s="169"/>
      <c r="W2" s="316"/>
      <c r="X2" s="169"/>
      <c r="Y2" s="169"/>
      <c r="Z2" s="169"/>
      <c r="AA2" s="169"/>
      <c r="AB2" s="169"/>
    </row>
    <row r="3" spans="1:29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29" ht="60" customHeight="1">
      <c r="A4" s="20"/>
      <c r="B4" s="171" t="s">
        <v>2</v>
      </c>
      <c r="C4" s="171" t="s">
        <v>3</v>
      </c>
      <c r="D4" s="172" t="s">
        <v>381</v>
      </c>
      <c r="E4" s="175" t="s">
        <v>5</v>
      </c>
      <c r="F4" s="29" t="s">
        <v>7</v>
      </c>
      <c r="G4" s="29" t="s">
        <v>8</v>
      </c>
      <c r="H4" s="175" t="s">
        <v>9</v>
      </c>
      <c r="I4" s="29" t="s">
        <v>10</v>
      </c>
      <c r="J4" s="29" t="s">
        <v>11</v>
      </c>
      <c r="K4" s="29" t="s">
        <v>12</v>
      </c>
      <c r="L4" s="175" t="s">
        <v>13</v>
      </c>
      <c r="M4" s="175" t="s">
        <v>13</v>
      </c>
      <c r="N4" s="29" t="s">
        <v>14</v>
      </c>
      <c r="O4" s="29" t="s">
        <v>14</v>
      </c>
      <c r="P4" s="175" t="s">
        <v>15</v>
      </c>
      <c r="Q4" s="336" t="s">
        <v>382</v>
      </c>
      <c r="R4" s="172" t="s">
        <v>383</v>
      </c>
      <c r="S4" s="336" t="s">
        <v>384</v>
      </c>
      <c r="T4" s="175" t="s">
        <v>385</v>
      </c>
      <c r="U4" s="175" t="s">
        <v>386</v>
      </c>
      <c r="V4" s="175" t="s">
        <v>387</v>
      </c>
      <c r="W4" s="175" t="s">
        <v>388</v>
      </c>
      <c r="X4" s="175" t="s">
        <v>389</v>
      </c>
      <c r="Y4" s="340" t="s">
        <v>390</v>
      </c>
      <c r="Z4" s="341" t="s">
        <v>391</v>
      </c>
      <c r="AA4" s="175" t="s">
        <v>392</v>
      </c>
      <c r="AB4" s="221" t="s">
        <v>393</v>
      </c>
    </row>
    <row r="5" spans="1:29" ht="17.25" customHeight="1">
      <c r="C5" s="177"/>
      <c r="D5" s="177"/>
      <c r="E5" s="178" t="s">
        <v>25</v>
      </c>
      <c r="F5" s="178" t="s">
        <v>25</v>
      </c>
      <c r="G5" s="178" t="s">
        <v>25</v>
      </c>
      <c r="H5" s="178" t="s">
        <v>25</v>
      </c>
      <c r="I5" s="178" t="s">
        <v>25</v>
      </c>
      <c r="J5" s="178" t="s">
        <v>25</v>
      </c>
      <c r="K5" s="178" t="s">
        <v>25</v>
      </c>
      <c r="L5" s="178" t="s">
        <v>25</v>
      </c>
      <c r="M5" s="178" t="s">
        <v>25</v>
      </c>
      <c r="N5" s="178" t="s">
        <v>25</v>
      </c>
      <c r="O5" s="178" t="s">
        <v>25</v>
      </c>
      <c r="P5" s="178" t="s">
        <v>25</v>
      </c>
      <c r="Q5" s="210" t="s">
        <v>25</v>
      </c>
      <c r="R5" s="177"/>
      <c r="S5" s="210" t="s">
        <v>25</v>
      </c>
      <c r="T5" s="178"/>
      <c r="U5" s="178" t="s">
        <v>25</v>
      </c>
      <c r="V5" s="178"/>
      <c r="W5" s="317" t="s">
        <v>25</v>
      </c>
      <c r="X5" s="178"/>
      <c r="Y5" s="178"/>
      <c r="Z5" s="216"/>
      <c r="AA5" s="178"/>
      <c r="AB5" s="216"/>
    </row>
    <row r="6" spans="1:29" ht="20.100000000000001" customHeight="1">
      <c r="A6" s="176" t="s">
        <v>26</v>
      </c>
      <c r="B6" s="177" t="s">
        <v>27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210"/>
      <c r="T6" s="178"/>
      <c r="U6" s="178"/>
      <c r="V6" s="178"/>
      <c r="W6" s="317"/>
      <c r="X6" s="178"/>
      <c r="Y6" s="178"/>
      <c r="Z6" s="216"/>
      <c r="AA6" s="178"/>
      <c r="AB6" s="216"/>
    </row>
    <row r="7" spans="1:29" ht="18.75" customHeight="1">
      <c r="A7" s="28">
        <v>1</v>
      </c>
      <c r="B7" s="157" t="s">
        <v>71</v>
      </c>
      <c r="C7" s="161" t="s">
        <v>404</v>
      </c>
      <c r="D7" s="181" t="s">
        <v>76</v>
      </c>
      <c r="E7" s="179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9"/>
      <c r="M7" s="179">
        <f>50000</f>
        <v>50000</v>
      </c>
      <c r="N7" s="25">
        <f>E7*10%</f>
        <v>1349.221</v>
      </c>
      <c r="O7" s="25">
        <v>10000</v>
      </c>
      <c r="P7" s="20"/>
      <c r="Q7" s="205">
        <f>SUM(E7:P7)</f>
        <v>183791.02674999999</v>
      </c>
      <c r="R7" s="181" t="s">
        <v>73</v>
      </c>
      <c r="S7" s="205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8">
        <v>18102.902732666666</v>
      </c>
      <c r="X7" s="25" t="e">
        <f>'[7]October 2023'!$Z$29</f>
        <v>#REF!</v>
      </c>
      <c r="Y7" s="25" t="e">
        <f>X7-W7</f>
        <v>#REF!</v>
      </c>
      <c r="Z7" s="208" t="e">
        <f>T7-Y7</f>
        <v>#REF!</v>
      </c>
      <c r="AA7" s="25">
        <f>(19/31)+4</f>
        <v>4.612903225806452</v>
      </c>
      <c r="AB7" s="208" t="e">
        <f>Z7*AA7</f>
        <v>#REF!</v>
      </c>
      <c r="AC7" s="180"/>
    </row>
    <row r="8" spans="1:29" ht="26.25" customHeight="1">
      <c r="A8" s="28"/>
      <c r="B8" s="159" t="s">
        <v>86</v>
      </c>
      <c r="C8" s="29">
        <v>1</v>
      </c>
      <c r="D8" s="181"/>
      <c r="E8" s="183">
        <f t="shared" ref="E8:Q8" si="1">SUM(E7:E7)</f>
        <v>13492.21</v>
      </c>
      <c r="F8" s="183">
        <f t="shared" si="1"/>
        <v>40476.629999999997</v>
      </c>
      <c r="G8" s="183">
        <f t="shared" si="1"/>
        <v>1011.9157499999999</v>
      </c>
      <c r="H8" s="183">
        <f t="shared" si="1"/>
        <v>0</v>
      </c>
      <c r="I8" s="183">
        <f t="shared" si="1"/>
        <v>6746.1049999999996</v>
      </c>
      <c r="J8" s="183">
        <f t="shared" si="1"/>
        <v>47222.735000000001</v>
      </c>
      <c r="K8" s="183">
        <f t="shared" si="1"/>
        <v>13492.21</v>
      </c>
      <c r="L8" s="183">
        <f t="shared" si="1"/>
        <v>0</v>
      </c>
      <c r="M8" s="183">
        <f t="shared" si="1"/>
        <v>50000</v>
      </c>
      <c r="N8" s="183">
        <f t="shared" si="1"/>
        <v>1349.221</v>
      </c>
      <c r="O8" s="183">
        <f t="shared" si="1"/>
        <v>10000</v>
      </c>
      <c r="P8" s="183">
        <f t="shared" si="1"/>
        <v>0</v>
      </c>
      <c r="Q8" s="183">
        <f t="shared" si="1"/>
        <v>183791.02674999999</v>
      </c>
      <c r="R8" s="181"/>
      <c r="S8" s="183">
        <f t="shared" ref="S8:Z8" si="2">SUM(S7:S7)</f>
        <v>205203.66666666666</v>
      </c>
      <c r="T8" s="183">
        <f t="shared" si="2"/>
        <v>21412.639916666667</v>
      </c>
      <c r="U8" s="183">
        <f t="shared" si="2"/>
        <v>0</v>
      </c>
      <c r="V8" s="183">
        <f t="shared" si="2"/>
        <v>0</v>
      </c>
      <c r="W8" s="183">
        <f t="shared" si="2"/>
        <v>18102.902732666666</v>
      </c>
      <c r="X8" s="183" t="e">
        <f t="shared" si="2"/>
        <v>#REF!</v>
      </c>
      <c r="Y8" s="183" t="e">
        <f t="shared" si="2"/>
        <v>#REF!</v>
      </c>
      <c r="Z8" s="217" t="e">
        <f t="shared" si="2"/>
        <v>#REF!</v>
      </c>
      <c r="AA8" s="183"/>
      <c r="AB8" s="217" t="e">
        <f>SUM(AB7:AB7)</f>
        <v>#REF!</v>
      </c>
      <c r="AC8" s="180"/>
    </row>
    <row r="9" spans="1:29" ht="20.100000000000001" customHeight="1">
      <c r="A9" s="28"/>
      <c r="B9" s="158"/>
      <c r="C9" s="20"/>
      <c r="D9" s="28"/>
      <c r="E9" s="183"/>
      <c r="F9" s="183"/>
      <c r="G9" s="183"/>
      <c r="H9" s="183"/>
      <c r="I9" s="183"/>
      <c r="J9" s="183"/>
      <c r="K9" s="183"/>
      <c r="L9" s="179"/>
      <c r="M9" s="179"/>
      <c r="N9" s="183"/>
      <c r="O9" s="183"/>
      <c r="P9" s="183"/>
      <c r="Q9" s="211"/>
      <c r="R9" s="28"/>
      <c r="S9" s="211"/>
      <c r="T9" s="23"/>
      <c r="U9" s="183"/>
      <c r="V9" s="183"/>
      <c r="W9" s="319"/>
      <c r="X9" s="183"/>
      <c r="Y9" s="25"/>
      <c r="Z9" s="208"/>
      <c r="AA9" s="183"/>
      <c r="AB9" s="208"/>
      <c r="AC9" s="180"/>
    </row>
    <row r="10" spans="1:29" ht="20.100000000000001" customHeight="1">
      <c r="A10" s="28"/>
      <c r="B10" s="185" t="s">
        <v>96</v>
      </c>
      <c r="C10" s="170"/>
      <c r="D10" s="174"/>
      <c r="E10" s="183"/>
      <c r="F10" s="183"/>
      <c r="G10" s="23"/>
      <c r="H10" s="23"/>
      <c r="I10" s="23"/>
      <c r="J10" s="23"/>
      <c r="K10" s="23"/>
      <c r="L10" s="179"/>
      <c r="M10" s="179"/>
      <c r="N10" s="23"/>
      <c r="O10" s="23"/>
      <c r="P10" s="23"/>
      <c r="Q10" s="204"/>
      <c r="R10" s="174"/>
      <c r="S10" s="204"/>
      <c r="T10" s="23"/>
      <c r="U10" s="23"/>
      <c r="V10" s="23"/>
      <c r="W10" s="320"/>
      <c r="X10" s="23"/>
      <c r="Y10" s="25"/>
      <c r="Z10" s="208"/>
      <c r="AA10" s="23"/>
      <c r="AB10" s="208"/>
      <c r="AC10" s="180"/>
    </row>
    <row r="11" spans="1:29" ht="20.100000000000001" customHeight="1">
      <c r="A11" s="28">
        <v>2</v>
      </c>
      <c r="B11" s="156" t="s">
        <v>110</v>
      </c>
      <c r="C11" s="20" t="s">
        <v>164</v>
      </c>
      <c r="D11" s="28" t="s">
        <v>165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9">
        <f t="shared" ref="L11" si="3">120000</f>
        <v>120000</v>
      </c>
      <c r="M11" s="179"/>
      <c r="N11" s="25">
        <f>E11*10%</f>
        <v>2552.3450000000003</v>
      </c>
      <c r="O11" s="25">
        <v>15000</v>
      </c>
      <c r="P11" s="25"/>
      <c r="Q11" s="204">
        <f>SUM(E11:P11)</f>
        <v>369177.65375</v>
      </c>
      <c r="R11" s="28" t="s">
        <v>111</v>
      </c>
      <c r="S11" s="204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8">
        <v>49548.776186666662</v>
      </c>
      <c r="X11" s="25" t="e">
        <f>'[7]October 2023'!$Z$50</f>
        <v>#REF!</v>
      </c>
      <c r="Y11" s="25" t="e">
        <f t="shared" ref="Y11:Y45" si="4">X11-W11</f>
        <v>#REF!</v>
      </c>
      <c r="Z11" s="208" t="e">
        <f t="shared" ref="Z11:Z45" si="5">T11-Y11</f>
        <v>#REF!</v>
      </c>
      <c r="AA11" s="25">
        <f>(18/31)+1</f>
        <v>1.5806451612903225</v>
      </c>
      <c r="AB11" s="208" t="e">
        <f t="shared" ref="AB11:AB45" si="6">Z11*AA11</f>
        <v>#REF!</v>
      </c>
      <c r="AC11" s="180"/>
    </row>
    <row r="12" spans="1:29" ht="25.5" customHeight="1">
      <c r="A12" s="28"/>
      <c r="B12" s="159" t="s">
        <v>86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 t="e">
        <f t="shared" si="8"/>
        <v>#REF!</v>
      </c>
      <c r="Y12" s="68" t="e">
        <f t="shared" si="8"/>
        <v>#REF!</v>
      </c>
      <c r="Z12" s="337" t="e">
        <f t="shared" si="8"/>
        <v>#REF!</v>
      </c>
      <c r="AA12" s="68"/>
      <c r="AB12" s="337" t="e">
        <f>SUM(AB11:AB11)</f>
        <v>#REF!</v>
      </c>
      <c r="AC12" s="180"/>
    </row>
    <row r="13" spans="1:29" ht="20.100000000000001" customHeight="1">
      <c r="A13" s="28"/>
      <c r="B13" s="159"/>
      <c r="C13" s="29"/>
      <c r="D13" s="29"/>
      <c r="E13" s="30"/>
      <c r="F13" s="30"/>
      <c r="G13" s="30"/>
      <c r="H13" s="30"/>
      <c r="I13" s="30"/>
      <c r="J13" s="30"/>
      <c r="K13" s="30"/>
      <c r="L13" s="179"/>
      <c r="M13" s="179"/>
      <c r="N13" s="30"/>
      <c r="O13" s="30"/>
      <c r="P13" s="30"/>
      <c r="Q13" s="212"/>
      <c r="R13" s="29"/>
      <c r="S13" s="212"/>
      <c r="T13" s="23">
        <f t="shared" si="0"/>
        <v>0</v>
      </c>
      <c r="U13" s="30"/>
      <c r="V13" s="30"/>
      <c r="W13" s="322"/>
      <c r="X13" s="30"/>
      <c r="Y13" s="25"/>
      <c r="Z13" s="208"/>
      <c r="AA13" s="30"/>
      <c r="AB13" s="208"/>
      <c r="AC13" s="180"/>
    </row>
    <row r="14" spans="1:29" ht="20.100000000000001" customHeight="1">
      <c r="A14" s="28"/>
      <c r="B14" s="159" t="s">
        <v>123</v>
      </c>
      <c r="C14" s="29"/>
      <c r="D14" s="29"/>
      <c r="E14" s="30"/>
      <c r="F14" s="30"/>
      <c r="G14" s="30"/>
      <c r="H14" s="30"/>
      <c r="I14" s="30"/>
      <c r="J14" s="30"/>
      <c r="K14" s="30"/>
      <c r="L14" s="179"/>
      <c r="M14" s="179"/>
      <c r="N14" s="30"/>
      <c r="O14" s="30"/>
      <c r="P14" s="30"/>
      <c r="Q14" s="212"/>
      <c r="R14" s="29"/>
      <c r="S14" s="212"/>
      <c r="T14" s="23">
        <f t="shared" si="0"/>
        <v>0</v>
      </c>
      <c r="U14" s="30"/>
      <c r="V14" s="30"/>
      <c r="W14" s="322"/>
      <c r="X14" s="30"/>
      <c r="Y14" s="25"/>
      <c r="Z14" s="208"/>
      <c r="AA14" s="30"/>
      <c r="AB14" s="208"/>
      <c r="AC14" s="180"/>
    </row>
    <row r="15" spans="1:29" ht="20.100000000000001" customHeight="1">
      <c r="A15" s="28">
        <v>3</v>
      </c>
      <c r="B15" s="158" t="s">
        <v>161</v>
      </c>
      <c r="C15" s="20" t="s">
        <v>109</v>
      </c>
      <c r="D15" s="28" t="s">
        <v>405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9">
        <v>140000</v>
      </c>
      <c r="M15" s="179"/>
      <c r="N15" s="25">
        <f>E15*10%</f>
        <v>2848.9810000000002</v>
      </c>
      <c r="O15" s="25">
        <v>20000</v>
      </c>
      <c r="P15" s="25">
        <v>0</v>
      </c>
      <c r="Q15" s="204">
        <f>SUM(E15:P15)</f>
        <v>421394.00675000006</v>
      </c>
      <c r="R15" s="28" t="s">
        <v>48</v>
      </c>
      <c r="S15" s="204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20">
        <v>59441.782042666666</v>
      </c>
      <c r="X15" s="23">
        <f>'[7]October 2023'!$Z$85</f>
        <v>75440.404746666667</v>
      </c>
      <c r="Y15" s="25">
        <f t="shared" si="4"/>
        <v>15998.622704000001</v>
      </c>
      <c r="Z15" s="208">
        <f t="shared" si="5"/>
        <v>67327.537212666619</v>
      </c>
      <c r="AA15" s="23">
        <f>9</f>
        <v>9</v>
      </c>
      <c r="AB15" s="208">
        <f t="shared" si="6"/>
        <v>605947.83491399954</v>
      </c>
      <c r="AC15" s="180"/>
    </row>
    <row r="16" spans="1:29" ht="20.100000000000001" customHeight="1">
      <c r="A16" s="28">
        <v>4</v>
      </c>
      <c r="B16" s="156" t="s">
        <v>129</v>
      </c>
      <c r="C16" s="20" t="s">
        <v>131</v>
      </c>
      <c r="D16" s="28" t="s">
        <v>165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9">
        <f t="shared" ref="L16" si="9">120000</f>
        <v>120000</v>
      </c>
      <c r="M16" s="179"/>
      <c r="N16" s="25">
        <f>E16*10%</f>
        <v>2552.3450000000003</v>
      </c>
      <c r="O16" s="25">
        <v>15000</v>
      </c>
      <c r="P16" s="25"/>
      <c r="Q16" s="205">
        <f>SUM(E16:P16)</f>
        <v>369177.65375</v>
      </c>
      <c r="R16" s="28" t="s">
        <v>111</v>
      </c>
      <c r="S16" s="205">
        <f>'SALARY STRUCTURE'!I17+140000</f>
        <v>397211.25</v>
      </c>
      <c r="T16" s="23">
        <f t="shared" si="0"/>
        <v>28033.596250000002</v>
      </c>
      <c r="U16" s="25"/>
      <c r="V16" s="25"/>
      <c r="W16" s="318">
        <v>49548.776186666662</v>
      </c>
      <c r="X16" s="25" t="e">
        <f>'[7]October 2023'!$Z$62</f>
        <v>#REF!</v>
      </c>
      <c r="Y16" s="25" t="e">
        <f t="shared" si="4"/>
        <v>#REF!</v>
      </c>
      <c r="Z16" s="208" t="e">
        <f t="shared" si="5"/>
        <v>#REF!</v>
      </c>
      <c r="AA16" s="25">
        <f>(7/31)+2</f>
        <v>2.225806451612903</v>
      </c>
      <c r="AB16" s="208" t="e">
        <f t="shared" si="6"/>
        <v>#REF!</v>
      </c>
      <c r="AC16" s="180"/>
    </row>
    <row r="17" spans="1:29" ht="20.100000000000001" customHeight="1">
      <c r="A17" s="28"/>
      <c r="B17" s="159" t="s">
        <v>86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 t="e">
        <f t="shared" si="11"/>
        <v>#REF!</v>
      </c>
      <c r="Y17" s="68" t="e">
        <f t="shared" si="11"/>
        <v>#REF!</v>
      </c>
      <c r="Z17" s="337" t="e">
        <f t="shared" si="11"/>
        <v>#REF!</v>
      </c>
      <c r="AA17" s="68"/>
      <c r="AB17" s="337" t="e">
        <f t="shared" si="11"/>
        <v>#REF!</v>
      </c>
      <c r="AC17" s="180"/>
    </row>
    <row r="18" spans="1:29" ht="20.100000000000001" customHeight="1">
      <c r="A18" s="28"/>
      <c r="B18" s="123"/>
      <c r="C18" s="29"/>
      <c r="D18" s="29"/>
      <c r="E18" s="30"/>
      <c r="F18" s="30"/>
      <c r="G18" s="30"/>
      <c r="H18" s="30"/>
      <c r="I18" s="30"/>
      <c r="J18" s="30"/>
      <c r="K18" s="30"/>
      <c r="L18" s="179"/>
      <c r="M18" s="179"/>
      <c r="N18" s="30"/>
      <c r="O18" s="30"/>
      <c r="P18" s="30"/>
      <c r="Q18" s="212"/>
      <c r="R18" s="29"/>
      <c r="S18" s="212"/>
      <c r="T18" s="23"/>
      <c r="U18" s="30"/>
      <c r="V18" s="30"/>
      <c r="W18" s="322"/>
      <c r="X18" s="30"/>
      <c r="Y18" s="25">
        <f t="shared" si="4"/>
        <v>0</v>
      </c>
      <c r="Z18" s="208">
        <f t="shared" si="5"/>
        <v>0</v>
      </c>
      <c r="AA18" s="30"/>
      <c r="AB18" s="208">
        <f t="shared" si="6"/>
        <v>0</v>
      </c>
      <c r="AC18" s="180"/>
    </row>
    <row r="19" spans="1:29" ht="20.100000000000001" customHeight="1">
      <c r="A19" s="28"/>
      <c r="B19" s="159" t="s">
        <v>143</v>
      </c>
      <c r="C19" s="29"/>
      <c r="D19" s="29"/>
      <c r="E19" s="30"/>
      <c r="F19" s="30"/>
      <c r="G19" s="30"/>
      <c r="H19" s="30"/>
      <c r="I19" s="30"/>
      <c r="J19" s="30"/>
      <c r="K19" s="30"/>
      <c r="L19" s="179"/>
      <c r="M19" s="179"/>
      <c r="N19" s="30"/>
      <c r="O19" s="30"/>
      <c r="P19" s="30"/>
      <c r="Q19" s="212"/>
      <c r="R19" s="29"/>
      <c r="S19" s="212"/>
      <c r="T19" s="23"/>
      <c r="U19" s="30"/>
      <c r="V19" s="30"/>
      <c r="W19" s="322"/>
      <c r="X19" s="30"/>
      <c r="Y19" s="25">
        <f t="shared" si="4"/>
        <v>0</v>
      </c>
      <c r="Z19" s="208">
        <f t="shared" si="5"/>
        <v>0</v>
      </c>
      <c r="AA19" s="30"/>
      <c r="AB19" s="208">
        <f t="shared" si="6"/>
        <v>0</v>
      </c>
      <c r="AC19" s="180"/>
    </row>
    <row r="20" spans="1:29" ht="20.100000000000001" customHeight="1">
      <c r="A20" s="28">
        <v>5</v>
      </c>
      <c r="B20" s="156" t="s">
        <v>150</v>
      </c>
      <c r="C20" s="20" t="s">
        <v>406</v>
      </c>
      <c r="D20" s="181" t="s">
        <v>165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9">
        <f>120000</f>
        <v>120000</v>
      </c>
      <c r="M20" s="179"/>
      <c r="N20" s="25">
        <f>E20*10%</f>
        <v>2552.3450000000003</v>
      </c>
      <c r="O20" s="25">
        <v>15000</v>
      </c>
      <c r="P20" s="25">
        <v>0</v>
      </c>
      <c r="Q20" s="204">
        <f>SUM(E20:P20)</f>
        <v>369177.65375</v>
      </c>
      <c r="R20" s="181" t="s">
        <v>111</v>
      </c>
      <c r="S20" s="204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8">
        <v>49548.776186666662</v>
      </c>
      <c r="X20" s="25" t="e">
        <f>'[7]October 2023'!$Z$78</f>
        <v>#REF!</v>
      </c>
      <c r="Y20" s="25" t="e">
        <f t="shared" si="4"/>
        <v>#REF!</v>
      </c>
      <c r="Z20" s="208" t="e">
        <f t="shared" si="5"/>
        <v>#REF!</v>
      </c>
      <c r="AA20" s="25">
        <f>9</f>
        <v>9</v>
      </c>
      <c r="AB20" s="208" t="e">
        <f t="shared" si="6"/>
        <v>#REF!</v>
      </c>
      <c r="AC20" s="180"/>
    </row>
    <row r="21" spans="1:29" ht="20.100000000000001" customHeight="1">
      <c r="A21" s="28"/>
      <c r="B21" s="159" t="s">
        <v>86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21">
        <f>SUM(W20:W20)</f>
        <v>49548.776186666662</v>
      </c>
      <c r="X21" s="321" t="e">
        <f t="shared" ref="X21:AB21" si="13">SUM(X20:X20)</f>
        <v>#REF!</v>
      </c>
      <c r="Y21" s="321" t="e">
        <f t="shared" si="13"/>
        <v>#REF!</v>
      </c>
      <c r="Z21" s="338" t="e">
        <f t="shared" si="13"/>
        <v>#REF!</v>
      </c>
      <c r="AA21" s="321"/>
      <c r="AB21" s="338" t="e">
        <f t="shared" si="13"/>
        <v>#REF!</v>
      </c>
      <c r="AC21" s="180"/>
    </row>
    <row r="22" spans="1:29" ht="20.100000000000001" customHeight="1">
      <c r="A22" s="28"/>
      <c r="B22" s="159"/>
      <c r="C22" s="29"/>
      <c r="D22" s="29"/>
      <c r="E22" s="30"/>
      <c r="F22" s="30"/>
      <c r="G22" s="30"/>
      <c r="H22" s="30"/>
      <c r="I22" s="30"/>
      <c r="J22" s="30"/>
      <c r="K22" s="30"/>
      <c r="L22" s="179"/>
      <c r="M22" s="179"/>
      <c r="N22" s="30"/>
      <c r="O22" s="30"/>
      <c r="P22" s="30"/>
      <c r="Q22" s="213"/>
      <c r="R22" s="29"/>
      <c r="S22" s="213"/>
      <c r="T22" s="23"/>
      <c r="U22" s="182"/>
      <c r="V22" s="182"/>
      <c r="W22" s="322"/>
      <c r="X22" s="30"/>
      <c r="Y22" s="25">
        <f t="shared" si="4"/>
        <v>0</v>
      </c>
      <c r="Z22" s="208">
        <f t="shared" si="5"/>
        <v>0</v>
      </c>
      <c r="AA22" s="30"/>
      <c r="AB22" s="208">
        <f t="shared" si="6"/>
        <v>0</v>
      </c>
      <c r="AC22" s="180"/>
    </row>
    <row r="23" spans="1:29" ht="20.100000000000001" customHeight="1">
      <c r="A23" s="28"/>
      <c r="B23" s="159" t="s">
        <v>158</v>
      </c>
      <c r="C23" s="186"/>
      <c r="D23" s="29"/>
      <c r="E23" s="30"/>
      <c r="F23" s="30"/>
      <c r="G23" s="30"/>
      <c r="H23" s="30"/>
      <c r="I23" s="30"/>
      <c r="J23" s="30"/>
      <c r="K23" s="30"/>
      <c r="L23" s="179"/>
      <c r="M23" s="179"/>
      <c r="N23" s="30"/>
      <c r="O23" s="30"/>
      <c r="P23" s="30"/>
      <c r="Q23" s="213"/>
      <c r="R23" s="29"/>
      <c r="S23" s="213"/>
      <c r="T23" s="23"/>
      <c r="U23" s="182"/>
      <c r="V23" s="182"/>
      <c r="W23" s="322"/>
      <c r="X23" s="30"/>
      <c r="Y23" s="25">
        <f t="shared" si="4"/>
        <v>0</v>
      </c>
      <c r="Z23" s="208">
        <f t="shared" si="5"/>
        <v>0</v>
      </c>
      <c r="AA23" s="30"/>
      <c r="AB23" s="208">
        <f t="shared" si="6"/>
        <v>0</v>
      </c>
      <c r="AC23" s="180"/>
    </row>
    <row r="24" spans="1:29" ht="20.100000000000001" customHeight="1">
      <c r="A24" s="28">
        <v>6</v>
      </c>
      <c r="B24" s="156" t="s">
        <v>162</v>
      </c>
      <c r="C24" s="20" t="s">
        <v>107</v>
      </c>
      <c r="D24" s="28" t="s">
        <v>51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9">
        <v>140000</v>
      </c>
      <c r="M24" s="179"/>
      <c r="N24" s="25">
        <f>E24*10%</f>
        <v>2761.123</v>
      </c>
      <c r="O24" s="25">
        <v>20000</v>
      </c>
      <c r="P24" s="25"/>
      <c r="Q24" s="204">
        <f>SUM(E24:P24)</f>
        <v>413333.03525000007</v>
      </c>
      <c r="R24" s="28" t="s">
        <v>48</v>
      </c>
      <c r="S24" s="204">
        <f>'SALARY STRUCTURE'!H18+160000</f>
        <v>504720.16666666669</v>
      </c>
      <c r="T24" s="23">
        <f t="shared" si="0"/>
        <v>91387.131416666612</v>
      </c>
      <c r="U24" s="23"/>
      <c r="V24" s="23"/>
      <c r="W24" s="320">
        <v>58026.609434666672</v>
      </c>
      <c r="X24" s="23" t="e">
        <f>'[7]October 2023'!$Z$86</f>
        <v>#REF!</v>
      </c>
      <c r="Y24" s="25" t="e">
        <f t="shared" si="4"/>
        <v>#REF!</v>
      </c>
      <c r="Z24" s="208" t="e">
        <f t="shared" si="5"/>
        <v>#REF!</v>
      </c>
      <c r="AA24" s="23">
        <v>1</v>
      </c>
      <c r="AB24" s="208" t="e">
        <f t="shared" si="6"/>
        <v>#REF!</v>
      </c>
      <c r="AC24" s="180"/>
    </row>
    <row r="25" spans="1:29" ht="21.6" customHeight="1">
      <c r="A25" s="28">
        <v>7</v>
      </c>
      <c r="B25" s="156" t="s">
        <v>167</v>
      </c>
      <c r="C25" s="161" t="s">
        <v>131</v>
      </c>
      <c r="D25" s="181" t="s">
        <v>57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9">
        <f t="shared" ref="L25" si="14">120000</f>
        <v>120000</v>
      </c>
      <c r="M25" s="179"/>
      <c r="N25" s="25">
        <f>E25*10%</f>
        <v>2474.1260000000002</v>
      </c>
      <c r="O25" s="25">
        <v>15000</v>
      </c>
      <c r="P25" s="25">
        <v>0</v>
      </c>
      <c r="Q25" s="204">
        <f>SUM(E25:P25)</f>
        <v>362001.06049999996</v>
      </c>
      <c r="R25" s="181" t="s">
        <v>168</v>
      </c>
      <c r="S25" s="204">
        <f>'SALARY STRUCTURE'!H17+140000</f>
        <v>389153.41666666663</v>
      </c>
      <c r="T25" s="23">
        <f t="shared" si="0"/>
        <v>27152.356166666665</v>
      </c>
      <c r="U25" s="23"/>
      <c r="V25" s="23"/>
      <c r="W25" s="318">
        <v>48170.870282666663</v>
      </c>
      <c r="X25" s="25" t="e">
        <f>'[7]October 2023'!$Z$89</f>
        <v>#REF!</v>
      </c>
      <c r="Y25" s="25" t="e">
        <f t="shared" si="4"/>
        <v>#REF!</v>
      </c>
      <c r="Z25" s="208" t="e">
        <f t="shared" si="5"/>
        <v>#REF!</v>
      </c>
      <c r="AA25" s="25">
        <f>(19/31)+2</f>
        <v>2.6129032258064515</v>
      </c>
      <c r="AB25" s="208" t="e">
        <f t="shared" si="6"/>
        <v>#REF!</v>
      </c>
      <c r="AC25" s="180"/>
    </row>
    <row r="26" spans="1:29" ht="20.100000000000001" customHeight="1">
      <c r="A26" s="28"/>
      <c r="B26" s="159" t="s">
        <v>86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 t="e">
        <f t="shared" si="16"/>
        <v>#REF!</v>
      </c>
      <c r="Y26" s="68" t="e">
        <f t="shared" si="16"/>
        <v>#REF!</v>
      </c>
      <c r="Z26" s="337" t="e">
        <f t="shared" si="16"/>
        <v>#REF!</v>
      </c>
      <c r="AA26" s="68"/>
      <c r="AB26" s="337" t="e">
        <f t="shared" si="16"/>
        <v>#REF!</v>
      </c>
      <c r="AC26" s="180"/>
    </row>
    <row r="27" spans="1:29" ht="20.100000000000001" customHeight="1">
      <c r="A27" s="28"/>
      <c r="B27" s="123"/>
      <c r="C27" s="29"/>
      <c r="D27" s="29"/>
      <c r="E27" s="30"/>
      <c r="F27" s="30"/>
      <c r="G27" s="30"/>
      <c r="H27" s="30"/>
      <c r="I27" s="30"/>
      <c r="J27" s="30"/>
      <c r="K27" s="30"/>
      <c r="L27" s="179"/>
      <c r="M27" s="179"/>
      <c r="N27" s="30"/>
      <c r="O27" s="30"/>
      <c r="P27" s="30"/>
      <c r="Q27" s="212"/>
      <c r="R27" s="29"/>
      <c r="S27" s="212"/>
      <c r="T27" s="23">
        <f t="shared" si="0"/>
        <v>0</v>
      </c>
      <c r="U27" s="30"/>
      <c r="V27" s="30"/>
      <c r="W27" s="322"/>
      <c r="X27" s="30"/>
      <c r="Y27" s="25">
        <f t="shared" si="4"/>
        <v>0</v>
      </c>
      <c r="Z27" s="208">
        <f t="shared" si="5"/>
        <v>0</v>
      </c>
      <c r="AA27" s="30"/>
      <c r="AB27" s="208">
        <f t="shared" si="6"/>
        <v>0</v>
      </c>
      <c r="AC27" s="180"/>
    </row>
    <row r="28" spans="1:29" ht="20.100000000000001" customHeight="1">
      <c r="A28" s="28"/>
      <c r="B28" s="159" t="s">
        <v>175</v>
      </c>
      <c r="C28" s="29"/>
      <c r="D28" s="29"/>
      <c r="E28" s="30"/>
      <c r="F28" s="30"/>
      <c r="G28" s="30"/>
      <c r="H28" s="30"/>
      <c r="I28" s="30"/>
      <c r="J28" s="30"/>
      <c r="K28" s="30"/>
      <c r="L28" s="179"/>
      <c r="M28" s="179"/>
      <c r="N28" s="30"/>
      <c r="O28" s="30"/>
      <c r="P28" s="30"/>
      <c r="Q28" s="212"/>
      <c r="R28" s="29"/>
      <c r="S28" s="212"/>
      <c r="T28" s="23">
        <f t="shared" si="0"/>
        <v>0</v>
      </c>
      <c r="U28" s="30"/>
      <c r="V28" s="30"/>
      <c r="W28" s="322"/>
      <c r="X28" s="30"/>
      <c r="Y28" s="25">
        <f t="shared" si="4"/>
        <v>0</v>
      </c>
      <c r="Z28" s="208">
        <f t="shared" si="5"/>
        <v>0</v>
      </c>
      <c r="AA28" s="30"/>
      <c r="AB28" s="208">
        <f t="shared" si="6"/>
        <v>0</v>
      </c>
      <c r="AC28" s="180"/>
    </row>
    <row r="29" spans="1:29" ht="20.100000000000001" customHeight="1">
      <c r="A29" s="28">
        <v>8</v>
      </c>
      <c r="B29" s="156" t="s">
        <v>46</v>
      </c>
      <c r="C29" s="20" t="s">
        <v>179</v>
      </c>
      <c r="D29" s="28" t="s">
        <v>51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9">
        <v>140000</v>
      </c>
      <c r="M29" s="179"/>
      <c r="N29" s="25">
        <f>E29*10%</f>
        <v>2761.123</v>
      </c>
      <c r="O29" s="25">
        <v>20000</v>
      </c>
      <c r="P29" s="25">
        <f>100000</f>
        <v>100000</v>
      </c>
      <c r="Q29" s="204">
        <f>SUM(E29:P29)</f>
        <v>513333.03525000007</v>
      </c>
      <c r="R29" s="28" t="s">
        <v>48</v>
      </c>
      <c r="S29" s="204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20">
        <f>77098.29</f>
        <v>77098.289999999994</v>
      </c>
      <c r="X29" s="23" t="e">
        <f>'[7]October 2023'!$Z$97</f>
        <v>#REF!</v>
      </c>
      <c r="Y29" s="25" t="e">
        <f t="shared" si="4"/>
        <v>#REF!</v>
      </c>
      <c r="Z29" s="208" t="e">
        <f t="shared" si="5"/>
        <v>#REF!</v>
      </c>
      <c r="AA29" s="23">
        <f>3</f>
        <v>3</v>
      </c>
      <c r="AB29" s="208" t="e">
        <f t="shared" si="6"/>
        <v>#REF!</v>
      </c>
      <c r="AC29" s="180"/>
    </row>
    <row r="30" spans="1:29" ht="20.100000000000001" customHeight="1">
      <c r="A30" s="28">
        <v>9</v>
      </c>
      <c r="B30" s="156" t="s">
        <v>178</v>
      </c>
      <c r="C30" s="20" t="s">
        <v>240</v>
      </c>
      <c r="D30" s="181" t="s">
        <v>165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9"/>
      <c r="M30" s="179">
        <v>70000</v>
      </c>
      <c r="N30" s="25">
        <f>E30*10%</f>
        <v>2552.3450000000003</v>
      </c>
      <c r="O30" s="25">
        <v>15000</v>
      </c>
      <c r="P30" s="25">
        <v>0</v>
      </c>
      <c r="Q30" s="204">
        <f>SUM(E30:P30)</f>
        <v>319177.65375</v>
      </c>
      <c r="R30" s="181" t="s">
        <v>111</v>
      </c>
      <c r="S30" s="204">
        <f>'SALARY STRUCTURE'!I17+70000</f>
        <v>327211.25</v>
      </c>
      <c r="T30" s="23">
        <f t="shared" si="0"/>
        <v>8033.5962500000023</v>
      </c>
      <c r="U30" s="23"/>
      <c r="V30" s="23"/>
      <c r="W30" s="318">
        <v>40698.124856666655</v>
      </c>
      <c r="X30" s="25" t="e">
        <f>'[7]October 2023'!$Z$129</f>
        <v>#REF!</v>
      </c>
      <c r="Y30" s="25" t="e">
        <f t="shared" si="4"/>
        <v>#REF!</v>
      </c>
      <c r="Z30" s="208" t="e">
        <f t="shared" si="5"/>
        <v>#REF!</v>
      </c>
      <c r="AA30" s="25">
        <v>7</v>
      </c>
      <c r="AB30" s="208" t="e">
        <f t="shared" si="6"/>
        <v>#REF!</v>
      </c>
      <c r="AC30" s="180"/>
    </row>
    <row r="31" spans="1:29" ht="20.100000000000001" customHeight="1">
      <c r="A31" s="28">
        <v>10</v>
      </c>
      <c r="B31" s="156" t="s">
        <v>182</v>
      </c>
      <c r="C31" s="20" t="s">
        <v>407</v>
      </c>
      <c r="D31" s="181" t="s">
        <v>76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9"/>
      <c r="M31" s="179">
        <v>50000</v>
      </c>
      <c r="N31" s="25">
        <v>1349.221</v>
      </c>
      <c r="O31" s="25">
        <v>10000</v>
      </c>
      <c r="P31" s="25"/>
      <c r="Q31" s="204">
        <v>183791.02674999999</v>
      </c>
      <c r="R31" s="181" t="s">
        <v>95</v>
      </c>
      <c r="S31" s="204">
        <f>'SALARY STRUCTURE'!H14+60000</f>
        <v>228601.58333333334</v>
      </c>
      <c r="T31" s="23">
        <f t="shared" si="0"/>
        <v>44810.556583333353</v>
      </c>
      <c r="U31" s="23"/>
      <c r="V31" s="23"/>
      <c r="W31" s="318">
        <v>18102.902732666666</v>
      </c>
      <c r="X31" s="25" t="e">
        <f>'[7]October 2023'!$Z$30</f>
        <v>#REF!</v>
      </c>
      <c r="Y31" s="25" t="e">
        <f t="shared" si="4"/>
        <v>#REF!</v>
      </c>
      <c r="Z31" s="208" t="e">
        <f t="shared" si="5"/>
        <v>#REF!</v>
      </c>
      <c r="AA31" s="25">
        <v>1</v>
      </c>
      <c r="AB31" s="208" t="e">
        <f t="shared" si="6"/>
        <v>#REF!</v>
      </c>
      <c r="AC31" s="180"/>
    </row>
    <row r="32" spans="1:29" ht="20.100000000000001" customHeight="1">
      <c r="A32" s="20"/>
      <c r="B32" s="159" t="s">
        <v>86</v>
      </c>
      <c r="C32" s="29">
        <v>3</v>
      </c>
      <c r="D32" s="187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7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21">
        <f>SUM(W29:W31)</f>
        <v>135899.31758933331</v>
      </c>
      <c r="X32" s="321" t="e">
        <f t="shared" ref="X32:AB32" si="18">SUM(X29:X31)</f>
        <v>#REF!</v>
      </c>
      <c r="Y32" s="321" t="e">
        <f t="shared" si="18"/>
        <v>#REF!</v>
      </c>
      <c r="Z32" s="338" t="e">
        <f t="shared" si="18"/>
        <v>#REF!</v>
      </c>
      <c r="AA32" s="321"/>
      <c r="AB32" s="338" t="e">
        <f t="shared" si="18"/>
        <v>#REF!</v>
      </c>
      <c r="AC32" s="180"/>
    </row>
    <row r="33" spans="1:29" ht="20.100000000000001" customHeight="1">
      <c r="A33" s="20"/>
      <c r="B33" s="123"/>
      <c r="C33" s="28"/>
      <c r="D33" s="20"/>
      <c r="E33" s="189"/>
      <c r="F33" s="189"/>
      <c r="G33" s="189"/>
      <c r="H33" s="189"/>
      <c r="I33" s="189"/>
      <c r="J33" s="189"/>
      <c r="K33" s="189"/>
      <c r="L33" s="179"/>
      <c r="M33" s="179"/>
      <c r="N33" s="189"/>
      <c r="O33" s="189"/>
      <c r="P33" s="189"/>
      <c r="Q33" s="206"/>
      <c r="R33" s="20"/>
      <c r="S33" s="206"/>
      <c r="T33" s="23"/>
      <c r="U33" s="189"/>
      <c r="V33" s="189"/>
      <c r="W33" s="323"/>
      <c r="X33" s="189"/>
      <c r="Y33" s="25">
        <f t="shared" si="4"/>
        <v>0</v>
      </c>
      <c r="Z33" s="208">
        <f t="shared" si="5"/>
        <v>0</v>
      </c>
      <c r="AA33" s="189"/>
      <c r="AB33" s="208">
        <f t="shared" si="6"/>
        <v>0</v>
      </c>
      <c r="AC33" s="180"/>
    </row>
    <row r="34" spans="1:29" ht="20.100000000000001" customHeight="1">
      <c r="A34" s="20"/>
      <c r="B34" s="159" t="s">
        <v>204</v>
      </c>
      <c r="C34" s="29"/>
      <c r="D34" s="29"/>
      <c r="E34" s="30"/>
      <c r="F34" s="30"/>
      <c r="G34" s="30"/>
      <c r="H34" s="30"/>
      <c r="I34" s="30"/>
      <c r="J34" s="30"/>
      <c r="K34" s="30"/>
      <c r="L34" s="179"/>
      <c r="M34" s="179"/>
      <c r="N34" s="30"/>
      <c r="O34" s="30"/>
      <c r="P34" s="30"/>
      <c r="Q34" s="213"/>
      <c r="R34" s="29"/>
      <c r="S34" s="213"/>
      <c r="T34" s="23"/>
      <c r="U34" s="182"/>
      <c r="V34" s="182"/>
      <c r="W34" s="322"/>
      <c r="X34" s="30"/>
      <c r="Y34" s="25">
        <f t="shared" si="4"/>
        <v>0</v>
      </c>
      <c r="Z34" s="208">
        <f t="shared" si="5"/>
        <v>0</v>
      </c>
      <c r="AA34" s="30"/>
      <c r="AB34" s="208">
        <f t="shared" si="6"/>
        <v>0</v>
      </c>
      <c r="AC34" s="180"/>
    </row>
    <row r="35" spans="1:29" ht="20.100000000000001" customHeight="1">
      <c r="A35" s="20">
        <v>11</v>
      </c>
      <c r="B35" s="156" t="s">
        <v>215</v>
      </c>
      <c r="C35" s="161" t="s">
        <v>408</v>
      </c>
      <c r="D35" s="181" t="s">
        <v>165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9"/>
      <c r="M35" s="179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4">
        <f>SUM(E35:P35)</f>
        <v>319177.65375</v>
      </c>
      <c r="R35" s="181" t="s">
        <v>111</v>
      </c>
      <c r="S35" s="204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8">
        <v>40684.599176666663</v>
      </c>
      <c r="X35" s="25" t="e">
        <f>'[7]October 2023'!$Z$118</f>
        <v>#REF!</v>
      </c>
      <c r="Y35" s="25" t="e">
        <f t="shared" si="4"/>
        <v>#REF!</v>
      </c>
      <c r="Z35" s="208" t="e">
        <f t="shared" si="5"/>
        <v>#REF!</v>
      </c>
      <c r="AA35" s="25">
        <f>9</f>
        <v>9</v>
      </c>
      <c r="AB35" s="208" t="e">
        <f t="shared" si="6"/>
        <v>#REF!</v>
      </c>
      <c r="AC35" s="180"/>
    </row>
    <row r="36" spans="1:29" ht="28.5" customHeight="1">
      <c r="A36" s="20"/>
      <c r="B36" s="159" t="s">
        <v>86</v>
      </c>
      <c r="C36" s="187" t="s">
        <v>409</v>
      </c>
      <c r="D36" s="181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81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 t="e">
        <f t="shared" si="21"/>
        <v>#REF!</v>
      </c>
      <c r="Y36" s="30" t="e">
        <f t="shared" si="21"/>
        <v>#REF!</v>
      </c>
      <c r="Z36" s="218" t="e">
        <f t="shared" si="21"/>
        <v>#REF!</v>
      </c>
      <c r="AA36" s="30"/>
      <c r="AB36" s="218" t="e">
        <f>SUM(AB35:AB35)</f>
        <v>#REF!</v>
      </c>
      <c r="AC36" s="180"/>
    </row>
    <row r="37" spans="1:29" ht="20.100000000000001" customHeight="1">
      <c r="A37" s="20"/>
      <c r="B37" s="123"/>
      <c r="C37" s="187"/>
      <c r="D37" s="181"/>
      <c r="E37" s="30"/>
      <c r="F37" s="30"/>
      <c r="G37" s="30"/>
      <c r="H37" s="30"/>
      <c r="I37" s="30"/>
      <c r="J37" s="182"/>
      <c r="K37" s="30"/>
      <c r="L37" s="179">
        <f>226713.38+70000</f>
        <v>296713.38</v>
      </c>
      <c r="M37" s="179"/>
      <c r="N37" s="30"/>
      <c r="O37" s="30"/>
      <c r="P37" s="30"/>
      <c r="Q37" s="213"/>
      <c r="R37" s="181"/>
      <c r="S37" s="213"/>
      <c r="T37" s="23"/>
      <c r="U37" s="182"/>
      <c r="V37" s="182"/>
      <c r="W37" s="322"/>
      <c r="X37" s="30"/>
      <c r="Y37" s="25"/>
      <c r="Z37" s="208"/>
      <c r="AA37" s="30"/>
      <c r="AB37" s="208"/>
      <c r="AC37" s="180"/>
    </row>
    <row r="38" spans="1:29" ht="20.100000000000001" customHeight="1">
      <c r="A38" s="20"/>
      <c r="B38" s="159" t="s">
        <v>223</v>
      </c>
      <c r="C38" s="161"/>
      <c r="D38" s="181"/>
      <c r="E38" s="25"/>
      <c r="F38" s="25"/>
      <c r="G38" s="25"/>
      <c r="H38" s="25"/>
      <c r="I38" s="25"/>
      <c r="J38" s="23"/>
      <c r="K38" s="25"/>
      <c r="L38" s="179"/>
      <c r="M38" s="179"/>
      <c r="N38" s="25"/>
      <c r="O38" s="25"/>
      <c r="P38" s="25"/>
      <c r="Q38" s="204"/>
      <c r="R38" s="181"/>
      <c r="S38" s="204"/>
      <c r="T38" s="23"/>
      <c r="U38" s="23"/>
      <c r="V38" s="23"/>
      <c r="W38" s="318"/>
      <c r="X38" s="25"/>
      <c r="Y38" s="25"/>
      <c r="Z38" s="208"/>
      <c r="AA38" s="25"/>
      <c r="AB38" s="208"/>
      <c r="AC38" s="180"/>
    </row>
    <row r="39" spans="1:29" ht="20.100000000000001" customHeight="1">
      <c r="A39" s="191">
        <v>12</v>
      </c>
      <c r="B39" s="156" t="s">
        <v>243</v>
      </c>
      <c r="C39" s="161" t="s">
        <v>410</v>
      </c>
      <c r="D39" s="181" t="s">
        <v>411</v>
      </c>
      <c r="E39" s="179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9"/>
      <c r="M39" s="179">
        <f>60000</f>
        <v>60000</v>
      </c>
      <c r="N39" s="25">
        <f t="shared" ref="N39:N45" si="27">E39*10%</f>
        <v>1877.93</v>
      </c>
      <c r="O39" s="25">
        <v>10000</v>
      </c>
      <c r="P39" s="25"/>
      <c r="Q39" s="204">
        <f t="shared" ref="Q39:Q45" si="28">SUM(E39:P39)</f>
        <v>242300.07749999996</v>
      </c>
      <c r="R39" s="181" t="s">
        <v>66</v>
      </c>
      <c r="S39" s="204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8">
        <v>27794.206626666662</v>
      </c>
      <c r="X39" s="25" t="e">
        <f>'[7]October 2023'!$Z$134</f>
        <v>#REF!</v>
      </c>
      <c r="Y39" s="25" t="e">
        <f t="shared" si="4"/>
        <v>#REF!</v>
      </c>
      <c r="Z39" s="208" t="e">
        <f t="shared" si="5"/>
        <v>#REF!</v>
      </c>
      <c r="AA39" s="25">
        <v>9</v>
      </c>
      <c r="AB39" s="208" t="e">
        <f t="shared" si="6"/>
        <v>#REF!</v>
      </c>
      <c r="AC39" s="180"/>
    </row>
    <row r="40" spans="1:29" ht="20.100000000000001" customHeight="1">
      <c r="A40" s="191">
        <v>13</v>
      </c>
      <c r="B40" s="157" t="s">
        <v>247</v>
      </c>
      <c r="C40" s="20" t="s">
        <v>257</v>
      </c>
      <c r="D40" s="181" t="s">
        <v>411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9"/>
      <c r="M40" s="179">
        <v>60000</v>
      </c>
      <c r="N40" s="25">
        <f t="shared" si="27"/>
        <v>1877.93</v>
      </c>
      <c r="O40" s="25">
        <v>10000</v>
      </c>
      <c r="P40" s="25"/>
      <c r="Q40" s="204">
        <f t="shared" si="28"/>
        <v>242300.07749999996</v>
      </c>
      <c r="R40" s="181" t="s">
        <v>66</v>
      </c>
      <c r="S40" s="204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8">
        <v>27873.079686666664</v>
      </c>
      <c r="X40" s="25" t="e">
        <f>'[7]October 2023'!$Z$24</f>
        <v>#REF!</v>
      </c>
      <c r="Y40" s="25" t="e">
        <f t="shared" si="4"/>
        <v>#REF!</v>
      </c>
      <c r="Z40" s="208" t="e">
        <f t="shared" si="5"/>
        <v>#REF!</v>
      </c>
      <c r="AA40" s="25">
        <v>1</v>
      </c>
      <c r="AB40" s="208" t="e">
        <f t="shared" si="6"/>
        <v>#REF!</v>
      </c>
      <c r="AC40" s="180"/>
    </row>
    <row r="41" spans="1:29" ht="20.100000000000001" customHeight="1">
      <c r="A41" s="191">
        <v>14</v>
      </c>
      <c r="B41" s="157" t="s">
        <v>266</v>
      </c>
      <c r="C41" s="161" t="s">
        <v>271</v>
      </c>
      <c r="D41" s="181" t="s">
        <v>76</v>
      </c>
      <c r="E41" s="179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9"/>
      <c r="M41" s="179">
        <f>50000</f>
        <v>50000</v>
      </c>
      <c r="N41" s="25">
        <f t="shared" si="27"/>
        <v>1349.221</v>
      </c>
      <c r="O41" s="25">
        <v>10000</v>
      </c>
      <c r="P41" s="20"/>
      <c r="Q41" s="205">
        <f t="shared" si="28"/>
        <v>183791.02674999999</v>
      </c>
      <c r="R41" s="181" t="s">
        <v>73</v>
      </c>
      <c r="S41" s="205">
        <f>'SALARY STRUCTURE'!H13+60000</f>
        <v>205203.66666666666</v>
      </c>
      <c r="T41" s="23">
        <f t="shared" si="0"/>
        <v>21412.639916666667</v>
      </c>
      <c r="U41" s="23"/>
      <c r="V41" s="23"/>
      <c r="W41" s="318">
        <v>18102.902732666666</v>
      </c>
      <c r="X41" s="25" t="e">
        <f>'[7]October 2023'!$Z$145</f>
        <v>#REF!</v>
      </c>
      <c r="Y41" s="25" t="e">
        <f t="shared" si="4"/>
        <v>#REF!</v>
      </c>
      <c r="Z41" s="208" t="e">
        <f t="shared" si="5"/>
        <v>#REF!</v>
      </c>
      <c r="AA41" s="25">
        <v>2</v>
      </c>
      <c r="AB41" s="208" t="e">
        <f t="shared" si="6"/>
        <v>#REF!</v>
      </c>
      <c r="AC41" s="180"/>
    </row>
    <row r="42" spans="1:29" ht="20.100000000000001" customHeight="1">
      <c r="A42" s="191">
        <v>15</v>
      </c>
      <c r="B42" s="156" t="s">
        <v>291</v>
      </c>
      <c r="C42" s="161" t="s">
        <v>297</v>
      </c>
      <c r="D42" s="181" t="s">
        <v>397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9"/>
      <c r="M42" s="179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4">
        <f t="shared" si="28"/>
        <v>81803.001000000018</v>
      </c>
      <c r="R42" s="181" t="s">
        <v>293</v>
      </c>
      <c r="S42" s="204">
        <f>'SALARY STRUCTURE'!D11+30000</f>
        <v>115104.91666666667</v>
      </c>
      <c r="T42" s="23">
        <f t="shared" si="0"/>
        <v>33301.915666666653</v>
      </c>
      <c r="U42" s="23"/>
      <c r="V42" s="23"/>
      <c r="W42" s="320">
        <v>4365.3307546666683</v>
      </c>
      <c r="X42" s="23">
        <f>'[7]October 2023'!$Z$164</f>
        <v>8312.5899999999983</v>
      </c>
      <c r="Y42" s="25">
        <f t="shared" si="4"/>
        <v>3947.25924533333</v>
      </c>
      <c r="Z42" s="208">
        <f t="shared" si="5"/>
        <v>29354.656421333322</v>
      </c>
      <c r="AA42" s="23">
        <f>(10/31)+2</f>
        <v>2.3225806451612905</v>
      </c>
      <c r="AB42" s="208">
        <f t="shared" si="6"/>
        <v>68178.55684954836</v>
      </c>
      <c r="AC42" s="180"/>
    </row>
    <row r="43" spans="1:29" s="357" customFormat="1" ht="20.100000000000001" customHeight="1">
      <c r="A43" s="350">
        <v>16</v>
      </c>
      <c r="B43" s="351" t="s">
        <v>294</v>
      </c>
      <c r="C43" s="352" t="s">
        <v>297</v>
      </c>
      <c r="D43" s="353" t="s">
        <v>397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54"/>
      <c r="M43" s="354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53" t="s">
        <v>293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55">
        <f>4365.33075466667</f>
        <v>4365.3307546666701</v>
      </c>
      <c r="X43" s="15">
        <f>'[7]October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6"/>
    </row>
    <row r="44" spans="1:29" ht="20.100000000000001" customHeight="1">
      <c r="A44" s="191">
        <v>17</v>
      </c>
      <c r="B44" s="157" t="s">
        <v>295</v>
      </c>
      <c r="C44" s="161" t="s">
        <v>297</v>
      </c>
      <c r="D44" s="181" t="s">
        <v>398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9"/>
      <c r="M44" s="179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4">
        <f t="shared" si="28"/>
        <v>83370.091</v>
      </c>
      <c r="R44" s="181" t="s">
        <v>293</v>
      </c>
      <c r="S44" s="204">
        <v>115104.91666666667</v>
      </c>
      <c r="T44" s="23">
        <f t="shared" si="0"/>
        <v>31734.825666666671</v>
      </c>
      <c r="U44" s="23"/>
      <c r="V44" s="23"/>
      <c r="W44" s="320">
        <v>4504.4109199999994</v>
      </c>
      <c r="X44" s="23">
        <f>'[7]October 2023'!$Z$164</f>
        <v>8312.5899999999983</v>
      </c>
      <c r="Y44" s="25">
        <f t="shared" si="4"/>
        <v>3808.179079999999</v>
      </c>
      <c r="Z44" s="208">
        <f t="shared" si="5"/>
        <v>27926.646586666673</v>
      </c>
      <c r="AA44" s="23">
        <v>8</v>
      </c>
      <c r="AB44" s="208">
        <f t="shared" si="6"/>
        <v>223413.17269333338</v>
      </c>
      <c r="AC44" s="180"/>
    </row>
    <row r="45" spans="1:29" ht="20.100000000000001" customHeight="1">
      <c r="A45" s="191">
        <v>18</v>
      </c>
      <c r="B45" s="157" t="s">
        <v>310</v>
      </c>
      <c r="C45" s="161" t="s">
        <v>300</v>
      </c>
      <c r="D45" s="181" t="s">
        <v>412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9"/>
      <c r="M45" s="179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4">
        <f t="shared" si="28"/>
        <v>67025.061499999996</v>
      </c>
      <c r="R45" s="181" t="s">
        <v>312</v>
      </c>
      <c r="S45" s="204">
        <f>'SALARY STRUCTURE'!I9+20000+7000</f>
        <v>77104.416666666657</v>
      </c>
      <c r="T45" s="23">
        <f t="shared" si="0"/>
        <v>10079.355166666661</v>
      </c>
      <c r="U45" s="23"/>
      <c r="V45" s="23"/>
      <c r="W45" s="320">
        <v>3064.8720786666654</v>
      </c>
      <c r="X45" s="23" t="e">
        <f>'[7]October 2023'!$Z$177</f>
        <v>#REF!</v>
      </c>
      <c r="Y45" s="25" t="e">
        <f t="shared" si="4"/>
        <v>#REF!</v>
      </c>
      <c r="Z45" s="208" t="e">
        <f t="shared" si="5"/>
        <v>#REF!</v>
      </c>
      <c r="AA45" s="23">
        <f>(23/31)+6</f>
        <v>6.741935483870968</v>
      </c>
      <c r="AB45" s="208" t="e">
        <f t="shared" si="6"/>
        <v>#REF!</v>
      </c>
      <c r="AC45" s="180"/>
    </row>
    <row r="46" spans="1:29" ht="20.100000000000001" customHeight="1">
      <c r="A46" s="191"/>
      <c r="B46" s="177" t="s">
        <v>86</v>
      </c>
      <c r="C46" s="193" t="s">
        <v>413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 t="e">
        <f t="shared" si="30"/>
        <v>#REF!</v>
      </c>
      <c r="Y46" s="68" t="e">
        <f t="shared" si="30"/>
        <v>#REF!</v>
      </c>
      <c r="Z46" s="337" t="e">
        <f t="shared" si="30"/>
        <v>#REF!</v>
      </c>
      <c r="AA46" s="68"/>
      <c r="AB46" s="337" t="e">
        <f t="shared" si="30"/>
        <v>#REF!</v>
      </c>
      <c r="AC46" s="180"/>
    </row>
    <row r="47" spans="1:29" ht="19.5" customHeight="1">
      <c r="A47" s="20"/>
      <c r="B47" s="194" t="s">
        <v>325</v>
      </c>
      <c r="C47" s="195">
        <f>C46+C36+C32+C26+C21+C17+C12+C8</f>
        <v>18</v>
      </c>
      <c r="D47" s="196"/>
      <c r="E47" s="197">
        <f t="shared" ref="E47:AB47" si="31">E46+E36+E32+E26+E21+E17+E12+E8</f>
        <v>335250.55000000005</v>
      </c>
      <c r="F47" s="197">
        <f t="shared" si="31"/>
        <v>1005751.65</v>
      </c>
      <c r="G47" s="197">
        <f t="shared" si="31"/>
        <v>25143.791249999998</v>
      </c>
      <c r="H47" s="197">
        <f t="shared" si="31"/>
        <v>0</v>
      </c>
      <c r="I47" s="197">
        <f t="shared" si="31"/>
        <v>167625.27500000002</v>
      </c>
      <c r="J47" s="197">
        <f t="shared" si="31"/>
        <v>1173376.925</v>
      </c>
      <c r="K47" s="197">
        <f t="shared" si="31"/>
        <v>335250.55000000005</v>
      </c>
      <c r="L47" s="197">
        <f t="shared" si="31"/>
        <v>900000</v>
      </c>
      <c r="M47" s="197">
        <f t="shared" si="31"/>
        <v>485000</v>
      </c>
      <c r="N47" s="197">
        <f t="shared" si="31"/>
        <v>33525.055000000008</v>
      </c>
      <c r="O47" s="197">
        <f t="shared" si="31"/>
        <v>220000</v>
      </c>
      <c r="P47" s="197">
        <f t="shared" si="31"/>
        <v>125000</v>
      </c>
      <c r="Q47" s="197">
        <f t="shared" si="31"/>
        <v>4805923.7962499997</v>
      </c>
      <c r="R47" s="197">
        <f t="shared" si="31"/>
        <v>0</v>
      </c>
      <c r="S47" s="197">
        <f t="shared" si="31"/>
        <v>5441541.75</v>
      </c>
      <c r="T47" s="197">
        <f t="shared" si="31"/>
        <v>607584.35750000004</v>
      </c>
      <c r="U47" s="197">
        <f t="shared" si="31"/>
        <v>3786.2672500000008</v>
      </c>
      <c r="V47" s="197">
        <f t="shared" si="31"/>
        <v>2789.2</v>
      </c>
      <c r="W47" s="197">
        <f t="shared" si="31"/>
        <v>599042.5433726667</v>
      </c>
      <c r="X47" s="197" t="e">
        <f t="shared" si="31"/>
        <v>#REF!</v>
      </c>
      <c r="Y47" s="197" t="e">
        <f t="shared" si="31"/>
        <v>#REF!</v>
      </c>
      <c r="Z47" s="339" t="e">
        <f t="shared" si="31"/>
        <v>#REF!</v>
      </c>
      <c r="AA47" s="197">
        <f t="shared" si="31"/>
        <v>0</v>
      </c>
      <c r="AB47" s="339" t="e">
        <f t="shared" si="31"/>
        <v>#REF!</v>
      </c>
      <c r="AC47" s="180"/>
    </row>
    <row r="48" spans="1:29" ht="20.100000000000001" customHeight="1">
      <c r="B48" s="198"/>
      <c r="D48" s="199"/>
      <c r="E48" s="199"/>
      <c r="F48" s="199"/>
      <c r="G48" s="199"/>
      <c r="H48" s="199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324"/>
      <c r="X48" s="201"/>
      <c r="Y48" s="201"/>
      <c r="Z48" s="201"/>
      <c r="AA48" s="201"/>
      <c r="AB48" s="201"/>
      <c r="AC48" s="202"/>
    </row>
    <row r="49" spans="2:28" ht="36.75" customHeight="1">
      <c r="B49" s="198"/>
      <c r="C49" s="199"/>
      <c r="D49" s="199"/>
      <c r="E49" s="199"/>
      <c r="F49" s="199"/>
      <c r="G49" s="199"/>
      <c r="H49" s="199"/>
      <c r="I49" s="200"/>
      <c r="J49" s="200"/>
      <c r="K49" s="200"/>
      <c r="L49" s="200"/>
      <c r="M49" s="200"/>
      <c r="N49" s="200"/>
      <c r="O49" s="200"/>
      <c r="Q49" s="200"/>
      <c r="R49" s="200"/>
      <c r="S49" s="200"/>
      <c r="T49" s="200"/>
      <c r="U49" s="200"/>
      <c r="V49" s="200"/>
      <c r="W49" s="324"/>
      <c r="X49" s="201"/>
      <c r="Y49" s="201"/>
      <c r="Z49" s="201"/>
      <c r="AA49" s="201"/>
      <c r="AB49" s="201"/>
    </row>
    <row r="52" spans="2:28" ht="20.100000000000001" customHeight="1">
      <c r="Q52" s="202"/>
      <c r="R52" s="202"/>
      <c r="S52" s="202"/>
      <c r="T52" s="20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25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9" t="s">
        <v>414</v>
      </c>
      <c r="B1" s="299"/>
      <c r="C1" s="299"/>
      <c r="D1" s="299"/>
      <c r="E1" s="299"/>
      <c r="F1" s="299"/>
      <c r="G1" s="299"/>
      <c r="H1" s="348"/>
      <c r="I1" s="299"/>
      <c r="J1" s="299"/>
      <c r="K1" s="299"/>
      <c r="L1" s="299"/>
      <c r="M1" s="299"/>
      <c r="N1" s="299"/>
      <c r="O1" s="299"/>
      <c r="P1" s="299"/>
      <c r="Q1" s="344"/>
      <c r="R1" s="344"/>
    </row>
    <row r="2" spans="1:18">
      <c r="A2" s="299" t="s">
        <v>415</v>
      </c>
      <c r="B2" s="299"/>
      <c r="C2" s="299"/>
      <c r="D2" s="299"/>
      <c r="E2" s="299"/>
      <c r="F2" s="299"/>
      <c r="G2" s="299"/>
      <c r="H2" s="349"/>
      <c r="I2" s="299"/>
      <c r="J2" s="299"/>
      <c r="K2" s="299"/>
      <c r="L2" s="299"/>
      <c r="M2" s="299"/>
      <c r="N2" s="299"/>
      <c r="O2" s="299"/>
      <c r="P2" s="299"/>
      <c r="Q2" s="344"/>
      <c r="R2" s="344"/>
    </row>
    <row r="3" spans="1:18">
      <c r="A3" s="299"/>
      <c r="B3" s="299" t="s">
        <v>416</v>
      </c>
      <c r="C3" s="299" t="s">
        <v>417</v>
      </c>
      <c r="D3" s="299" t="s">
        <v>418</v>
      </c>
      <c r="E3" s="299" t="s">
        <v>419</v>
      </c>
      <c r="F3" s="299" t="s">
        <v>420</v>
      </c>
      <c r="G3" s="299" t="s">
        <v>421</v>
      </c>
      <c r="H3" s="349" t="s">
        <v>422</v>
      </c>
      <c r="I3" s="299" t="s">
        <v>423</v>
      </c>
      <c r="J3" s="299" t="s">
        <v>424</v>
      </c>
      <c r="K3" s="299" t="s">
        <v>425</v>
      </c>
      <c r="L3" s="299" t="s">
        <v>426</v>
      </c>
      <c r="M3" s="299" t="s">
        <v>427</v>
      </c>
      <c r="N3" s="299" t="s">
        <v>428</v>
      </c>
      <c r="O3" s="299" t="s">
        <v>429</v>
      </c>
      <c r="P3" s="299" t="s">
        <v>430</v>
      </c>
      <c r="Q3" s="344"/>
      <c r="R3" s="344"/>
    </row>
    <row r="4" spans="1:18">
      <c r="A4" s="299" t="s">
        <v>431</v>
      </c>
      <c r="B4" s="299" t="s">
        <v>25</v>
      </c>
      <c r="C4" s="299" t="s">
        <v>25</v>
      </c>
      <c r="D4" s="299" t="s">
        <v>25</v>
      </c>
      <c r="E4" s="299" t="s">
        <v>25</v>
      </c>
      <c r="F4" s="299" t="s">
        <v>25</v>
      </c>
      <c r="G4" s="299" t="s">
        <v>25</v>
      </c>
      <c r="H4" s="349" t="s">
        <v>25</v>
      </c>
      <c r="I4" s="299" t="s">
        <v>25</v>
      </c>
      <c r="J4" s="299" t="s">
        <v>25</v>
      </c>
      <c r="K4" s="299" t="s">
        <v>25</v>
      </c>
      <c r="L4" s="299" t="s">
        <v>25</v>
      </c>
      <c r="M4" s="299" t="s">
        <v>25</v>
      </c>
      <c r="N4" s="299" t="s">
        <v>25</v>
      </c>
      <c r="O4" s="299" t="s">
        <v>25</v>
      </c>
      <c r="P4" s="299" t="s">
        <v>25</v>
      </c>
      <c r="Q4" s="344"/>
      <c r="R4" s="344"/>
    </row>
    <row r="5" spans="1:18" ht="14.25">
      <c r="A5" s="346" t="s">
        <v>432</v>
      </c>
      <c r="B5" s="346">
        <v>32012.166666666668</v>
      </c>
      <c r="C5" s="346">
        <v>32710.5</v>
      </c>
      <c r="D5" s="346">
        <v>33408.75</v>
      </c>
      <c r="E5" s="346">
        <v>34107.083333333336</v>
      </c>
      <c r="F5" s="346">
        <v>34805.5</v>
      </c>
      <c r="G5" s="346">
        <v>35503.75</v>
      </c>
      <c r="H5" s="347">
        <v>36202.083333333336</v>
      </c>
      <c r="I5" s="346">
        <v>36900.333333333336</v>
      </c>
      <c r="J5" s="346">
        <v>37598.666666666664</v>
      </c>
      <c r="K5" s="346">
        <v>38297.083333333336</v>
      </c>
      <c r="L5" s="346">
        <v>38995.333333333336</v>
      </c>
      <c r="M5" s="346">
        <v>39693.666666666664</v>
      </c>
      <c r="N5" s="346">
        <v>40391.916666666664</v>
      </c>
      <c r="O5" s="346">
        <v>41090.166666666664</v>
      </c>
      <c r="P5" s="346">
        <v>41788.666666666664</v>
      </c>
      <c r="Q5" s="344"/>
      <c r="R5" s="344"/>
    </row>
    <row r="6" spans="1:18" ht="14.25">
      <c r="A6" s="346" t="s">
        <v>433</v>
      </c>
      <c r="B6" s="346">
        <v>32532.166666666668</v>
      </c>
      <c r="C6" s="346">
        <v>33445.166666666664</v>
      </c>
      <c r="D6" s="346">
        <v>34358.333333333336</v>
      </c>
      <c r="E6" s="346">
        <v>35271.25</v>
      </c>
      <c r="F6" s="346">
        <v>36184.25</v>
      </c>
      <c r="G6" s="346">
        <v>37097.416666666664</v>
      </c>
      <c r="H6" s="347">
        <v>38010.333333333336</v>
      </c>
      <c r="I6" s="346">
        <v>38923.416666666664</v>
      </c>
      <c r="J6" s="346">
        <v>39836.416666666664</v>
      </c>
      <c r="K6" s="346">
        <v>40749.416666666664</v>
      </c>
      <c r="L6" s="346">
        <v>41662.5</v>
      </c>
      <c r="M6" s="346">
        <v>42575.5</v>
      </c>
      <c r="N6" s="346">
        <v>43488.666666666664</v>
      </c>
      <c r="O6" s="346">
        <v>44401.583333333336</v>
      </c>
      <c r="P6" s="346">
        <v>45314.583333333336</v>
      </c>
      <c r="Q6" s="344"/>
      <c r="R6" s="344"/>
    </row>
    <row r="7" spans="1:18" ht="14.25">
      <c r="A7" s="346" t="s">
        <v>434</v>
      </c>
      <c r="B7" s="346">
        <v>32976.25</v>
      </c>
      <c r="C7" s="346">
        <v>34098.416666666664</v>
      </c>
      <c r="D7" s="346">
        <v>35220.666666666664</v>
      </c>
      <c r="E7" s="346">
        <v>36343</v>
      </c>
      <c r="F7" s="346">
        <v>37465.166666666664</v>
      </c>
      <c r="G7" s="346">
        <v>38587.416666666664</v>
      </c>
      <c r="H7" s="347">
        <v>39709.666666666664</v>
      </c>
      <c r="I7" s="346">
        <v>40823.583333333336</v>
      </c>
      <c r="J7" s="346">
        <v>41954.083333333336</v>
      </c>
      <c r="K7" s="346">
        <v>43076.416666666664</v>
      </c>
      <c r="L7" s="346">
        <v>44198.666666666664</v>
      </c>
      <c r="M7" s="346">
        <v>45445.833333333336</v>
      </c>
      <c r="N7" s="346">
        <v>46443.166666666664</v>
      </c>
      <c r="O7" s="346">
        <v>47565.333333333336</v>
      </c>
      <c r="P7" s="346">
        <v>48687.5</v>
      </c>
      <c r="Q7" s="344"/>
      <c r="R7" s="344"/>
    </row>
    <row r="8" spans="1:18" ht="14.25">
      <c r="A8" s="346" t="s">
        <v>435</v>
      </c>
      <c r="B8" s="346">
        <v>34542.5</v>
      </c>
      <c r="C8" s="346">
        <v>35890.833333333336</v>
      </c>
      <c r="D8" s="346">
        <v>37238.916666666664</v>
      </c>
      <c r="E8" s="346">
        <v>38587.166666666664</v>
      </c>
      <c r="F8" s="346">
        <v>39935.5</v>
      </c>
      <c r="G8" s="346">
        <v>41283.75</v>
      </c>
      <c r="H8" s="347">
        <v>42631.916666666664</v>
      </c>
      <c r="I8" s="346">
        <v>43980</v>
      </c>
      <c r="J8" s="346">
        <v>45328.333333333336</v>
      </c>
      <c r="K8" s="346">
        <v>46676.416666666664</v>
      </c>
      <c r="L8" s="346">
        <v>48024.666666666664</v>
      </c>
      <c r="M8" s="346">
        <v>49373</v>
      </c>
      <c r="N8" s="346">
        <v>50721.166666666664</v>
      </c>
      <c r="O8" s="346">
        <v>52069.416666666664</v>
      </c>
      <c r="P8" s="346">
        <v>53417.5</v>
      </c>
      <c r="Q8" s="344"/>
      <c r="R8" s="344"/>
    </row>
    <row r="9" spans="1:18" ht="14.25">
      <c r="A9" s="346" t="s">
        <v>436</v>
      </c>
      <c r="B9" s="346">
        <v>39140.333333333336</v>
      </c>
      <c r="C9" s="346">
        <v>40706.583333333336</v>
      </c>
      <c r="D9" s="346">
        <v>42272.833333333336</v>
      </c>
      <c r="E9" s="346">
        <v>43839.083333333336</v>
      </c>
      <c r="F9" s="346">
        <v>45405.5</v>
      </c>
      <c r="G9" s="346">
        <v>46971.75</v>
      </c>
      <c r="H9" s="347">
        <v>48538</v>
      </c>
      <c r="I9" s="346">
        <v>50104.416666666664</v>
      </c>
      <c r="J9" s="346">
        <v>51670.666666666664</v>
      </c>
      <c r="K9" s="346">
        <v>53236.916666666664</v>
      </c>
      <c r="L9" s="346">
        <v>54803.166666666664</v>
      </c>
      <c r="M9" s="346">
        <v>56369.583333333336</v>
      </c>
      <c r="N9" s="346">
        <v>57936</v>
      </c>
      <c r="O9" s="346">
        <v>59502.083333333336</v>
      </c>
      <c r="P9" s="346">
        <v>61068.333333333336</v>
      </c>
      <c r="Q9" s="344"/>
      <c r="R9" s="344"/>
    </row>
    <row r="10" spans="1:18" ht="14.25">
      <c r="A10" s="346" t="s">
        <v>437</v>
      </c>
      <c r="B10" s="346">
        <v>47723.333333333336</v>
      </c>
      <c r="C10" s="346">
        <v>49632.5</v>
      </c>
      <c r="D10" s="346">
        <v>51541.75</v>
      </c>
      <c r="E10" s="346">
        <v>53450.916666666664</v>
      </c>
      <c r="F10" s="346">
        <v>55360.166666666664</v>
      </c>
      <c r="G10" s="346">
        <v>57269.416666666664</v>
      </c>
      <c r="H10" s="347">
        <v>59178.666666666664</v>
      </c>
      <c r="I10" s="346">
        <v>61087.833333333336</v>
      </c>
      <c r="J10" s="346">
        <v>62997.083333333336</v>
      </c>
      <c r="K10" s="346">
        <v>64906.25</v>
      </c>
      <c r="L10" s="346">
        <v>66815.5</v>
      </c>
      <c r="M10" s="346">
        <v>68724.666666666672</v>
      </c>
      <c r="N10" s="346">
        <v>70633.916666666672</v>
      </c>
      <c r="O10" s="346">
        <v>72543.166666666672</v>
      </c>
      <c r="P10" s="346">
        <v>74452.416666666672</v>
      </c>
      <c r="Q10" s="344"/>
      <c r="R10" s="344"/>
    </row>
    <row r="11" spans="1:18" ht="14.25">
      <c r="A11" s="346" t="s">
        <v>438</v>
      </c>
      <c r="B11" s="346">
        <v>79244.583333333328</v>
      </c>
      <c r="C11" s="346">
        <v>82174.666666666672</v>
      </c>
      <c r="D11" s="346">
        <v>85104.916666666672</v>
      </c>
      <c r="E11" s="346">
        <v>88034.916666666672</v>
      </c>
      <c r="F11" s="346">
        <v>106590</v>
      </c>
      <c r="G11" s="346">
        <v>93895</v>
      </c>
      <c r="H11" s="347">
        <v>96825.166666666672</v>
      </c>
      <c r="I11" s="346">
        <v>99755.166666666672</v>
      </c>
      <c r="J11" s="346">
        <v>102685.33333333333</v>
      </c>
      <c r="K11" s="346">
        <v>105615.33333333333</v>
      </c>
      <c r="L11" s="346">
        <v>108545.5</v>
      </c>
      <c r="M11" s="346">
        <v>111468</v>
      </c>
      <c r="N11" s="346">
        <v>114405.66666666667</v>
      </c>
      <c r="O11" s="346">
        <v>117335.83333333333</v>
      </c>
      <c r="P11" s="346">
        <v>120265.83333333333</v>
      </c>
      <c r="Q11" s="344"/>
      <c r="R11" s="344"/>
    </row>
    <row r="12" spans="1:18" ht="14.25">
      <c r="A12" s="346" t="s">
        <v>439</v>
      </c>
      <c r="B12" s="346">
        <v>102403.75</v>
      </c>
      <c r="C12" s="346">
        <v>105891.25</v>
      </c>
      <c r="D12" s="346">
        <v>109378.75</v>
      </c>
      <c r="E12" s="346">
        <v>112866.25</v>
      </c>
      <c r="F12" s="346">
        <v>116353.66666666667</v>
      </c>
      <c r="G12" s="346">
        <v>119841.16666666667</v>
      </c>
      <c r="H12" s="347">
        <v>123328.66666666667</v>
      </c>
      <c r="I12" s="346">
        <v>126816.16666666667</v>
      </c>
      <c r="J12" s="346">
        <v>130303.66666666667</v>
      </c>
      <c r="K12" s="346">
        <v>133791.16666666666</v>
      </c>
      <c r="L12" s="346">
        <v>137278.66666666666</v>
      </c>
      <c r="M12" s="346">
        <v>140766.16666666666</v>
      </c>
      <c r="N12" s="346">
        <v>144253.66666666666</v>
      </c>
      <c r="O12" s="346">
        <v>147741.16666666666</v>
      </c>
      <c r="P12" s="346">
        <v>151228.66666666666</v>
      </c>
      <c r="Q12" s="344"/>
      <c r="R12" s="344"/>
    </row>
    <row r="13" spans="1:18" ht="14.25">
      <c r="A13" s="346" t="s">
        <v>440</v>
      </c>
      <c r="B13" s="346">
        <v>120290</v>
      </c>
      <c r="C13" s="346">
        <v>124442.16666666667</v>
      </c>
      <c r="D13" s="346">
        <v>128594.58333333333</v>
      </c>
      <c r="E13" s="346">
        <v>132746.75</v>
      </c>
      <c r="F13" s="346">
        <v>136899.08333333334</v>
      </c>
      <c r="G13" s="346">
        <v>141051.25</v>
      </c>
      <c r="H13" s="347">
        <v>145203.66666666666</v>
      </c>
      <c r="I13" s="346">
        <v>149355.83333333334</v>
      </c>
      <c r="J13" s="346">
        <v>153508</v>
      </c>
      <c r="K13" s="346">
        <v>157660.33333333334</v>
      </c>
      <c r="L13" s="346">
        <v>161812.5</v>
      </c>
      <c r="M13" s="346">
        <v>165964.91666666666</v>
      </c>
      <c r="N13" s="346">
        <v>170117.08333333334</v>
      </c>
      <c r="O13" s="346">
        <v>174269.41666666666</v>
      </c>
      <c r="P13" s="346">
        <v>178421.58333333334</v>
      </c>
      <c r="Q13" s="344"/>
      <c r="R13" s="344"/>
    </row>
    <row r="14" spans="1:18" ht="14.25">
      <c r="A14" s="346" t="s">
        <v>441</v>
      </c>
      <c r="B14" s="346">
        <v>141204.91666666666</v>
      </c>
      <c r="C14" s="346">
        <v>145770.91666666666</v>
      </c>
      <c r="D14" s="346">
        <v>150337.08333333334</v>
      </c>
      <c r="E14" s="346">
        <v>154903.33333333334</v>
      </c>
      <c r="F14" s="346">
        <v>159469.41666666666</v>
      </c>
      <c r="G14" s="346">
        <v>164035.5</v>
      </c>
      <c r="H14" s="347">
        <v>168601.58333333334</v>
      </c>
      <c r="I14" s="346">
        <v>173167.66666666666</v>
      </c>
      <c r="J14" s="346">
        <v>177733.75</v>
      </c>
      <c r="K14" s="346">
        <v>182299.91666666666</v>
      </c>
      <c r="L14" s="346">
        <v>186865.91666666666</v>
      </c>
      <c r="M14" s="346">
        <v>191432.16666666666</v>
      </c>
      <c r="N14" s="346">
        <v>195998.33333333334</v>
      </c>
      <c r="O14" s="346">
        <v>200564.41666666666</v>
      </c>
      <c r="P14" s="346">
        <v>205130.5</v>
      </c>
      <c r="Q14" s="344"/>
      <c r="R14" s="344"/>
    </row>
    <row r="15" spans="1:18" ht="14.25">
      <c r="A15" s="346" t="s">
        <v>442</v>
      </c>
      <c r="B15" s="346">
        <v>162876.25</v>
      </c>
      <c r="C15" s="346">
        <v>169958.91666666666</v>
      </c>
      <c r="D15" s="346">
        <v>177039.91666666666</v>
      </c>
      <c r="E15" s="346">
        <v>184124.08333333334</v>
      </c>
      <c r="F15" s="346">
        <v>191206.58333333334</v>
      </c>
      <c r="G15" s="346">
        <v>198289.25</v>
      </c>
      <c r="H15" s="347">
        <v>205371.75</v>
      </c>
      <c r="I15" s="346">
        <v>212454.41666666666</v>
      </c>
      <c r="J15" s="346">
        <v>219536.91666666666</v>
      </c>
      <c r="K15" s="346">
        <v>226619.58333333334</v>
      </c>
      <c r="L15" s="346">
        <v>233702.08333333334</v>
      </c>
      <c r="M15" s="346"/>
      <c r="N15" s="346"/>
      <c r="O15" s="346"/>
      <c r="P15" s="346"/>
      <c r="Q15" s="344"/>
      <c r="R15" s="344"/>
    </row>
    <row r="16" spans="1:18" ht="14.25">
      <c r="A16" s="346" t="s">
        <v>443</v>
      </c>
      <c r="B16" s="346">
        <v>181786.41666666666</v>
      </c>
      <c r="C16" s="346">
        <v>189274.25</v>
      </c>
      <c r="D16" s="346">
        <v>198324.58333333334</v>
      </c>
      <c r="E16" s="346">
        <v>204249.91666666666</v>
      </c>
      <c r="F16" s="346">
        <v>211737.66666666666</v>
      </c>
      <c r="G16" s="346">
        <v>219225.5</v>
      </c>
      <c r="H16" s="347">
        <v>226713.33333333334</v>
      </c>
      <c r="I16" s="346">
        <v>234201.16666666666</v>
      </c>
      <c r="J16" s="346">
        <v>242001.41666666666</v>
      </c>
      <c r="K16" s="346">
        <v>249176.75</v>
      </c>
      <c r="L16" s="346">
        <v>256664.58333333334</v>
      </c>
      <c r="M16" s="346"/>
      <c r="N16" s="346"/>
      <c r="O16" s="346"/>
      <c r="P16" s="346"/>
      <c r="Q16" s="344"/>
      <c r="R16" s="344"/>
    </row>
    <row r="17" spans="1:18" ht="14.25">
      <c r="A17" s="346" t="s">
        <v>444</v>
      </c>
      <c r="B17" s="346">
        <v>200784.08333333334</v>
      </c>
      <c r="C17" s="346">
        <v>208845.16666666666</v>
      </c>
      <c r="D17" s="346">
        <v>216904.66666666666</v>
      </c>
      <c r="E17" s="346">
        <v>224967.16666666666</v>
      </c>
      <c r="F17" s="346">
        <v>233028.33333333334</v>
      </c>
      <c r="G17" s="346">
        <v>241089.25</v>
      </c>
      <c r="H17" s="347">
        <v>249153.41666666666</v>
      </c>
      <c r="I17" s="346">
        <v>257211.25</v>
      </c>
      <c r="J17" s="346">
        <v>265272.41666666669</v>
      </c>
      <c r="K17" s="346">
        <v>273333.41666666669</v>
      </c>
      <c r="L17" s="346">
        <v>281394.41666666669</v>
      </c>
      <c r="M17" s="346"/>
      <c r="N17" s="346"/>
      <c r="O17" s="346"/>
      <c r="P17" s="346"/>
      <c r="Q17" s="344"/>
      <c r="R17" s="344"/>
    </row>
    <row r="18" spans="1:18" ht="14.25">
      <c r="A18" s="346" t="s">
        <v>445</v>
      </c>
      <c r="B18" s="346">
        <v>276221.25</v>
      </c>
      <c r="C18" s="346">
        <v>287637.83333333331</v>
      </c>
      <c r="D18" s="346">
        <v>299054.25</v>
      </c>
      <c r="E18" s="346">
        <v>312760.25</v>
      </c>
      <c r="F18" s="346">
        <v>321887.16666666669</v>
      </c>
      <c r="G18" s="346">
        <v>333303.75</v>
      </c>
      <c r="H18" s="347">
        <v>344720.16666666669</v>
      </c>
      <c r="I18" s="346">
        <v>356136.75</v>
      </c>
      <c r="J18" s="346">
        <v>367553.16666666669</v>
      </c>
      <c r="K18" s="346"/>
      <c r="L18" s="346"/>
      <c r="M18" s="346"/>
      <c r="N18" s="346"/>
      <c r="O18" s="346"/>
      <c r="P18" s="346"/>
      <c r="Q18" s="344"/>
      <c r="R18" s="344"/>
    </row>
    <row r="19" spans="1:18" ht="14.25">
      <c r="A19" s="346" t="s">
        <v>446</v>
      </c>
      <c r="B19" s="346">
        <v>341699.58333333331</v>
      </c>
      <c r="C19" s="346">
        <v>355420.16666666669</v>
      </c>
      <c r="D19" s="346">
        <v>369154.91666666669</v>
      </c>
      <c r="E19" s="346">
        <v>382861.41666666669</v>
      </c>
      <c r="F19" s="346">
        <v>396582.08333333331</v>
      </c>
      <c r="G19" s="346">
        <v>410302.66666666669</v>
      </c>
      <c r="H19" s="347">
        <v>424023.33333333331</v>
      </c>
      <c r="I19" s="346">
        <v>437743.91666666669</v>
      </c>
      <c r="J19" s="346">
        <v>451464.58333333331</v>
      </c>
      <c r="K19" s="346"/>
      <c r="L19" s="346"/>
      <c r="M19" s="346"/>
      <c r="N19" s="346"/>
      <c r="O19" s="346"/>
      <c r="P19" s="346"/>
      <c r="Q19" s="344"/>
      <c r="R19" s="344"/>
    </row>
    <row r="20" spans="1:18" ht="14.25">
      <c r="A20" s="346" t="s">
        <v>447</v>
      </c>
      <c r="B20" s="346">
        <v>652000</v>
      </c>
      <c r="C20" s="346">
        <v>676776.16666666663</v>
      </c>
      <c r="D20" s="346">
        <v>701552.16666666663</v>
      </c>
      <c r="E20" s="346">
        <v>726328.33333333337</v>
      </c>
      <c r="F20" s="346">
        <v>751104.41666666663</v>
      </c>
      <c r="G20" s="346">
        <v>775880.5</v>
      </c>
      <c r="H20" s="347">
        <v>800656.58333333337</v>
      </c>
      <c r="I20" s="346">
        <v>825432.66666666663</v>
      </c>
      <c r="J20" s="346">
        <v>850208.75</v>
      </c>
      <c r="K20" s="346"/>
      <c r="L20" s="346"/>
      <c r="M20" s="346"/>
      <c r="N20" s="346"/>
      <c r="O20" s="346"/>
      <c r="P20" s="346"/>
      <c r="Q20" s="344"/>
      <c r="R20" s="344"/>
    </row>
    <row r="21" spans="1:18" ht="14.25">
      <c r="A21" s="346"/>
      <c r="B21" s="346"/>
      <c r="C21" s="346"/>
      <c r="D21" s="346"/>
      <c r="E21" s="346"/>
      <c r="F21" s="346"/>
      <c r="G21" s="346"/>
      <c r="H21" s="347"/>
      <c r="I21" s="346"/>
      <c r="J21" s="346"/>
      <c r="K21" s="346"/>
      <c r="L21" s="346"/>
      <c r="M21" s="346"/>
      <c r="N21" s="346"/>
      <c r="O21" s="346"/>
      <c r="P21" s="346"/>
      <c r="Q21" s="344"/>
      <c r="R21" s="344"/>
    </row>
    <row r="22" spans="1:18">
      <c r="A22" s="344"/>
      <c r="B22" s="344"/>
      <c r="C22" s="344"/>
      <c r="D22" s="344"/>
      <c r="E22" s="344"/>
      <c r="F22" s="344"/>
      <c r="G22" s="344"/>
      <c r="H22" s="345"/>
      <c r="I22" s="344"/>
      <c r="J22" s="254"/>
      <c r="K22" s="344"/>
      <c r="L22" s="344"/>
      <c r="M22" s="344"/>
      <c r="N22" s="344"/>
      <c r="O22" s="344"/>
      <c r="P22" s="344"/>
      <c r="Q22" s="344"/>
      <c r="R22" s="344"/>
    </row>
    <row r="23" spans="1:18">
      <c r="D23" s="34"/>
      <c r="F23" s="34"/>
      <c r="H23" s="343"/>
    </row>
    <row r="24" spans="1:18">
      <c r="H24" s="343"/>
    </row>
    <row r="25" spans="1:18">
      <c r="H25" s="343"/>
    </row>
    <row r="26" spans="1:18">
      <c r="H26" s="343"/>
    </row>
    <row r="27" spans="1:18">
      <c r="H27" s="343"/>
    </row>
    <row r="28" spans="1:18">
      <c r="H28" s="343"/>
    </row>
    <row r="29" spans="1:18">
      <c r="H29" s="343"/>
    </row>
    <row r="30" spans="1:18">
      <c r="H30" s="343"/>
    </row>
    <row r="31" spans="1:18">
      <c r="H31" s="343"/>
    </row>
    <row r="32" spans="1:18">
      <c r="H32" s="343"/>
    </row>
    <row r="33" spans="8:8">
      <c r="H33" s="343"/>
    </row>
    <row r="34" spans="8:8">
      <c r="H34" s="343"/>
    </row>
    <row r="35" spans="8:8">
      <c r="H35" s="343"/>
    </row>
    <row r="36" spans="8:8">
      <c r="H36" s="343"/>
    </row>
    <row r="37" spans="8:8">
      <c r="H37" s="343"/>
    </row>
    <row r="38" spans="8:8">
      <c r="H38" s="343"/>
    </row>
    <row r="39" spans="8:8">
      <c r="H39" s="343"/>
    </row>
    <row r="40" spans="8:8">
      <c r="H40" s="343"/>
    </row>
    <row r="41" spans="8:8">
      <c r="H41" s="343"/>
    </row>
    <row r="42" spans="8:8">
      <c r="H42" s="343"/>
    </row>
    <row r="43" spans="8:8">
      <c r="H43" s="343"/>
    </row>
    <row r="44" spans="8:8">
      <c r="H44" s="343"/>
    </row>
    <row r="45" spans="8:8">
      <c r="H45" s="343"/>
    </row>
    <row r="46" spans="8:8">
      <c r="H46" s="343"/>
    </row>
    <row r="47" spans="8:8">
      <c r="H47" s="343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93"/>
  <sheetViews>
    <sheetView topLeftCell="A158" zoomScaleNormal="100" workbookViewId="0">
      <selection activeCell="L173" sqref="L173"/>
    </sheetView>
  </sheetViews>
  <sheetFormatPr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387" t="s">
        <v>0</v>
      </c>
      <c r="B1" s="387"/>
      <c r="C1" s="387"/>
      <c r="D1" s="387"/>
      <c r="E1" s="387"/>
      <c r="F1" s="387"/>
      <c r="G1" s="387"/>
      <c r="H1" s="387"/>
      <c r="I1" s="387"/>
      <c r="J1" s="296"/>
      <c r="K1" s="296"/>
    </row>
    <row r="2" spans="1:11" ht="14.25">
      <c r="A2" s="387" t="s">
        <v>448</v>
      </c>
      <c r="B2" s="387"/>
      <c r="C2" s="387"/>
      <c r="D2" s="387"/>
      <c r="E2" s="387"/>
      <c r="F2" s="387"/>
      <c r="G2" s="387"/>
      <c r="H2" s="387"/>
      <c r="I2" s="387"/>
      <c r="J2" s="294"/>
      <c r="K2" s="294"/>
    </row>
    <row r="3" spans="1:11" ht="23.25" customHeight="1">
      <c r="A3" s="388" t="s">
        <v>449</v>
      </c>
      <c r="B3" s="388"/>
      <c r="C3" s="388"/>
      <c r="D3" s="388"/>
      <c r="E3" s="388"/>
      <c r="F3" s="388"/>
      <c r="G3" s="388"/>
      <c r="H3" s="388"/>
      <c r="I3" s="388"/>
    </row>
    <row r="5" spans="1:11" ht="42.75" customHeight="1">
      <c r="A5" s="297" t="s">
        <v>26</v>
      </c>
      <c r="B5" s="297" t="s">
        <v>2</v>
      </c>
      <c r="C5" s="297" t="s">
        <v>3</v>
      </c>
      <c r="D5" s="298" t="s">
        <v>4</v>
      </c>
      <c r="E5" s="298" t="s">
        <v>450</v>
      </c>
      <c r="F5" s="298" t="s">
        <v>451</v>
      </c>
      <c r="G5" s="298" t="s">
        <v>452</v>
      </c>
      <c r="H5" s="298" t="s">
        <v>453</v>
      </c>
      <c r="I5" s="301" t="s">
        <v>454</v>
      </c>
    </row>
    <row r="6" spans="1:11">
      <c r="B6" s="299" t="s">
        <v>27</v>
      </c>
    </row>
    <row r="7" spans="1:11">
      <c r="A7" s="308">
        <v>1</v>
      </c>
      <c r="B7" s="308" t="s">
        <v>28</v>
      </c>
      <c r="C7" s="308" t="s">
        <v>29</v>
      </c>
      <c r="D7" s="308" t="s">
        <v>455</v>
      </c>
      <c r="E7" s="309">
        <v>35000</v>
      </c>
      <c r="F7" s="309">
        <v>35000</v>
      </c>
      <c r="G7" s="309">
        <v>35000</v>
      </c>
      <c r="H7" s="309">
        <v>35000</v>
      </c>
      <c r="I7" s="309">
        <f>E7+F7+G7+H7</f>
        <v>140000</v>
      </c>
    </row>
    <row r="8" spans="1:11">
      <c r="A8" s="308">
        <v>2</v>
      </c>
      <c r="B8" s="310" t="s">
        <v>456</v>
      </c>
      <c r="C8" s="308" t="s">
        <v>457</v>
      </c>
      <c r="D8" s="308" t="s">
        <v>228</v>
      </c>
      <c r="E8" s="309">
        <v>35000</v>
      </c>
      <c r="F8" s="309">
        <v>35000</v>
      </c>
      <c r="G8" s="309">
        <v>35000</v>
      </c>
      <c r="H8" s="309">
        <v>35000</v>
      </c>
      <c r="I8" s="309">
        <f t="shared" ref="I8:I27" si="0">E8+F8+G8+H8</f>
        <v>140000</v>
      </c>
    </row>
    <row r="9" spans="1:11">
      <c r="A9" s="308">
        <v>3</v>
      </c>
      <c r="B9" s="308" t="s">
        <v>31</v>
      </c>
      <c r="C9" s="308" t="s">
        <v>32</v>
      </c>
      <c r="D9" s="308" t="s">
        <v>33</v>
      </c>
      <c r="E9" s="309">
        <v>35000</v>
      </c>
      <c r="F9" s="309">
        <v>35000</v>
      </c>
      <c r="G9" s="309">
        <v>35000</v>
      </c>
      <c r="H9" s="309">
        <v>35000</v>
      </c>
      <c r="I9" s="309">
        <f t="shared" si="0"/>
        <v>140000</v>
      </c>
    </row>
    <row r="10" spans="1:11">
      <c r="A10" s="308">
        <v>4</v>
      </c>
      <c r="B10" s="308" t="s">
        <v>458</v>
      </c>
      <c r="C10" s="308" t="s">
        <v>35</v>
      </c>
      <c r="D10" s="308" t="s">
        <v>36</v>
      </c>
      <c r="E10" s="309">
        <v>35000</v>
      </c>
      <c r="F10" s="309">
        <v>35000</v>
      </c>
      <c r="G10" s="309">
        <v>35000</v>
      </c>
      <c r="H10" s="309">
        <v>35000</v>
      </c>
      <c r="I10" s="309">
        <f t="shared" si="0"/>
        <v>140000</v>
      </c>
    </row>
    <row r="11" spans="1:11">
      <c r="A11" s="308">
        <v>5</v>
      </c>
      <c r="B11" s="308" t="s">
        <v>176</v>
      </c>
      <c r="C11" s="308" t="s">
        <v>177</v>
      </c>
      <c r="D11" s="308" t="s">
        <v>36</v>
      </c>
      <c r="E11" s="309">
        <v>35000</v>
      </c>
      <c r="F11" s="309">
        <v>35000</v>
      </c>
      <c r="G11" s="309">
        <v>35000</v>
      </c>
      <c r="H11" s="309">
        <v>35000</v>
      </c>
      <c r="I11" s="309">
        <f t="shared" si="0"/>
        <v>140000</v>
      </c>
    </row>
    <row r="12" spans="1:11">
      <c r="A12" s="308">
        <v>6</v>
      </c>
      <c r="B12" s="308" t="s">
        <v>37</v>
      </c>
      <c r="C12" s="308" t="s">
        <v>38</v>
      </c>
      <c r="D12" s="308" t="s">
        <v>36</v>
      </c>
      <c r="E12" s="309">
        <v>35000</v>
      </c>
      <c r="F12" s="309">
        <v>35000</v>
      </c>
      <c r="G12" s="309">
        <v>35000</v>
      </c>
      <c r="H12" s="309">
        <v>35000</v>
      </c>
      <c r="I12" s="309">
        <f t="shared" si="0"/>
        <v>140000</v>
      </c>
    </row>
    <row r="13" spans="1:11">
      <c r="A13" s="308">
        <v>7</v>
      </c>
      <c r="B13" s="308" t="s">
        <v>39</v>
      </c>
      <c r="C13" s="308" t="s">
        <v>40</v>
      </c>
      <c r="D13" s="308" t="s">
        <v>36</v>
      </c>
      <c r="E13" s="309">
        <v>35000</v>
      </c>
      <c r="F13" s="309">
        <v>35000</v>
      </c>
      <c r="G13" s="309">
        <v>35000</v>
      </c>
      <c r="H13" s="309">
        <v>35000</v>
      </c>
      <c r="I13" s="309">
        <f t="shared" si="0"/>
        <v>140000</v>
      </c>
    </row>
    <row r="14" spans="1:11">
      <c r="A14" s="308">
        <v>8</v>
      </c>
      <c r="B14" s="308" t="s">
        <v>43</v>
      </c>
      <c r="C14" s="308" t="s">
        <v>44</v>
      </c>
      <c r="D14" s="308" t="s">
        <v>45</v>
      </c>
      <c r="E14" s="309">
        <v>35000</v>
      </c>
      <c r="F14" s="309">
        <v>35000</v>
      </c>
      <c r="G14" s="309">
        <v>35000</v>
      </c>
      <c r="H14" s="309">
        <v>35000</v>
      </c>
      <c r="I14" s="309">
        <f t="shared" si="0"/>
        <v>140000</v>
      </c>
    </row>
    <row r="15" spans="1:11">
      <c r="A15" s="308">
        <v>9</v>
      </c>
      <c r="B15" s="308" t="s">
        <v>459</v>
      </c>
      <c r="C15" s="308" t="s">
        <v>50</v>
      </c>
      <c r="D15" s="308" t="s">
        <v>51</v>
      </c>
      <c r="E15" s="309">
        <v>35000</v>
      </c>
      <c r="F15" s="309">
        <v>35000</v>
      </c>
      <c r="G15" s="309">
        <v>35000</v>
      </c>
      <c r="H15" s="309">
        <v>35000</v>
      </c>
      <c r="I15" s="309">
        <f t="shared" si="0"/>
        <v>140000</v>
      </c>
    </row>
    <row r="16" spans="1:11">
      <c r="A16" s="308">
        <v>11</v>
      </c>
      <c r="B16" s="308" t="s">
        <v>49</v>
      </c>
      <c r="C16" s="308" t="s">
        <v>50</v>
      </c>
      <c r="D16" s="308" t="s">
        <v>51</v>
      </c>
      <c r="E16" s="309">
        <v>35000</v>
      </c>
      <c r="F16" s="309">
        <v>35000</v>
      </c>
      <c r="G16" s="309">
        <v>35000</v>
      </c>
      <c r="H16" s="309">
        <v>35000</v>
      </c>
      <c r="I16" s="309">
        <f t="shared" si="0"/>
        <v>140000</v>
      </c>
    </row>
    <row r="17" spans="1:9">
      <c r="A17" s="308">
        <v>12</v>
      </c>
      <c r="B17" s="308" t="s">
        <v>55</v>
      </c>
      <c r="C17" s="308" t="s">
        <v>56</v>
      </c>
      <c r="D17" s="308" t="s">
        <v>57</v>
      </c>
      <c r="E17" s="309">
        <v>35000</v>
      </c>
      <c r="F17" s="309">
        <v>35000</v>
      </c>
      <c r="G17" s="309">
        <v>35000</v>
      </c>
      <c r="H17" s="309">
        <v>35000</v>
      </c>
      <c r="I17" s="309">
        <f t="shared" si="0"/>
        <v>140000</v>
      </c>
    </row>
    <row r="18" spans="1:9">
      <c r="A18" s="308">
        <v>13</v>
      </c>
      <c r="B18" s="308" t="s">
        <v>58</v>
      </c>
      <c r="C18" s="308" t="s">
        <v>59</v>
      </c>
      <c r="D18" s="308" t="s">
        <v>60</v>
      </c>
      <c r="E18" s="309">
        <v>35000</v>
      </c>
      <c r="F18" s="309">
        <v>35000</v>
      </c>
      <c r="G18" s="309">
        <v>35000</v>
      </c>
      <c r="H18" s="309">
        <v>35000</v>
      </c>
      <c r="I18" s="309">
        <f t="shared" si="0"/>
        <v>140000</v>
      </c>
    </row>
    <row r="19" spans="1:9">
      <c r="A19" s="308">
        <v>14</v>
      </c>
      <c r="B19" s="308" t="s">
        <v>61</v>
      </c>
      <c r="C19" s="308" t="s">
        <v>62</v>
      </c>
      <c r="D19" s="308" t="s">
        <v>63</v>
      </c>
      <c r="E19" s="309">
        <v>35000</v>
      </c>
      <c r="F19" s="309">
        <v>35000</v>
      </c>
      <c r="G19" s="309">
        <v>35000</v>
      </c>
      <c r="H19" s="309">
        <v>35000</v>
      </c>
      <c r="I19" s="309">
        <f t="shared" si="0"/>
        <v>140000</v>
      </c>
    </row>
    <row r="20" spans="1:9">
      <c r="A20" s="308">
        <v>16</v>
      </c>
      <c r="B20" s="308" t="s">
        <v>70</v>
      </c>
      <c r="C20" s="308" t="s">
        <v>68</v>
      </c>
      <c r="D20" s="308" t="s">
        <v>69</v>
      </c>
      <c r="E20" s="309">
        <v>35000</v>
      </c>
      <c r="F20" s="309">
        <v>35000</v>
      </c>
      <c r="G20" s="309">
        <v>35000</v>
      </c>
      <c r="H20" s="309">
        <v>35000</v>
      </c>
      <c r="I20" s="309">
        <f t="shared" si="0"/>
        <v>140000</v>
      </c>
    </row>
    <row r="21" spans="1:9">
      <c r="A21" s="308">
        <v>17</v>
      </c>
      <c r="B21" s="308" t="s">
        <v>460</v>
      </c>
      <c r="C21" s="308" t="s">
        <v>461</v>
      </c>
      <c r="D21" s="308" t="s">
        <v>69</v>
      </c>
      <c r="E21" s="309">
        <v>35000</v>
      </c>
      <c r="F21" s="309">
        <v>35000</v>
      </c>
      <c r="G21" s="309">
        <v>35000</v>
      </c>
      <c r="H21" s="309">
        <v>35000</v>
      </c>
      <c r="I21" s="309">
        <f t="shared" si="0"/>
        <v>140000</v>
      </c>
    </row>
    <row r="22" spans="1:9">
      <c r="A22" s="308">
        <v>18</v>
      </c>
      <c r="B22" s="308" t="s">
        <v>71</v>
      </c>
      <c r="C22" s="308" t="s">
        <v>404</v>
      </c>
      <c r="D22" s="308" t="s">
        <v>76</v>
      </c>
      <c r="E22" s="309">
        <v>35000</v>
      </c>
      <c r="F22" s="309">
        <v>35000</v>
      </c>
      <c r="G22" s="309">
        <v>35000</v>
      </c>
      <c r="H22" s="309">
        <v>35000</v>
      </c>
      <c r="I22" s="309">
        <f t="shared" si="0"/>
        <v>140000</v>
      </c>
    </row>
    <row r="23" spans="1:9">
      <c r="A23" s="308">
        <v>19</v>
      </c>
      <c r="B23" s="308" t="s">
        <v>74</v>
      </c>
      <c r="C23" s="308" t="s">
        <v>75</v>
      </c>
      <c r="D23" s="308" t="s">
        <v>76</v>
      </c>
      <c r="E23" s="309">
        <v>35000</v>
      </c>
      <c r="F23" s="309">
        <v>35000</v>
      </c>
      <c r="G23" s="309">
        <v>35000</v>
      </c>
      <c r="H23" s="309">
        <v>35000</v>
      </c>
      <c r="I23" s="309">
        <f t="shared" si="0"/>
        <v>140000</v>
      </c>
    </row>
    <row r="24" spans="1:9">
      <c r="A24" s="308">
        <v>20</v>
      </c>
      <c r="B24" s="308" t="s">
        <v>77</v>
      </c>
      <c r="C24" s="308" t="s">
        <v>78</v>
      </c>
      <c r="D24" s="308" t="s">
        <v>69</v>
      </c>
      <c r="E24" s="309">
        <v>35000</v>
      </c>
      <c r="F24" s="309">
        <v>35000</v>
      </c>
      <c r="G24" s="309">
        <v>35000</v>
      </c>
      <c r="H24" s="309">
        <v>35000</v>
      </c>
      <c r="I24" s="309">
        <f t="shared" si="0"/>
        <v>140000</v>
      </c>
    </row>
    <row r="25" spans="1:9">
      <c r="A25" s="308">
        <v>21</v>
      </c>
      <c r="B25" s="308" t="s">
        <v>79</v>
      </c>
      <c r="C25" s="308" t="s">
        <v>80</v>
      </c>
      <c r="D25" s="308" t="s">
        <v>81</v>
      </c>
      <c r="E25" s="309">
        <v>35000</v>
      </c>
      <c r="F25" s="309">
        <v>35000</v>
      </c>
      <c r="G25" s="309">
        <v>35000</v>
      </c>
      <c r="H25" s="309">
        <v>35000</v>
      </c>
      <c r="I25" s="309">
        <f t="shared" si="0"/>
        <v>140000</v>
      </c>
    </row>
    <row r="26" spans="1:9">
      <c r="A26" s="308">
        <v>22</v>
      </c>
      <c r="B26" s="308" t="s">
        <v>82</v>
      </c>
      <c r="C26" s="308" t="s">
        <v>83</v>
      </c>
      <c r="D26" s="308" t="s">
        <v>81</v>
      </c>
      <c r="E26" s="309">
        <v>35000</v>
      </c>
      <c r="F26" s="309">
        <v>35000</v>
      </c>
      <c r="G26" s="309">
        <v>35000</v>
      </c>
      <c r="H26" s="309">
        <v>35000</v>
      </c>
      <c r="I26" s="309">
        <f t="shared" si="0"/>
        <v>140000</v>
      </c>
    </row>
    <row r="27" spans="1:9">
      <c r="A27" s="308">
        <v>23</v>
      </c>
      <c r="B27" s="308" t="s">
        <v>84</v>
      </c>
      <c r="C27" s="308" t="s">
        <v>83</v>
      </c>
      <c r="D27" s="308" t="s">
        <v>85</v>
      </c>
      <c r="E27" s="311">
        <v>35000</v>
      </c>
      <c r="F27" s="311">
        <v>35000</v>
      </c>
      <c r="G27" s="311">
        <v>35000</v>
      </c>
      <c r="H27" s="311">
        <v>35000</v>
      </c>
      <c r="I27" s="311">
        <f t="shared" si="0"/>
        <v>140000</v>
      </c>
    </row>
    <row r="28" spans="1:9">
      <c r="A28" s="308"/>
      <c r="B28" s="312" t="s">
        <v>462</v>
      </c>
      <c r="C28" s="308"/>
      <c r="D28" s="308"/>
      <c r="E28" s="313">
        <f>SUM(E7:E27)</f>
        <v>735000</v>
      </c>
      <c r="F28" s="313">
        <f>SUM(F7:F27)</f>
        <v>735000</v>
      </c>
      <c r="G28" s="313">
        <f>SUM(G7:G27)</f>
        <v>735000</v>
      </c>
      <c r="H28" s="313">
        <f>SUM(H7:H27)</f>
        <v>735000</v>
      </c>
      <c r="I28" s="313">
        <f>SUM(I7:I27)</f>
        <v>2940000</v>
      </c>
    </row>
    <row r="29" spans="1:9">
      <c r="E29" s="295"/>
      <c r="F29" s="295"/>
      <c r="G29" s="295"/>
      <c r="H29" s="295"/>
      <c r="I29" s="295"/>
    </row>
    <row r="30" spans="1:9">
      <c r="B30" s="299" t="s">
        <v>87</v>
      </c>
      <c r="E30" s="295"/>
      <c r="F30" s="295"/>
      <c r="G30" s="295"/>
      <c r="H30" s="295"/>
      <c r="I30" s="295"/>
    </row>
    <row r="31" spans="1:9">
      <c r="A31" s="308">
        <v>1</v>
      </c>
      <c r="B31" s="308" t="s">
        <v>88</v>
      </c>
      <c r="C31" s="308" t="s">
        <v>89</v>
      </c>
      <c r="D31" s="308" t="s">
        <v>90</v>
      </c>
      <c r="E31" s="309">
        <v>35000</v>
      </c>
      <c r="F31" s="309">
        <v>35000</v>
      </c>
      <c r="G31" s="309">
        <v>35000</v>
      </c>
      <c r="H31" s="309">
        <v>35000</v>
      </c>
      <c r="I31" s="309">
        <f>E31+F31+G31+H31</f>
        <v>140000</v>
      </c>
    </row>
    <row r="32" spans="1:9">
      <c r="A32" s="308">
        <v>2</v>
      </c>
      <c r="B32" s="308" t="s">
        <v>91</v>
      </c>
      <c r="C32" s="308" t="s">
        <v>92</v>
      </c>
      <c r="D32" s="308" t="s">
        <v>85</v>
      </c>
      <c r="E32" s="311">
        <v>35000</v>
      </c>
      <c r="F32" s="311">
        <v>35000</v>
      </c>
      <c r="G32" s="311">
        <v>35000</v>
      </c>
      <c r="H32" s="311">
        <v>35000</v>
      </c>
      <c r="I32" s="309">
        <f>E32+F32+G32+H32</f>
        <v>140000</v>
      </c>
    </row>
    <row r="33" spans="1:9">
      <c r="A33" s="308"/>
      <c r="B33" s="312" t="s">
        <v>463</v>
      </c>
      <c r="C33" s="308"/>
      <c r="D33" s="308"/>
      <c r="E33" s="313">
        <f>SUM(E31:E32)</f>
        <v>70000</v>
      </c>
      <c r="F33" s="313">
        <f t="shared" ref="F33:H33" si="1">SUM(F31:F32)</f>
        <v>70000</v>
      </c>
      <c r="G33" s="313">
        <f t="shared" si="1"/>
        <v>70000</v>
      </c>
      <c r="H33" s="313">
        <f t="shared" si="1"/>
        <v>70000</v>
      </c>
      <c r="I33" s="313">
        <f>SUM(I31:I32)</f>
        <v>280000</v>
      </c>
    </row>
    <row r="34" spans="1:9">
      <c r="E34" s="295"/>
      <c r="F34" s="295"/>
      <c r="G34" s="295"/>
      <c r="H34" s="295"/>
      <c r="I34" s="295"/>
    </row>
    <row r="35" spans="1:9">
      <c r="B35" s="299" t="s">
        <v>96</v>
      </c>
      <c r="E35" s="295"/>
      <c r="F35" s="295"/>
      <c r="G35" s="295"/>
      <c r="H35" s="295"/>
      <c r="I35" s="295"/>
    </row>
    <row r="36" spans="1:9">
      <c r="A36" s="308">
        <v>1</v>
      </c>
      <c r="B36" s="308" t="s">
        <v>97</v>
      </c>
      <c r="C36" s="308" t="s">
        <v>98</v>
      </c>
      <c r="D36" s="308" t="s">
        <v>90</v>
      </c>
      <c r="E36" s="309">
        <v>35000</v>
      </c>
      <c r="F36" s="309">
        <v>35000</v>
      </c>
      <c r="G36" s="309">
        <v>35000</v>
      </c>
      <c r="H36" s="309">
        <v>35000</v>
      </c>
      <c r="I36" s="309">
        <f>E36+F36+G36+H36</f>
        <v>140000</v>
      </c>
    </row>
    <row r="37" spans="1:9">
      <c r="A37" s="308">
        <v>2</v>
      </c>
      <c r="B37" s="308" t="s">
        <v>99</v>
      </c>
      <c r="C37" s="308" t="s">
        <v>100</v>
      </c>
      <c r="D37" s="308" t="s">
        <v>45</v>
      </c>
      <c r="E37" s="309">
        <v>35000</v>
      </c>
      <c r="F37" s="309">
        <v>35000</v>
      </c>
      <c r="G37" s="309">
        <v>35000</v>
      </c>
      <c r="H37" s="309">
        <v>35000</v>
      </c>
      <c r="I37" s="309">
        <f t="shared" ref="I37:I48" si="2">E37+F37+G37+H37</f>
        <v>140000</v>
      </c>
    </row>
    <row r="38" spans="1:9">
      <c r="A38" s="308">
        <v>3</v>
      </c>
      <c r="B38" s="308" t="s">
        <v>101</v>
      </c>
      <c r="C38" s="308" t="s">
        <v>102</v>
      </c>
      <c r="D38" s="308" t="s">
        <v>45</v>
      </c>
      <c r="E38" s="309">
        <v>35000</v>
      </c>
      <c r="F38" s="309">
        <v>35000</v>
      </c>
      <c r="G38" s="309">
        <v>35000</v>
      </c>
      <c r="H38" s="309">
        <v>35000</v>
      </c>
      <c r="I38" s="309">
        <f t="shared" si="2"/>
        <v>140000</v>
      </c>
    </row>
    <row r="39" spans="1:9">
      <c r="A39" s="308">
        <v>4</v>
      </c>
      <c r="B39" s="308" t="s">
        <v>103</v>
      </c>
      <c r="C39" s="308" t="s">
        <v>102</v>
      </c>
      <c r="D39" s="308" t="s">
        <v>45</v>
      </c>
      <c r="E39" s="309">
        <v>35000</v>
      </c>
      <c r="F39" s="309">
        <v>35000</v>
      </c>
      <c r="G39" s="309">
        <v>35000</v>
      </c>
      <c r="H39" s="309">
        <v>35000</v>
      </c>
      <c r="I39" s="309">
        <f t="shared" si="2"/>
        <v>140000</v>
      </c>
    </row>
    <row r="40" spans="1:9">
      <c r="A40" s="308">
        <v>5</v>
      </c>
      <c r="B40" s="308" t="s">
        <v>104</v>
      </c>
      <c r="C40" s="308" t="s">
        <v>102</v>
      </c>
      <c r="D40" s="308" t="s">
        <v>105</v>
      </c>
      <c r="E40" s="309">
        <v>35000</v>
      </c>
      <c r="F40" s="309">
        <v>35000</v>
      </c>
      <c r="G40" s="309">
        <v>35000</v>
      </c>
      <c r="H40" s="309">
        <v>35000</v>
      </c>
      <c r="I40" s="309">
        <f t="shared" si="2"/>
        <v>140000</v>
      </c>
    </row>
    <row r="41" spans="1:9">
      <c r="A41" s="308">
        <v>6</v>
      </c>
      <c r="B41" s="308" t="s">
        <v>106</v>
      </c>
      <c r="C41" s="308" t="s">
        <v>107</v>
      </c>
      <c r="D41" s="308" t="s">
        <v>51</v>
      </c>
      <c r="E41" s="309">
        <v>35000</v>
      </c>
      <c r="F41" s="309">
        <v>35000</v>
      </c>
      <c r="G41" s="309">
        <v>35000</v>
      </c>
      <c r="H41" s="309">
        <v>35000</v>
      </c>
      <c r="I41" s="309">
        <f t="shared" si="2"/>
        <v>140000</v>
      </c>
    </row>
    <row r="42" spans="1:9">
      <c r="A42" s="308">
        <v>7</v>
      </c>
      <c r="B42" s="308" t="s">
        <v>108</v>
      </c>
      <c r="C42" s="308" t="s">
        <v>109</v>
      </c>
      <c r="D42" s="308" t="s">
        <v>51</v>
      </c>
      <c r="E42" s="309">
        <v>35000</v>
      </c>
      <c r="F42" s="309">
        <v>35000</v>
      </c>
      <c r="G42" s="309">
        <v>35000</v>
      </c>
      <c r="H42" s="309">
        <v>35000</v>
      </c>
      <c r="I42" s="309">
        <f t="shared" si="2"/>
        <v>140000</v>
      </c>
    </row>
    <row r="43" spans="1:9">
      <c r="A43" s="308">
        <v>8</v>
      </c>
      <c r="B43" s="308" t="s">
        <v>464</v>
      </c>
      <c r="C43" s="308" t="s">
        <v>109</v>
      </c>
      <c r="D43" s="308" t="s">
        <v>134</v>
      </c>
      <c r="E43" s="309">
        <v>35000</v>
      </c>
      <c r="F43" s="309">
        <v>35000</v>
      </c>
      <c r="G43" s="309">
        <v>35000</v>
      </c>
      <c r="H43" s="309">
        <v>35000</v>
      </c>
      <c r="I43" s="309">
        <f t="shared" si="2"/>
        <v>140000</v>
      </c>
    </row>
    <row r="44" spans="1:9">
      <c r="A44" s="308">
        <v>9</v>
      </c>
      <c r="B44" s="308" t="s">
        <v>110</v>
      </c>
      <c r="C44" s="308" t="s">
        <v>164</v>
      </c>
      <c r="D44" s="308" t="s">
        <v>165</v>
      </c>
      <c r="E44" s="309">
        <v>35000</v>
      </c>
      <c r="F44" s="309">
        <v>35000</v>
      </c>
      <c r="G44" s="309">
        <v>35000</v>
      </c>
      <c r="H44" s="309">
        <v>35000</v>
      </c>
      <c r="I44" s="309">
        <f t="shared" si="2"/>
        <v>140000</v>
      </c>
    </row>
    <row r="45" spans="1:9">
      <c r="A45" s="308">
        <v>10</v>
      </c>
      <c r="B45" s="308" t="s">
        <v>112</v>
      </c>
      <c r="C45" s="308" t="s">
        <v>113</v>
      </c>
      <c r="D45" s="308" t="s">
        <v>95</v>
      </c>
      <c r="E45" s="309">
        <v>35000</v>
      </c>
      <c r="F45" s="309">
        <v>35000</v>
      </c>
      <c r="G45" s="309">
        <v>35000</v>
      </c>
      <c r="H45" s="309">
        <v>35000</v>
      </c>
      <c r="I45" s="309">
        <f t="shared" si="2"/>
        <v>140000</v>
      </c>
    </row>
    <row r="46" spans="1:9">
      <c r="A46" s="308">
        <v>11</v>
      </c>
      <c r="B46" s="308" t="s">
        <v>114</v>
      </c>
      <c r="C46" s="308" t="s">
        <v>113</v>
      </c>
      <c r="D46" s="308" t="s">
        <v>73</v>
      </c>
      <c r="E46" s="309">
        <v>35000</v>
      </c>
      <c r="F46" s="309">
        <v>35000</v>
      </c>
      <c r="G46" s="309">
        <v>35000</v>
      </c>
      <c r="H46" s="309">
        <v>35000</v>
      </c>
      <c r="I46" s="309">
        <f t="shared" si="2"/>
        <v>140000</v>
      </c>
    </row>
    <row r="47" spans="1:9">
      <c r="A47" s="308">
        <v>12</v>
      </c>
      <c r="B47" s="308" t="s">
        <v>115</v>
      </c>
      <c r="C47" s="308" t="s">
        <v>113</v>
      </c>
      <c r="D47" s="308" t="s">
        <v>73</v>
      </c>
      <c r="E47" s="309">
        <v>35000</v>
      </c>
      <c r="F47" s="309">
        <v>35000</v>
      </c>
      <c r="G47" s="309">
        <v>35000</v>
      </c>
      <c r="H47" s="309">
        <v>35000</v>
      </c>
      <c r="I47" s="309">
        <f t="shared" si="2"/>
        <v>140000</v>
      </c>
    </row>
    <row r="48" spans="1:9">
      <c r="A48" s="308">
        <v>13</v>
      </c>
      <c r="B48" s="308" t="s">
        <v>116</v>
      </c>
      <c r="C48" s="308" t="s">
        <v>113</v>
      </c>
      <c r="D48" s="308" t="s">
        <v>73</v>
      </c>
      <c r="E48" s="311">
        <v>35000</v>
      </c>
      <c r="F48" s="311">
        <v>35000</v>
      </c>
      <c r="G48" s="311">
        <v>35000</v>
      </c>
      <c r="H48" s="311">
        <v>35000</v>
      </c>
      <c r="I48" s="311">
        <f t="shared" si="2"/>
        <v>140000</v>
      </c>
    </row>
    <row r="49" spans="1:9">
      <c r="A49" s="308"/>
      <c r="B49" s="312" t="s">
        <v>465</v>
      </c>
      <c r="C49" s="308"/>
      <c r="D49" s="308"/>
      <c r="E49" s="313">
        <f>SUM(E36:E48)</f>
        <v>455000</v>
      </c>
      <c r="F49" s="313">
        <f t="shared" ref="F49:H49" si="3">SUM(F36:F48)</f>
        <v>455000</v>
      </c>
      <c r="G49" s="313">
        <f t="shared" si="3"/>
        <v>455000</v>
      </c>
      <c r="H49" s="313">
        <f t="shared" si="3"/>
        <v>455000</v>
      </c>
      <c r="I49" s="313">
        <f>SUM(I36:I48)</f>
        <v>1820000</v>
      </c>
    </row>
    <row r="50" spans="1:9">
      <c r="E50" s="295"/>
      <c r="F50" s="295"/>
      <c r="G50" s="295"/>
      <c r="H50" s="295"/>
      <c r="I50" s="295"/>
    </row>
    <row r="51" spans="1:9">
      <c r="B51" s="299" t="s">
        <v>117</v>
      </c>
      <c r="E51" s="295"/>
      <c r="F51" s="295"/>
      <c r="G51" s="295"/>
      <c r="H51" s="295"/>
      <c r="I51" s="295"/>
    </row>
    <row r="52" spans="1:9">
      <c r="A52" s="308">
        <v>1</v>
      </c>
      <c r="B52" s="310" t="s">
        <v>118</v>
      </c>
      <c r="C52" s="308" t="s">
        <v>119</v>
      </c>
      <c r="D52" s="308" t="s">
        <v>90</v>
      </c>
      <c r="E52" s="309">
        <v>35000</v>
      </c>
      <c r="F52" s="309">
        <v>35000</v>
      </c>
      <c r="G52" s="309">
        <v>35000</v>
      </c>
      <c r="H52" s="309">
        <v>35000</v>
      </c>
      <c r="I52" s="309">
        <f>E52+F52+G52+H52</f>
        <v>140000</v>
      </c>
    </row>
    <row r="53" spans="1:9">
      <c r="A53" s="308">
        <v>2</v>
      </c>
      <c r="B53" s="308" t="s">
        <v>120</v>
      </c>
      <c r="C53" s="308" t="s">
        <v>121</v>
      </c>
      <c r="D53" s="308" t="s">
        <v>122</v>
      </c>
      <c r="E53" s="311">
        <v>35000</v>
      </c>
      <c r="F53" s="311">
        <v>35000</v>
      </c>
      <c r="G53" s="311">
        <v>35000</v>
      </c>
      <c r="H53" s="311">
        <v>35000</v>
      </c>
      <c r="I53" s="311">
        <f>E53+F53+G53+H53</f>
        <v>140000</v>
      </c>
    </row>
    <row r="54" spans="1:9">
      <c r="A54" s="308"/>
      <c r="B54" s="312" t="s">
        <v>466</v>
      </c>
      <c r="C54" s="308"/>
      <c r="D54" s="308"/>
      <c r="E54" s="313">
        <f>SUM(E52:E53)</f>
        <v>70000</v>
      </c>
      <c r="F54" s="313">
        <f t="shared" ref="F54:H54" si="4">SUM(F52:F53)</f>
        <v>70000</v>
      </c>
      <c r="G54" s="313">
        <f t="shared" si="4"/>
        <v>70000</v>
      </c>
      <c r="H54" s="313">
        <f t="shared" si="4"/>
        <v>70000</v>
      </c>
      <c r="I54" s="313">
        <f>SUM(I52:I53)</f>
        <v>280000</v>
      </c>
    </row>
    <row r="55" spans="1:9">
      <c r="E55" s="295"/>
      <c r="F55" s="295"/>
      <c r="G55" s="295"/>
      <c r="H55" s="295"/>
      <c r="I55" s="295"/>
    </row>
    <row r="56" spans="1:9">
      <c r="B56" s="299" t="s">
        <v>123</v>
      </c>
      <c r="E56" s="295"/>
      <c r="F56" s="295"/>
      <c r="G56" s="295"/>
      <c r="H56" s="295"/>
      <c r="I56" s="295"/>
    </row>
    <row r="57" spans="1:9">
      <c r="A57" s="308">
        <v>1</v>
      </c>
      <c r="B57" s="308" t="s">
        <v>124</v>
      </c>
      <c r="C57" s="308" t="s">
        <v>125</v>
      </c>
      <c r="D57" s="308" t="s">
        <v>90</v>
      </c>
      <c r="E57" s="309">
        <v>35000</v>
      </c>
      <c r="F57" s="309">
        <v>35000</v>
      </c>
      <c r="G57" s="309">
        <v>35000</v>
      </c>
      <c r="H57" s="309">
        <v>35000</v>
      </c>
      <c r="I57" s="309">
        <f>E57+F57+G57+H57</f>
        <v>140000</v>
      </c>
    </row>
    <row r="58" spans="1:9">
      <c r="A58" s="308">
        <v>2</v>
      </c>
      <c r="B58" s="308" t="s">
        <v>126</v>
      </c>
      <c r="C58" s="308" t="s">
        <v>127</v>
      </c>
      <c r="D58" s="308" t="s">
        <v>128</v>
      </c>
      <c r="E58" s="309">
        <v>35000</v>
      </c>
      <c r="F58" s="309">
        <v>35000</v>
      </c>
      <c r="G58" s="309">
        <v>35000</v>
      </c>
      <c r="H58" s="309">
        <v>35000</v>
      </c>
      <c r="I58" s="309">
        <f t="shared" ref="I58:I68" si="5">E58+F58+G58+H58</f>
        <v>140000</v>
      </c>
    </row>
    <row r="59" spans="1:9">
      <c r="A59" s="308">
        <v>3</v>
      </c>
      <c r="B59" s="308" t="s">
        <v>129</v>
      </c>
      <c r="C59" s="308" t="s">
        <v>131</v>
      </c>
      <c r="D59" s="308" t="s">
        <v>165</v>
      </c>
      <c r="E59" s="309">
        <v>35000</v>
      </c>
      <c r="F59" s="309">
        <v>35000</v>
      </c>
      <c r="G59" s="309">
        <v>35000</v>
      </c>
      <c r="H59" s="309">
        <v>35000</v>
      </c>
      <c r="I59" s="309">
        <f t="shared" si="5"/>
        <v>140000</v>
      </c>
    </row>
    <row r="60" spans="1:9">
      <c r="A60" s="308">
        <v>4</v>
      </c>
      <c r="B60" s="308" t="s">
        <v>130</v>
      </c>
      <c r="C60" s="308" t="s">
        <v>131</v>
      </c>
      <c r="D60" s="308" t="s">
        <v>57</v>
      </c>
      <c r="E60" s="309">
        <v>35000</v>
      </c>
      <c r="F60" s="309">
        <v>35000</v>
      </c>
      <c r="G60" s="309">
        <v>35000</v>
      </c>
      <c r="H60" s="309">
        <v>35000</v>
      </c>
      <c r="I60" s="309">
        <f t="shared" si="5"/>
        <v>140000</v>
      </c>
    </row>
    <row r="61" spans="1:9">
      <c r="A61" s="308">
        <v>5</v>
      </c>
      <c r="B61" s="308" t="s">
        <v>132</v>
      </c>
      <c r="C61" s="308" t="s">
        <v>109</v>
      </c>
      <c r="D61" s="308" t="s">
        <v>51</v>
      </c>
      <c r="E61" s="309">
        <v>35000</v>
      </c>
      <c r="F61" s="309">
        <v>35000</v>
      </c>
      <c r="G61" s="309">
        <v>35000</v>
      </c>
      <c r="H61" s="309">
        <v>35000</v>
      </c>
      <c r="I61" s="309">
        <f t="shared" si="5"/>
        <v>140000</v>
      </c>
    </row>
    <row r="62" spans="1:9">
      <c r="A62" s="308">
        <v>6</v>
      </c>
      <c r="B62" s="308" t="s">
        <v>133</v>
      </c>
      <c r="C62" s="308" t="s">
        <v>109</v>
      </c>
      <c r="D62" s="308" t="s">
        <v>134</v>
      </c>
      <c r="E62" s="309">
        <v>35000</v>
      </c>
      <c r="F62" s="309">
        <v>35000</v>
      </c>
      <c r="G62" s="309">
        <v>35000</v>
      </c>
      <c r="H62" s="309">
        <v>35000</v>
      </c>
      <c r="I62" s="309">
        <f t="shared" si="5"/>
        <v>140000</v>
      </c>
    </row>
    <row r="63" spans="1:9">
      <c r="A63" s="308">
        <v>7</v>
      </c>
      <c r="B63" s="308" t="s">
        <v>135</v>
      </c>
      <c r="C63" s="308" t="s">
        <v>113</v>
      </c>
      <c r="D63" s="308" t="s">
        <v>66</v>
      </c>
      <c r="E63" s="309">
        <v>35000</v>
      </c>
      <c r="F63" s="309">
        <v>35000</v>
      </c>
      <c r="G63" s="309">
        <v>35000</v>
      </c>
      <c r="H63" s="309">
        <v>35000</v>
      </c>
      <c r="I63" s="309">
        <f t="shared" si="5"/>
        <v>140000</v>
      </c>
    </row>
    <row r="64" spans="1:9">
      <c r="A64" s="308">
        <v>8</v>
      </c>
      <c r="B64" s="308" t="s">
        <v>136</v>
      </c>
      <c r="C64" s="308" t="s">
        <v>137</v>
      </c>
      <c r="D64" s="308" t="s">
        <v>66</v>
      </c>
      <c r="E64" s="309">
        <v>35000</v>
      </c>
      <c r="F64" s="309">
        <v>35000</v>
      </c>
      <c r="G64" s="309">
        <v>35000</v>
      </c>
      <c r="H64" s="309">
        <v>35000</v>
      </c>
      <c r="I64" s="309">
        <f t="shared" si="5"/>
        <v>140000</v>
      </c>
    </row>
    <row r="65" spans="1:9">
      <c r="A65" s="308">
        <v>9</v>
      </c>
      <c r="B65" s="308" t="s">
        <v>138</v>
      </c>
      <c r="C65" s="308" t="s">
        <v>137</v>
      </c>
      <c r="D65" s="308" t="s">
        <v>66</v>
      </c>
      <c r="E65" s="309">
        <v>35000</v>
      </c>
      <c r="F65" s="309">
        <v>35000</v>
      </c>
      <c r="G65" s="309">
        <v>35000</v>
      </c>
      <c r="H65" s="309">
        <v>35000</v>
      </c>
      <c r="I65" s="309">
        <f t="shared" si="5"/>
        <v>140000</v>
      </c>
    </row>
    <row r="66" spans="1:9">
      <c r="A66" s="308">
        <v>10</v>
      </c>
      <c r="B66" s="308" t="s">
        <v>139</v>
      </c>
      <c r="C66" s="308" t="s">
        <v>140</v>
      </c>
      <c r="D66" s="308" t="s">
        <v>63</v>
      </c>
      <c r="E66" s="309">
        <v>35000</v>
      </c>
      <c r="F66" s="309">
        <v>35000</v>
      </c>
      <c r="G66" s="309">
        <v>35000</v>
      </c>
      <c r="H66" s="309">
        <v>35000</v>
      </c>
      <c r="I66" s="309">
        <f t="shared" si="5"/>
        <v>140000</v>
      </c>
    </row>
    <row r="67" spans="1:9">
      <c r="A67" s="308">
        <v>11</v>
      </c>
      <c r="B67" s="308" t="s">
        <v>142</v>
      </c>
      <c r="C67" s="308" t="s">
        <v>65</v>
      </c>
      <c r="D67" s="308" t="s">
        <v>69</v>
      </c>
      <c r="E67" s="309">
        <v>35000</v>
      </c>
      <c r="F67" s="309">
        <v>35000</v>
      </c>
      <c r="G67" s="309">
        <v>35000</v>
      </c>
      <c r="H67" s="309">
        <v>35000</v>
      </c>
      <c r="I67" s="309">
        <f t="shared" si="5"/>
        <v>140000</v>
      </c>
    </row>
    <row r="68" spans="1:9">
      <c r="A68" s="308">
        <v>12</v>
      </c>
      <c r="B68" s="308" t="s">
        <v>64</v>
      </c>
      <c r="C68" s="308" t="s">
        <v>65</v>
      </c>
      <c r="D68" s="308" t="s">
        <v>81</v>
      </c>
      <c r="E68" s="311">
        <v>35000</v>
      </c>
      <c r="F68" s="311">
        <v>35000</v>
      </c>
      <c r="G68" s="311">
        <v>35000</v>
      </c>
      <c r="H68" s="311">
        <v>35000</v>
      </c>
      <c r="I68" s="311">
        <f t="shared" si="5"/>
        <v>140000</v>
      </c>
    </row>
    <row r="69" spans="1:9">
      <c r="A69" s="308"/>
      <c r="B69" s="312" t="s">
        <v>467</v>
      </c>
      <c r="C69" s="308"/>
      <c r="D69" s="308"/>
      <c r="E69" s="313">
        <f>SUM(E57:E68)</f>
        <v>420000</v>
      </c>
      <c r="F69" s="313">
        <f t="shared" ref="F69:H69" si="6">SUM(F57:F68)</f>
        <v>420000</v>
      </c>
      <c r="G69" s="313">
        <f t="shared" si="6"/>
        <v>420000</v>
      </c>
      <c r="H69" s="313">
        <f t="shared" si="6"/>
        <v>420000</v>
      </c>
      <c r="I69" s="313">
        <f>SUM(I57:I68)</f>
        <v>1680000</v>
      </c>
    </row>
    <row r="70" spans="1:9">
      <c r="E70" s="295"/>
      <c r="F70" s="295"/>
      <c r="G70" s="295"/>
      <c r="H70" s="295"/>
      <c r="I70" s="295"/>
    </row>
    <row r="71" spans="1:9">
      <c r="B71" s="299" t="s">
        <v>143</v>
      </c>
      <c r="E71" s="295"/>
      <c r="F71" s="295"/>
      <c r="G71" s="295"/>
      <c r="H71" s="295"/>
      <c r="I71" s="295"/>
    </row>
    <row r="72" spans="1:9">
      <c r="A72" s="308">
        <v>1</v>
      </c>
      <c r="B72" s="308" t="s">
        <v>144</v>
      </c>
      <c r="C72" s="308" t="s">
        <v>145</v>
      </c>
      <c r="D72" s="308" t="s">
        <v>90</v>
      </c>
      <c r="E72" s="309">
        <v>35000</v>
      </c>
      <c r="F72" s="309">
        <v>35000</v>
      </c>
      <c r="G72" s="309">
        <v>35000</v>
      </c>
      <c r="H72" s="309">
        <v>35000</v>
      </c>
      <c r="I72" s="309">
        <f>E72+F72+G72+H72</f>
        <v>140000</v>
      </c>
    </row>
    <row r="73" spans="1:9">
      <c r="A73" s="308">
        <v>2</v>
      </c>
      <c r="B73" s="308" t="s">
        <v>146</v>
      </c>
      <c r="C73" s="308" t="s">
        <v>147</v>
      </c>
      <c r="D73" s="308" t="s">
        <v>128</v>
      </c>
      <c r="E73" s="309">
        <v>35000</v>
      </c>
      <c r="F73" s="309">
        <v>35000</v>
      </c>
      <c r="G73" s="309">
        <v>35000</v>
      </c>
      <c r="H73" s="309">
        <v>35000</v>
      </c>
      <c r="I73" s="309">
        <f t="shared" ref="I73:I78" si="7">E73+F73+G73+H73</f>
        <v>140000</v>
      </c>
    </row>
    <row r="74" spans="1:9">
      <c r="A74" s="308">
        <v>3</v>
      </c>
      <c r="B74" s="308" t="s">
        <v>148</v>
      </c>
      <c r="C74" s="308" t="s">
        <v>149</v>
      </c>
      <c r="D74" s="308" t="s">
        <v>122</v>
      </c>
      <c r="E74" s="309">
        <v>35000</v>
      </c>
      <c r="F74" s="309">
        <v>35000</v>
      </c>
      <c r="G74" s="309">
        <v>35000</v>
      </c>
      <c r="H74" s="309">
        <v>35000</v>
      </c>
      <c r="I74" s="309">
        <f t="shared" si="7"/>
        <v>140000</v>
      </c>
    </row>
    <row r="75" spans="1:9">
      <c r="A75" s="308">
        <v>4</v>
      </c>
      <c r="B75" s="308" t="s">
        <v>150</v>
      </c>
      <c r="C75" s="308" t="s">
        <v>406</v>
      </c>
      <c r="D75" s="308" t="s">
        <v>165</v>
      </c>
      <c r="E75" s="309">
        <v>35000</v>
      </c>
      <c r="F75" s="309">
        <v>35000</v>
      </c>
      <c r="G75" s="309">
        <v>35000</v>
      </c>
      <c r="H75" s="309">
        <v>35000</v>
      </c>
      <c r="I75" s="309">
        <f t="shared" si="7"/>
        <v>140000</v>
      </c>
    </row>
    <row r="76" spans="1:9">
      <c r="A76" s="308">
        <v>5</v>
      </c>
      <c r="B76" s="308" t="s">
        <v>152</v>
      </c>
      <c r="C76" s="308" t="s">
        <v>153</v>
      </c>
      <c r="D76" s="308" t="s">
        <v>154</v>
      </c>
      <c r="E76" s="309">
        <v>35000</v>
      </c>
      <c r="F76" s="309">
        <v>35000</v>
      </c>
      <c r="G76" s="309">
        <v>35000</v>
      </c>
      <c r="H76" s="309">
        <v>35000</v>
      </c>
      <c r="I76" s="309">
        <f t="shared" si="7"/>
        <v>140000</v>
      </c>
    </row>
    <row r="77" spans="1:9">
      <c r="A77" s="308">
        <v>6</v>
      </c>
      <c r="B77" s="308" t="s">
        <v>155</v>
      </c>
      <c r="C77" s="308" t="s">
        <v>153</v>
      </c>
      <c r="D77" s="308" t="s">
        <v>73</v>
      </c>
      <c r="E77" s="309">
        <v>35000</v>
      </c>
      <c r="F77" s="309">
        <v>35000</v>
      </c>
      <c r="G77" s="309">
        <v>35000</v>
      </c>
      <c r="H77" s="309">
        <v>35000</v>
      </c>
      <c r="I77" s="309">
        <f t="shared" si="7"/>
        <v>140000</v>
      </c>
    </row>
    <row r="78" spans="1:9">
      <c r="A78" s="308">
        <v>7</v>
      </c>
      <c r="B78" s="308" t="s">
        <v>156</v>
      </c>
      <c r="C78" s="308" t="s">
        <v>157</v>
      </c>
      <c r="D78" s="308" t="s">
        <v>85</v>
      </c>
      <c r="E78" s="311">
        <v>35000</v>
      </c>
      <c r="F78" s="311">
        <v>35000</v>
      </c>
      <c r="G78" s="311">
        <v>35000</v>
      </c>
      <c r="H78" s="311">
        <v>35000</v>
      </c>
      <c r="I78" s="311">
        <f t="shared" si="7"/>
        <v>140000</v>
      </c>
    </row>
    <row r="79" spans="1:9">
      <c r="A79" s="308"/>
      <c r="B79" s="312" t="s">
        <v>468</v>
      </c>
      <c r="C79" s="308"/>
      <c r="D79" s="308"/>
      <c r="E79" s="313">
        <f>SUM(E72:E78)</f>
        <v>245000</v>
      </c>
      <c r="F79" s="313">
        <f t="shared" ref="F79:H79" si="8">SUM(F72:F78)</f>
        <v>245000</v>
      </c>
      <c r="G79" s="313">
        <f t="shared" si="8"/>
        <v>245000</v>
      </c>
      <c r="H79" s="313">
        <f t="shared" si="8"/>
        <v>245000</v>
      </c>
      <c r="I79" s="313">
        <f>SUM(I72:I78)</f>
        <v>980000</v>
      </c>
    </row>
    <row r="80" spans="1:9">
      <c r="E80" s="295"/>
      <c r="F80" s="295"/>
      <c r="G80" s="295"/>
      <c r="H80" s="295"/>
      <c r="I80" s="295"/>
    </row>
    <row r="81" spans="1:9">
      <c r="B81" s="299" t="s">
        <v>158</v>
      </c>
      <c r="E81" s="295"/>
      <c r="F81" s="295"/>
      <c r="G81" s="295"/>
      <c r="H81" s="295"/>
      <c r="I81" s="295"/>
    </row>
    <row r="82" spans="1:9">
      <c r="A82" s="308">
        <v>1</v>
      </c>
      <c r="B82" s="308" t="s">
        <v>159</v>
      </c>
      <c r="C82" s="308" t="s">
        <v>102</v>
      </c>
      <c r="D82" s="308" t="s">
        <v>45</v>
      </c>
      <c r="E82" s="309">
        <v>35000</v>
      </c>
      <c r="F82" s="309">
        <v>35000</v>
      </c>
      <c r="G82" s="309">
        <v>35000</v>
      </c>
      <c r="H82" s="309">
        <v>35000</v>
      </c>
      <c r="I82" s="309">
        <f t="shared" ref="I82:I92" si="9">35000*4</f>
        <v>140000</v>
      </c>
    </row>
    <row r="83" spans="1:9">
      <c r="A83" s="308">
        <v>2</v>
      </c>
      <c r="B83" s="308" t="s">
        <v>160</v>
      </c>
      <c r="C83" s="308" t="s">
        <v>102</v>
      </c>
      <c r="D83" s="308" t="s">
        <v>45</v>
      </c>
      <c r="E83" s="309">
        <v>35000</v>
      </c>
      <c r="F83" s="309">
        <v>35000</v>
      </c>
      <c r="G83" s="309">
        <v>35000</v>
      </c>
      <c r="H83" s="309">
        <v>35000</v>
      </c>
      <c r="I83" s="309">
        <f t="shared" si="9"/>
        <v>140000</v>
      </c>
    </row>
    <row r="84" spans="1:9">
      <c r="A84" s="308">
        <v>3</v>
      </c>
      <c r="B84" s="308" t="s">
        <v>161</v>
      </c>
      <c r="C84" s="308" t="s">
        <v>109</v>
      </c>
      <c r="D84" s="308" t="s">
        <v>405</v>
      </c>
      <c r="E84" s="309">
        <v>35000</v>
      </c>
      <c r="F84" s="309">
        <v>35000</v>
      </c>
      <c r="G84" s="309">
        <v>35000</v>
      </c>
      <c r="H84" s="309">
        <v>35000</v>
      </c>
      <c r="I84" s="309">
        <f t="shared" si="9"/>
        <v>140000</v>
      </c>
    </row>
    <row r="85" spans="1:9">
      <c r="A85" s="308">
        <v>4</v>
      </c>
      <c r="B85" s="308" t="s">
        <v>162</v>
      </c>
      <c r="C85" s="308" t="s">
        <v>107</v>
      </c>
      <c r="D85" s="308" t="s">
        <v>51</v>
      </c>
      <c r="E85" s="309">
        <v>35000</v>
      </c>
      <c r="F85" s="309">
        <v>35000</v>
      </c>
      <c r="G85" s="309">
        <v>35000</v>
      </c>
      <c r="H85" s="309">
        <v>35000</v>
      </c>
      <c r="I85" s="309">
        <f t="shared" si="9"/>
        <v>140000</v>
      </c>
    </row>
    <row r="86" spans="1:9">
      <c r="A86" s="308">
        <v>5</v>
      </c>
      <c r="B86" s="308" t="s">
        <v>163</v>
      </c>
      <c r="C86" s="308" t="s">
        <v>164</v>
      </c>
      <c r="D86" s="308" t="s">
        <v>165</v>
      </c>
      <c r="E86" s="309">
        <v>35000</v>
      </c>
      <c r="F86" s="309">
        <v>35000</v>
      </c>
      <c r="G86" s="309">
        <v>35000</v>
      </c>
      <c r="H86" s="309">
        <v>35000</v>
      </c>
      <c r="I86" s="309">
        <f t="shared" si="9"/>
        <v>140000</v>
      </c>
    </row>
    <row r="87" spans="1:9">
      <c r="A87" s="308">
        <v>6</v>
      </c>
      <c r="B87" s="308" t="s">
        <v>166</v>
      </c>
      <c r="C87" s="308" t="s">
        <v>131</v>
      </c>
      <c r="D87" s="308" t="s">
        <v>57</v>
      </c>
      <c r="E87" s="309">
        <v>35000</v>
      </c>
      <c r="F87" s="309">
        <v>35000</v>
      </c>
      <c r="G87" s="309">
        <v>35000</v>
      </c>
      <c r="H87" s="309">
        <v>35000</v>
      </c>
      <c r="I87" s="309">
        <f t="shared" si="9"/>
        <v>140000</v>
      </c>
    </row>
    <row r="88" spans="1:9">
      <c r="A88" s="308">
        <v>7</v>
      </c>
      <c r="B88" s="308" t="s">
        <v>167</v>
      </c>
      <c r="C88" s="308" t="s">
        <v>131</v>
      </c>
      <c r="D88" s="308" t="s">
        <v>57</v>
      </c>
      <c r="E88" s="309">
        <v>35000</v>
      </c>
      <c r="F88" s="309">
        <v>35000</v>
      </c>
      <c r="G88" s="309">
        <v>35000</v>
      </c>
      <c r="H88" s="309">
        <v>35000</v>
      </c>
      <c r="I88" s="309">
        <f t="shared" si="9"/>
        <v>140000</v>
      </c>
    </row>
    <row r="89" spans="1:9">
      <c r="A89" s="308">
        <v>8</v>
      </c>
      <c r="B89" s="308" t="s">
        <v>169</v>
      </c>
      <c r="C89" s="308" t="s">
        <v>137</v>
      </c>
      <c r="D89" s="308" t="s">
        <v>66</v>
      </c>
      <c r="E89" s="309">
        <v>35000</v>
      </c>
      <c r="F89" s="309">
        <v>35000</v>
      </c>
      <c r="G89" s="309">
        <v>35000</v>
      </c>
      <c r="H89" s="309">
        <v>35000</v>
      </c>
      <c r="I89" s="309">
        <f t="shared" si="9"/>
        <v>140000</v>
      </c>
    </row>
    <row r="90" spans="1:9">
      <c r="A90" s="308">
        <v>9</v>
      </c>
      <c r="B90" s="308" t="s">
        <v>170</v>
      </c>
      <c r="C90" s="308" t="s">
        <v>137</v>
      </c>
      <c r="D90" s="308" t="s">
        <v>66</v>
      </c>
      <c r="E90" s="309">
        <v>35000</v>
      </c>
      <c r="F90" s="309">
        <v>35000</v>
      </c>
      <c r="G90" s="309">
        <v>35000</v>
      </c>
      <c r="H90" s="309">
        <v>35000</v>
      </c>
      <c r="I90" s="309">
        <f t="shared" si="9"/>
        <v>140000</v>
      </c>
    </row>
    <row r="91" spans="1:9">
      <c r="A91" s="308">
        <v>10</v>
      </c>
      <c r="B91" s="308" t="s">
        <v>171</v>
      </c>
      <c r="C91" s="308" t="s">
        <v>172</v>
      </c>
      <c r="D91" s="308" t="s">
        <v>95</v>
      </c>
      <c r="E91" s="309">
        <v>35000</v>
      </c>
      <c r="F91" s="309">
        <v>35000</v>
      </c>
      <c r="G91" s="309">
        <v>35000</v>
      </c>
      <c r="H91" s="309">
        <v>35000</v>
      </c>
      <c r="I91" s="309">
        <f t="shared" si="9"/>
        <v>140000</v>
      </c>
    </row>
    <row r="92" spans="1:9">
      <c r="A92" s="308">
        <v>11</v>
      </c>
      <c r="B92" s="308" t="s">
        <v>173</v>
      </c>
      <c r="C92" s="308" t="s">
        <v>174</v>
      </c>
      <c r="D92" s="308" t="s">
        <v>81</v>
      </c>
      <c r="E92" s="311">
        <v>35000</v>
      </c>
      <c r="F92" s="311">
        <v>35000</v>
      </c>
      <c r="G92" s="311">
        <v>35000</v>
      </c>
      <c r="H92" s="311">
        <v>35000</v>
      </c>
      <c r="I92" s="311">
        <f t="shared" si="9"/>
        <v>140000</v>
      </c>
    </row>
    <row r="93" spans="1:9">
      <c r="A93" s="308"/>
      <c r="B93" s="312" t="s">
        <v>469</v>
      </c>
      <c r="C93" s="308"/>
      <c r="D93" s="308"/>
      <c r="E93" s="313">
        <f>SUM(E82:E92)</f>
        <v>385000</v>
      </c>
      <c r="F93" s="313">
        <f t="shared" ref="F93:H93" si="10">SUM(F82:F92)</f>
        <v>385000</v>
      </c>
      <c r="G93" s="313">
        <f t="shared" si="10"/>
        <v>385000</v>
      </c>
      <c r="H93" s="313">
        <f t="shared" si="10"/>
        <v>385000</v>
      </c>
      <c r="I93" s="313">
        <f>SUM(I82:I92)</f>
        <v>1540000</v>
      </c>
    </row>
    <row r="94" spans="1:9">
      <c r="E94" s="295"/>
      <c r="F94" s="295"/>
      <c r="G94" s="295"/>
      <c r="H94" s="295"/>
      <c r="I94" s="295"/>
    </row>
    <row r="95" spans="1:9">
      <c r="B95" s="299" t="s">
        <v>175</v>
      </c>
      <c r="E95" s="295"/>
      <c r="F95" s="295"/>
      <c r="G95" s="295"/>
      <c r="H95" s="295"/>
      <c r="I95" s="295"/>
    </row>
    <row r="96" spans="1:9">
      <c r="A96" s="308">
        <v>1</v>
      </c>
      <c r="B96" s="308" t="s">
        <v>41</v>
      </c>
      <c r="C96" s="308" t="s">
        <v>42</v>
      </c>
      <c r="D96" s="308" t="s">
        <v>36</v>
      </c>
      <c r="E96" s="309">
        <v>35000</v>
      </c>
      <c r="F96" s="309">
        <v>35000</v>
      </c>
      <c r="G96" s="309">
        <v>35000</v>
      </c>
      <c r="H96" s="309">
        <v>35000</v>
      </c>
      <c r="I96" s="309">
        <f>E96+F96+G96+H96</f>
        <v>140000</v>
      </c>
    </row>
    <row r="97" spans="1:9">
      <c r="A97" s="308">
        <v>2</v>
      </c>
      <c r="B97" s="308" t="s">
        <v>46</v>
      </c>
      <c r="C97" s="308" t="s">
        <v>179</v>
      </c>
      <c r="D97" s="308" t="s">
        <v>51</v>
      </c>
      <c r="E97" s="309">
        <v>35000</v>
      </c>
      <c r="F97" s="309">
        <v>35000</v>
      </c>
      <c r="G97" s="309">
        <v>35000</v>
      </c>
      <c r="H97" s="309">
        <v>35000</v>
      </c>
      <c r="I97" s="309">
        <f t="shared" ref="I97:I99" si="11">E97+F97+G97+H97</f>
        <v>140000</v>
      </c>
    </row>
    <row r="98" spans="1:9">
      <c r="A98" s="308">
        <v>3</v>
      </c>
      <c r="B98" s="308" t="s">
        <v>180</v>
      </c>
      <c r="C98" s="308" t="s">
        <v>181</v>
      </c>
      <c r="D98" s="308" t="s">
        <v>63</v>
      </c>
      <c r="E98" s="309">
        <v>35000</v>
      </c>
      <c r="F98" s="309">
        <v>35000</v>
      </c>
      <c r="G98" s="309">
        <v>35000</v>
      </c>
      <c r="H98" s="309">
        <v>35000</v>
      </c>
      <c r="I98" s="309">
        <f t="shared" si="11"/>
        <v>140000</v>
      </c>
    </row>
    <row r="99" spans="1:9">
      <c r="A99" s="308">
        <v>4</v>
      </c>
      <c r="B99" s="308" t="s">
        <v>182</v>
      </c>
      <c r="C99" s="308" t="s">
        <v>407</v>
      </c>
      <c r="D99" s="308" t="s">
        <v>76</v>
      </c>
      <c r="E99" s="311">
        <v>35000</v>
      </c>
      <c r="F99" s="311">
        <v>35000</v>
      </c>
      <c r="G99" s="311">
        <v>35000</v>
      </c>
      <c r="H99" s="311">
        <v>35000</v>
      </c>
      <c r="I99" s="311">
        <f t="shared" si="11"/>
        <v>140000</v>
      </c>
    </row>
    <row r="100" spans="1:9">
      <c r="A100" s="308"/>
      <c r="B100" s="312" t="s">
        <v>470</v>
      </c>
      <c r="C100" s="308"/>
      <c r="D100" s="308"/>
      <c r="E100" s="313">
        <f>SUM(E96:E99)</f>
        <v>140000</v>
      </c>
      <c r="F100" s="313">
        <f t="shared" ref="F100:H100" si="12">SUM(F96:F99)</f>
        <v>140000</v>
      </c>
      <c r="G100" s="313">
        <f t="shared" si="12"/>
        <v>140000</v>
      </c>
      <c r="H100" s="313">
        <f t="shared" si="12"/>
        <v>140000</v>
      </c>
      <c r="I100" s="313">
        <f>SUM(I96:I99)</f>
        <v>560000</v>
      </c>
    </row>
    <row r="101" spans="1:9">
      <c r="E101" s="295"/>
      <c r="F101" s="295"/>
      <c r="G101" s="295"/>
      <c r="H101" s="295"/>
      <c r="I101" s="295"/>
    </row>
    <row r="102" spans="1:9">
      <c r="B102" s="299" t="s">
        <v>184</v>
      </c>
      <c r="E102" s="295"/>
      <c r="F102" s="295"/>
      <c r="G102" s="295"/>
      <c r="H102" s="295"/>
      <c r="I102" s="295"/>
    </row>
    <row r="103" spans="1:9">
      <c r="A103" s="308">
        <v>1</v>
      </c>
      <c r="B103" s="308" t="s">
        <v>185</v>
      </c>
      <c r="C103" s="308" t="s">
        <v>186</v>
      </c>
      <c r="D103" s="308" t="s">
        <v>90</v>
      </c>
      <c r="E103" s="309">
        <f>35000</f>
        <v>35000</v>
      </c>
      <c r="F103" s="309">
        <f>35000</f>
        <v>35000</v>
      </c>
      <c r="G103" s="309">
        <f>35000</f>
        <v>35000</v>
      </c>
      <c r="H103" s="309">
        <f>35000</f>
        <v>35000</v>
      </c>
      <c r="I103" s="309">
        <f>E103+F103+G103+H103</f>
        <v>140000</v>
      </c>
    </row>
    <row r="104" spans="1:9">
      <c r="A104" s="308">
        <v>2</v>
      </c>
      <c r="B104" s="308" t="s">
        <v>187</v>
      </c>
      <c r="C104" s="308" t="s">
        <v>188</v>
      </c>
      <c r="D104" s="308" t="s">
        <v>36</v>
      </c>
      <c r="E104" s="309">
        <f>35000</f>
        <v>35000</v>
      </c>
      <c r="F104" s="309">
        <f>35000</f>
        <v>35000</v>
      </c>
      <c r="G104" s="309">
        <f>35000</f>
        <v>35000</v>
      </c>
      <c r="H104" s="309">
        <f>35000</f>
        <v>35000</v>
      </c>
      <c r="I104" s="309">
        <f t="shared" ref="I104:I109" si="13">E104+F104+G104+H104</f>
        <v>140000</v>
      </c>
    </row>
    <row r="105" spans="1:9">
      <c r="A105" s="308">
        <v>3</v>
      </c>
      <c r="B105" s="308" t="s">
        <v>189</v>
      </c>
      <c r="C105" s="308" t="s">
        <v>190</v>
      </c>
      <c r="D105" s="308" t="s">
        <v>54</v>
      </c>
      <c r="E105" s="309">
        <f>35000</f>
        <v>35000</v>
      </c>
      <c r="F105" s="309">
        <f>35000</f>
        <v>35000</v>
      </c>
      <c r="G105" s="309">
        <f>35000</f>
        <v>35000</v>
      </c>
      <c r="H105" s="309">
        <f>35000</f>
        <v>35000</v>
      </c>
      <c r="I105" s="309">
        <f t="shared" si="13"/>
        <v>140000</v>
      </c>
    </row>
    <row r="106" spans="1:9">
      <c r="A106" s="308">
        <v>4</v>
      </c>
      <c r="B106" s="308" t="s">
        <v>191</v>
      </c>
      <c r="C106" s="308" t="s">
        <v>190</v>
      </c>
      <c r="D106" s="308" t="s">
        <v>54</v>
      </c>
      <c r="E106" s="309">
        <f>35000</f>
        <v>35000</v>
      </c>
      <c r="F106" s="309">
        <f>35000</f>
        <v>35000</v>
      </c>
      <c r="G106" s="309">
        <f>35000</f>
        <v>35000</v>
      </c>
      <c r="H106" s="309">
        <f>35000</f>
        <v>35000</v>
      </c>
      <c r="I106" s="309">
        <f t="shared" si="13"/>
        <v>140000</v>
      </c>
    </row>
    <row r="107" spans="1:9">
      <c r="A107" s="308">
        <v>5</v>
      </c>
      <c r="B107" s="308" t="s">
        <v>192</v>
      </c>
      <c r="C107" s="308" t="s">
        <v>193</v>
      </c>
      <c r="D107" s="308" t="s">
        <v>194</v>
      </c>
      <c r="E107" s="309">
        <f>35000</f>
        <v>35000</v>
      </c>
      <c r="F107" s="309">
        <f>35000</f>
        <v>35000</v>
      </c>
      <c r="G107" s="309">
        <f>35000</f>
        <v>35000</v>
      </c>
      <c r="H107" s="309">
        <f>35000</f>
        <v>35000</v>
      </c>
      <c r="I107" s="309">
        <f t="shared" si="13"/>
        <v>140000</v>
      </c>
    </row>
    <row r="108" spans="1:9">
      <c r="A108" s="308">
        <v>6</v>
      </c>
      <c r="B108" s="308" t="s">
        <v>195</v>
      </c>
      <c r="C108" s="308" t="s">
        <v>193</v>
      </c>
      <c r="D108" s="308" t="s">
        <v>76</v>
      </c>
      <c r="E108" s="309">
        <f>35000</f>
        <v>35000</v>
      </c>
      <c r="F108" s="309">
        <f>35000</f>
        <v>35000</v>
      </c>
      <c r="G108" s="309">
        <f>35000</f>
        <v>35000</v>
      </c>
      <c r="H108" s="309">
        <f>35000</f>
        <v>35000</v>
      </c>
      <c r="I108" s="309">
        <f t="shared" si="13"/>
        <v>140000</v>
      </c>
    </row>
    <row r="109" spans="1:9">
      <c r="A109" s="308">
        <v>7</v>
      </c>
      <c r="B109" s="308" t="s">
        <v>196</v>
      </c>
      <c r="C109" s="308" t="s">
        <v>193</v>
      </c>
      <c r="D109" s="308" t="s">
        <v>81</v>
      </c>
      <c r="E109" s="311">
        <f>35000</f>
        <v>35000</v>
      </c>
      <c r="F109" s="311">
        <f>35000</f>
        <v>35000</v>
      </c>
      <c r="G109" s="311">
        <f>35000</f>
        <v>35000</v>
      </c>
      <c r="H109" s="311">
        <f>35000</f>
        <v>35000</v>
      </c>
      <c r="I109" s="311">
        <f t="shared" si="13"/>
        <v>140000</v>
      </c>
    </row>
    <row r="110" spans="1:9">
      <c r="A110" s="308"/>
      <c r="B110" s="312" t="s">
        <v>471</v>
      </c>
      <c r="C110" s="308"/>
      <c r="D110" s="308"/>
      <c r="E110" s="313">
        <f>SUM(E103:E109)</f>
        <v>245000</v>
      </c>
      <c r="F110" s="313">
        <f t="shared" ref="F110:H110" si="14">SUM(F103:F109)</f>
        <v>245000</v>
      </c>
      <c r="G110" s="313">
        <f t="shared" si="14"/>
        <v>245000</v>
      </c>
      <c r="H110" s="313">
        <f t="shared" si="14"/>
        <v>245000</v>
      </c>
      <c r="I110" s="313">
        <f>SUM(I103:I109)</f>
        <v>980000</v>
      </c>
    </row>
    <row r="111" spans="1:9">
      <c r="I111" s="302"/>
    </row>
    <row r="112" spans="1:9">
      <c r="B112" s="299" t="s">
        <v>197</v>
      </c>
      <c r="E112" s="295"/>
      <c r="F112" s="295"/>
      <c r="G112" s="295"/>
      <c r="H112" s="295"/>
      <c r="I112" s="295"/>
    </row>
    <row r="113" spans="1:9">
      <c r="A113" s="308">
        <v>1</v>
      </c>
      <c r="B113" s="308" t="s">
        <v>198</v>
      </c>
      <c r="C113" s="308" t="s">
        <v>137</v>
      </c>
      <c r="D113" s="308" t="s">
        <v>199</v>
      </c>
      <c r="E113" s="309">
        <v>35000</v>
      </c>
      <c r="F113" s="309">
        <v>35000</v>
      </c>
      <c r="G113" s="309">
        <v>35000</v>
      </c>
      <c r="H113" s="309">
        <v>35000</v>
      </c>
      <c r="I113" s="309">
        <f>E113+F113+G113+H113</f>
        <v>140000</v>
      </c>
    </row>
    <row r="114" spans="1:9">
      <c r="A114" s="308">
        <v>2</v>
      </c>
      <c r="B114" s="308" t="s">
        <v>200</v>
      </c>
      <c r="C114" s="308" t="s">
        <v>201</v>
      </c>
      <c r="D114" s="308" t="s">
        <v>63</v>
      </c>
      <c r="E114" s="309">
        <v>35000</v>
      </c>
      <c r="F114" s="309">
        <v>35000</v>
      </c>
      <c r="G114" s="309">
        <v>35000</v>
      </c>
      <c r="H114" s="309">
        <v>35000</v>
      </c>
      <c r="I114" s="309">
        <f t="shared" ref="I114:I115" si="15">E114+F114+G114+H114</f>
        <v>140000</v>
      </c>
    </row>
    <row r="115" spans="1:9">
      <c r="A115" s="308">
        <v>3</v>
      </c>
      <c r="B115" s="308" t="s">
        <v>202</v>
      </c>
      <c r="C115" s="308" t="s">
        <v>203</v>
      </c>
      <c r="D115" s="308" t="s">
        <v>199</v>
      </c>
      <c r="E115" s="311">
        <v>35000</v>
      </c>
      <c r="F115" s="311">
        <v>35000</v>
      </c>
      <c r="G115" s="311">
        <v>35000</v>
      </c>
      <c r="H115" s="311">
        <v>35000</v>
      </c>
      <c r="I115" s="311">
        <f t="shared" si="15"/>
        <v>140000</v>
      </c>
    </row>
    <row r="116" spans="1:9">
      <c r="A116" s="308"/>
      <c r="B116" s="312" t="s">
        <v>472</v>
      </c>
      <c r="C116" s="308"/>
      <c r="D116" s="308"/>
      <c r="E116" s="313">
        <f>SUM(E113:E115)</f>
        <v>105000</v>
      </c>
      <c r="F116" s="313">
        <f t="shared" ref="F116:H116" si="16">SUM(F113:F115)</f>
        <v>105000</v>
      </c>
      <c r="G116" s="313">
        <f t="shared" si="16"/>
        <v>105000</v>
      </c>
      <c r="H116" s="313">
        <f t="shared" si="16"/>
        <v>105000</v>
      </c>
      <c r="I116" s="313">
        <f>SUM(I113:I115)</f>
        <v>420000</v>
      </c>
    </row>
    <row r="117" spans="1:9">
      <c r="E117" s="300"/>
      <c r="F117" s="300"/>
      <c r="G117" s="300"/>
      <c r="H117" s="300"/>
      <c r="I117" s="300"/>
    </row>
    <row r="118" spans="1:9">
      <c r="B118" s="299" t="s">
        <v>204</v>
      </c>
      <c r="E118" s="295"/>
      <c r="F118" s="295"/>
      <c r="G118" s="295"/>
      <c r="H118" s="295"/>
      <c r="I118" s="295"/>
    </row>
    <row r="119" spans="1:9">
      <c r="A119" s="308">
        <v>1</v>
      </c>
      <c r="B119" s="308" t="s">
        <v>205</v>
      </c>
      <c r="C119" s="308" t="s">
        <v>206</v>
      </c>
      <c r="D119" s="308" t="s">
        <v>90</v>
      </c>
      <c r="E119" s="309">
        <v>35000</v>
      </c>
      <c r="F119" s="309">
        <v>35000</v>
      </c>
      <c r="G119" s="309">
        <v>35000</v>
      </c>
      <c r="H119" s="309">
        <v>35000</v>
      </c>
      <c r="I119" s="309">
        <f>E119+F119+G119+H119</f>
        <v>140000</v>
      </c>
    </row>
    <row r="120" spans="1:9">
      <c r="A120" s="308">
        <v>2</v>
      </c>
      <c r="B120" s="308" t="s">
        <v>207</v>
      </c>
      <c r="C120" s="308" t="s">
        <v>208</v>
      </c>
      <c r="D120" s="308" t="s">
        <v>45</v>
      </c>
      <c r="E120" s="309">
        <v>35000</v>
      </c>
      <c r="F120" s="309">
        <v>35000</v>
      </c>
      <c r="G120" s="309">
        <v>35000</v>
      </c>
      <c r="H120" s="309">
        <v>35000</v>
      </c>
      <c r="I120" s="309">
        <f t="shared" ref="I120:I127" si="17">E120+F120+G120+H120</f>
        <v>140000</v>
      </c>
    </row>
    <row r="121" spans="1:9">
      <c r="A121" s="308">
        <v>3</v>
      </c>
      <c r="B121" s="308" t="s">
        <v>209</v>
      </c>
      <c r="C121" s="308" t="s">
        <v>208</v>
      </c>
      <c r="D121" s="308" t="s">
        <v>45</v>
      </c>
      <c r="E121" s="309">
        <v>35000</v>
      </c>
      <c r="F121" s="309">
        <v>35000</v>
      </c>
      <c r="G121" s="309">
        <v>35000</v>
      </c>
      <c r="H121" s="309">
        <v>35000</v>
      </c>
      <c r="I121" s="309">
        <f t="shared" si="17"/>
        <v>140000</v>
      </c>
    </row>
    <row r="122" spans="1:9">
      <c r="A122" s="308">
        <v>5</v>
      </c>
      <c r="B122" s="308" t="s">
        <v>211</v>
      </c>
      <c r="C122" s="308" t="s">
        <v>212</v>
      </c>
      <c r="D122" s="308" t="s">
        <v>134</v>
      </c>
      <c r="E122" s="309">
        <v>35000</v>
      </c>
      <c r="F122" s="309">
        <v>35000</v>
      </c>
      <c r="G122" s="309">
        <v>35000</v>
      </c>
      <c r="H122" s="309">
        <v>35000</v>
      </c>
      <c r="I122" s="309">
        <f t="shared" si="17"/>
        <v>140000</v>
      </c>
    </row>
    <row r="123" spans="1:9">
      <c r="A123" s="308">
        <v>6</v>
      </c>
      <c r="B123" s="308" t="s">
        <v>213</v>
      </c>
      <c r="C123" s="308" t="s">
        <v>214</v>
      </c>
      <c r="D123" s="308" t="s">
        <v>165</v>
      </c>
      <c r="E123" s="309">
        <v>35000</v>
      </c>
      <c r="F123" s="309">
        <v>35000</v>
      </c>
      <c r="G123" s="309">
        <v>35000</v>
      </c>
      <c r="H123" s="309">
        <v>35000</v>
      </c>
      <c r="I123" s="309">
        <f t="shared" si="17"/>
        <v>140000</v>
      </c>
    </row>
    <row r="124" spans="1:9">
      <c r="A124" s="308">
        <v>7</v>
      </c>
      <c r="B124" s="308" t="s">
        <v>215</v>
      </c>
      <c r="C124" s="308" t="s">
        <v>408</v>
      </c>
      <c r="D124" s="308" t="s">
        <v>165</v>
      </c>
      <c r="E124" s="309">
        <v>35000</v>
      </c>
      <c r="F124" s="309">
        <v>35000</v>
      </c>
      <c r="G124" s="309">
        <v>35000</v>
      </c>
      <c r="H124" s="309">
        <v>35000</v>
      </c>
      <c r="I124" s="309">
        <f t="shared" si="17"/>
        <v>140000</v>
      </c>
    </row>
    <row r="125" spans="1:9">
      <c r="A125" s="308">
        <v>8</v>
      </c>
      <c r="B125" s="308" t="s">
        <v>216</v>
      </c>
      <c r="C125" s="308" t="s">
        <v>217</v>
      </c>
      <c r="D125" s="308" t="s">
        <v>69</v>
      </c>
      <c r="E125" s="309">
        <v>35000</v>
      </c>
      <c r="F125" s="309">
        <v>35000</v>
      </c>
      <c r="G125" s="309">
        <v>35000</v>
      </c>
      <c r="H125" s="309">
        <v>35000</v>
      </c>
      <c r="I125" s="309">
        <f t="shared" si="17"/>
        <v>140000</v>
      </c>
    </row>
    <row r="126" spans="1:9">
      <c r="A126" s="308">
        <v>9</v>
      </c>
      <c r="B126" s="308" t="s">
        <v>218</v>
      </c>
      <c r="C126" s="308" t="s">
        <v>219</v>
      </c>
      <c r="D126" s="308" t="s">
        <v>85</v>
      </c>
      <c r="E126" s="309">
        <v>35000</v>
      </c>
      <c r="F126" s="309">
        <v>35000</v>
      </c>
      <c r="G126" s="309">
        <v>35000</v>
      </c>
      <c r="H126" s="309">
        <v>35000</v>
      </c>
      <c r="I126" s="309">
        <f t="shared" si="17"/>
        <v>140000</v>
      </c>
    </row>
    <row r="127" spans="1:9">
      <c r="A127" s="308">
        <v>10</v>
      </c>
      <c r="B127" s="308" t="s">
        <v>220</v>
      </c>
      <c r="C127" s="308" t="s">
        <v>221</v>
      </c>
      <c r="D127" s="308" t="s">
        <v>85</v>
      </c>
      <c r="E127" s="311">
        <v>35000</v>
      </c>
      <c r="F127" s="311">
        <v>35000</v>
      </c>
      <c r="G127" s="311">
        <v>35000</v>
      </c>
      <c r="H127" s="311">
        <v>35000</v>
      </c>
      <c r="I127" s="311">
        <f t="shared" si="17"/>
        <v>140000</v>
      </c>
    </row>
    <row r="128" spans="1:9">
      <c r="A128" s="308"/>
      <c r="B128" s="312" t="s">
        <v>473</v>
      </c>
      <c r="C128" s="308"/>
      <c r="D128" s="308"/>
      <c r="E128" s="313">
        <f>SUM(E119:E127)</f>
        <v>315000</v>
      </c>
      <c r="F128" s="313">
        <f>SUM(F119:F127)</f>
        <v>315000</v>
      </c>
      <c r="G128" s="313">
        <f>SUM(G119:G127)</f>
        <v>315000</v>
      </c>
      <c r="H128" s="313">
        <f>SUM(H119:H127)</f>
        <v>315000</v>
      </c>
      <c r="I128" s="313">
        <f>SUM(I119:I127)</f>
        <v>1260000</v>
      </c>
    </row>
    <row r="129" spans="1:9">
      <c r="E129" s="295"/>
      <c r="F129" s="295"/>
      <c r="G129" s="295"/>
      <c r="H129" s="295"/>
      <c r="I129" s="295"/>
    </row>
    <row r="130" spans="1:9">
      <c r="B130" s="299" t="s">
        <v>223</v>
      </c>
      <c r="E130" s="295"/>
      <c r="F130" s="295"/>
      <c r="G130" s="295"/>
      <c r="H130" s="295"/>
      <c r="I130" s="295"/>
    </row>
    <row r="131" spans="1:9">
      <c r="A131" s="308">
        <v>1</v>
      </c>
      <c r="B131" s="308" t="s">
        <v>224</v>
      </c>
      <c r="C131" s="308" t="s">
        <v>225</v>
      </c>
      <c r="D131" s="308" t="s">
        <v>90</v>
      </c>
      <c r="E131" s="309">
        <v>35000</v>
      </c>
      <c r="F131" s="309">
        <v>35000</v>
      </c>
      <c r="G131" s="309">
        <v>35000</v>
      </c>
      <c r="H131" s="309">
        <v>35000</v>
      </c>
      <c r="I131" s="309">
        <f>E131+F131+G131+H131</f>
        <v>140000</v>
      </c>
    </row>
    <row r="132" spans="1:9">
      <c r="A132" s="308">
        <v>3</v>
      </c>
      <c r="B132" s="308" t="s">
        <v>229</v>
      </c>
      <c r="C132" s="308" t="s">
        <v>230</v>
      </c>
      <c r="D132" s="308" t="s">
        <v>36</v>
      </c>
      <c r="E132" s="309">
        <v>35000</v>
      </c>
      <c r="F132" s="309">
        <v>35000</v>
      </c>
      <c r="G132" s="309">
        <v>35000</v>
      </c>
      <c r="H132" s="309">
        <v>35000</v>
      </c>
      <c r="I132" s="309">
        <f t="shared" ref="I132:I189" si="18">E132+F132+G132+H132</f>
        <v>140000</v>
      </c>
    </row>
    <row r="133" spans="1:9">
      <c r="A133" s="308">
        <v>4</v>
      </c>
      <c r="B133" s="308" t="s">
        <v>231</v>
      </c>
      <c r="C133" s="308" t="s">
        <v>232</v>
      </c>
      <c r="D133" s="308" t="s">
        <v>51</v>
      </c>
      <c r="E133" s="309">
        <v>35000</v>
      </c>
      <c r="F133" s="309">
        <v>35000</v>
      </c>
      <c r="G133" s="309">
        <v>35000</v>
      </c>
      <c r="H133" s="309">
        <v>35000</v>
      </c>
      <c r="I133" s="309">
        <f t="shared" si="18"/>
        <v>140000</v>
      </c>
    </row>
    <row r="134" spans="1:9">
      <c r="A134" s="308">
        <v>5</v>
      </c>
      <c r="B134" s="308" t="s">
        <v>233</v>
      </c>
      <c r="C134" s="308" t="s">
        <v>234</v>
      </c>
      <c r="D134" s="308" t="s">
        <v>51</v>
      </c>
      <c r="E134" s="309">
        <v>35000</v>
      </c>
      <c r="F134" s="309">
        <v>35000</v>
      </c>
      <c r="G134" s="309">
        <v>35000</v>
      </c>
      <c r="H134" s="309">
        <v>35000</v>
      </c>
      <c r="I134" s="309">
        <f t="shared" si="18"/>
        <v>140000</v>
      </c>
    </row>
    <row r="135" spans="1:9">
      <c r="A135" s="308">
        <v>6</v>
      </c>
      <c r="B135" s="308" t="s">
        <v>235</v>
      </c>
      <c r="C135" s="308" t="s">
        <v>234</v>
      </c>
      <c r="D135" s="308" t="s">
        <v>51</v>
      </c>
      <c r="E135" s="309">
        <v>35000</v>
      </c>
      <c r="F135" s="309">
        <v>35000</v>
      </c>
      <c r="G135" s="309">
        <v>35000</v>
      </c>
      <c r="H135" s="309">
        <v>35000</v>
      </c>
      <c r="I135" s="309">
        <f t="shared" si="18"/>
        <v>140000</v>
      </c>
    </row>
    <row r="136" spans="1:9">
      <c r="A136" s="308">
        <v>7</v>
      </c>
      <c r="B136" s="308" t="s">
        <v>178</v>
      </c>
      <c r="C136" s="308" t="s">
        <v>240</v>
      </c>
      <c r="D136" s="308" t="s">
        <v>165</v>
      </c>
      <c r="E136" s="309">
        <v>35000</v>
      </c>
      <c r="F136" s="309">
        <v>35000</v>
      </c>
      <c r="G136" s="309">
        <v>35000</v>
      </c>
      <c r="H136" s="309">
        <v>35000</v>
      </c>
      <c r="I136" s="309">
        <f t="shared" si="18"/>
        <v>140000</v>
      </c>
    </row>
    <row r="137" spans="1:9">
      <c r="A137" s="308">
        <v>8</v>
      </c>
      <c r="B137" s="308" t="s">
        <v>236</v>
      </c>
      <c r="C137" s="308" t="s">
        <v>237</v>
      </c>
      <c r="D137" s="308" t="s">
        <v>199</v>
      </c>
      <c r="E137" s="309">
        <v>35000</v>
      </c>
      <c r="F137" s="309">
        <v>35000</v>
      </c>
      <c r="G137" s="309">
        <v>35000</v>
      </c>
      <c r="H137" s="309">
        <v>35000</v>
      </c>
      <c r="I137" s="309">
        <f t="shared" si="18"/>
        <v>140000</v>
      </c>
    </row>
    <row r="138" spans="1:9">
      <c r="A138" s="308">
        <v>9</v>
      </c>
      <c r="B138" s="308" t="s">
        <v>238</v>
      </c>
      <c r="C138" s="308" t="s">
        <v>237</v>
      </c>
      <c r="D138" s="308" t="s">
        <v>199</v>
      </c>
      <c r="E138" s="309">
        <v>35000</v>
      </c>
      <c r="F138" s="309">
        <v>35000</v>
      </c>
      <c r="G138" s="309">
        <v>35000</v>
      </c>
      <c r="H138" s="309">
        <v>35000</v>
      </c>
      <c r="I138" s="309">
        <f t="shared" si="18"/>
        <v>140000</v>
      </c>
    </row>
    <row r="139" spans="1:9">
      <c r="A139" s="308">
        <v>10</v>
      </c>
      <c r="B139" s="308" t="s">
        <v>239</v>
      </c>
      <c r="C139" s="308" t="s">
        <v>240</v>
      </c>
      <c r="D139" s="308" t="s">
        <v>199</v>
      </c>
      <c r="E139" s="309">
        <v>35000</v>
      </c>
      <c r="F139" s="309">
        <v>35000</v>
      </c>
      <c r="G139" s="309">
        <v>35000</v>
      </c>
      <c r="H139" s="309">
        <v>35000</v>
      </c>
      <c r="I139" s="309">
        <f t="shared" si="18"/>
        <v>140000</v>
      </c>
    </row>
    <row r="140" spans="1:9">
      <c r="A140" s="308">
        <v>11</v>
      </c>
      <c r="B140" s="308" t="s">
        <v>241</v>
      </c>
      <c r="C140" s="308" t="s">
        <v>242</v>
      </c>
      <c r="D140" s="308" t="s">
        <v>63</v>
      </c>
      <c r="E140" s="309">
        <v>35000</v>
      </c>
      <c r="F140" s="309">
        <v>35000</v>
      </c>
      <c r="G140" s="309">
        <v>35000</v>
      </c>
      <c r="H140" s="309">
        <v>35000</v>
      </c>
      <c r="I140" s="309">
        <f t="shared" si="18"/>
        <v>140000</v>
      </c>
    </row>
    <row r="141" spans="1:9">
      <c r="A141" s="308">
        <v>12</v>
      </c>
      <c r="B141" s="308" t="s">
        <v>243</v>
      </c>
      <c r="C141" s="308" t="s">
        <v>410</v>
      </c>
      <c r="D141" s="308" t="s">
        <v>411</v>
      </c>
      <c r="E141" s="309">
        <v>35000</v>
      </c>
      <c r="F141" s="309">
        <v>35000</v>
      </c>
      <c r="G141" s="309">
        <v>35000</v>
      </c>
      <c r="H141" s="309">
        <v>35000</v>
      </c>
      <c r="I141" s="309">
        <f t="shared" si="18"/>
        <v>140000</v>
      </c>
    </row>
    <row r="142" spans="1:9">
      <c r="A142" s="308">
        <v>13</v>
      </c>
      <c r="B142" s="308" t="s">
        <v>245</v>
      </c>
      <c r="C142" s="308" t="s">
        <v>246</v>
      </c>
      <c r="D142" s="308" t="s">
        <v>199</v>
      </c>
      <c r="E142" s="309">
        <v>35000</v>
      </c>
      <c r="F142" s="309">
        <v>35000</v>
      </c>
      <c r="G142" s="309">
        <v>35000</v>
      </c>
      <c r="H142" s="309">
        <v>35000</v>
      </c>
      <c r="I142" s="309">
        <f t="shared" si="18"/>
        <v>140000</v>
      </c>
    </row>
    <row r="143" spans="1:9">
      <c r="A143" s="308">
        <v>14</v>
      </c>
      <c r="B143" s="308" t="s">
        <v>247</v>
      </c>
      <c r="C143" s="308" t="s">
        <v>257</v>
      </c>
      <c r="D143" s="308" t="s">
        <v>411</v>
      </c>
      <c r="E143" s="309">
        <v>35000</v>
      </c>
      <c r="F143" s="309">
        <v>35000</v>
      </c>
      <c r="G143" s="309">
        <v>35000</v>
      </c>
      <c r="H143" s="309">
        <v>35000</v>
      </c>
      <c r="I143" s="309">
        <f t="shared" si="18"/>
        <v>140000</v>
      </c>
    </row>
    <row r="144" spans="1:9">
      <c r="A144" s="308">
        <v>15</v>
      </c>
      <c r="B144" s="308" t="s">
        <v>249</v>
      </c>
      <c r="C144" s="308" t="s">
        <v>250</v>
      </c>
      <c r="D144" s="308" t="s">
        <v>154</v>
      </c>
      <c r="E144" s="309">
        <v>35000</v>
      </c>
      <c r="F144" s="309">
        <v>35000</v>
      </c>
      <c r="G144" s="309">
        <v>35000</v>
      </c>
      <c r="H144" s="309">
        <v>35000</v>
      </c>
      <c r="I144" s="309">
        <f t="shared" si="18"/>
        <v>140000</v>
      </c>
    </row>
    <row r="145" spans="1:9">
      <c r="A145" s="308">
        <v>16</v>
      </c>
      <c r="B145" s="308" t="s">
        <v>251</v>
      </c>
      <c r="C145" s="308" t="s">
        <v>250</v>
      </c>
      <c r="D145" s="308" t="s">
        <v>252</v>
      </c>
      <c r="E145" s="309">
        <v>35000</v>
      </c>
      <c r="F145" s="309">
        <v>35000</v>
      </c>
      <c r="G145" s="309">
        <v>35000</v>
      </c>
      <c r="H145" s="309">
        <v>35000</v>
      </c>
      <c r="I145" s="309">
        <f t="shared" si="18"/>
        <v>140000</v>
      </c>
    </row>
    <row r="146" spans="1:9">
      <c r="A146" s="308">
        <v>17</v>
      </c>
      <c r="B146" s="308" t="s">
        <v>253</v>
      </c>
      <c r="C146" s="308" t="s">
        <v>250</v>
      </c>
      <c r="D146" s="308" t="s">
        <v>252</v>
      </c>
      <c r="E146" s="309">
        <v>35000</v>
      </c>
      <c r="F146" s="309">
        <v>35000</v>
      </c>
      <c r="G146" s="309">
        <v>35000</v>
      </c>
      <c r="H146" s="309">
        <v>35000</v>
      </c>
      <c r="I146" s="309">
        <f t="shared" si="18"/>
        <v>140000</v>
      </c>
    </row>
    <row r="147" spans="1:9">
      <c r="A147" s="308">
        <v>18</v>
      </c>
      <c r="B147" s="308" t="s">
        <v>254</v>
      </c>
      <c r="C147" s="308" t="s">
        <v>255</v>
      </c>
      <c r="D147" s="308" t="s">
        <v>95</v>
      </c>
      <c r="E147" s="309">
        <v>35000</v>
      </c>
      <c r="F147" s="309">
        <v>35000</v>
      </c>
      <c r="G147" s="309">
        <v>35000</v>
      </c>
      <c r="H147" s="309">
        <v>35000</v>
      </c>
      <c r="I147" s="309">
        <f t="shared" si="18"/>
        <v>140000</v>
      </c>
    </row>
    <row r="148" spans="1:9">
      <c r="A148" s="308">
        <v>19</v>
      </c>
      <c r="B148" s="308" t="s">
        <v>256</v>
      </c>
      <c r="C148" s="308" t="s">
        <v>257</v>
      </c>
      <c r="D148" s="308" t="s">
        <v>73</v>
      </c>
      <c r="E148" s="309">
        <v>35000</v>
      </c>
      <c r="F148" s="309">
        <v>35000</v>
      </c>
      <c r="G148" s="309">
        <v>35000</v>
      </c>
      <c r="H148" s="309">
        <v>35000</v>
      </c>
      <c r="I148" s="309">
        <f t="shared" si="18"/>
        <v>140000</v>
      </c>
    </row>
    <row r="149" spans="1:9">
      <c r="A149" s="308">
        <v>20</v>
      </c>
      <c r="B149" s="308" t="s">
        <v>258</v>
      </c>
      <c r="C149" s="308" t="s">
        <v>259</v>
      </c>
      <c r="D149" s="308" t="s">
        <v>154</v>
      </c>
      <c r="E149" s="309">
        <v>35000</v>
      </c>
      <c r="F149" s="309">
        <v>35000</v>
      </c>
      <c r="G149" s="309">
        <v>35000</v>
      </c>
      <c r="H149" s="309">
        <v>35000</v>
      </c>
      <c r="I149" s="309">
        <f t="shared" si="18"/>
        <v>140000</v>
      </c>
    </row>
    <row r="150" spans="1:9">
      <c r="A150" s="308">
        <v>21</v>
      </c>
      <c r="B150" s="308" t="s">
        <v>260</v>
      </c>
      <c r="C150" s="308" t="s">
        <v>261</v>
      </c>
      <c r="D150" s="308" t="s">
        <v>69</v>
      </c>
      <c r="E150" s="309">
        <v>35000</v>
      </c>
      <c r="F150" s="309">
        <v>35000</v>
      </c>
      <c r="G150" s="309">
        <v>35000</v>
      </c>
      <c r="H150" s="309">
        <v>35000</v>
      </c>
      <c r="I150" s="309">
        <f t="shared" si="18"/>
        <v>140000</v>
      </c>
    </row>
    <row r="151" spans="1:9">
      <c r="A151" s="308">
        <v>22</v>
      </c>
      <c r="B151" s="308" t="s">
        <v>262</v>
      </c>
      <c r="C151" s="308" t="s">
        <v>263</v>
      </c>
      <c r="D151" s="308" t="s">
        <v>154</v>
      </c>
      <c r="E151" s="309">
        <v>35000</v>
      </c>
      <c r="F151" s="309">
        <v>35000</v>
      </c>
      <c r="G151" s="309">
        <v>35000</v>
      </c>
      <c r="H151" s="309">
        <v>35000</v>
      </c>
      <c r="I151" s="309">
        <f t="shared" si="18"/>
        <v>140000</v>
      </c>
    </row>
    <row r="152" spans="1:9">
      <c r="A152" s="308">
        <v>23</v>
      </c>
      <c r="B152" s="308" t="s">
        <v>264</v>
      </c>
      <c r="C152" s="308" t="s">
        <v>265</v>
      </c>
      <c r="D152" s="308" t="s">
        <v>69</v>
      </c>
      <c r="E152" s="309">
        <v>35000</v>
      </c>
      <c r="F152" s="309">
        <v>35000</v>
      </c>
      <c r="G152" s="309">
        <v>35000</v>
      </c>
      <c r="H152" s="309">
        <v>35000</v>
      </c>
      <c r="I152" s="309">
        <f t="shared" si="18"/>
        <v>140000</v>
      </c>
    </row>
    <row r="153" spans="1:9">
      <c r="A153" s="308">
        <v>24</v>
      </c>
      <c r="B153" s="308" t="s">
        <v>266</v>
      </c>
      <c r="C153" s="308" t="s">
        <v>271</v>
      </c>
      <c r="D153" s="308" t="s">
        <v>76</v>
      </c>
      <c r="E153" s="309">
        <v>35000</v>
      </c>
      <c r="F153" s="309">
        <v>35000</v>
      </c>
      <c r="G153" s="309">
        <v>35000</v>
      </c>
      <c r="H153" s="309">
        <v>35000</v>
      </c>
      <c r="I153" s="309">
        <f t="shared" si="18"/>
        <v>140000</v>
      </c>
    </row>
    <row r="154" spans="1:9">
      <c r="A154" s="308">
        <v>25</v>
      </c>
      <c r="B154" s="308" t="s">
        <v>268</v>
      </c>
      <c r="C154" s="308" t="s">
        <v>269</v>
      </c>
      <c r="D154" s="308" t="s">
        <v>85</v>
      </c>
      <c r="E154" s="309">
        <v>35000</v>
      </c>
      <c r="F154" s="309">
        <v>35000</v>
      </c>
      <c r="G154" s="309">
        <v>35000</v>
      </c>
      <c r="H154" s="309">
        <v>35000</v>
      </c>
      <c r="I154" s="309">
        <f t="shared" si="18"/>
        <v>140000</v>
      </c>
    </row>
    <row r="155" spans="1:9">
      <c r="A155" s="308">
        <v>26</v>
      </c>
      <c r="B155" s="308" t="s">
        <v>270</v>
      </c>
      <c r="C155" s="308" t="s">
        <v>271</v>
      </c>
      <c r="D155" s="308" t="s">
        <v>85</v>
      </c>
      <c r="E155" s="309">
        <v>35000</v>
      </c>
      <c r="F155" s="309">
        <v>35000</v>
      </c>
      <c r="G155" s="309">
        <v>35000</v>
      </c>
      <c r="H155" s="309">
        <v>35000</v>
      </c>
      <c r="I155" s="309">
        <f t="shared" si="18"/>
        <v>140000</v>
      </c>
    </row>
    <row r="156" spans="1:9">
      <c r="A156" s="308">
        <v>27</v>
      </c>
      <c r="B156" s="308" t="s">
        <v>272</v>
      </c>
      <c r="C156" s="308" t="s">
        <v>273</v>
      </c>
      <c r="D156" s="308" t="s">
        <v>85</v>
      </c>
      <c r="E156" s="309">
        <v>35000</v>
      </c>
      <c r="F156" s="309">
        <v>35000</v>
      </c>
      <c r="G156" s="309">
        <v>35000</v>
      </c>
      <c r="H156" s="309">
        <v>35000</v>
      </c>
      <c r="I156" s="309">
        <f t="shared" si="18"/>
        <v>140000</v>
      </c>
    </row>
    <row r="157" spans="1:9">
      <c r="A157" s="308">
        <v>28</v>
      </c>
      <c r="B157" s="308" t="s">
        <v>274</v>
      </c>
      <c r="C157" s="308" t="s">
        <v>275</v>
      </c>
      <c r="D157" s="308" t="s">
        <v>81</v>
      </c>
      <c r="E157" s="309">
        <v>35000</v>
      </c>
      <c r="F157" s="309">
        <v>35000</v>
      </c>
      <c r="G157" s="309">
        <v>35000</v>
      </c>
      <c r="H157" s="309">
        <v>35000</v>
      </c>
      <c r="I157" s="309">
        <f t="shared" si="18"/>
        <v>140000</v>
      </c>
    </row>
    <row r="158" spans="1:9">
      <c r="A158" s="308">
        <v>29</v>
      </c>
      <c r="B158" s="308" t="s">
        <v>276</v>
      </c>
      <c r="C158" s="308" t="s">
        <v>271</v>
      </c>
      <c r="D158" s="308" t="s">
        <v>85</v>
      </c>
      <c r="E158" s="309">
        <v>35000</v>
      </c>
      <c r="F158" s="309">
        <v>35000</v>
      </c>
      <c r="G158" s="309">
        <v>35000</v>
      </c>
      <c r="H158" s="309">
        <v>35000</v>
      </c>
      <c r="I158" s="309">
        <f t="shared" si="18"/>
        <v>140000</v>
      </c>
    </row>
    <row r="159" spans="1:9">
      <c r="A159" s="308">
        <v>30</v>
      </c>
      <c r="B159" s="308" t="s">
        <v>277</v>
      </c>
      <c r="C159" s="308" t="s">
        <v>278</v>
      </c>
      <c r="D159" s="308" t="s">
        <v>279</v>
      </c>
      <c r="E159" s="309">
        <v>35000</v>
      </c>
      <c r="F159" s="309">
        <v>35000</v>
      </c>
      <c r="G159" s="309">
        <v>35000</v>
      </c>
      <c r="H159" s="309">
        <v>35000</v>
      </c>
      <c r="I159" s="309">
        <f t="shared" si="18"/>
        <v>140000</v>
      </c>
    </row>
    <row r="160" spans="1:9">
      <c r="A160" s="308">
        <v>31</v>
      </c>
      <c r="B160" s="308" t="s">
        <v>280</v>
      </c>
      <c r="C160" s="308" t="s">
        <v>278</v>
      </c>
      <c r="D160" s="308" t="s">
        <v>279</v>
      </c>
      <c r="E160" s="309">
        <v>35000</v>
      </c>
      <c r="F160" s="309">
        <v>35000</v>
      </c>
      <c r="G160" s="309">
        <v>35000</v>
      </c>
      <c r="H160" s="309">
        <v>35000</v>
      </c>
      <c r="I160" s="309">
        <f t="shared" si="18"/>
        <v>140000</v>
      </c>
    </row>
    <row r="161" spans="1:9">
      <c r="A161" s="308">
        <v>32</v>
      </c>
      <c r="B161" s="308" t="s">
        <v>281</v>
      </c>
      <c r="C161" s="308" t="s">
        <v>278</v>
      </c>
      <c r="D161" s="308" t="s">
        <v>279</v>
      </c>
      <c r="E161" s="309">
        <v>35000</v>
      </c>
      <c r="F161" s="309">
        <v>35000</v>
      </c>
      <c r="G161" s="309">
        <v>35000</v>
      </c>
      <c r="H161" s="309">
        <v>35000</v>
      </c>
      <c r="I161" s="309">
        <f t="shared" si="18"/>
        <v>140000</v>
      </c>
    </row>
    <row r="162" spans="1:9">
      <c r="A162" s="308">
        <v>33</v>
      </c>
      <c r="B162" s="308" t="s">
        <v>282</v>
      </c>
      <c r="C162" s="308" t="s">
        <v>278</v>
      </c>
      <c r="D162" s="308" t="s">
        <v>279</v>
      </c>
      <c r="E162" s="309">
        <v>35000</v>
      </c>
      <c r="F162" s="309">
        <v>35000</v>
      </c>
      <c r="G162" s="309">
        <v>35000</v>
      </c>
      <c r="H162" s="309">
        <v>35000</v>
      </c>
      <c r="I162" s="309">
        <f t="shared" si="18"/>
        <v>140000</v>
      </c>
    </row>
    <row r="163" spans="1:9">
      <c r="A163" s="308">
        <v>34</v>
      </c>
      <c r="B163" s="308" t="s">
        <v>283</v>
      </c>
      <c r="C163" s="308" t="s">
        <v>278</v>
      </c>
      <c r="D163" s="308" t="s">
        <v>279</v>
      </c>
      <c r="E163" s="309">
        <v>35000</v>
      </c>
      <c r="F163" s="309">
        <v>35000</v>
      </c>
      <c r="G163" s="309">
        <v>35000</v>
      </c>
      <c r="H163" s="309">
        <v>35000</v>
      </c>
      <c r="I163" s="309">
        <f t="shared" si="18"/>
        <v>140000</v>
      </c>
    </row>
    <row r="164" spans="1:9">
      <c r="A164" s="308">
        <v>35</v>
      </c>
      <c r="B164" s="308" t="s">
        <v>284</v>
      </c>
      <c r="C164" s="308" t="s">
        <v>278</v>
      </c>
      <c r="D164" s="308" t="s">
        <v>285</v>
      </c>
      <c r="E164" s="309">
        <v>35000</v>
      </c>
      <c r="F164" s="309">
        <v>35000</v>
      </c>
      <c r="G164" s="309">
        <v>35000</v>
      </c>
      <c r="H164" s="309">
        <v>35000</v>
      </c>
      <c r="I164" s="309">
        <f t="shared" si="18"/>
        <v>140000</v>
      </c>
    </row>
    <row r="165" spans="1:9">
      <c r="A165" s="308">
        <v>36</v>
      </c>
      <c r="B165" s="308" t="s">
        <v>286</v>
      </c>
      <c r="C165" s="308" t="s">
        <v>278</v>
      </c>
      <c r="D165" s="308" t="s">
        <v>285</v>
      </c>
      <c r="E165" s="309">
        <v>35000</v>
      </c>
      <c r="F165" s="309">
        <v>35000</v>
      </c>
      <c r="G165" s="309">
        <v>35000</v>
      </c>
      <c r="H165" s="309">
        <v>35000</v>
      </c>
      <c r="I165" s="309">
        <f t="shared" si="18"/>
        <v>140000</v>
      </c>
    </row>
    <row r="166" spans="1:9">
      <c r="A166" s="308">
        <v>37</v>
      </c>
      <c r="B166" s="308" t="s">
        <v>287</v>
      </c>
      <c r="C166" s="308" t="s">
        <v>278</v>
      </c>
      <c r="D166" s="308" t="s">
        <v>285</v>
      </c>
      <c r="E166" s="309">
        <v>35000</v>
      </c>
      <c r="F166" s="309">
        <v>35000</v>
      </c>
      <c r="G166" s="309">
        <v>35000</v>
      </c>
      <c r="H166" s="309">
        <v>35000</v>
      </c>
      <c r="I166" s="309">
        <f t="shared" si="18"/>
        <v>140000</v>
      </c>
    </row>
    <row r="167" spans="1:9">
      <c r="A167" s="308">
        <v>38</v>
      </c>
      <c r="B167" s="308" t="s">
        <v>288</v>
      </c>
      <c r="C167" s="308" t="s">
        <v>278</v>
      </c>
      <c r="D167" s="308" t="s">
        <v>285</v>
      </c>
      <c r="E167" s="309">
        <v>35000</v>
      </c>
      <c r="F167" s="309">
        <v>35000</v>
      </c>
      <c r="G167" s="309">
        <v>35000</v>
      </c>
      <c r="H167" s="309">
        <v>35000</v>
      </c>
      <c r="I167" s="309">
        <f t="shared" si="18"/>
        <v>140000</v>
      </c>
    </row>
    <row r="168" spans="1:9">
      <c r="A168" s="308">
        <v>39</v>
      </c>
      <c r="B168" s="308" t="s">
        <v>289</v>
      </c>
      <c r="C168" s="308" t="s">
        <v>278</v>
      </c>
      <c r="D168" s="308" t="s">
        <v>285</v>
      </c>
      <c r="E168" s="309">
        <v>35000</v>
      </c>
      <c r="F168" s="309">
        <v>35000</v>
      </c>
      <c r="G168" s="309">
        <v>35000</v>
      </c>
      <c r="H168" s="309">
        <v>35000</v>
      </c>
      <c r="I168" s="309">
        <f t="shared" si="18"/>
        <v>140000</v>
      </c>
    </row>
    <row r="169" spans="1:9">
      <c r="A169" s="308">
        <v>40</v>
      </c>
      <c r="B169" s="308" t="s">
        <v>290</v>
      </c>
      <c r="C169" s="308" t="s">
        <v>278</v>
      </c>
      <c r="D169" s="308" t="s">
        <v>285</v>
      </c>
      <c r="E169" s="309">
        <v>35000</v>
      </c>
      <c r="F169" s="309">
        <v>35000</v>
      </c>
      <c r="G169" s="309">
        <v>35000</v>
      </c>
      <c r="H169" s="309">
        <v>35000</v>
      </c>
      <c r="I169" s="309">
        <f t="shared" si="18"/>
        <v>140000</v>
      </c>
    </row>
    <row r="170" spans="1:9">
      <c r="A170" s="308">
        <v>41</v>
      </c>
      <c r="B170" s="308" t="s">
        <v>291</v>
      </c>
      <c r="C170" s="308" t="s">
        <v>297</v>
      </c>
      <c r="D170" s="308" t="s">
        <v>397</v>
      </c>
      <c r="E170" s="309">
        <v>35000</v>
      </c>
      <c r="F170" s="309">
        <v>35000</v>
      </c>
      <c r="G170" s="309">
        <v>35000</v>
      </c>
      <c r="H170" s="309">
        <v>35000</v>
      </c>
      <c r="I170" s="309">
        <f t="shared" si="18"/>
        <v>140000</v>
      </c>
    </row>
    <row r="171" spans="1:9">
      <c r="A171" s="308">
        <v>42</v>
      </c>
      <c r="B171" s="308" t="s">
        <v>294</v>
      </c>
      <c r="C171" s="308" t="s">
        <v>297</v>
      </c>
      <c r="D171" s="308" t="s">
        <v>397</v>
      </c>
      <c r="E171" s="309">
        <v>35000</v>
      </c>
      <c r="F171" s="309">
        <v>35000</v>
      </c>
      <c r="G171" s="309">
        <v>35000</v>
      </c>
      <c r="H171" s="309">
        <v>35000</v>
      </c>
      <c r="I171" s="309">
        <f t="shared" si="18"/>
        <v>140000</v>
      </c>
    </row>
    <row r="172" spans="1:9">
      <c r="A172" s="308">
        <v>43</v>
      </c>
      <c r="B172" s="308" t="s">
        <v>295</v>
      </c>
      <c r="C172" s="308" t="s">
        <v>297</v>
      </c>
      <c r="D172" s="308" t="s">
        <v>398</v>
      </c>
      <c r="E172" s="309">
        <v>35000</v>
      </c>
      <c r="F172" s="309">
        <v>35000</v>
      </c>
      <c r="G172" s="309">
        <v>35000</v>
      </c>
      <c r="H172" s="309">
        <v>35000</v>
      </c>
      <c r="I172" s="309">
        <f t="shared" si="18"/>
        <v>140000</v>
      </c>
    </row>
    <row r="173" spans="1:9">
      <c r="A173" s="308">
        <v>44</v>
      </c>
      <c r="B173" s="308" t="s">
        <v>296</v>
      </c>
      <c r="C173" s="308" t="s">
        <v>297</v>
      </c>
      <c r="D173" s="308" t="s">
        <v>298</v>
      </c>
      <c r="E173" s="309">
        <v>35000</v>
      </c>
      <c r="F173" s="309">
        <v>35000</v>
      </c>
      <c r="G173" s="309">
        <v>35000</v>
      </c>
      <c r="H173" s="309">
        <v>35000</v>
      </c>
      <c r="I173" s="309">
        <f t="shared" si="18"/>
        <v>140000</v>
      </c>
    </row>
    <row r="174" spans="1:9">
      <c r="A174" s="308">
        <v>45</v>
      </c>
      <c r="B174" s="308" t="s">
        <v>299</v>
      </c>
      <c r="C174" s="308" t="s">
        <v>300</v>
      </c>
      <c r="D174" s="308" t="s">
        <v>301</v>
      </c>
      <c r="E174" s="309">
        <v>35000</v>
      </c>
      <c r="F174" s="309">
        <v>35000</v>
      </c>
      <c r="G174" s="309">
        <v>35000</v>
      </c>
      <c r="H174" s="309">
        <v>35000</v>
      </c>
      <c r="I174" s="309">
        <f t="shared" si="18"/>
        <v>140000</v>
      </c>
    </row>
    <row r="175" spans="1:9">
      <c r="A175" s="308">
        <v>46</v>
      </c>
      <c r="B175" s="308" t="s">
        <v>302</v>
      </c>
      <c r="C175" s="308" t="s">
        <v>300</v>
      </c>
      <c r="D175" s="308" t="s">
        <v>301</v>
      </c>
      <c r="E175" s="309">
        <v>35000</v>
      </c>
      <c r="F175" s="309">
        <v>35000</v>
      </c>
      <c r="G175" s="309">
        <v>35000</v>
      </c>
      <c r="H175" s="309">
        <v>35000</v>
      </c>
      <c r="I175" s="309">
        <f t="shared" si="18"/>
        <v>140000</v>
      </c>
    </row>
    <row r="176" spans="1:9">
      <c r="A176" s="308">
        <v>47</v>
      </c>
      <c r="B176" s="308" t="s">
        <v>303</v>
      </c>
      <c r="C176" s="308" t="s">
        <v>300</v>
      </c>
      <c r="D176" s="308" t="s">
        <v>301</v>
      </c>
      <c r="E176" s="309">
        <v>35000</v>
      </c>
      <c r="F176" s="309">
        <v>35000</v>
      </c>
      <c r="G176" s="309">
        <v>35000</v>
      </c>
      <c r="H176" s="309">
        <v>35000</v>
      </c>
      <c r="I176" s="309">
        <f t="shared" si="18"/>
        <v>140000</v>
      </c>
    </row>
    <row r="177" spans="1:9">
      <c r="A177" s="308">
        <v>48</v>
      </c>
      <c r="B177" s="308" t="s">
        <v>304</v>
      </c>
      <c r="C177" s="308" t="s">
        <v>300</v>
      </c>
      <c r="D177" s="308" t="s">
        <v>301</v>
      </c>
      <c r="E177" s="309">
        <v>35000</v>
      </c>
      <c r="F177" s="309">
        <v>35000</v>
      </c>
      <c r="G177" s="309">
        <v>35000</v>
      </c>
      <c r="H177" s="309">
        <v>35000</v>
      </c>
      <c r="I177" s="309">
        <f t="shared" si="18"/>
        <v>140000</v>
      </c>
    </row>
    <row r="178" spans="1:9">
      <c r="A178" s="308">
        <v>49</v>
      </c>
      <c r="B178" s="308" t="s">
        <v>305</v>
      </c>
      <c r="C178" s="308" t="s">
        <v>300</v>
      </c>
      <c r="D178" s="308" t="s">
        <v>301</v>
      </c>
      <c r="E178" s="309">
        <v>35000</v>
      </c>
      <c r="F178" s="309">
        <v>35000</v>
      </c>
      <c r="G178" s="309">
        <v>35000</v>
      </c>
      <c r="H178" s="309">
        <v>35000</v>
      </c>
      <c r="I178" s="309">
        <f t="shared" si="18"/>
        <v>140000</v>
      </c>
    </row>
    <row r="179" spans="1:9">
      <c r="A179" s="308">
        <v>50</v>
      </c>
      <c r="B179" s="308" t="s">
        <v>306</v>
      </c>
      <c r="C179" s="308" t="s">
        <v>300</v>
      </c>
      <c r="D179" s="308" t="s">
        <v>301</v>
      </c>
      <c r="E179" s="309">
        <v>35000</v>
      </c>
      <c r="F179" s="309">
        <v>35000</v>
      </c>
      <c r="G179" s="309">
        <v>35000</v>
      </c>
      <c r="H179" s="309">
        <v>35000</v>
      </c>
      <c r="I179" s="309">
        <f t="shared" si="18"/>
        <v>140000</v>
      </c>
    </row>
    <row r="180" spans="1:9">
      <c r="A180" s="308">
        <v>51</v>
      </c>
      <c r="B180" s="308" t="s">
        <v>307</v>
      </c>
      <c r="C180" s="308" t="s">
        <v>300</v>
      </c>
      <c r="D180" s="308" t="s">
        <v>301</v>
      </c>
      <c r="E180" s="309">
        <v>35000</v>
      </c>
      <c r="F180" s="309">
        <v>35000</v>
      </c>
      <c r="G180" s="309">
        <v>35000</v>
      </c>
      <c r="H180" s="309">
        <v>35000</v>
      </c>
      <c r="I180" s="309">
        <f t="shared" si="18"/>
        <v>140000</v>
      </c>
    </row>
    <row r="181" spans="1:9">
      <c r="A181" s="308">
        <v>52</v>
      </c>
      <c r="B181" s="308" t="s">
        <v>308</v>
      </c>
      <c r="C181" s="308" t="s">
        <v>297</v>
      </c>
      <c r="D181" s="308" t="s">
        <v>301</v>
      </c>
      <c r="E181" s="309">
        <v>35000</v>
      </c>
      <c r="F181" s="309">
        <v>35000</v>
      </c>
      <c r="G181" s="309">
        <v>35000</v>
      </c>
      <c r="H181" s="309">
        <v>35000</v>
      </c>
      <c r="I181" s="309">
        <f t="shared" si="18"/>
        <v>140000</v>
      </c>
    </row>
    <row r="182" spans="1:9">
      <c r="A182" s="308">
        <v>53</v>
      </c>
      <c r="B182" s="308" t="s">
        <v>309</v>
      </c>
      <c r="C182" s="308" t="s">
        <v>297</v>
      </c>
      <c r="D182" s="308" t="s">
        <v>301</v>
      </c>
      <c r="E182" s="309">
        <v>35000</v>
      </c>
      <c r="F182" s="309">
        <v>35000</v>
      </c>
      <c r="G182" s="309">
        <v>35000</v>
      </c>
      <c r="H182" s="309">
        <v>35000</v>
      </c>
      <c r="I182" s="309">
        <f t="shared" si="18"/>
        <v>140000</v>
      </c>
    </row>
    <row r="183" spans="1:9">
      <c r="A183" s="308">
        <v>54</v>
      </c>
      <c r="B183" s="308" t="s">
        <v>310</v>
      </c>
      <c r="C183" s="308" t="s">
        <v>300</v>
      </c>
      <c r="D183" s="308" t="s">
        <v>412</v>
      </c>
      <c r="E183" s="309">
        <v>35000</v>
      </c>
      <c r="F183" s="309">
        <v>35000</v>
      </c>
      <c r="G183" s="309">
        <v>35000</v>
      </c>
      <c r="H183" s="309">
        <v>35000</v>
      </c>
      <c r="I183" s="309">
        <f t="shared" si="18"/>
        <v>140000</v>
      </c>
    </row>
    <row r="184" spans="1:9">
      <c r="A184" s="308">
        <v>55</v>
      </c>
      <c r="B184" s="308" t="s">
        <v>313</v>
      </c>
      <c r="C184" s="308" t="s">
        <v>300</v>
      </c>
      <c r="D184" s="308" t="s">
        <v>314</v>
      </c>
      <c r="E184" s="309">
        <v>35000</v>
      </c>
      <c r="F184" s="309">
        <v>35000</v>
      </c>
      <c r="G184" s="309">
        <v>35000</v>
      </c>
      <c r="H184" s="309">
        <v>35000</v>
      </c>
      <c r="I184" s="309">
        <f t="shared" si="18"/>
        <v>140000</v>
      </c>
    </row>
    <row r="185" spans="1:9">
      <c r="A185" s="308">
        <v>56</v>
      </c>
      <c r="B185" s="308" t="s">
        <v>315</v>
      </c>
      <c r="C185" s="308" t="s">
        <v>316</v>
      </c>
      <c r="D185" s="308" t="s">
        <v>317</v>
      </c>
      <c r="E185" s="309">
        <v>35000</v>
      </c>
      <c r="F185" s="309">
        <v>35000</v>
      </c>
      <c r="G185" s="309">
        <v>35000</v>
      </c>
      <c r="H185" s="309">
        <v>35000</v>
      </c>
      <c r="I185" s="309">
        <f t="shared" si="18"/>
        <v>140000</v>
      </c>
    </row>
    <row r="186" spans="1:9">
      <c r="A186" s="308">
        <v>57</v>
      </c>
      <c r="B186" s="308" t="s">
        <v>318</v>
      </c>
      <c r="C186" s="308" t="s">
        <v>316</v>
      </c>
      <c r="D186" s="308" t="s">
        <v>317</v>
      </c>
      <c r="E186" s="309">
        <v>35000</v>
      </c>
      <c r="F186" s="309">
        <v>35000</v>
      </c>
      <c r="G186" s="309">
        <v>35000</v>
      </c>
      <c r="H186" s="309">
        <v>35000</v>
      </c>
      <c r="I186" s="309">
        <f t="shared" si="18"/>
        <v>140000</v>
      </c>
    </row>
    <row r="187" spans="1:9">
      <c r="A187" s="308">
        <v>58</v>
      </c>
      <c r="B187" s="308" t="s">
        <v>319</v>
      </c>
      <c r="C187" s="308" t="s">
        <v>316</v>
      </c>
      <c r="D187" s="308" t="s">
        <v>317</v>
      </c>
      <c r="E187" s="309">
        <v>35000</v>
      </c>
      <c r="F187" s="309">
        <v>35000</v>
      </c>
      <c r="G187" s="309">
        <v>35000</v>
      </c>
      <c r="H187" s="309">
        <v>35000</v>
      </c>
      <c r="I187" s="309">
        <f t="shared" si="18"/>
        <v>140000</v>
      </c>
    </row>
    <row r="188" spans="1:9">
      <c r="A188" s="308">
        <v>59</v>
      </c>
      <c r="B188" s="308" t="s">
        <v>320</v>
      </c>
      <c r="C188" s="308" t="s">
        <v>321</v>
      </c>
      <c r="D188" s="308" t="s">
        <v>322</v>
      </c>
      <c r="E188" s="309">
        <v>35000</v>
      </c>
      <c r="F188" s="309">
        <v>35000</v>
      </c>
      <c r="G188" s="309">
        <v>35000</v>
      </c>
      <c r="H188" s="309">
        <v>35000</v>
      </c>
      <c r="I188" s="309">
        <f t="shared" si="18"/>
        <v>140000</v>
      </c>
    </row>
    <row r="189" spans="1:9">
      <c r="A189" s="308">
        <v>60</v>
      </c>
      <c r="B189" s="308" t="s">
        <v>323</v>
      </c>
      <c r="C189" s="308" t="s">
        <v>321</v>
      </c>
      <c r="D189" s="308" t="s">
        <v>322</v>
      </c>
      <c r="E189" s="311">
        <v>35000</v>
      </c>
      <c r="F189" s="311">
        <v>35000</v>
      </c>
      <c r="G189" s="311">
        <v>35000</v>
      </c>
      <c r="H189" s="311">
        <v>35000</v>
      </c>
      <c r="I189" s="311">
        <f t="shared" si="18"/>
        <v>140000</v>
      </c>
    </row>
    <row r="190" spans="1:9">
      <c r="A190" s="308"/>
      <c r="B190" s="312" t="s">
        <v>474</v>
      </c>
      <c r="C190" s="308"/>
      <c r="D190" s="308"/>
      <c r="E190" s="313">
        <f>SUM(E131:E189)</f>
        <v>2065000</v>
      </c>
      <c r="F190" s="313">
        <f t="shared" ref="F190:H190" si="19">SUM(F131:F189)</f>
        <v>2065000</v>
      </c>
      <c r="G190" s="313">
        <f t="shared" si="19"/>
        <v>2065000</v>
      </c>
      <c r="H190" s="313">
        <f t="shared" si="19"/>
        <v>2065000</v>
      </c>
      <c r="I190" s="313">
        <f>SUM(I131:I189)</f>
        <v>8260000</v>
      </c>
    </row>
    <row r="191" spans="1:9">
      <c r="E191" s="295"/>
      <c r="F191" s="295"/>
      <c r="G191" s="295"/>
      <c r="H191" s="295"/>
      <c r="I191" s="300"/>
    </row>
    <row r="192" spans="1:9" ht="24" customHeight="1">
      <c r="A192" s="308"/>
      <c r="B192" s="389" t="s">
        <v>475</v>
      </c>
      <c r="C192" s="389"/>
      <c r="D192" s="389"/>
      <c r="E192" s="389"/>
      <c r="F192" s="389"/>
      <c r="G192" s="389"/>
      <c r="H192" s="389"/>
      <c r="I192" s="314">
        <f>I190+I116+I110+I100+I93+I79+I69+I54+I49+I33+I28</f>
        <v>19740000</v>
      </c>
    </row>
    <row r="193" spans="5:8">
      <c r="E193" s="295"/>
      <c r="F193" s="295"/>
      <c r="G193" s="295"/>
      <c r="H193" s="295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3"/>
  <sheetViews>
    <sheetView zoomScaleNormal="100" workbookViewId="0">
      <selection activeCell="L13" sqref="L13"/>
    </sheetView>
  </sheetViews>
  <sheetFormatPr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390" t="s">
        <v>0</v>
      </c>
      <c r="B1" s="390"/>
      <c r="C1" s="390"/>
      <c r="D1" s="390"/>
      <c r="E1" s="390"/>
      <c r="F1" s="390"/>
      <c r="G1" s="390"/>
      <c r="H1" s="390"/>
      <c r="I1" s="296"/>
      <c r="J1" s="296"/>
    </row>
    <row r="2" spans="1:10" ht="18.75">
      <c r="A2" s="391" t="s">
        <v>448</v>
      </c>
      <c r="B2" s="391"/>
      <c r="C2" s="391"/>
      <c r="D2" s="391"/>
      <c r="E2" s="391"/>
      <c r="F2" s="391"/>
      <c r="G2" s="391"/>
      <c r="H2" s="391"/>
      <c r="I2" s="294"/>
      <c r="J2" s="294"/>
    </row>
    <row r="3" spans="1:10" ht="37.5" customHeight="1">
      <c r="A3" s="392" t="s">
        <v>449</v>
      </c>
      <c r="B3" s="392"/>
      <c r="C3" s="392"/>
      <c r="D3" s="392"/>
      <c r="E3" s="392"/>
      <c r="F3" s="392"/>
      <c r="G3" s="392"/>
      <c r="H3" s="392"/>
    </row>
    <row r="5" spans="1:10" ht="42.75" customHeight="1">
      <c r="A5" s="304" t="s">
        <v>26</v>
      </c>
      <c r="B5" s="107" t="s">
        <v>2</v>
      </c>
      <c r="C5" s="107" t="s">
        <v>3</v>
      </c>
      <c r="D5" s="305" t="s">
        <v>476</v>
      </c>
      <c r="E5" s="305" t="s">
        <v>23</v>
      </c>
      <c r="F5" s="305" t="s">
        <v>24</v>
      </c>
      <c r="G5" s="305" t="s">
        <v>477</v>
      </c>
      <c r="H5" s="306" t="s">
        <v>454</v>
      </c>
      <c r="I5" s="1"/>
    </row>
    <row r="6" spans="1:10" ht="18.75">
      <c r="A6" s="32">
        <v>1</v>
      </c>
      <c r="B6" s="32" t="s">
        <v>478</v>
      </c>
      <c r="C6" s="32" t="s">
        <v>479</v>
      </c>
      <c r="D6" s="292">
        <v>35000</v>
      </c>
      <c r="E6" s="292">
        <v>35000</v>
      </c>
      <c r="F6" s="292">
        <v>35000</v>
      </c>
      <c r="G6" s="292">
        <v>35000</v>
      </c>
      <c r="H6" s="292">
        <f t="shared" ref="H6" si="0">D6+E6+F6+G6</f>
        <v>140000</v>
      </c>
      <c r="I6" s="1"/>
    </row>
    <row r="7" spans="1:10" ht="18.75">
      <c r="A7" s="32">
        <v>2</v>
      </c>
      <c r="B7" s="32" t="s">
        <v>480</v>
      </c>
      <c r="C7" s="32" t="s">
        <v>479</v>
      </c>
      <c r="D7" s="292">
        <v>35000</v>
      </c>
      <c r="E7" s="292">
        <v>35000</v>
      </c>
      <c r="F7" s="292">
        <v>35000</v>
      </c>
      <c r="G7" s="292">
        <v>35000</v>
      </c>
      <c r="H7" s="292">
        <f t="shared" ref="H7" si="1">D7+E7+F7+G7</f>
        <v>140000</v>
      </c>
      <c r="I7" s="1"/>
    </row>
    <row r="8" spans="1:10" ht="18.75">
      <c r="A8" s="32">
        <v>3</v>
      </c>
      <c r="B8" s="32" t="s">
        <v>481</v>
      </c>
      <c r="C8" s="32" t="s">
        <v>482</v>
      </c>
      <c r="D8" s="292">
        <v>35000</v>
      </c>
      <c r="E8" s="292">
        <v>35000</v>
      </c>
      <c r="F8" s="292">
        <v>35000</v>
      </c>
      <c r="G8" s="292">
        <v>35000</v>
      </c>
      <c r="H8" s="292">
        <f>D8+E8+F8+G8</f>
        <v>140000</v>
      </c>
      <c r="I8" s="1"/>
    </row>
    <row r="9" spans="1:10" ht="18.75">
      <c r="A9" s="32">
        <v>4</v>
      </c>
      <c r="B9" s="32" t="s">
        <v>480</v>
      </c>
      <c r="C9" s="32" t="s">
        <v>479</v>
      </c>
      <c r="D9" s="292">
        <v>35000</v>
      </c>
      <c r="E9" s="292">
        <v>35000</v>
      </c>
      <c r="F9" s="292">
        <v>35000</v>
      </c>
      <c r="G9" s="292">
        <v>35000</v>
      </c>
      <c r="H9" s="292">
        <f t="shared" ref="H9:H58" si="2">D9+E9+F9+G9</f>
        <v>140000</v>
      </c>
      <c r="I9" s="1"/>
    </row>
    <row r="10" spans="1:10" ht="18.75">
      <c r="A10" s="32">
        <v>5</v>
      </c>
      <c r="B10" s="32" t="s">
        <v>483</v>
      </c>
      <c r="C10" s="32" t="s">
        <v>484</v>
      </c>
      <c r="D10" s="292">
        <v>35000</v>
      </c>
      <c r="E10" s="292">
        <v>35000</v>
      </c>
      <c r="F10" s="292">
        <v>35000</v>
      </c>
      <c r="G10" s="292">
        <v>35000</v>
      </c>
      <c r="H10" s="292">
        <f t="shared" si="2"/>
        <v>140000</v>
      </c>
      <c r="I10" s="1"/>
    </row>
    <row r="11" spans="1:10" ht="18.75">
      <c r="A11" s="32">
        <v>6</v>
      </c>
      <c r="B11" s="32" t="s">
        <v>485</v>
      </c>
      <c r="C11" s="32" t="s">
        <v>486</v>
      </c>
      <c r="D11" s="292">
        <v>35000</v>
      </c>
      <c r="E11" s="292">
        <v>35000</v>
      </c>
      <c r="F11" s="292">
        <v>35000</v>
      </c>
      <c r="G11" s="292">
        <v>35000</v>
      </c>
      <c r="H11" s="292">
        <f t="shared" si="2"/>
        <v>140000</v>
      </c>
      <c r="I11" s="1"/>
    </row>
    <row r="12" spans="1:10" ht="18.75">
      <c r="A12" s="32">
        <v>7</v>
      </c>
      <c r="B12" s="32" t="s">
        <v>487</v>
      </c>
      <c r="C12" s="32" t="s">
        <v>488</v>
      </c>
      <c r="D12" s="292">
        <v>35000</v>
      </c>
      <c r="E12" s="292">
        <v>35000</v>
      </c>
      <c r="F12" s="292">
        <v>35000</v>
      </c>
      <c r="G12" s="292">
        <v>35000</v>
      </c>
      <c r="H12" s="292">
        <f t="shared" si="2"/>
        <v>140000</v>
      </c>
      <c r="I12" s="1"/>
    </row>
    <row r="13" spans="1:10" ht="18.75">
      <c r="A13" s="32">
        <v>8</v>
      </c>
      <c r="B13" s="32" t="s">
        <v>489</v>
      </c>
      <c r="C13" s="32" t="s">
        <v>490</v>
      </c>
      <c r="D13" s="292">
        <v>35000</v>
      </c>
      <c r="E13" s="292">
        <v>35000</v>
      </c>
      <c r="F13" s="292">
        <v>35000</v>
      </c>
      <c r="G13" s="292">
        <v>35000</v>
      </c>
      <c r="H13" s="292">
        <f t="shared" si="2"/>
        <v>140000</v>
      </c>
      <c r="I13" s="1"/>
    </row>
    <row r="14" spans="1:10" ht="18.75">
      <c r="A14" s="32">
        <v>9</v>
      </c>
      <c r="B14" s="32" t="s">
        <v>491</v>
      </c>
      <c r="C14" s="32" t="s">
        <v>490</v>
      </c>
      <c r="D14" s="292">
        <v>35000</v>
      </c>
      <c r="E14" s="292">
        <v>35000</v>
      </c>
      <c r="F14" s="292">
        <v>35000</v>
      </c>
      <c r="G14" s="292">
        <v>35000</v>
      </c>
      <c r="H14" s="292">
        <f t="shared" si="2"/>
        <v>140000</v>
      </c>
      <c r="I14" s="1"/>
    </row>
    <row r="15" spans="1:10" ht="18.75">
      <c r="A15" s="32">
        <v>10</v>
      </c>
      <c r="B15" s="32" t="s">
        <v>492</v>
      </c>
      <c r="C15" s="32" t="s">
        <v>488</v>
      </c>
      <c r="D15" s="292">
        <v>35000</v>
      </c>
      <c r="E15" s="292">
        <v>35000</v>
      </c>
      <c r="F15" s="292">
        <v>35000</v>
      </c>
      <c r="G15" s="292">
        <v>35000</v>
      </c>
      <c r="H15" s="292">
        <f t="shared" si="2"/>
        <v>140000</v>
      </c>
      <c r="I15" s="1"/>
    </row>
    <row r="16" spans="1:10" ht="18.75">
      <c r="A16" s="32">
        <v>11</v>
      </c>
      <c r="B16" s="32" t="s">
        <v>493</v>
      </c>
      <c r="C16" s="32" t="s">
        <v>494</v>
      </c>
      <c r="D16" s="292">
        <v>35000</v>
      </c>
      <c r="E16" s="292">
        <v>35000</v>
      </c>
      <c r="F16" s="292">
        <v>35000</v>
      </c>
      <c r="G16" s="292">
        <v>35000</v>
      </c>
      <c r="H16" s="292">
        <f t="shared" si="2"/>
        <v>140000</v>
      </c>
      <c r="I16" s="1"/>
    </row>
    <row r="17" spans="1:9" ht="18.75">
      <c r="A17" s="32">
        <v>12</v>
      </c>
      <c r="B17" s="32" t="s">
        <v>495</v>
      </c>
      <c r="C17" s="32" t="s">
        <v>482</v>
      </c>
      <c r="D17" s="292">
        <v>35000</v>
      </c>
      <c r="E17" s="292">
        <v>35000</v>
      </c>
      <c r="F17" s="292">
        <v>35000</v>
      </c>
      <c r="G17" s="292">
        <v>35000</v>
      </c>
      <c r="H17" s="292">
        <f t="shared" si="2"/>
        <v>140000</v>
      </c>
      <c r="I17" s="1"/>
    </row>
    <row r="18" spans="1:9" ht="18.75">
      <c r="A18" s="32">
        <v>13</v>
      </c>
      <c r="B18" s="32" t="s">
        <v>496</v>
      </c>
      <c r="C18" s="32" t="s">
        <v>497</v>
      </c>
      <c r="D18" s="292">
        <v>35000</v>
      </c>
      <c r="E18" s="292">
        <v>35000</v>
      </c>
      <c r="F18" s="292">
        <v>35000</v>
      </c>
      <c r="G18" s="292">
        <v>35000</v>
      </c>
      <c r="H18" s="292">
        <f t="shared" si="2"/>
        <v>140000</v>
      </c>
      <c r="I18" s="1"/>
    </row>
    <row r="19" spans="1:9" ht="18.75">
      <c r="A19" s="32">
        <v>14</v>
      </c>
      <c r="B19" s="32" t="s">
        <v>498</v>
      </c>
      <c r="C19" s="32" t="s">
        <v>484</v>
      </c>
      <c r="D19" s="292">
        <v>35000</v>
      </c>
      <c r="E19" s="292">
        <v>35000</v>
      </c>
      <c r="F19" s="292">
        <v>35000</v>
      </c>
      <c r="G19" s="292">
        <v>35000</v>
      </c>
      <c r="H19" s="292">
        <f t="shared" si="2"/>
        <v>140000</v>
      </c>
      <c r="I19" s="1"/>
    </row>
    <row r="20" spans="1:9" ht="18.75">
      <c r="A20" s="32">
        <v>15</v>
      </c>
      <c r="B20" s="32" t="s">
        <v>499</v>
      </c>
      <c r="C20" s="32" t="s">
        <v>500</v>
      </c>
      <c r="D20" s="292">
        <v>35000</v>
      </c>
      <c r="E20" s="292">
        <v>35000</v>
      </c>
      <c r="F20" s="292">
        <v>35000</v>
      </c>
      <c r="G20" s="292">
        <v>35000</v>
      </c>
      <c r="H20" s="292">
        <f t="shared" si="2"/>
        <v>140000</v>
      </c>
      <c r="I20" s="1"/>
    </row>
    <row r="21" spans="1:9" ht="18.75">
      <c r="A21" s="32">
        <v>16</v>
      </c>
      <c r="B21" s="32" t="s">
        <v>501</v>
      </c>
      <c r="C21" s="32" t="s">
        <v>502</v>
      </c>
      <c r="D21" s="292">
        <v>35000</v>
      </c>
      <c r="E21" s="292">
        <v>35000</v>
      </c>
      <c r="F21" s="292">
        <v>35000</v>
      </c>
      <c r="G21" s="292">
        <v>35000</v>
      </c>
      <c r="H21" s="292">
        <f t="shared" si="2"/>
        <v>140000</v>
      </c>
      <c r="I21" s="1"/>
    </row>
    <row r="22" spans="1:9" ht="18.75">
      <c r="A22" s="32">
        <v>17</v>
      </c>
      <c r="B22" s="32" t="s">
        <v>503</v>
      </c>
      <c r="C22" s="32" t="s">
        <v>484</v>
      </c>
      <c r="D22" s="292">
        <v>35000</v>
      </c>
      <c r="E22" s="292">
        <v>35000</v>
      </c>
      <c r="F22" s="292">
        <v>35000</v>
      </c>
      <c r="G22" s="292">
        <v>35000</v>
      </c>
      <c r="H22" s="292">
        <f t="shared" si="2"/>
        <v>140000</v>
      </c>
      <c r="I22" s="1"/>
    </row>
    <row r="23" spans="1:9" ht="18.75">
      <c r="A23" s="32">
        <v>18</v>
      </c>
      <c r="B23" s="32" t="s">
        <v>504</v>
      </c>
      <c r="C23" s="32" t="s">
        <v>505</v>
      </c>
      <c r="D23" s="292">
        <v>35000</v>
      </c>
      <c r="E23" s="292">
        <v>35000</v>
      </c>
      <c r="F23" s="292">
        <v>35000</v>
      </c>
      <c r="G23" s="292">
        <v>35000</v>
      </c>
      <c r="H23" s="292">
        <f t="shared" si="2"/>
        <v>140000</v>
      </c>
      <c r="I23" s="1"/>
    </row>
    <row r="24" spans="1:9" ht="18.75">
      <c r="A24" s="32">
        <v>19</v>
      </c>
      <c r="B24" s="32" t="s">
        <v>506</v>
      </c>
      <c r="C24" s="32" t="s">
        <v>505</v>
      </c>
      <c r="D24" s="292">
        <v>35000</v>
      </c>
      <c r="E24" s="292">
        <v>35000</v>
      </c>
      <c r="F24" s="292">
        <v>35000</v>
      </c>
      <c r="G24" s="292">
        <v>35000</v>
      </c>
      <c r="H24" s="292">
        <f t="shared" si="2"/>
        <v>140000</v>
      </c>
      <c r="I24" s="1"/>
    </row>
    <row r="25" spans="1:9" ht="18.75">
      <c r="A25" s="32">
        <v>20</v>
      </c>
      <c r="B25" s="32" t="s">
        <v>507</v>
      </c>
      <c r="C25" s="32" t="s">
        <v>505</v>
      </c>
      <c r="D25" s="292">
        <v>35000</v>
      </c>
      <c r="E25" s="292">
        <v>35000</v>
      </c>
      <c r="F25" s="292">
        <v>35000</v>
      </c>
      <c r="G25" s="292">
        <v>35000</v>
      </c>
      <c r="H25" s="292">
        <f t="shared" si="2"/>
        <v>140000</v>
      </c>
      <c r="I25" s="1"/>
    </row>
    <row r="26" spans="1:9" ht="18.75">
      <c r="A26" s="32">
        <v>21</v>
      </c>
      <c r="B26" s="32" t="s">
        <v>508</v>
      </c>
      <c r="C26" s="32" t="s">
        <v>505</v>
      </c>
      <c r="D26" s="292">
        <v>35000</v>
      </c>
      <c r="E26" s="292">
        <v>35000</v>
      </c>
      <c r="F26" s="292">
        <v>35000</v>
      </c>
      <c r="G26" s="292">
        <v>35000</v>
      </c>
      <c r="H26" s="292">
        <f t="shared" si="2"/>
        <v>140000</v>
      </c>
      <c r="I26" s="1"/>
    </row>
    <row r="27" spans="1:9" ht="18.75">
      <c r="A27" s="32">
        <v>22</v>
      </c>
      <c r="B27" s="32" t="s">
        <v>509</v>
      </c>
      <c r="C27" s="32" t="s">
        <v>510</v>
      </c>
      <c r="D27" s="292">
        <v>35000</v>
      </c>
      <c r="E27" s="292">
        <v>35000</v>
      </c>
      <c r="F27" s="292">
        <v>35000</v>
      </c>
      <c r="G27" s="292">
        <v>35000</v>
      </c>
      <c r="H27" s="292">
        <f t="shared" si="2"/>
        <v>140000</v>
      </c>
      <c r="I27" s="1"/>
    </row>
    <row r="28" spans="1:9" ht="18.75">
      <c r="A28" s="32">
        <v>23</v>
      </c>
      <c r="B28" s="32" t="s">
        <v>511</v>
      </c>
      <c r="C28" s="32" t="s">
        <v>512</v>
      </c>
      <c r="D28" s="292">
        <v>35000</v>
      </c>
      <c r="E28" s="292">
        <v>35000</v>
      </c>
      <c r="F28" s="292">
        <v>35000</v>
      </c>
      <c r="G28" s="292">
        <v>35000</v>
      </c>
      <c r="H28" s="292">
        <f t="shared" si="2"/>
        <v>140000</v>
      </c>
      <c r="I28" s="1"/>
    </row>
    <row r="29" spans="1:9" ht="18.75">
      <c r="A29" s="32">
        <v>24</v>
      </c>
      <c r="B29" s="32" t="s">
        <v>513</v>
      </c>
      <c r="C29" s="32" t="s">
        <v>514</v>
      </c>
      <c r="D29" s="292">
        <v>35000</v>
      </c>
      <c r="E29" s="292">
        <v>35000</v>
      </c>
      <c r="F29" s="292">
        <v>35000</v>
      </c>
      <c r="G29" s="292">
        <v>35000</v>
      </c>
      <c r="H29" s="292">
        <f t="shared" si="2"/>
        <v>140000</v>
      </c>
      <c r="I29" s="1"/>
    </row>
    <row r="30" spans="1:9" ht="18.75">
      <c r="A30" s="32">
        <v>25</v>
      </c>
      <c r="B30" s="32" t="s">
        <v>515</v>
      </c>
      <c r="C30" s="32" t="s">
        <v>494</v>
      </c>
      <c r="D30" s="292">
        <v>35000</v>
      </c>
      <c r="E30" s="292">
        <v>35000</v>
      </c>
      <c r="F30" s="292">
        <v>35000</v>
      </c>
      <c r="G30" s="292">
        <v>35000</v>
      </c>
      <c r="H30" s="292">
        <f t="shared" si="2"/>
        <v>140000</v>
      </c>
      <c r="I30" s="1"/>
    </row>
    <row r="31" spans="1:9" ht="18.75">
      <c r="A31" s="32">
        <v>26</v>
      </c>
      <c r="B31" s="32" t="s">
        <v>516</v>
      </c>
      <c r="C31" s="32" t="s">
        <v>505</v>
      </c>
      <c r="D31" s="292">
        <v>35000</v>
      </c>
      <c r="E31" s="292">
        <v>35000</v>
      </c>
      <c r="F31" s="292">
        <v>35000</v>
      </c>
      <c r="G31" s="292">
        <v>35000</v>
      </c>
      <c r="H31" s="292">
        <f t="shared" si="2"/>
        <v>140000</v>
      </c>
      <c r="I31" s="1"/>
    </row>
    <row r="32" spans="1:9" ht="18.75">
      <c r="A32" s="32">
        <v>27</v>
      </c>
      <c r="B32" s="32" t="s">
        <v>517</v>
      </c>
      <c r="C32" s="32" t="s">
        <v>482</v>
      </c>
      <c r="D32" s="292">
        <v>35000</v>
      </c>
      <c r="E32" s="292">
        <v>35000</v>
      </c>
      <c r="F32" s="292">
        <v>35000</v>
      </c>
      <c r="G32" s="292">
        <v>35000</v>
      </c>
      <c r="H32" s="292">
        <f t="shared" si="2"/>
        <v>140000</v>
      </c>
      <c r="I32" s="1"/>
    </row>
    <row r="33" spans="1:9" ht="18.75">
      <c r="A33" s="32">
        <v>28</v>
      </c>
      <c r="B33" s="32" t="s">
        <v>518</v>
      </c>
      <c r="C33" s="32" t="s">
        <v>482</v>
      </c>
      <c r="D33" s="292">
        <v>35000</v>
      </c>
      <c r="E33" s="292">
        <v>35000</v>
      </c>
      <c r="F33" s="292">
        <v>35000</v>
      </c>
      <c r="G33" s="292">
        <v>35000</v>
      </c>
      <c r="H33" s="292">
        <f t="shared" si="2"/>
        <v>140000</v>
      </c>
      <c r="I33" s="1"/>
    </row>
    <row r="34" spans="1:9" ht="18.75">
      <c r="A34" s="32">
        <v>29</v>
      </c>
      <c r="B34" s="32" t="s">
        <v>519</v>
      </c>
      <c r="C34" s="32" t="s">
        <v>505</v>
      </c>
      <c r="D34" s="292">
        <v>35000</v>
      </c>
      <c r="E34" s="292">
        <v>35000</v>
      </c>
      <c r="F34" s="292">
        <v>35000</v>
      </c>
      <c r="G34" s="292">
        <v>35000</v>
      </c>
      <c r="H34" s="292">
        <f t="shared" si="2"/>
        <v>140000</v>
      </c>
      <c r="I34" s="1"/>
    </row>
    <row r="35" spans="1:9" ht="18.75">
      <c r="A35" s="32">
        <v>30</v>
      </c>
      <c r="B35" s="32" t="s">
        <v>520</v>
      </c>
      <c r="C35" s="32" t="s">
        <v>505</v>
      </c>
      <c r="D35" s="292">
        <v>35000</v>
      </c>
      <c r="E35" s="292">
        <v>35000</v>
      </c>
      <c r="F35" s="292">
        <v>35000</v>
      </c>
      <c r="G35" s="292">
        <v>35000</v>
      </c>
      <c r="H35" s="292">
        <f t="shared" si="2"/>
        <v>140000</v>
      </c>
      <c r="I35" s="1"/>
    </row>
    <row r="36" spans="1:9" ht="18.75">
      <c r="A36" s="32">
        <v>31</v>
      </c>
      <c r="B36" s="32" t="s">
        <v>521</v>
      </c>
      <c r="C36" s="32" t="s">
        <v>522</v>
      </c>
      <c r="D36" s="292">
        <v>35000</v>
      </c>
      <c r="E36" s="292">
        <v>35000</v>
      </c>
      <c r="F36" s="292">
        <v>35000</v>
      </c>
      <c r="G36" s="292">
        <v>35000</v>
      </c>
      <c r="H36" s="292">
        <f t="shared" si="2"/>
        <v>140000</v>
      </c>
      <c r="I36" s="1"/>
    </row>
    <row r="37" spans="1:9" ht="18.75">
      <c r="A37" s="32">
        <v>32</v>
      </c>
      <c r="B37" s="32" t="s">
        <v>523</v>
      </c>
      <c r="C37" s="32" t="s">
        <v>505</v>
      </c>
      <c r="D37" s="292">
        <v>35000</v>
      </c>
      <c r="E37" s="292">
        <v>35000</v>
      </c>
      <c r="F37" s="292">
        <v>35000</v>
      </c>
      <c r="G37" s="292">
        <v>35000</v>
      </c>
      <c r="H37" s="292">
        <f t="shared" si="2"/>
        <v>140000</v>
      </c>
      <c r="I37" s="1"/>
    </row>
    <row r="38" spans="1:9" ht="18.75">
      <c r="A38" s="32">
        <v>33</v>
      </c>
      <c r="B38" s="32" t="s">
        <v>524</v>
      </c>
      <c r="C38" s="32" t="s">
        <v>525</v>
      </c>
      <c r="D38" s="292">
        <v>35000</v>
      </c>
      <c r="E38" s="292">
        <v>35000</v>
      </c>
      <c r="F38" s="292">
        <v>35000</v>
      </c>
      <c r="G38" s="292">
        <v>35000</v>
      </c>
      <c r="H38" s="292">
        <f t="shared" si="2"/>
        <v>140000</v>
      </c>
      <c r="I38" s="1"/>
    </row>
    <row r="39" spans="1:9" ht="18.75">
      <c r="A39" s="32">
        <v>34</v>
      </c>
      <c r="B39" s="32" t="s">
        <v>526</v>
      </c>
      <c r="C39" s="32" t="s">
        <v>505</v>
      </c>
      <c r="D39" s="292">
        <v>35000</v>
      </c>
      <c r="E39" s="292">
        <v>35000</v>
      </c>
      <c r="F39" s="292">
        <v>35000</v>
      </c>
      <c r="G39" s="292">
        <v>35000</v>
      </c>
      <c r="H39" s="292">
        <f t="shared" si="2"/>
        <v>140000</v>
      </c>
      <c r="I39" s="1"/>
    </row>
    <row r="40" spans="1:9" ht="18.75">
      <c r="A40" s="32">
        <v>35</v>
      </c>
      <c r="B40" s="32" t="s">
        <v>527</v>
      </c>
      <c r="C40" s="32" t="s">
        <v>505</v>
      </c>
      <c r="D40" s="292">
        <v>35000</v>
      </c>
      <c r="E40" s="292">
        <v>35000</v>
      </c>
      <c r="F40" s="292">
        <v>35000</v>
      </c>
      <c r="G40" s="292">
        <v>35000</v>
      </c>
      <c r="H40" s="292">
        <f t="shared" si="2"/>
        <v>140000</v>
      </c>
      <c r="I40" s="1"/>
    </row>
    <row r="41" spans="1:9" ht="18.75">
      <c r="A41" s="32">
        <v>36</v>
      </c>
      <c r="B41" s="32" t="s">
        <v>528</v>
      </c>
      <c r="C41" s="32" t="s">
        <v>484</v>
      </c>
      <c r="D41" s="292">
        <v>35000</v>
      </c>
      <c r="E41" s="292">
        <v>35000</v>
      </c>
      <c r="F41" s="292">
        <v>35000</v>
      </c>
      <c r="G41" s="292">
        <v>35000</v>
      </c>
      <c r="H41" s="292">
        <f t="shared" si="2"/>
        <v>140000</v>
      </c>
      <c r="I41" s="1"/>
    </row>
    <row r="42" spans="1:9" ht="18.75">
      <c r="A42" s="32">
        <v>37</v>
      </c>
      <c r="B42" s="32" t="s">
        <v>529</v>
      </c>
      <c r="C42" s="32" t="s">
        <v>484</v>
      </c>
      <c r="D42" s="292">
        <v>35000</v>
      </c>
      <c r="E42" s="292">
        <v>35000</v>
      </c>
      <c r="F42" s="292">
        <v>35000</v>
      </c>
      <c r="G42" s="292">
        <v>35000</v>
      </c>
      <c r="H42" s="292">
        <f t="shared" si="2"/>
        <v>140000</v>
      </c>
      <c r="I42" s="1"/>
    </row>
    <row r="43" spans="1:9" ht="18.75">
      <c r="A43" s="32">
        <v>38</v>
      </c>
      <c r="B43" s="32" t="s">
        <v>530</v>
      </c>
      <c r="C43" s="32" t="s">
        <v>484</v>
      </c>
      <c r="D43" s="292">
        <v>35000</v>
      </c>
      <c r="E43" s="292">
        <v>35000</v>
      </c>
      <c r="F43" s="292">
        <v>35000</v>
      </c>
      <c r="G43" s="292">
        <v>35000</v>
      </c>
      <c r="H43" s="292">
        <f t="shared" si="2"/>
        <v>140000</v>
      </c>
      <c r="I43" s="1"/>
    </row>
    <row r="44" spans="1:9" ht="18.75">
      <c r="A44" s="32">
        <v>39</v>
      </c>
      <c r="B44" s="32" t="s">
        <v>531</v>
      </c>
      <c r="C44" s="32" t="s">
        <v>484</v>
      </c>
      <c r="D44" s="292">
        <v>35000</v>
      </c>
      <c r="E44" s="292">
        <v>35000</v>
      </c>
      <c r="F44" s="292">
        <v>35000</v>
      </c>
      <c r="G44" s="292">
        <v>35000</v>
      </c>
      <c r="H44" s="292">
        <f t="shared" si="2"/>
        <v>140000</v>
      </c>
      <c r="I44" s="1"/>
    </row>
    <row r="45" spans="1:9" ht="18.75">
      <c r="A45" s="32">
        <v>40</v>
      </c>
      <c r="B45" s="32" t="s">
        <v>532</v>
      </c>
      <c r="C45" s="32" t="s">
        <v>484</v>
      </c>
      <c r="D45" s="292">
        <v>35000</v>
      </c>
      <c r="E45" s="292">
        <v>35000</v>
      </c>
      <c r="F45" s="292">
        <v>35000</v>
      </c>
      <c r="G45" s="292">
        <v>35000</v>
      </c>
      <c r="H45" s="292">
        <f t="shared" si="2"/>
        <v>140000</v>
      </c>
      <c r="I45" s="1"/>
    </row>
    <row r="46" spans="1:9" ht="18.75">
      <c r="A46" s="32">
        <v>41</v>
      </c>
      <c r="B46" s="32" t="s">
        <v>533</v>
      </c>
      <c r="C46" s="32" t="s">
        <v>484</v>
      </c>
      <c r="D46" s="292">
        <v>35000</v>
      </c>
      <c r="E46" s="292">
        <v>35000</v>
      </c>
      <c r="F46" s="292">
        <v>35000</v>
      </c>
      <c r="G46" s="292">
        <v>35000</v>
      </c>
      <c r="H46" s="292">
        <f t="shared" si="2"/>
        <v>140000</v>
      </c>
      <c r="I46" s="1"/>
    </row>
    <row r="47" spans="1:9" ht="18.75">
      <c r="A47" s="32">
        <v>42</v>
      </c>
      <c r="B47" s="32" t="s">
        <v>534</v>
      </c>
      <c r="C47" s="32" t="s">
        <v>505</v>
      </c>
      <c r="D47" s="292">
        <v>35000</v>
      </c>
      <c r="E47" s="292">
        <v>35000</v>
      </c>
      <c r="F47" s="292">
        <v>35000</v>
      </c>
      <c r="G47" s="292">
        <v>35000</v>
      </c>
      <c r="H47" s="292">
        <f t="shared" si="2"/>
        <v>140000</v>
      </c>
      <c r="I47" s="1"/>
    </row>
    <row r="48" spans="1:9" ht="18.75">
      <c r="A48" s="32">
        <v>43</v>
      </c>
      <c r="B48" s="32" t="s">
        <v>535</v>
      </c>
      <c r="C48" s="32" t="s">
        <v>484</v>
      </c>
      <c r="D48" s="292">
        <v>35000</v>
      </c>
      <c r="E48" s="292">
        <v>35000</v>
      </c>
      <c r="F48" s="292">
        <v>35000</v>
      </c>
      <c r="G48" s="292">
        <v>35000</v>
      </c>
      <c r="H48" s="292">
        <f t="shared" si="2"/>
        <v>140000</v>
      </c>
      <c r="I48" s="1"/>
    </row>
    <row r="49" spans="1:9" ht="18.75">
      <c r="A49" s="32">
        <v>44</v>
      </c>
      <c r="B49" s="32" t="s">
        <v>536</v>
      </c>
      <c r="C49" s="32" t="s">
        <v>484</v>
      </c>
      <c r="D49" s="292">
        <v>35000</v>
      </c>
      <c r="E49" s="292">
        <v>35000</v>
      </c>
      <c r="F49" s="292">
        <v>35000</v>
      </c>
      <c r="G49" s="292">
        <v>35000</v>
      </c>
      <c r="H49" s="292">
        <f t="shared" si="2"/>
        <v>140000</v>
      </c>
      <c r="I49" s="1"/>
    </row>
    <row r="50" spans="1:9" ht="18.75">
      <c r="A50" s="32">
        <v>45</v>
      </c>
      <c r="B50" s="32" t="s">
        <v>537</v>
      </c>
      <c r="C50" s="32" t="s">
        <v>505</v>
      </c>
      <c r="D50" s="292">
        <v>35000</v>
      </c>
      <c r="E50" s="292">
        <v>35000</v>
      </c>
      <c r="F50" s="292">
        <v>35000</v>
      </c>
      <c r="G50" s="292">
        <v>35000</v>
      </c>
      <c r="H50" s="292">
        <f t="shared" si="2"/>
        <v>140000</v>
      </c>
      <c r="I50" s="1"/>
    </row>
    <row r="51" spans="1:9" ht="18.75">
      <c r="A51" s="32">
        <v>46</v>
      </c>
      <c r="B51" s="32" t="s">
        <v>538</v>
      </c>
      <c r="C51" s="32" t="s">
        <v>484</v>
      </c>
      <c r="D51" s="292">
        <v>35000</v>
      </c>
      <c r="E51" s="292">
        <v>35000</v>
      </c>
      <c r="F51" s="292">
        <v>35000</v>
      </c>
      <c r="G51" s="292">
        <v>35000</v>
      </c>
      <c r="H51" s="292">
        <f t="shared" si="2"/>
        <v>140000</v>
      </c>
      <c r="I51" s="1"/>
    </row>
    <row r="52" spans="1:9" ht="18.75">
      <c r="A52" s="32">
        <v>47</v>
      </c>
      <c r="B52" s="32" t="s">
        <v>539</v>
      </c>
      <c r="C52" s="32" t="s">
        <v>484</v>
      </c>
      <c r="D52" s="292">
        <v>35000</v>
      </c>
      <c r="E52" s="292">
        <v>35000</v>
      </c>
      <c r="F52" s="292">
        <v>35000</v>
      </c>
      <c r="G52" s="292">
        <v>35000</v>
      </c>
      <c r="H52" s="292">
        <f t="shared" si="2"/>
        <v>140000</v>
      </c>
      <c r="I52" s="1"/>
    </row>
    <row r="53" spans="1:9" ht="18.75">
      <c r="A53" s="32">
        <v>48</v>
      </c>
      <c r="B53" s="32" t="s">
        <v>540</v>
      </c>
      <c r="C53" s="32" t="s">
        <v>505</v>
      </c>
      <c r="D53" s="292">
        <v>35000</v>
      </c>
      <c r="E53" s="292">
        <v>35000</v>
      </c>
      <c r="F53" s="292">
        <v>35000</v>
      </c>
      <c r="G53" s="292">
        <v>35000</v>
      </c>
      <c r="H53" s="292">
        <f t="shared" si="2"/>
        <v>140000</v>
      </c>
      <c r="I53" s="1"/>
    </row>
    <row r="54" spans="1:9" ht="18.75">
      <c r="A54" s="32">
        <v>49</v>
      </c>
      <c r="B54" s="32" t="s">
        <v>541</v>
      </c>
      <c r="C54" s="32" t="s">
        <v>505</v>
      </c>
      <c r="D54" s="292">
        <v>35000</v>
      </c>
      <c r="E54" s="292">
        <v>35000</v>
      </c>
      <c r="F54" s="292">
        <v>35000</v>
      </c>
      <c r="G54" s="292">
        <v>35000</v>
      </c>
      <c r="H54" s="292">
        <f t="shared" si="2"/>
        <v>140000</v>
      </c>
      <c r="I54" s="1"/>
    </row>
    <row r="55" spans="1:9" ht="18.75">
      <c r="A55" s="32">
        <v>50</v>
      </c>
      <c r="B55" s="32" t="s">
        <v>542</v>
      </c>
      <c r="C55" s="32" t="s">
        <v>505</v>
      </c>
      <c r="D55" s="292">
        <v>35000</v>
      </c>
      <c r="E55" s="292">
        <v>35000</v>
      </c>
      <c r="F55" s="292">
        <v>35000</v>
      </c>
      <c r="G55" s="292">
        <v>35000</v>
      </c>
      <c r="H55" s="292">
        <f t="shared" si="2"/>
        <v>140000</v>
      </c>
      <c r="I55" s="1"/>
    </row>
    <row r="56" spans="1:9" ht="18.75">
      <c r="A56" s="32">
        <v>51</v>
      </c>
      <c r="B56" s="32" t="s">
        <v>543</v>
      </c>
      <c r="C56" s="32" t="s">
        <v>505</v>
      </c>
      <c r="D56" s="292">
        <v>35000</v>
      </c>
      <c r="E56" s="292">
        <v>35000</v>
      </c>
      <c r="F56" s="292">
        <v>35000</v>
      </c>
      <c r="G56" s="292">
        <v>35000</v>
      </c>
      <c r="H56" s="292">
        <f t="shared" si="2"/>
        <v>140000</v>
      </c>
      <c r="I56" s="1"/>
    </row>
    <row r="57" spans="1:9" ht="18.75">
      <c r="A57" s="32">
        <v>52</v>
      </c>
      <c r="B57" s="32" t="s">
        <v>544</v>
      </c>
      <c r="C57" s="32" t="s">
        <v>484</v>
      </c>
      <c r="D57" s="292">
        <v>35000</v>
      </c>
      <c r="E57" s="292">
        <v>35000</v>
      </c>
      <c r="F57" s="292">
        <v>35000</v>
      </c>
      <c r="G57" s="292">
        <v>35000</v>
      </c>
      <c r="H57" s="292">
        <f t="shared" si="2"/>
        <v>140000</v>
      </c>
      <c r="I57" s="1"/>
    </row>
    <row r="58" spans="1:9" ht="18.75">
      <c r="A58" s="32">
        <v>53</v>
      </c>
      <c r="B58" s="32" t="s">
        <v>545</v>
      </c>
      <c r="C58" s="32" t="s">
        <v>484</v>
      </c>
      <c r="D58" s="292">
        <v>35000</v>
      </c>
      <c r="E58" s="292">
        <v>35000</v>
      </c>
      <c r="F58" s="292">
        <v>35000</v>
      </c>
      <c r="G58" s="292">
        <v>35000</v>
      </c>
      <c r="H58" s="292">
        <f t="shared" si="2"/>
        <v>140000</v>
      </c>
      <c r="I58" s="1"/>
    </row>
    <row r="59" spans="1:9" ht="18.75">
      <c r="A59" s="21"/>
      <c r="B59" s="32"/>
      <c r="C59" s="32"/>
      <c r="D59" s="307">
        <f>SUM(D8:D58)</f>
        <v>1785000</v>
      </c>
      <c r="E59" s="307">
        <f>SUM(E8:E58)</f>
        <v>1785000</v>
      </c>
      <c r="F59" s="307">
        <f>SUM(F8:F58)</f>
        <v>1785000</v>
      </c>
      <c r="G59" s="307">
        <f>SUM(G8:G58)</f>
        <v>1785000</v>
      </c>
      <c r="H59" s="307">
        <f>SUM(H8:H58)</f>
        <v>7140000</v>
      </c>
      <c r="I59" s="1"/>
    </row>
    <row r="60" spans="1:9">
      <c r="D60" s="295"/>
      <c r="E60" s="295"/>
      <c r="F60" s="295"/>
      <c r="G60" s="295"/>
      <c r="H60" s="295"/>
    </row>
    <row r="61" spans="1:9">
      <c r="D61" s="295"/>
      <c r="E61" s="295"/>
      <c r="F61" s="295"/>
      <c r="G61" s="295"/>
      <c r="H61" s="300"/>
    </row>
    <row r="62" spans="1:9">
      <c r="A62" s="299"/>
      <c r="B62" s="299"/>
      <c r="C62" s="299"/>
      <c r="D62" s="300"/>
      <c r="E62" s="300"/>
      <c r="F62" s="300"/>
      <c r="G62" s="300"/>
      <c r="H62" s="303"/>
    </row>
    <row r="63" spans="1:9">
      <c r="D63" s="295"/>
      <c r="E63" s="295"/>
      <c r="F63" s="295"/>
      <c r="G63" s="295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60"/>
  <sheetViews>
    <sheetView workbookViewId="0">
      <selection activeCell="H6" sqref="H6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546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26</v>
      </c>
      <c r="B2" s="21" t="s">
        <v>547</v>
      </c>
      <c r="C2" s="21" t="s">
        <v>3</v>
      </c>
      <c r="D2" s="291" t="s">
        <v>548</v>
      </c>
      <c r="E2" s="291" t="s">
        <v>21</v>
      </c>
      <c r="F2" s="291" t="s">
        <v>549</v>
      </c>
      <c r="G2" s="1"/>
      <c r="H2" s="1"/>
      <c r="I2" s="1"/>
      <c r="J2" s="1"/>
    </row>
    <row r="3" spans="1:10" ht="35.1" customHeight="1">
      <c r="A3" s="3">
        <v>1</v>
      </c>
      <c r="B3" s="32" t="s">
        <v>141</v>
      </c>
      <c r="C3" s="32" t="s">
        <v>113</v>
      </c>
      <c r="D3" s="292">
        <f>20000*28</f>
        <v>560000</v>
      </c>
      <c r="E3" s="342">
        <f>86186.67</f>
        <v>86186.67</v>
      </c>
      <c r="F3" s="292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22" t="s">
        <v>550</v>
      </c>
      <c r="C4" s="32" t="s">
        <v>551</v>
      </c>
      <c r="D4" s="292">
        <f>20000*28</f>
        <v>560000</v>
      </c>
      <c r="E4" s="342">
        <f>86186.67</f>
        <v>86186.67</v>
      </c>
      <c r="F4" s="292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86</v>
      </c>
      <c r="C5" s="21"/>
      <c r="D5" s="293">
        <f>SUM(D3:D4)</f>
        <v>1120000</v>
      </c>
      <c r="E5" s="293">
        <f>SUM(E3:E4)</f>
        <v>172373.34</v>
      </c>
      <c r="F5" s="293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0"/>
  <sheetViews>
    <sheetView zoomScaleNormal="100" zoomScaleSheetLayoutView="100" workbookViewId="0">
      <pane xSplit="3" ySplit="7" topLeftCell="D34" activePane="bottomRight" state="frozen"/>
      <selection pane="bottomRight" activeCell="F42" sqref="F4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2.85546875" style="164" customWidth="1"/>
    <col min="3" max="3" width="38" style="164" customWidth="1"/>
    <col min="4" max="4" width="12.42578125" style="164" customWidth="1"/>
    <col min="5" max="5" width="21.85546875" style="164" customWidth="1"/>
    <col min="6" max="6" width="21.7109375" style="164" customWidth="1"/>
    <col min="7" max="16384" width="9.140625" style="164"/>
  </cols>
  <sheetData>
    <row r="1" spans="1:6" ht="27" customHeight="1">
      <c r="A1" s="270" t="s">
        <v>0</v>
      </c>
      <c r="B1" s="270"/>
      <c r="C1" s="270"/>
      <c r="D1" s="270"/>
      <c r="E1" s="271"/>
    </row>
    <row r="2" spans="1:6" ht="33.75" customHeight="1">
      <c r="A2" s="270" t="s">
        <v>552</v>
      </c>
      <c r="B2" s="166"/>
      <c r="C2" s="165"/>
      <c r="D2" s="165"/>
      <c r="E2" s="169"/>
    </row>
    <row r="3" spans="1:6" ht="9.75" customHeight="1"/>
    <row r="4" spans="1:6" ht="49.5" customHeight="1">
      <c r="A4" s="265"/>
      <c r="B4" s="272" t="s">
        <v>2</v>
      </c>
      <c r="C4" s="273" t="s">
        <v>3</v>
      </c>
      <c r="D4" s="274" t="s">
        <v>4</v>
      </c>
      <c r="E4" s="275" t="s">
        <v>553</v>
      </c>
    </row>
    <row r="5" spans="1:6" ht="17.25" customHeight="1">
      <c r="C5" s="177"/>
      <c r="D5" s="177"/>
      <c r="E5" s="216" t="s">
        <v>25</v>
      </c>
    </row>
    <row r="6" spans="1:6" ht="20.100000000000001" customHeight="1">
      <c r="A6" s="176" t="s">
        <v>26</v>
      </c>
      <c r="B6" s="177" t="s">
        <v>27</v>
      </c>
      <c r="C6" s="177"/>
      <c r="D6" s="177"/>
      <c r="E6" s="216"/>
    </row>
    <row r="7" spans="1:6" ht="20.100000000000001" customHeight="1">
      <c r="A7" s="28">
        <v>1</v>
      </c>
      <c r="B7" s="156" t="s">
        <v>28</v>
      </c>
      <c r="C7" s="161" t="s">
        <v>29</v>
      </c>
      <c r="D7" s="161" t="s">
        <v>30</v>
      </c>
      <c r="E7" s="276">
        <v>450000</v>
      </c>
      <c r="F7" s="180"/>
    </row>
    <row r="8" spans="1:6" ht="20.100000000000001" customHeight="1">
      <c r="A8" s="28">
        <v>2</v>
      </c>
      <c r="B8" s="156" t="s">
        <v>456</v>
      </c>
      <c r="C8" s="20" t="s">
        <v>554</v>
      </c>
      <c r="D8" s="28" t="s">
        <v>228</v>
      </c>
      <c r="E8" s="276">
        <v>150000</v>
      </c>
      <c r="F8" s="180"/>
    </row>
    <row r="9" spans="1:6" ht="20.100000000000001" customHeight="1">
      <c r="A9" s="28">
        <v>3</v>
      </c>
      <c r="B9" s="158" t="s">
        <v>555</v>
      </c>
      <c r="C9" s="20" t="s">
        <v>556</v>
      </c>
      <c r="D9" s="28" t="s">
        <v>228</v>
      </c>
      <c r="E9" s="276">
        <v>150000</v>
      </c>
      <c r="F9" s="180"/>
    </row>
    <row r="10" spans="1:6" ht="20.100000000000001" customHeight="1">
      <c r="A10" s="28">
        <v>4</v>
      </c>
      <c r="B10" s="156" t="s">
        <v>31</v>
      </c>
      <c r="C10" s="161" t="s">
        <v>32</v>
      </c>
      <c r="D10" s="28" t="s">
        <v>33</v>
      </c>
      <c r="E10" s="276">
        <v>150000</v>
      </c>
      <c r="F10" s="180"/>
    </row>
    <row r="11" spans="1:6" ht="20.100000000000001" customHeight="1">
      <c r="A11" s="28">
        <v>5</v>
      </c>
      <c r="B11" s="158" t="s">
        <v>458</v>
      </c>
      <c r="C11" s="20" t="s">
        <v>35</v>
      </c>
      <c r="D11" s="181" t="s">
        <v>36</v>
      </c>
      <c r="E11" s="276">
        <v>150000</v>
      </c>
      <c r="F11" s="180"/>
    </row>
    <row r="12" spans="1:6" ht="20.100000000000001" customHeight="1">
      <c r="A12" s="28">
        <v>6</v>
      </c>
      <c r="B12" s="158" t="s">
        <v>176</v>
      </c>
      <c r="C12" s="20" t="s">
        <v>177</v>
      </c>
      <c r="D12" s="24" t="s">
        <v>36</v>
      </c>
      <c r="E12" s="276">
        <v>150000</v>
      </c>
      <c r="F12" s="180"/>
    </row>
    <row r="13" spans="1:6" ht="20.100000000000001" customHeight="1">
      <c r="A13" s="28">
        <v>7</v>
      </c>
      <c r="B13" s="156" t="s">
        <v>37</v>
      </c>
      <c r="C13" s="112" t="s">
        <v>38</v>
      </c>
      <c r="D13" s="24" t="s">
        <v>36</v>
      </c>
      <c r="E13" s="276">
        <v>150000</v>
      </c>
      <c r="F13" s="180"/>
    </row>
    <row r="14" spans="1:6" ht="20.100000000000001" customHeight="1">
      <c r="A14" s="28">
        <v>8</v>
      </c>
      <c r="B14" s="158" t="s">
        <v>39</v>
      </c>
      <c r="C14" s="20" t="s">
        <v>40</v>
      </c>
      <c r="D14" s="24" t="s">
        <v>36</v>
      </c>
      <c r="E14" s="276">
        <v>150000</v>
      </c>
      <c r="F14" s="180"/>
    </row>
    <row r="15" spans="1:6" ht="20.100000000000001" customHeight="1">
      <c r="A15" s="28">
        <v>9</v>
      </c>
      <c r="B15" s="156" t="s">
        <v>43</v>
      </c>
      <c r="C15" s="161" t="s">
        <v>44</v>
      </c>
      <c r="D15" s="181" t="s">
        <v>45</v>
      </c>
      <c r="E15" s="276">
        <v>105000</v>
      </c>
      <c r="F15" s="180"/>
    </row>
    <row r="16" spans="1:6" ht="20.100000000000001" customHeight="1">
      <c r="A16" s="28">
        <v>10</v>
      </c>
      <c r="B16" s="157" t="s">
        <v>148</v>
      </c>
      <c r="C16" s="161" t="s">
        <v>149</v>
      </c>
      <c r="D16" s="28" t="s">
        <v>122</v>
      </c>
      <c r="E16" s="276">
        <v>105000</v>
      </c>
      <c r="F16" s="180"/>
    </row>
    <row r="17" spans="1:6" ht="20.100000000000001" customHeight="1">
      <c r="A17" s="28">
        <v>11</v>
      </c>
      <c r="B17" s="160" t="s">
        <v>557</v>
      </c>
      <c r="C17" s="20" t="s">
        <v>558</v>
      </c>
      <c r="D17" s="24" t="s">
        <v>51</v>
      </c>
      <c r="E17" s="276">
        <v>75000</v>
      </c>
      <c r="F17" s="180"/>
    </row>
    <row r="18" spans="1:6" ht="19.5" customHeight="1">
      <c r="A18" s="28">
        <v>12</v>
      </c>
      <c r="B18" s="158" t="s">
        <v>459</v>
      </c>
      <c r="C18" s="20" t="s">
        <v>50</v>
      </c>
      <c r="D18" s="28" t="s">
        <v>51</v>
      </c>
      <c r="E18" s="276">
        <v>75000</v>
      </c>
      <c r="F18" s="180"/>
    </row>
    <row r="19" spans="1:6" ht="19.5" customHeight="1">
      <c r="A19" s="28">
        <v>13</v>
      </c>
      <c r="B19" s="158" t="s">
        <v>559</v>
      </c>
      <c r="C19" s="20" t="s">
        <v>560</v>
      </c>
      <c r="D19" s="28" t="s">
        <v>51</v>
      </c>
      <c r="E19" s="276">
        <v>75000</v>
      </c>
      <c r="F19" s="180"/>
    </row>
    <row r="20" spans="1:6" ht="20.100000000000001" customHeight="1">
      <c r="A20" s="28">
        <v>14</v>
      </c>
      <c r="B20" s="156" t="s">
        <v>49</v>
      </c>
      <c r="C20" s="20" t="s">
        <v>50</v>
      </c>
      <c r="D20" s="181" t="s">
        <v>51</v>
      </c>
      <c r="E20" s="276">
        <v>75000</v>
      </c>
      <c r="F20" s="180"/>
    </row>
    <row r="21" spans="1:6" ht="20.100000000000001" customHeight="1">
      <c r="A21" s="28">
        <v>15</v>
      </c>
      <c r="B21" s="156" t="s">
        <v>55</v>
      </c>
      <c r="C21" s="161" t="s">
        <v>56</v>
      </c>
      <c r="D21" s="181" t="s">
        <v>57</v>
      </c>
      <c r="E21" s="276">
        <v>75000</v>
      </c>
      <c r="F21" s="180"/>
    </row>
    <row r="22" spans="1:6" ht="20.100000000000001" customHeight="1">
      <c r="A22" s="28">
        <v>16</v>
      </c>
      <c r="B22" s="157" t="s">
        <v>58</v>
      </c>
      <c r="C22" s="20" t="s">
        <v>59</v>
      </c>
      <c r="D22" s="181" t="s">
        <v>60</v>
      </c>
      <c r="E22" s="276">
        <v>75000</v>
      </c>
      <c r="F22" s="180"/>
    </row>
    <row r="23" spans="1:6" ht="20.100000000000001" customHeight="1">
      <c r="A23" s="28">
        <v>17</v>
      </c>
      <c r="B23" s="156" t="s">
        <v>202</v>
      </c>
      <c r="C23" s="161" t="s">
        <v>203</v>
      </c>
      <c r="D23" s="181" t="s">
        <v>199</v>
      </c>
      <c r="E23" s="276">
        <v>45000</v>
      </c>
      <c r="F23" s="180"/>
    </row>
    <row r="24" spans="1:6" ht="18.75" customHeight="1">
      <c r="A24" s="28">
        <v>18</v>
      </c>
      <c r="B24" s="156" t="s">
        <v>61</v>
      </c>
      <c r="C24" s="161" t="s">
        <v>62</v>
      </c>
      <c r="D24" s="181" t="s">
        <v>63</v>
      </c>
      <c r="E24" s="276">
        <v>45000</v>
      </c>
      <c r="F24" s="180"/>
    </row>
    <row r="25" spans="1:6" ht="18.75" customHeight="1">
      <c r="A25" s="28">
        <v>19</v>
      </c>
      <c r="B25" s="156" t="s">
        <v>200</v>
      </c>
      <c r="C25" s="20" t="s">
        <v>201</v>
      </c>
      <c r="D25" s="181" t="s">
        <v>63</v>
      </c>
      <c r="E25" s="276">
        <v>45000</v>
      </c>
      <c r="F25" s="180"/>
    </row>
    <row r="26" spans="1:6" ht="18.75" customHeight="1">
      <c r="A26" s="28">
        <v>20</v>
      </c>
      <c r="B26" s="157" t="s">
        <v>561</v>
      </c>
      <c r="C26" s="161" t="s">
        <v>83</v>
      </c>
      <c r="D26" s="181" t="s">
        <v>252</v>
      </c>
      <c r="E26" s="276">
        <v>45000</v>
      </c>
      <c r="F26" s="180"/>
    </row>
    <row r="27" spans="1:6" ht="18.75" customHeight="1">
      <c r="A27" s="28">
        <v>21</v>
      </c>
      <c r="B27" s="20" t="s">
        <v>67</v>
      </c>
      <c r="C27" s="20" t="s">
        <v>68</v>
      </c>
      <c r="D27" s="28" t="s">
        <v>69</v>
      </c>
      <c r="E27" s="276">
        <v>45000</v>
      </c>
      <c r="F27" s="180"/>
    </row>
    <row r="28" spans="1:6" ht="18.75" customHeight="1">
      <c r="A28" s="28">
        <v>22</v>
      </c>
      <c r="B28" s="157" t="s">
        <v>70</v>
      </c>
      <c r="C28" s="161" t="s">
        <v>68</v>
      </c>
      <c r="D28" s="181" t="s">
        <v>69</v>
      </c>
      <c r="E28" s="276">
        <v>45000</v>
      </c>
      <c r="F28" s="180"/>
    </row>
    <row r="29" spans="1:6" ht="18.75" customHeight="1">
      <c r="A29" s="28">
        <v>23</v>
      </c>
      <c r="B29" s="156" t="s">
        <v>460</v>
      </c>
      <c r="C29" s="161" t="s">
        <v>461</v>
      </c>
      <c r="D29" s="181" t="s">
        <v>69</v>
      </c>
      <c r="E29" s="276">
        <v>45000</v>
      </c>
      <c r="F29" s="180"/>
    </row>
    <row r="30" spans="1:6" ht="18.75" customHeight="1">
      <c r="A30" s="28">
        <v>24</v>
      </c>
      <c r="B30" s="157" t="s">
        <v>71</v>
      </c>
      <c r="C30" s="161" t="s">
        <v>404</v>
      </c>
      <c r="D30" s="181" t="s">
        <v>76</v>
      </c>
      <c r="E30" s="276">
        <v>45000</v>
      </c>
      <c r="F30" s="180"/>
    </row>
    <row r="31" spans="1:6" ht="18.75" customHeight="1">
      <c r="A31" s="28">
        <v>25</v>
      </c>
      <c r="B31" s="157" t="s">
        <v>74</v>
      </c>
      <c r="C31" s="20" t="s">
        <v>75</v>
      </c>
      <c r="D31" s="28" t="s">
        <v>76</v>
      </c>
      <c r="E31" s="276">
        <v>45000</v>
      </c>
      <c r="F31" s="180"/>
    </row>
    <row r="32" spans="1:6" ht="18.75" customHeight="1">
      <c r="A32" s="28">
        <v>26</v>
      </c>
      <c r="B32" s="157" t="s">
        <v>77</v>
      </c>
      <c r="C32" s="112" t="s">
        <v>78</v>
      </c>
      <c r="D32" s="181" t="s">
        <v>69</v>
      </c>
      <c r="E32" s="276">
        <v>45000</v>
      </c>
      <c r="F32" s="180"/>
    </row>
    <row r="33" spans="1:6" ht="18.75" customHeight="1">
      <c r="A33" s="28">
        <v>27</v>
      </c>
      <c r="B33" s="157" t="s">
        <v>79</v>
      </c>
      <c r="C33" s="20" t="s">
        <v>80</v>
      </c>
      <c r="D33" s="28" t="s">
        <v>81</v>
      </c>
      <c r="E33" s="276">
        <v>45000</v>
      </c>
      <c r="F33" s="180"/>
    </row>
    <row r="34" spans="1:6" ht="18.75" customHeight="1">
      <c r="A34" s="28">
        <v>28</v>
      </c>
      <c r="B34" s="157" t="s">
        <v>82</v>
      </c>
      <c r="C34" s="161" t="s">
        <v>83</v>
      </c>
      <c r="D34" s="181" t="s">
        <v>81</v>
      </c>
      <c r="E34" s="276">
        <v>45000</v>
      </c>
      <c r="F34" s="180"/>
    </row>
    <row r="35" spans="1:6" ht="18.75" customHeight="1">
      <c r="A35" s="28">
        <v>29</v>
      </c>
      <c r="B35" s="157" t="s">
        <v>562</v>
      </c>
      <c r="C35" s="161" t="s">
        <v>83</v>
      </c>
      <c r="D35" s="181" t="s">
        <v>81</v>
      </c>
      <c r="E35" s="276">
        <v>45000</v>
      </c>
      <c r="F35" s="180"/>
    </row>
    <row r="36" spans="1:6" ht="18.75" customHeight="1">
      <c r="A36" s="28">
        <v>30</v>
      </c>
      <c r="B36" s="157" t="s">
        <v>220</v>
      </c>
      <c r="C36" s="161" t="s">
        <v>221</v>
      </c>
      <c r="D36" s="181" t="s">
        <v>85</v>
      </c>
      <c r="E36" s="276">
        <v>45000</v>
      </c>
      <c r="F36" s="180"/>
    </row>
    <row r="37" spans="1:6" ht="26.25" customHeight="1">
      <c r="A37" s="28"/>
      <c r="B37" s="159" t="s">
        <v>86</v>
      </c>
      <c r="C37" s="29">
        <v>30</v>
      </c>
      <c r="D37" s="181"/>
      <c r="E37" s="277">
        <f>SUM(E7:E36)</f>
        <v>2790000</v>
      </c>
      <c r="F37" s="180"/>
    </row>
    <row r="38" spans="1:6" ht="18.75" customHeight="1">
      <c r="A38" s="28"/>
      <c r="B38" s="123"/>
      <c r="C38" s="20"/>
      <c r="D38" s="181"/>
      <c r="E38" s="278"/>
      <c r="F38" s="180"/>
    </row>
    <row r="39" spans="1:6" ht="18.75" customHeight="1">
      <c r="A39" s="28"/>
      <c r="B39" s="159" t="s">
        <v>87</v>
      </c>
      <c r="C39" s="20"/>
      <c r="D39" s="181"/>
      <c r="E39" s="276"/>
      <c r="F39" s="180"/>
    </row>
    <row r="40" spans="1:6" ht="18.75" customHeight="1">
      <c r="A40" s="28">
        <v>1</v>
      </c>
      <c r="B40" s="157" t="s">
        <v>88</v>
      </c>
      <c r="C40" s="20" t="s">
        <v>89</v>
      </c>
      <c r="D40" s="28" t="s">
        <v>90</v>
      </c>
      <c r="E40" s="276">
        <v>225000</v>
      </c>
      <c r="F40" s="180"/>
    </row>
    <row r="41" spans="1:6" ht="18.75" customHeight="1">
      <c r="A41" s="28">
        <v>2</v>
      </c>
      <c r="B41" s="157" t="s">
        <v>91</v>
      </c>
      <c r="C41" s="20" t="s">
        <v>92</v>
      </c>
      <c r="D41" s="28" t="s">
        <v>85</v>
      </c>
      <c r="E41" s="276">
        <v>45000</v>
      </c>
      <c r="F41" s="180"/>
    </row>
    <row r="42" spans="1:6" ht="19.5" customHeight="1">
      <c r="A42" s="28"/>
      <c r="B42" s="158"/>
      <c r="C42" s="29">
        <v>2</v>
      </c>
      <c r="D42" s="28"/>
      <c r="E42" s="277">
        <f>SUM(E40:E41)</f>
        <v>270000</v>
      </c>
      <c r="F42" s="180"/>
    </row>
    <row r="43" spans="1:6" ht="20.100000000000001" customHeight="1">
      <c r="A43" s="28"/>
      <c r="B43" s="158"/>
      <c r="C43" s="20"/>
      <c r="D43" s="28"/>
      <c r="E43" s="276"/>
      <c r="F43" s="180"/>
    </row>
    <row r="44" spans="1:6" ht="20.100000000000001" customHeight="1">
      <c r="A44" s="28"/>
      <c r="B44" s="185" t="s">
        <v>96</v>
      </c>
      <c r="C44" s="170"/>
      <c r="D44" s="174"/>
      <c r="E44" s="276"/>
      <c r="F44" s="180"/>
    </row>
    <row r="45" spans="1:6" ht="20.100000000000001" customHeight="1">
      <c r="A45" s="28">
        <v>1</v>
      </c>
      <c r="B45" s="156" t="s">
        <v>97</v>
      </c>
      <c r="C45" s="20" t="s">
        <v>98</v>
      </c>
      <c r="D45" s="28" t="s">
        <v>90</v>
      </c>
      <c r="E45" s="276">
        <v>225000</v>
      </c>
      <c r="F45" s="180"/>
    </row>
    <row r="46" spans="1:6" ht="20.100000000000001" customHeight="1">
      <c r="A46" s="28">
        <v>2</v>
      </c>
      <c r="B46" s="156" t="s">
        <v>99</v>
      </c>
      <c r="C46" s="20" t="s">
        <v>100</v>
      </c>
      <c r="D46" s="28" t="s">
        <v>45</v>
      </c>
      <c r="E46" s="276">
        <v>105000</v>
      </c>
      <c r="F46" s="180"/>
    </row>
    <row r="47" spans="1:6" ht="20.100000000000001" customHeight="1">
      <c r="A47" s="28">
        <v>3</v>
      </c>
      <c r="B47" s="156" t="s">
        <v>101</v>
      </c>
      <c r="C47" s="20" t="s">
        <v>102</v>
      </c>
      <c r="D47" s="28" t="s">
        <v>45</v>
      </c>
      <c r="E47" s="276">
        <v>105000</v>
      </c>
      <c r="F47" s="180"/>
    </row>
    <row r="48" spans="1:6" ht="20.100000000000001" customHeight="1">
      <c r="A48" s="28">
        <v>4</v>
      </c>
      <c r="B48" s="156" t="s">
        <v>103</v>
      </c>
      <c r="C48" s="20" t="s">
        <v>102</v>
      </c>
      <c r="D48" s="28" t="s">
        <v>45</v>
      </c>
      <c r="E48" s="276">
        <v>105000</v>
      </c>
      <c r="F48" s="180"/>
    </row>
    <row r="49" spans="1:6" ht="20.100000000000001" customHeight="1">
      <c r="A49" s="28">
        <v>5</v>
      </c>
      <c r="B49" s="156" t="s">
        <v>104</v>
      </c>
      <c r="C49" s="20" t="s">
        <v>102</v>
      </c>
      <c r="D49" s="28" t="s">
        <v>105</v>
      </c>
      <c r="E49" s="276">
        <v>105000</v>
      </c>
      <c r="F49" s="180"/>
    </row>
    <row r="50" spans="1:6" ht="20.100000000000001" customHeight="1">
      <c r="A50" s="28">
        <v>6</v>
      </c>
      <c r="B50" s="156" t="s">
        <v>106</v>
      </c>
      <c r="C50" s="20" t="s">
        <v>107</v>
      </c>
      <c r="D50" s="28" t="s">
        <v>51</v>
      </c>
      <c r="E50" s="276">
        <v>75000</v>
      </c>
      <c r="F50" s="180"/>
    </row>
    <row r="51" spans="1:6" ht="20.100000000000001" customHeight="1">
      <c r="A51" s="28">
        <v>7</v>
      </c>
      <c r="B51" s="158" t="s">
        <v>108</v>
      </c>
      <c r="C51" s="20" t="s">
        <v>109</v>
      </c>
      <c r="D51" s="24" t="s">
        <v>51</v>
      </c>
      <c r="E51" s="276">
        <v>75000</v>
      </c>
      <c r="F51" s="180"/>
    </row>
    <row r="52" spans="1:6" ht="20.100000000000001" customHeight="1">
      <c r="A52" s="28">
        <v>8</v>
      </c>
      <c r="B52" s="156" t="s">
        <v>464</v>
      </c>
      <c r="C52" s="20" t="s">
        <v>109</v>
      </c>
      <c r="D52" s="28" t="s">
        <v>134</v>
      </c>
      <c r="E52" s="276">
        <v>75000</v>
      </c>
      <c r="F52" s="180"/>
    </row>
    <row r="53" spans="1:6" ht="20.100000000000001" customHeight="1">
      <c r="A53" s="28">
        <v>9</v>
      </c>
      <c r="B53" s="156" t="s">
        <v>110</v>
      </c>
      <c r="C53" s="20" t="s">
        <v>164</v>
      </c>
      <c r="D53" s="28" t="s">
        <v>165</v>
      </c>
      <c r="E53" s="276">
        <v>75000</v>
      </c>
      <c r="F53" s="180"/>
    </row>
    <row r="54" spans="1:6" ht="20.100000000000001" customHeight="1">
      <c r="A54" s="28">
        <v>10</v>
      </c>
      <c r="B54" s="156" t="s">
        <v>114</v>
      </c>
      <c r="C54" s="20" t="s">
        <v>113</v>
      </c>
      <c r="D54" s="28" t="s">
        <v>73</v>
      </c>
      <c r="E54" s="276">
        <v>45000</v>
      </c>
      <c r="F54" s="180"/>
    </row>
    <row r="55" spans="1:6" ht="20.100000000000001" customHeight="1">
      <c r="A55" s="28">
        <v>11</v>
      </c>
      <c r="B55" s="156" t="s">
        <v>115</v>
      </c>
      <c r="C55" s="20" t="s">
        <v>113</v>
      </c>
      <c r="D55" s="28" t="s">
        <v>73</v>
      </c>
      <c r="E55" s="276">
        <v>45000</v>
      </c>
      <c r="F55" s="180"/>
    </row>
    <row r="56" spans="1:6" ht="20.100000000000001" customHeight="1">
      <c r="A56" s="28">
        <v>12</v>
      </c>
      <c r="B56" s="156" t="s">
        <v>116</v>
      </c>
      <c r="C56" s="20" t="s">
        <v>113</v>
      </c>
      <c r="D56" s="28" t="s">
        <v>73</v>
      </c>
      <c r="E56" s="276">
        <v>45000</v>
      </c>
      <c r="F56" s="180"/>
    </row>
    <row r="57" spans="1:6" ht="25.5" customHeight="1">
      <c r="A57" s="28"/>
      <c r="B57" s="159" t="s">
        <v>86</v>
      </c>
      <c r="C57" s="29">
        <v>12</v>
      </c>
      <c r="D57" s="29"/>
      <c r="E57" s="279">
        <f>SUM(E45:E56)</f>
        <v>1080000</v>
      </c>
      <c r="F57" s="180"/>
    </row>
    <row r="58" spans="1:6" ht="20.100000000000001" customHeight="1">
      <c r="A58" s="28"/>
      <c r="B58" s="123"/>
      <c r="C58" s="29"/>
      <c r="D58" s="29"/>
      <c r="E58" s="280"/>
      <c r="F58" s="180"/>
    </row>
    <row r="59" spans="1:6" ht="20.100000000000001" customHeight="1">
      <c r="A59" s="28"/>
      <c r="B59" s="159" t="s">
        <v>117</v>
      </c>
      <c r="C59" s="29"/>
      <c r="D59" s="29"/>
      <c r="E59" s="280"/>
      <c r="F59" s="180"/>
    </row>
    <row r="60" spans="1:6" ht="20.100000000000001" customHeight="1">
      <c r="A60" s="28">
        <v>1</v>
      </c>
      <c r="B60" s="156" t="s">
        <v>118</v>
      </c>
      <c r="C60" s="161" t="s">
        <v>119</v>
      </c>
      <c r="D60" s="181" t="s">
        <v>90</v>
      </c>
      <c r="E60" s="276">
        <v>225000</v>
      </c>
      <c r="F60" s="180"/>
    </row>
    <row r="61" spans="1:6" ht="20.100000000000001" customHeight="1">
      <c r="A61" s="28">
        <v>2</v>
      </c>
      <c r="B61" s="156" t="s">
        <v>120</v>
      </c>
      <c r="C61" s="161" t="s">
        <v>121</v>
      </c>
      <c r="D61" s="181" t="s">
        <v>122</v>
      </c>
      <c r="E61" s="276">
        <v>105000</v>
      </c>
      <c r="F61" s="180"/>
    </row>
    <row r="62" spans="1:6" ht="20.100000000000001" customHeight="1">
      <c r="A62" s="28"/>
      <c r="B62" s="159" t="s">
        <v>86</v>
      </c>
      <c r="C62" s="29">
        <v>2</v>
      </c>
      <c r="D62" s="29"/>
      <c r="E62" s="279">
        <f>SUM(E60:E61)</f>
        <v>330000</v>
      </c>
      <c r="F62" s="180"/>
    </row>
    <row r="63" spans="1:6" ht="20.100000000000001" customHeight="1">
      <c r="A63" s="28"/>
      <c r="B63" s="159"/>
      <c r="C63" s="29"/>
      <c r="D63" s="29"/>
      <c r="E63" s="280"/>
      <c r="F63" s="180"/>
    </row>
    <row r="64" spans="1:6" ht="20.100000000000001" customHeight="1">
      <c r="A64" s="28"/>
      <c r="B64" s="159" t="s">
        <v>123</v>
      </c>
      <c r="C64" s="29"/>
      <c r="D64" s="29"/>
      <c r="E64" s="280"/>
      <c r="F64" s="180"/>
    </row>
    <row r="65" spans="1:6" ht="20.100000000000001" customHeight="1">
      <c r="A65" s="28">
        <v>1</v>
      </c>
      <c r="B65" s="156" t="s">
        <v>124</v>
      </c>
      <c r="C65" s="112" t="s">
        <v>125</v>
      </c>
      <c r="D65" s="28" t="s">
        <v>90</v>
      </c>
      <c r="E65" s="281">
        <v>225000</v>
      </c>
      <c r="F65" s="180"/>
    </row>
    <row r="66" spans="1:6" ht="20.100000000000001" customHeight="1">
      <c r="A66" s="28">
        <v>2</v>
      </c>
      <c r="B66" s="157" t="s">
        <v>126</v>
      </c>
      <c r="C66" s="112" t="s">
        <v>127</v>
      </c>
      <c r="D66" s="181" t="s">
        <v>128</v>
      </c>
      <c r="E66" s="276">
        <v>105000</v>
      </c>
      <c r="F66" s="180"/>
    </row>
    <row r="67" spans="1:6" ht="20.100000000000001" customHeight="1">
      <c r="A67" s="28">
        <v>3</v>
      </c>
      <c r="B67" s="156" t="s">
        <v>129</v>
      </c>
      <c r="C67" s="20" t="s">
        <v>131</v>
      </c>
      <c r="D67" s="28" t="s">
        <v>165</v>
      </c>
      <c r="E67" s="281">
        <v>75000</v>
      </c>
      <c r="F67" s="180"/>
    </row>
    <row r="68" spans="1:6" ht="20.100000000000001" customHeight="1">
      <c r="A68" s="28">
        <v>4</v>
      </c>
      <c r="B68" s="157" t="s">
        <v>130</v>
      </c>
      <c r="C68" s="112" t="s">
        <v>131</v>
      </c>
      <c r="D68" s="181" t="s">
        <v>57</v>
      </c>
      <c r="E68" s="281">
        <v>75000</v>
      </c>
      <c r="F68" s="180"/>
    </row>
    <row r="69" spans="1:6" ht="20.100000000000001" customHeight="1">
      <c r="A69" s="28">
        <v>5</v>
      </c>
      <c r="B69" s="158" t="s">
        <v>132</v>
      </c>
      <c r="C69" s="112" t="s">
        <v>109</v>
      </c>
      <c r="D69" s="181" t="s">
        <v>51</v>
      </c>
      <c r="E69" s="281">
        <v>75000</v>
      </c>
      <c r="F69" s="180"/>
    </row>
    <row r="70" spans="1:6" ht="20.100000000000001" customHeight="1">
      <c r="A70" s="28">
        <v>6</v>
      </c>
      <c r="B70" s="158" t="s">
        <v>133</v>
      </c>
      <c r="C70" s="112" t="s">
        <v>109</v>
      </c>
      <c r="D70" s="181" t="s">
        <v>134</v>
      </c>
      <c r="E70" s="281">
        <v>75000</v>
      </c>
      <c r="F70" s="180"/>
    </row>
    <row r="71" spans="1:6" ht="20.100000000000001" customHeight="1">
      <c r="A71" s="28">
        <v>7</v>
      </c>
      <c r="B71" s="156" t="s">
        <v>135</v>
      </c>
      <c r="C71" s="20" t="s">
        <v>113</v>
      </c>
      <c r="D71" s="28" t="s">
        <v>66</v>
      </c>
      <c r="E71" s="276">
        <v>45000</v>
      </c>
      <c r="F71" s="180"/>
    </row>
    <row r="72" spans="1:6" ht="20.100000000000001" customHeight="1">
      <c r="A72" s="28">
        <v>8</v>
      </c>
      <c r="B72" s="156" t="s">
        <v>198</v>
      </c>
      <c r="C72" s="112" t="s">
        <v>137</v>
      </c>
      <c r="D72" s="181" t="s">
        <v>199</v>
      </c>
      <c r="E72" s="276">
        <v>45000</v>
      </c>
      <c r="F72" s="180"/>
    </row>
    <row r="73" spans="1:6" ht="20.100000000000001" customHeight="1">
      <c r="A73" s="28">
        <v>9</v>
      </c>
      <c r="B73" s="156" t="s">
        <v>136</v>
      </c>
      <c r="C73" s="112" t="s">
        <v>137</v>
      </c>
      <c r="D73" s="181" t="s">
        <v>66</v>
      </c>
      <c r="E73" s="276">
        <v>45000</v>
      </c>
      <c r="F73" s="180"/>
    </row>
    <row r="74" spans="1:6" ht="20.100000000000001" customHeight="1">
      <c r="A74" s="28">
        <v>10</v>
      </c>
      <c r="B74" s="156" t="s">
        <v>138</v>
      </c>
      <c r="C74" s="112" t="s">
        <v>137</v>
      </c>
      <c r="D74" s="181" t="s">
        <v>66</v>
      </c>
      <c r="E74" s="276">
        <v>45000</v>
      </c>
      <c r="F74" s="180"/>
    </row>
    <row r="75" spans="1:6" ht="20.100000000000001" customHeight="1">
      <c r="A75" s="28">
        <v>11</v>
      </c>
      <c r="B75" s="156" t="s">
        <v>139</v>
      </c>
      <c r="C75" s="20" t="s">
        <v>140</v>
      </c>
      <c r="D75" s="28" t="s">
        <v>63</v>
      </c>
      <c r="E75" s="276">
        <v>45000</v>
      </c>
      <c r="F75" s="180"/>
    </row>
    <row r="76" spans="1:6" ht="20.100000000000001" customHeight="1">
      <c r="A76" s="28">
        <v>12</v>
      </c>
      <c r="B76" s="156" t="s">
        <v>563</v>
      </c>
      <c r="C76" s="112" t="s">
        <v>113</v>
      </c>
      <c r="D76" s="28" t="s">
        <v>154</v>
      </c>
      <c r="E76" s="276">
        <v>45000</v>
      </c>
      <c r="F76" s="180"/>
    </row>
    <row r="77" spans="1:6" ht="20.100000000000001" customHeight="1">
      <c r="A77" s="28">
        <v>13</v>
      </c>
      <c r="B77" s="156" t="s">
        <v>142</v>
      </c>
      <c r="C77" s="112" t="s">
        <v>65</v>
      </c>
      <c r="D77" s="28" t="s">
        <v>69</v>
      </c>
      <c r="E77" s="276">
        <v>45000</v>
      </c>
      <c r="F77" s="180"/>
    </row>
    <row r="78" spans="1:6" ht="20.100000000000001" customHeight="1">
      <c r="A78" s="28">
        <v>14</v>
      </c>
      <c r="B78" s="158" t="s">
        <v>64</v>
      </c>
      <c r="C78" s="112" t="s">
        <v>65</v>
      </c>
      <c r="D78" s="28" t="s">
        <v>81</v>
      </c>
      <c r="E78" s="276">
        <v>45000</v>
      </c>
      <c r="F78" s="180"/>
    </row>
    <row r="79" spans="1:6" ht="20.100000000000001" customHeight="1">
      <c r="A79" s="28"/>
      <c r="B79" s="159" t="s">
        <v>86</v>
      </c>
      <c r="C79" s="29">
        <v>14</v>
      </c>
      <c r="D79" s="29"/>
      <c r="E79" s="279">
        <f>SUM(E65:E78)</f>
        <v>990000</v>
      </c>
      <c r="F79" s="180"/>
    </row>
    <row r="80" spans="1:6" ht="20.100000000000001" customHeight="1">
      <c r="A80" s="28"/>
      <c r="B80" s="123"/>
      <c r="C80" s="29"/>
      <c r="D80" s="29"/>
      <c r="E80" s="280"/>
      <c r="F80" s="180"/>
    </row>
    <row r="81" spans="1:6" ht="20.100000000000001" customHeight="1">
      <c r="A81" s="28"/>
      <c r="B81" s="159" t="s">
        <v>143</v>
      </c>
      <c r="C81" s="29"/>
      <c r="D81" s="29"/>
      <c r="E81" s="280"/>
      <c r="F81" s="180"/>
    </row>
    <row r="82" spans="1:6" ht="20.100000000000001" customHeight="1">
      <c r="A82" s="28">
        <v>1</v>
      </c>
      <c r="B82" s="156" t="s">
        <v>144</v>
      </c>
      <c r="C82" s="20" t="s">
        <v>145</v>
      </c>
      <c r="D82" s="28" t="s">
        <v>90</v>
      </c>
      <c r="E82" s="276">
        <v>225000</v>
      </c>
      <c r="F82" s="180"/>
    </row>
    <row r="83" spans="1:6" ht="20.100000000000001" customHeight="1">
      <c r="A83" s="28">
        <v>2</v>
      </c>
      <c r="B83" s="158" t="s">
        <v>146</v>
      </c>
      <c r="C83" s="20" t="s">
        <v>147</v>
      </c>
      <c r="D83" s="181" t="s">
        <v>128</v>
      </c>
      <c r="E83" s="276">
        <v>105000</v>
      </c>
      <c r="F83" s="180"/>
    </row>
    <row r="84" spans="1:6" ht="20.100000000000001" customHeight="1">
      <c r="A84" s="28">
        <v>3</v>
      </c>
      <c r="B84" s="158" t="s">
        <v>564</v>
      </c>
      <c r="C84" s="20" t="s">
        <v>565</v>
      </c>
      <c r="D84" s="181" t="s">
        <v>128</v>
      </c>
      <c r="E84" s="276">
        <v>105000</v>
      </c>
      <c r="F84" s="180"/>
    </row>
    <row r="85" spans="1:6" ht="20.100000000000001" customHeight="1">
      <c r="A85" s="28">
        <v>4</v>
      </c>
      <c r="B85" s="156" t="s">
        <v>150</v>
      </c>
      <c r="C85" s="20" t="s">
        <v>406</v>
      </c>
      <c r="D85" s="181" t="s">
        <v>165</v>
      </c>
      <c r="E85" s="276">
        <v>75000</v>
      </c>
      <c r="F85" s="180"/>
    </row>
    <row r="86" spans="1:6" ht="20.100000000000001" customHeight="1">
      <c r="A86" s="28">
        <v>5</v>
      </c>
      <c r="B86" s="156" t="s">
        <v>152</v>
      </c>
      <c r="C86" s="20" t="s">
        <v>153</v>
      </c>
      <c r="D86" s="28" t="s">
        <v>154</v>
      </c>
      <c r="E86" s="276">
        <v>45000</v>
      </c>
      <c r="F86" s="180"/>
    </row>
    <row r="87" spans="1:6" ht="20.100000000000001" customHeight="1">
      <c r="A87" s="28"/>
      <c r="B87" s="159" t="s">
        <v>86</v>
      </c>
      <c r="C87" s="29">
        <v>5</v>
      </c>
      <c r="D87" s="29"/>
      <c r="E87" s="279">
        <f>SUM(E82:E86)</f>
        <v>555000</v>
      </c>
      <c r="F87" s="180"/>
    </row>
    <row r="88" spans="1:6" ht="20.100000000000001" customHeight="1">
      <c r="A88" s="28"/>
      <c r="B88" s="159"/>
      <c r="C88" s="29"/>
      <c r="D88" s="29"/>
      <c r="E88" s="276"/>
      <c r="F88" s="180"/>
    </row>
    <row r="89" spans="1:6" ht="20.100000000000001" customHeight="1">
      <c r="A89" s="28"/>
      <c r="B89" s="159" t="s">
        <v>158</v>
      </c>
      <c r="C89" s="186"/>
      <c r="D89" s="29"/>
      <c r="E89" s="276"/>
      <c r="F89" s="180"/>
    </row>
    <row r="90" spans="1:6" ht="20.100000000000001" customHeight="1">
      <c r="A90" s="28">
        <v>1</v>
      </c>
      <c r="B90" s="156" t="s">
        <v>159</v>
      </c>
      <c r="C90" s="20" t="s">
        <v>102</v>
      </c>
      <c r="D90" s="28" t="s">
        <v>45</v>
      </c>
      <c r="E90" s="276">
        <v>105000</v>
      </c>
      <c r="F90" s="180"/>
    </row>
    <row r="91" spans="1:6" ht="20.100000000000001" customHeight="1">
      <c r="A91" s="28">
        <v>2</v>
      </c>
      <c r="B91" s="156" t="s">
        <v>160</v>
      </c>
      <c r="C91" s="20" t="s">
        <v>102</v>
      </c>
      <c r="D91" s="28" t="s">
        <v>45</v>
      </c>
      <c r="E91" s="276">
        <v>105000</v>
      </c>
      <c r="F91" s="180"/>
    </row>
    <row r="92" spans="1:6" ht="20.100000000000001" customHeight="1">
      <c r="A92" s="28">
        <v>3</v>
      </c>
      <c r="B92" s="158" t="s">
        <v>161</v>
      </c>
      <c r="C92" s="20" t="s">
        <v>109</v>
      </c>
      <c r="D92" s="28" t="s">
        <v>405</v>
      </c>
      <c r="E92" s="281">
        <v>75000</v>
      </c>
      <c r="F92" s="180"/>
    </row>
    <row r="93" spans="1:6" ht="20.100000000000001" customHeight="1">
      <c r="A93" s="28">
        <v>4</v>
      </c>
      <c r="B93" s="156" t="s">
        <v>162</v>
      </c>
      <c r="C93" s="20" t="s">
        <v>107</v>
      </c>
      <c r="D93" s="28" t="s">
        <v>51</v>
      </c>
      <c r="E93" s="281">
        <v>75000</v>
      </c>
      <c r="F93" s="180"/>
    </row>
    <row r="94" spans="1:6" ht="21.6" customHeight="1">
      <c r="A94" s="28">
        <v>5</v>
      </c>
      <c r="B94" s="156" t="s">
        <v>163</v>
      </c>
      <c r="C94" s="20" t="s">
        <v>164</v>
      </c>
      <c r="D94" s="181" t="s">
        <v>165</v>
      </c>
      <c r="E94" s="281">
        <v>75000</v>
      </c>
      <c r="F94" s="180"/>
    </row>
    <row r="95" spans="1:6" ht="21.6" customHeight="1">
      <c r="A95" s="28">
        <v>6</v>
      </c>
      <c r="B95" s="156" t="s">
        <v>166</v>
      </c>
      <c r="C95" s="161" t="s">
        <v>131</v>
      </c>
      <c r="D95" s="181" t="s">
        <v>57</v>
      </c>
      <c r="E95" s="281">
        <v>75000</v>
      </c>
      <c r="F95" s="180"/>
    </row>
    <row r="96" spans="1:6" ht="21.6" customHeight="1">
      <c r="A96" s="28">
        <v>7</v>
      </c>
      <c r="B96" s="156" t="s">
        <v>167</v>
      </c>
      <c r="C96" s="161" t="s">
        <v>131</v>
      </c>
      <c r="D96" s="181" t="s">
        <v>57</v>
      </c>
      <c r="E96" s="281">
        <v>75000</v>
      </c>
      <c r="F96" s="180"/>
    </row>
    <row r="97" spans="1:6" ht="21.6" customHeight="1">
      <c r="A97" s="28">
        <v>8</v>
      </c>
      <c r="B97" s="156" t="s">
        <v>169</v>
      </c>
      <c r="C97" s="112" t="s">
        <v>137</v>
      </c>
      <c r="D97" s="181" t="s">
        <v>66</v>
      </c>
      <c r="E97" s="276">
        <v>45000</v>
      </c>
      <c r="F97" s="180"/>
    </row>
    <row r="98" spans="1:6" ht="21.6" customHeight="1">
      <c r="A98" s="28">
        <v>9</v>
      </c>
      <c r="B98" s="156" t="s">
        <v>171</v>
      </c>
      <c r="C98" s="20" t="s">
        <v>172</v>
      </c>
      <c r="D98" s="28" t="s">
        <v>95</v>
      </c>
      <c r="E98" s="276">
        <v>45000</v>
      </c>
      <c r="F98" s="180"/>
    </row>
    <row r="99" spans="1:6" ht="21.6" customHeight="1">
      <c r="A99" s="28">
        <v>10</v>
      </c>
      <c r="B99" s="156" t="s">
        <v>173</v>
      </c>
      <c r="C99" s="112" t="s">
        <v>174</v>
      </c>
      <c r="D99" s="181" t="s">
        <v>81</v>
      </c>
      <c r="E99" s="276">
        <v>45000</v>
      </c>
      <c r="F99" s="180"/>
    </row>
    <row r="100" spans="1:6" ht="20.100000000000001" customHeight="1">
      <c r="A100" s="28"/>
      <c r="B100" s="159" t="s">
        <v>86</v>
      </c>
      <c r="C100" s="29">
        <v>10</v>
      </c>
      <c r="D100" s="29"/>
      <c r="E100" s="279">
        <f>SUM(E90:E99)</f>
        <v>720000</v>
      </c>
      <c r="F100" s="180"/>
    </row>
    <row r="101" spans="1:6" ht="20.100000000000001" customHeight="1">
      <c r="A101" s="28"/>
      <c r="B101" s="123"/>
      <c r="C101" s="29"/>
      <c r="D101" s="29"/>
      <c r="E101" s="280"/>
      <c r="F101" s="180"/>
    </row>
    <row r="102" spans="1:6" ht="20.100000000000001" customHeight="1">
      <c r="A102" s="28"/>
      <c r="B102" s="159" t="s">
        <v>175</v>
      </c>
      <c r="C102" s="29"/>
      <c r="D102" s="29"/>
      <c r="E102" s="280"/>
      <c r="F102" s="180"/>
    </row>
    <row r="103" spans="1:6" ht="20.100000000000001" customHeight="1">
      <c r="A103" s="28">
        <v>1</v>
      </c>
      <c r="B103" s="157" t="s">
        <v>41</v>
      </c>
      <c r="C103" s="28" t="s">
        <v>42</v>
      </c>
      <c r="D103" s="181" t="s">
        <v>36</v>
      </c>
      <c r="E103" s="276">
        <v>150000</v>
      </c>
      <c r="F103" s="180"/>
    </row>
    <row r="104" spans="1:6" ht="20.100000000000001" customHeight="1">
      <c r="A104" s="28">
        <v>2</v>
      </c>
      <c r="B104" s="156" t="s">
        <v>46</v>
      </c>
      <c r="C104" s="20" t="s">
        <v>179</v>
      </c>
      <c r="D104" s="28" t="s">
        <v>51</v>
      </c>
      <c r="E104" s="276">
        <v>75000</v>
      </c>
      <c r="F104" s="180"/>
    </row>
    <row r="105" spans="1:6" ht="20.100000000000001" customHeight="1">
      <c r="A105" s="28">
        <v>3</v>
      </c>
      <c r="B105" s="156" t="s">
        <v>180</v>
      </c>
      <c r="C105" s="20" t="s">
        <v>181</v>
      </c>
      <c r="D105" s="181" t="s">
        <v>63</v>
      </c>
      <c r="E105" s="276">
        <v>45000</v>
      </c>
      <c r="F105" s="180"/>
    </row>
    <row r="106" spans="1:6" ht="20.100000000000001" customHeight="1">
      <c r="A106" s="28">
        <v>4</v>
      </c>
      <c r="B106" s="156" t="s">
        <v>566</v>
      </c>
      <c r="C106" s="20" t="s">
        <v>567</v>
      </c>
      <c r="D106" s="181" t="s">
        <v>76</v>
      </c>
      <c r="E106" s="276">
        <v>45000</v>
      </c>
      <c r="F106" s="180"/>
    </row>
    <row r="107" spans="1:6" ht="20.100000000000001" customHeight="1">
      <c r="A107" s="20"/>
      <c r="B107" s="159" t="s">
        <v>86</v>
      </c>
      <c r="C107" s="29">
        <v>3</v>
      </c>
      <c r="D107" s="187"/>
      <c r="E107" s="279">
        <f>SUM(E103:E106)</f>
        <v>315000</v>
      </c>
      <c r="F107" s="180"/>
    </row>
    <row r="108" spans="1:6" ht="20.100000000000001" customHeight="1">
      <c r="A108" s="20"/>
      <c r="B108" s="123"/>
      <c r="C108" s="29"/>
      <c r="D108" s="187"/>
      <c r="E108" s="280"/>
      <c r="F108" s="180"/>
    </row>
    <row r="109" spans="1:6" ht="20.100000000000001" customHeight="1">
      <c r="A109" s="20"/>
      <c r="B109" s="159" t="s">
        <v>184</v>
      </c>
      <c r="C109" s="20"/>
      <c r="D109" s="20"/>
      <c r="E109" s="282"/>
      <c r="F109" s="180"/>
    </row>
    <row r="110" spans="1:6" ht="20.100000000000001" customHeight="1">
      <c r="A110" s="20">
        <v>1</v>
      </c>
      <c r="B110" s="156" t="s">
        <v>185</v>
      </c>
      <c r="C110" s="161" t="s">
        <v>186</v>
      </c>
      <c r="D110" s="181" t="s">
        <v>90</v>
      </c>
      <c r="E110" s="276">
        <v>225000</v>
      </c>
      <c r="F110" s="180"/>
    </row>
    <row r="111" spans="1:6" ht="20.100000000000001" customHeight="1">
      <c r="A111" s="20">
        <v>2</v>
      </c>
      <c r="B111" s="156" t="s">
        <v>187</v>
      </c>
      <c r="C111" s="20" t="s">
        <v>188</v>
      </c>
      <c r="D111" s="24" t="s">
        <v>36</v>
      </c>
      <c r="E111" s="276">
        <v>150000</v>
      </c>
      <c r="F111" s="180"/>
    </row>
    <row r="112" spans="1:6" ht="20.100000000000001" customHeight="1">
      <c r="A112" s="20">
        <v>3</v>
      </c>
      <c r="B112" s="156" t="s">
        <v>189</v>
      </c>
      <c r="C112" s="20" t="s">
        <v>190</v>
      </c>
      <c r="D112" s="28" t="s">
        <v>54</v>
      </c>
      <c r="E112" s="276">
        <v>75000</v>
      </c>
      <c r="F112" s="180"/>
    </row>
    <row r="113" spans="1:6" ht="20.100000000000001" customHeight="1">
      <c r="A113" s="20">
        <v>4</v>
      </c>
      <c r="B113" s="156" t="s">
        <v>191</v>
      </c>
      <c r="C113" s="20" t="s">
        <v>190</v>
      </c>
      <c r="D113" s="28" t="s">
        <v>54</v>
      </c>
      <c r="E113" s="276">
        <v>75000</v>
      </c>
      <c r="F113" s="180"/>
    </row>
    <row r="114" spans="1:6" ht="20.100000000000001" customHeight="1">
      <c r="A114" s="20">
        <v>5</v>
      </c>
      <c r="B114" s="156" t="s">
        <v>192</v>
      </c>
      <c r="C114" s="20" t="s">
        <v>193</v>
      </c>
      <c r="D114" s="181" t="s">
        <v>194</v>
      </c>
      <c r="E114" s="276">
        <v>45000</v>
      </c>
      <c r="F114" s="180"/>
    </row>
    <row r="115" spans="1:6" ht="20.100000000000001" customHeight="1">
      <c r="A115" s="20">
        <v>6</v>
      </c>
      <c r="B115" s="157" t="s">
        <v>195</v>
      </c>
      <c r="C115" s="20" t="s">
        <v>193</v>
      </c>
      <c r="D115" s="28" t="s">
        <v>76</v>
      </c>
      <c r="E115" s="276">
        <v>45000</v>
      </c>
      <c r="F115" s="180"/>
    </row>
    <row r="116" spans="1:6" ht="20.100000000000001" customHeight="1">
      <c r="A116" s="20">
        <v>7</v>
      </c>
      <c r="B116" s="157" t="s">
        <v>196</v>
      </c>
      <c r="C116" s="20" t="s">
        <v>193</v>
      </c>
      <c r="D116" s="181" t="s">
        <v>81</v>
      </c>
      <c r="E116" s="276">
        <v>45000</v>
      </c>
      <c r="F116" s="180"/>
    </row>
    <row r="117" spans="1:6" ht="20.100000000000001" customHeight="1">
      <c r="A117" s="20"/>
      <c r="B117" s="159" t="s">
        <v>86</v>
      </c>
      <c r="C117" s="29">
        <v>7</v>
      </c>
      <c r="D117" s="20"/>
      <c r="E117" s="283">
        <f>SUM(E110:E116)</f>
        <v>660000</v>
      </c>
      <c r="F117" s="180"/>
    </row>
    <row r="118" spans="1:6" ht="20.100000000000001" customHeight="1">
      <c r="A118" s="20"/>
      <c r="B118" s="123"/>
      <c r="C118" s="28"/>
      <c r="D118" s="20"/>
      <c r="E118" s="284"/>
      <c r="F118" s="180"/>
    </row>
    <row r="119" spans="1:6" ht="20.100000000000001" customHeight="1">
      <c r="A119" s="20"/>
      <c r="B119" s="159" t="s">
        <v>204</v>
      </c>
      <c r="C119" s="29"/>
      <c r="D119" s="29"/>
      <c r="E119" s="276"/>
      <c r="F119" s="180"/>
    </row>
    <row r="120" spans="1:6" ht="20.100000000000001" customHeight="1">
      <c r="A120" s="20">
        <v>1</v>
      </c>
      <c r="B120" s="156" t="s">
        <v>205</v>
      </c>
      <c r="C120" s="161" t="s">
        <v>206</v>
      </c>
      <c r="D120" s="181" t="s">
        <v>90</v>
      </c>
      <c r="E120" s="276">
        <v>225000</v>
      </c>
      <c r="F120" s="180"/>
    </row>
    <row r="121" spans="1:6" ht="20.100000000000001" customHeight="1">
      <c r="A121" s="20">
        <v>2</v>
      </c>
      <c r="B121" s="156" t="s">
        <v>207</v>
      </c>
      <c r="C121" s="161" t="s">
        <v>208</v>
      </c>
      <c r="D121" s="181" t="s">
        <v>45</v>
      </c>
      <c r="E121" s="276">
        <v>105000</v>
      </c>
      <c r="F121" s="180"/>
    </row>
    <row r="122" spans="1:6" ht="20.100000000000001" customHeight="1">
      <c r="A122" s="20">
        <v>3</v>
      </c>
      <c r="B122" s="158" t="s">
        <v>209</v>
      </c>
      <c r="C122" s="161" t="s">
        <v>208</v>
      </c>
      <c r="D122" s="181" t="s">
        <v>45</v>
      </c>
      <c r="E122" s="276">
        <v>105000</v>
      </c>
      <c r="F122" s="180"/>
    </row>
    <row r="123" spans="1:6" ht="20.100000000000001" customHeight="1">
      <c r="A123" s="20">
        <v>4</v>
      </c>
      <c r="B123" s="158" t="s">
        <v>210</v>
      </c>
      <c r="C123" s="161" t="s">
        <v>208</v>
      </c>
      <c r="D123" s="181" t="s">
        <v>48</v>
      </c>
      <c r="E123" s="276">
        <v>105000</v>
      </c>
      <c r="F123" s="180"/>
    </row>
    <row r="124" spans="1:6" ht="20.100000000000001" customHeight="1">
      <c r="A124" s="20">
        <v>5</v>
      </c>
      <c r="B124" s="156" t="s">
        <v>211</v>
      </c>
      <c r="C124" s="161" t="s">
        <v>212</v>
      </c>
      <c r="D124" s="181" t="s">
        <v>134</v>
      </c>
      <c r="E124" s="276">
        <v>75000</v>
      </c>
      <c r="F124" s="180"/>
    </row>
    <row r="125" spans="1:6" ht="20.100000000000001" customHeight="1">
      <c r="A125" s="20">
        <v>6</v>
      </c>
      <c r="B125" s="156" t="s">
        <v>213</v>
      </c>
      <c r="C125" s="161" t="s">
        <v>214</v>
      </c>
      <c r="D125" s="181" t="s">
        <v>165</v>
      </c>
      <c r="E125" s="276">
        <v>75000</v>
      </c>
      <c r="F125" s="180"/>
    </row>
    <row r="126" spans="1:6" ht="20.100000000000001" customHeight="1">
      <c r="A126" s="20">
        <v>7</v>
      </c>
      <c r="B126" s="156" t="s">
        <v>215</v>
      </c>
      <c r="C126" s="161" t="s">
        <v>408</v>
      </c>
      <c r="D126" s="181" t="s">
        <v>165</v>
      </c>
      <c r="E126" s="276">
        <v>75000</v>
      </c>
      <c r="F126" s="180"/>
    </row>
    <row r="127" spans="1:6" ht="20.100000000000001" customHeight="1">
      <c r="A127" s="20">
        <v>8</v>
      </c>
      <c r="B127" s="156" t="s">
        <v>216</v>
      </c>
      <c r="C127" s="161" t="s">
        <v>217</v>
      </c>
      <c r="D127" s="28" t="s">
        <v>69</v>
      </c>
      <c r="E127" s="276">
        <v>45000</v>
      </c>
      <c r="F127" s="180"/>
    </row>
    <row r="128" spans="1:6" ht="20.100000000000001" customHeight="1">
      <c r="A128" s="20">
        <v>9</v>
      </c>
      <c r="B128" s="157" t="s">
        <v>218</v>
      </c>
      <c r="C128" s="161" t="s">
        <v>219</v>
      </c>
      <c r="D128" s="181" t="s">
        <v>81</v>
      </c>
      <c r="E128" s="276">
        <v>45000</v>
      </c>
      <c r="F128" s="180"/>
    </row>
    <row r="129" spans="1:6" ht="20.100000000000001" customHeight="1">
      <c r="A129" s="20"/>
      <c r="B129" s="159" t="s">
        <v>86</v>
      </c>
      <c r="C129" s="187" t="s">
        <v>568</v>
      </c>
      <c r="D129" s="181"/>
      <c r="E129" s="285">
        <f>SUM(E120:E128)</f>
        <v>855000</v>
      </c>
      <c r="F129" s="180"/>
    </row>
    <row r="130" spans="1:6" ht="20.100000000000001" customHeight="1">
      <c r="A130" s="20"/>
      <c r="B130" s="123"/>
      <c r="C130" s="187"/>
      <c r="D130" s="181"/>
      <c r="E130" s="286"/>
      <c r="F130" s="180"/>
    </row>
    <row r="131" spans="1:6" ht="20.100000000000001" customHeight="1">
      <c r="A131" s="20"/>
      <c r="B131" s="159" t="s">
        <v>223</v>
      </c>
      <c r="C131" s="161"/>
      <c r="D131" s="181"/>
      <c r="E131" s="276"/>
      <c r="F131" s="180"/>
    </row>
    <row r="132" spans="1:6" ht="20.100000000000001" customHeight="1">
      <c r="A132" s="191">
        <v>1</v>
      </c>
      <c r="B132" s="156" t="s">
        <v>224</v>
      </c>
      <c r="C132" s="161" t="s">
        <v>225</v>
      </c>
      <c r="D132" s="181" t="s">
        <v>90</v>
      </c>
      <c r="E132" s="276">
        <v>225000</v>
      </c>
      <c r="F132" s="180"/>
    </row>
    <row r="133" spans="1:6" ht="20.100000000000001" customHeight="1">
      <c r="A133" s="191">
        <v>2</v>
      </c>
      <c r="B133" s="156" t="s">
        <v>226</v>
      </c>
      <c r="C133" s="161" t="s">
        <v>227</v>
      </c>
      <c r="D133" s="181" t="s">
        <v>228</v>
      </c>
      <c r="E133" s="276">
        <v>150000</v>
      </c>
      <c r="F133" s="180"/>
    </row>
    <row r="134" spans="1:6" ht="20.100000000000001" customHeight="1">
      <c r="A134" s="191">
        <v>3</v>
      </c>
      <c r="B134" s="158" t="s">
        <v>229</v>
      </c>
      <c r="C134" s="20" t="s">
        <v>230</v>
      </c>
      <c r="D134" s="24" t="s">
        <v>36</v>
      </c>
      <c r="E134" s="276">
        <v>150000</v>
      </c>
      <c r="F134" s="180"/>
    </row>
    <row r="135" spans="1:6" ht="20.100000000000001" customHeight="1">
      <c r="A135" s="191">
        <v>4</v>
      </c>
      <c r="B135" s="156" t="s">
        <v>231</v>
      </c>
      <c r="C135" s="161" t="s">
        <v>232</v>
      </c>
      <c r="D135" s="181" t="s">
        <v>51</v>
      </c>
      <c r="E135" s="276">
        <v>75000</v>
      </c>
      <c r="F135" s="180"/>
    </row>
    <row r="136" spans="1:6" ht="20.100000000000001" customHeight="1">
      <c r="A136" s="191">
        <v>5</v>
      </c>
      <c r="B136" s="156" t="s">
        <v>233</v>
      </c>
      <c r="C136" s="20" t="s">
        <v>234</v>
      </c>
      <c r="D136" s="181" t="s">
        <v>51</v>
      </c>
      <c r="E136" s="276">
        <v>75000</v>
      </c>
      <c r="F136" s="180"/>
    </row>
    <row r="137" spans="1:6" ht="20.100000000000001" customHeight="1">
      <c r="A137" s="191">
        <v>6</v>
      </c>
      <c r="B137" s="156" t="s">
        <v>178</v>
      </c>
      <c r="C137" s="20" t="s">
        <v>240</v>
      </c>
      <c r="D137" s="181" t="s">
        <v>165</v>
      </c>
      <c r="E137" s="276">
        <v>75000</v>
      </c>
      <c r="F137" s="180"/>
    </row>
    <row r="138" spans="1:6" ht="20.100000000000001" customHeight="1">
      <c r="A138" s="191">
        <v>7</v>
      </c>
      <c r="B138" s="156" t="s">
        <v>236</v>
      </c>
      <c r="C138" s="161" t="s">
        <v>237</v>
      </c>
      <c r="D138" s="181" t="s">
        <v>199</v>
      </c>
      <c r="E138" s="276">
        <v>45000</v>
      </c>
      <c r="F138" s="180"/>
    </row>
    <row r="139" spans="1:6" ht="20.100000000000001" customHeight="1">
      <c r="A139" s="191">
        <v>8</v>
      </c>
      <c r="B139" s="156" t="s">
        <v>238</v>
      </c>
      <c r="C139" s="161" t="s">
        <v>237</v>
      </c>
      <c r="D139" s="181" t="s">
        <v>199</v>
      </c>
      <c r="E139" s="276">
        <v>45000</v>
      </c>
      <c r="F139" s="180"/>
    </row>
    <row r="140" spans="1:6" ht="20.100000000000001" customHeight="1">
      <c r="A140" s="191">
        <v>9</v>
      </c>
      <c r="B140" s="156" t="s">
        <v>239</v>
      </c>
      <c r="C140" s="20" t="s">
        <v>240</v>
      </c>
      <c r="D140" s="181" t="s">
        <v>199</v>
      </c>
      <c r="E140" s="276">
        <v>45000</v>
      </c>
      <c r="F140" s="180"/>
    </row>
    <row r="141" spans="1:6" ht="20.100000000000001" customHeight="1">
      <c r="A141" s="191">
        <v>10</v>
      </c>
      <c r="B141" s="156" t="s">
        <v>241</v>
      </c>
      <c r="C141" s="161" t="s">
        <v>246</v>
      </c>
      <c r="D141" s="181" t="s">
        <v>63</v>
      </c>
      <c r="E141" s="276">
        <v>45000</v>
      </c>
      <c r="F141" s="180"/>
    </row>
    <row r="142" spans="1:6" ht="20.100000000000001" customHeight="1">
      <c r="A142" s="191">
        <v>11</v>
      </c>
      <c r="B142" s="156" t="s">
        <v>243</v>
      </c>
      <c r="C142" s="161" t="s">
        <v>410</v>
      </c>
      <c r="D142" s="181" t="s">
        <v>411</v>
      </c>
      <c r="E142" s="276">
        <v>45000</v>
      </c>
      <c r="F142" s="180"/>
    </row>
    <row r="143" spans="1:6" ht="20.100000000000001" customHeight="1">
      <c r="A143" s="191">
        <v>12</v>
      </c>
      <c r="B143" s="156" t="s">
        <v>245</v>
      </c>
      <c r="C143" s="161" t="s">
        <v>246</v>
      </c>
      <c r="D143" s="181" t="s">
        <v>199</v>
      </c>
      <c r="E143" s="276">
        <v>45000</v>
      </c>
      <c r="F143" s="180"/>
    </row>
    <row r="144" spans="1:6" ht="20.100000000000001" customHeight="1">
      <c r="A144" s="191">
        <v>13</v>
      </c>
      <c r="B144" s="157" t="s">
        <v>247</v>
      </c>
      <c r="C144" s="20" t="s">
        <v>257</v>
      </c>
      <c r="D144" s="181" t="s">
        <v>411</v>
      </c>
      <c r="E144" s="276">
        <v>45000</v>
      </c>
      <c r="F144" s="180"/>
    </row>
    <row r="145" spans="1:6" ht="20.100000000000001" customHeight="1">
      <c r="A145" s="191">
        <v>14</v>
      </c>
      <c r="B145" s="156" t="s">
        <v>249</v>
      </c>
      <c r="C145" s="20" t="s">
        <v>250</v>
      </c>
      <c r="D145" s="181" t="s">
        <v>154</v>
      </c>
      <c r="E145" s="276">
        <v>45000</v>
      </c>
      <c r="F145" s="180"/>
    </row>
    <row r="146" spans="1:6" ht="20.100000000000001" customHeight="1">
      <c r="A146" s="191">
        <v>15</v>
      </c>
      <c r="B146" s="156" t="s">
        <v>251</v>
      </c>
      <c r="C146" s="20" t="s">
        <v>250</v>
      </c>
      <c r="D146" s="181" t="s">
        <v>252</v>
      </c>
      <c r="E146" s="276">
        <v>45000</v>
      </c>
      <c r="F146" s="180"/>
    </row>
    <row r="147" spans="1:6" ht="20.100000000000001" customHeight="1">
      <c r="A147" s="191">
        <v>16</v>
      </c>
      <c r="B147" s="156" t="s">
        <v>253</v>
      </c>
      <c r="C147" s="20" t="s">
        <v>250</v>
      </c>
      <c r="D147" s="181" t="s">
        <v>252</v>
      </c>
      <c r="E147" s="276">
        <v>45000</v>
      </c>
      <c r="F147" s="180"/>
    </row>
    <row r="148" spans="1:6" ht="20.100000000000001" customHeight="1">
      <c r="A148" s="191">
        <v>17</v>
      </c>
      <c r="B148" s="156" t="s">
        <v>254</v>
      </c>
      <c r="C148" s="161" t="s">
        <v>255</v>
      </c>
      <c r="D148" s="181" t="s">
        <v>95</v>
      </c>
      <c r="E148" s="276">
        <v>45000</v>
      </c>
      <c r="F148" s="180"/>
    </row>
    <row r="149" spans="1:6" ht="20.100000000000001" customHeight="1">
      <c r="A149" s="191">
        <v>18</v>
      </c>
      <c r="B149" s="156" t="s">
        <v>256</v>
      </c>
      <c r="C149" s="161" t="s">
        <v>257</v>
      </c>
      <c r="D149" s="28" t="s">
        <v>73</v>
      </c>
      <c r="E149" s="276">
        <v>45000</v>
      </c>
      <c r="F149" s="180"/>
    </row>
    <row r="150" spans="1:6" ht="20.100000000000001" customHeight="1">
      <c r="A150" s="191">
        <v>19</v>
      </c>
      <c r="B150" s="156" t="s">
        <v>258</v>
      </c>
      <c r="C150" s="161" t="s">
        <v>259</v>
      </c>
      <c r="D150" s="181" t="s">
        <v>154</v>
      </c>
      <c r="E150" s="276">
        <v>45000</v>
      </c>
      <c r="F150" s="180"/>
    </row>
    <row r="151" spans="1:6" ht="20.100000000000001" customHeight="1">
      <c r="A151" s="191">
        <v>20</v>
      </c>
      <c r="B151" s="156" t="s">
        <v>260</v>
      </c>
      <c r="C151" s="161" t="s">
        <v>261</v>
      </c>
      <c r="D151" s="181" t="s">
        <v>69</v>
      </c>
      <c r="E151" s="276">
        <v>45000</v>
      </c>
      <c r="F151" s="180"/>
    </row>
    <row r="152" spans="1:6" ht="20.100000000000001" customHeight="1">
      <c r="A152" s="191">
        <v>21</v>
      </c>
      <c r="B152" s="156" t="s">
        <v>262</v>
      </c>
      <c r="C152" s="161" t="s">
        <v>263</v>
      </c>
      <c r="D152" s="181" t="s">
        <v>154</v>
      </c>
      <c r="E152" s="276">
        <v>45000</v>
      </c>
      <c r="F152" s="180"/>
    </row>
    <row r="153" spans="1:6" ht="20.100000000000001" customHeight="1">
      <c r="A153" s="191">
        <v>22</v>
      </c>
      <c r="B153" s="156" t="s">
        <v>264</v>
      </c>
      <c r="C153" s="161" t="s">
        <v>265</v>
      </c>
      <c r="D153" s="181" t="s">
        <v>69</v>
      </c>
      <c r="E153" s="276">
        <v>45000</v>
      </c>
      <c r="F153" s="180"/>
    </row>
    <row r="154" spans="1:6" ht="20.100000000000001" customHeight="1">
      <c r="A154" s="191">
        <v>23</v>
      </c>
      <c r="B154" s="157" t="s">
        <v>266</v>
      </c>
      <c r="C154" s="161" t="s">
        <v>271</v>
      </c>
      <c r="D154" s="181" t="s">
        <v>76</v>
      </c>
      <c r="E154" s="276">
        <v>45000</v>
      </c>
      <c r="F154" s="180"/>
    </row>
    <row r="155" spans="1:6" ht="20.100000000000001" customHeight="1">
      <c r="A155" s="191">
        <v>24</v>
      </c>
      <c r="B155" s="157" t="s">
        <v>268</v>
      </c>
      <c r="C155" s="161" t="s">
        <v>269</v>
      </c>
      <c r="D155" s="181" t="s">
        <v>85</v>
      </c>
      <c r="E155" s="276">
        <v>45000</v>
      </c>
      <c r="F155" s="180"/>
    </row>
    <row r="156" spans="1:6" ht="20.100000000000001" customHeight="1">
      <c r="A156" s="191">
        <v>25</v>
      </c>
      <c r="B156" s="157" t="s">
        <v>270</v>
      </c>
      <c r="C156" s="161" t="s">
        <v>271</v>
      </c>
      <c r="D156" s="181" t="s">
        <v>85</v>
      </c>
      <c r="E156" s="276">
        <v>45000</v>
      </c>
      <c r="F156" s="180"/>
    </row>
    <row r="157" spans="1:6" ht="20.100000000000001" customHeight="1">
      <c r="A157" s="191">
        <v>26</v>
      </c>
      <c r="B157" s="157" t="s">
        <v>272</v>
      </c>
      <c r="C157" s="161" t="s">
        <v>273</v>
      </c>
      <c r="D157" s="181" t="s">
        <v>81</v>
      </c>
      <c r="E157" s="276">
        <v>45000</v>
      </c>
      <c r="F157" s="180"/>
    </row>
    <row r="158" spans="1:6" ht="20.100000000000001" customHeight="1">
      <c r="A158" s="191">
        <v>27</v>
      </c>
      <c r="B158" s="157" t="s">
        <v>274</v>
      </c>
      <c r="C158" s="161" t="s">
        <v>275</v>
      </c>
      <c r="D158" s="181" t="s">
        <v>81</v>
      </c>
      <c r="E158" s="276">
        <v>45000</v>
      </c>
      <c r="F158" s="180"/>
    </row>
    <row r="159" spans="1:6" ht="20.100000000000001" customHeight="1">
      <c r="A159" s="191">
        <v>28</v>
      </c>
      <c r="B159" s="156" t="s">
        <v>277</v>
      </c>
      <c r="C159" s="161" t="s">
        <v>278</v>
      </c>
      <c r="D159" s="181" t="s">
        <v>279</v>
      </c>
      <c r="E159" s="276">
        <v>30000</v>
      </c>
      <c r="F159" s="180"/>
    </row>
    <row r="160" spans="1:6" ht="20.100000000000001" customHeight="1">
      <c r="A160" s="191">
        <v>29</v>
      </c>
      <c r="B160" s="156" t="s">
        <v>280</v>
      </c>
      <c r="C160" s="161" t="s">
        <v>278</v>
      </c>
      <c r="D160" s="181" t="s">
        <v>279</v>
      </c>
      <c r="E160" s="276">
        <v>30000</v>
      </c>
      <c r="F160" s="180"/>
    </row>
    <row r="161" spans="1:6" ht="20.100000000000001" customHeight="1">
      <c r="A161" s="191">
        <v>30</v>
      </c>
      <c r="B161" s="156" t="s">
        <v>281</v>
      </c>
      <c r="C161" s="161" t="s">
        <v>278</v>
      </c>
      <c r="D161" s="181" t="s">
        <v>279</v>
      </c>
      <c r="E161" s="276">
        <v>30000</v>
      </c>
      <c r="F161" s="180"/>
    </row>
    <row r="162" spans="1:6" ht="20.100000000000001" customHeight="1">
      <c r="A162" s="191">
        <v>32</v>
      </c>
      <c r="B162" s="156" t="s">
        <v>282</v>
      </c>
      <c r="C162" s="161" t="s">
        <v>278</v>
      </c>
      <c r="D162" s="181" t="s">
        <v>279</v>
      </c>
      <c r="E162" s="276">
        <v>30000</v>
      </c>
      <c r="F162" s="180"/>
    </row>
    <row r="163" spans="1:6" ht="20.100000000000001" customHeight="1">
      <c r="A163" s="191">
        <v>33</v>
      </c>
      <c r="B163" s="156" t="s">
        <v>283</v>
      </c>
      <c r="C163" s="161" t="s">
        <v>278</v>
      </c>
      <c r="D163" s="181" t="s">
        <v>279</v>
      </c>
      <c r="E163" s="276">
        <v>30000</v>
      </c>
      <c r="F163" s="180"/>
    </row>
    <row r="164" spans="1:6" ht="20.100000000000001" customHeight="1">
      <c r="A164" s="191">
        <v>34</v>
      </c>
      <c r="B164" s="156" t="s">
        <v>284</v>
      </c>
      <c r="C164" s="161" t="s">
        <v>278</v>
      </c>
      <c r="D164" s="181" t="s">
        <v>285</v>
      </c>
      <c r="E164" s="276">
        <v>30000</v>
      </c>
      <c r="F164" s="180"/>
    </row>
    <row r="165" spans="1:6" ht="20.100000000000001" customHeight="1">
      <c r="A165" s="191">
        <v>35</v>
      </c>
      <c r="B165" s="156" t="s">
        <v>286</v>
      </c>
      <c r="C165" s="161" t="s">
        <v>278</v>
      </c>
      <c r="D165" s="181" t="s">
        <v>285</v>
      </c>
      <c r="E165" s="276">
        <v>30000</v>
      </c>
      <c r="F165" s="180"/>
    </row>
    <row r="166" spans="1:6" ht="20.100000000000001" customHeight="1">
      <c r="A166" s="191">
        <v>36</v>
      </c>
      <c r="B166" s="156" t="s">
        <v>569</v>
      </c>
      <c r="C166" s="161" t="s">
        <v>278</v>
      </c>
      <c r="D166" s="181" t="s">
        <v>285</v>
      </c>
      <c r="E166" s="276">
        <v>30000</v>
      </c>
      <c r="F166" s="180"/>
    </row>
    <row r="167" spans="1:6" ht="20.100000000000001" customHeight="1">
      <c r="A167" s="191">
        <v>37</v>
      </c>
      <c r="B167" s="158" t="s">
        <v>287</v>
      </c>
      <c r="C167" s="161" t="s">
        <v>278</v>
      </c>
      <c r="D167" s="181" t="s">
        <v>285</v>
      </c>
      <c r="E167" s="276">
        <v>30000</v>
      </c>
      <c r="F167" s="180"/>
    </row>
    <row r="168" spans="1:6" ht="20.100000000000001" customHeight="1">
      <c r="A168" s="191">
        <v>38</v>
      </c>
      <c r="B168" s="156" t="s">
        <v>288</v>
      </c>
      <c r="C168" s="161" t="s">
        <v>278</v>
      </c>
      <c r="D168" s="181" t="s">
        <v>285</v>
      </c>
      <c r="E168" s="276">
        <v>30000</v>
      </c>
      <c r="F168" s="180"/>
    </row>
    <row r="169" spans="1:6" ht="20.100000000000001" customHeight="1">
      <c r="A169" s="191">
        <v>39</v>
      </c>
      <c r="B169" s="157" t="s">
        <v>289</v>
      </c>
      <c r="C169" s="161" t="s">
        <v>278</v>
      </c>
      <c r="D169" s="181" t="s">
        <v>285</v>
      </c>
      <c r="E169" s="276">
        <v>30000</v>
      </c>
      <c r="F169" s="180"/>
    </row>
    <row r="170" spans="1:6" ht="20.100000000000001" customHeight="1">
      <c r="A170" s="191">
        <v>40</v>
      </c>
      <c r="B170" s="157" t="s">
        <v>290</v>
      </c>
      <c r="C170" s="161" t="s">
        <v>278</v>
      </c>
      <c r="D170" s="181" t="s">
        <v>285</v>
      </c>
      <c r="E170" s="276">
        <v>30000</v>
      </c>
      <c r="F170" s="180"/>
    </row>
    <row r="171" spans="1:6" ht="20.100000000000001" customHeight="1">
      <c r="A171" s="191">
        <v>41</v>
      </c>
      <c r="B171" s="156" t="s">
        <v>291</v>
      </c>
      <c r="C171" s="161" t="s">
        <v>297</v>
      </c>
      <c r="D171" s="181" t="s">
        <v>397</v>
      </c>
      <c r="E171" s="276">
        <v>30000</v>
      </c>
      <c r="F171" s="180"/>
    </row>
    <row r="172" spans="1:6" ht="20.100000000000001" customHeight="1">
      <c r="A172" s="191">
        <v>42</v>
      </c>
      <c r="B172" s="156" t="s">
        <v>294</v>
      </c>
      <c r="C172" s="161" t="s">
        <v>297</v>
      </c>
      <c r="D172" s="181" t="s">
        <v>397</v>
      </c>
      <c r="E172" s="276">
        <v>30000</v>
      </c>
      <c r="F172" s="180"/>
    </row>
    <row r="173" spans="1:6" ht="20.100000000000001" customHeight="1">
      <c r="A173" s="191">
        <v>43</v>
      </c>
      <c r="B173" s="157" t="s">
        <v>295</v>
      </c>
      <c r="C173" s="161" t="s">
        <v>297</v>
      </c>
      <c r="D173" s="181" t="s">
        <v>398</v>
      </c>
      <c r="E173" s="276">
        <v>30000</v>
      </c>
      <c r="F173" s="180"/>
    </row>
    <row r="174" spans="1:6" ht="20.100000000000001" customHeight="1">
      <c r="A174" s="191">
        <v>44</v>
      </c>
      <c r="B174" s="156" t="s">
        <v>296</v>
      </c>
      <c r="C174" s="161" t="s">
        <v>297</v>
      </c>
      <c r="D174" s="181" t="s">
        <v>298</v>
      </c>
      <c r="E174" s="276">
        <v>30000</v>
      </c>
      <c r="F174" s="180"/>
    </row>
    <row r="175" spans="1:6" ht="20.100000000000001" customHeight="1">
      <c r="A175" s="191">
        <v>45</v>
      </c>
      <c r="B175" s="156" t="s">
        <v>299</v>
      </c>
      <c r="C175" s="161" t="s">
        <v>300</v>
      </c>
      <c r="D175" s="181" t="s">
        <v>301</v>
      </c>
      <c r="E175" s="276">
        <v>30000</v>
      </c>
      <c r="F175" s="180"/>
    </row>
    <row r="176" spans="1:6" ht="20.100000000000001" customHeight="1">
      <c r="A176" s="191">
        <v>46</v>
      </c>
      <c r="B176" s="156" t="s">
        <v>302</v>
      </c>
      <c r="C176" s="161" t="s">
        <v>300</v>
      </c>
      <c r="D176" s="181" t="s">
        <v>301</v>
      </c>
      <c r="E176" s="276">
        <v>30000</v>
      </c>
      <c r="F176" s="180"/>
    </row>
    <row r="177" spans="1:6" ht="20.100000000000001" customHeight="1">
      <c r="A177" s="191">
        <v>47</v>
      </c>
      <c r="B177" s="156" t="s">
        <v>303</v>
      </c>
      <c r="C177" s="161" t="s">
        <v>300</v>
      </c>
      <c r="D177" s="181" t="s">
        <v>301</v>
      </c>
      <c r="E177" s="276">
        <v>30000</v>
      </c>
      <c r="F177" s="180"/>
    </row>
    <row r="178" spans="1:6" ht="20.100000000000001" customHeight="1">
      <c r="A178" s="191">
        <v>48</v>
      </c>
      <c r="B178" s="156" t="s">
        <v>304</v>
      </c>
      <c r="C178" s="161" t="s">
        <v>300</v>
      </c>
      <c r="D178" s="181" t="s">
        <v>301</v>
      </c>
      <c r="E178" s="276">
        <v>30000</v>
      </c>
      <c r="F178" s="180"/>
    </row>
    <row r="179" spans="1:6" ht="20.100000000000001" customHeight="1">
      <c r="A179" s="191">
        <v>49</v>
      </c>
      <c r="B179" s="156" t="s">
        <v>305</v>
      </c>
      <c r="C179" s="161" t="s">
        <v>300</v>
      </c>
      <c r="D179" s="181" t="s">
        <v>301</v>
      </c>
      <c r="E179" s="276">
        <v>30000</v>
      </c>
      <c r="F179" s="180"/>
    </row>
    <row r="180" spans="1:6" ht="20.100000000000001" customHeight="1">
      <c r="A180" s="191">
        <v>50</v>
      </c>
      <c r="B180" s="157" t="s">
        <v>306</v>
      </c>
      <c r="C180" s="161" t="s">
        <v>300</v>
      </c>
      <c r="D180" s="181" t="s">
        <v>301</v>
      </c>
      <c r="E180" s="276">
        <v>30000</v>
      </c>
      <c r="F180" s="180"/>
    </row>
    <row r="181" spans="1:6" ht="20.100000000000001" customHeight="1">
      <c r="A181" s="191">
        <v>51</v>
      </c>
      <c r="B181" s="157" t="s">
        <v>307</v>
      </c>
      <c r="C181" s="161" t="s">
        <v>300</v>
      </c>
      <c r="D181" s="181" t="s">
        <v>301</v>
      </c>
      <c r="E181" s="276">
        <v>30000</v>
      </c>
      <c r="F181" s="180"/>
    </row>
    <row r="182" spans="1:6" ht="20.100000000000001" customHeight="1">
      <c r="A182" s="191">
        <v>52</v>
      </c>
      <c r="B182" s="156" t="s">
        <v>308</v>
      </c>
      <c r="C182" s="161" t="s">
        <v>297</v>
      </c>
      <c r="D182" s="181" t="s">
        <v>301</v>
      </c>
      <c r="E182" s="276">
        <v>30000</v>
      </c>
      <c r="F182" s="180"/>
    </row>
    <row r="183" spans="1:6" ht="20.100000000000001" customHeight="1">
      <c r="A183" s="191">
        <v>53</v>
      </c>
      <c r="B183" s="156" t="s">
        <v>309</v>
      </c>
      <c r="C183" s="161" t="s">
        <v>297</v>
      </c>
      <c r="D183" s="181" t="s">
        <v>301</v>
      </c>
      <c r="E183" s="276">
        <v>30000</v>
      </c>
      <c r="F183" s="180"/>
    </row>
    <row r="184" spans="1:6" ht="20.100000000000001" customHeight="1">
      <c r="A184" s="191">
        <v>54</v>
      </c>
      <c r="B184" s="157" t="s">
        <v>310</v>
      </c>
      <c r="C184" s="161" t="s">
        <v>300</v>
      </c>
      <c r="D184" s="181" t="s">
        <v>412</v>
      </c>
      <c r="E184" s="276">
        <v>30000</v>
      </c>
      <c r="F184" s="180"/>
    </row>
    <row r="185" spans="1:6" ht="20.100000000000001" customHeight="1">
      <c r="A185" s="191">
        <v>55</v>
      </c>
      <c r="B185" s="157" t="s">
        <v>313</v>
      </c>
      <c r="C185" s="161" t="s">
        <v>300</v>
      </c>
      <c r="D185" s="181" t="s">
        <v>314</v>
      </c>
      <c r="E185" s="276">
        <v>30000</v>
      </c>
      <c r="F185" s="180"/>
    </row>
    <row r="186" spans="1:6" ht="20.100000000000001" customHeight="1">
      <c r="A186" s="191"/>
      <c r="B186" s="177" t="s">
        <v>86</v>
      </c>
      <c r="C186" s="193" t="s">
        <v>570</v>
      </c>
      <c r="D186" s="22"/>
      <c r="E186" s="287">
        <f>SUM(E132:E185)</f>
        <v>2505000</v>
      </c>
      <c r="F186" s="180"/>
    </row>
    <row r="187" spans="1:6" ht="9" customHeight="1">
      <c r="A187" s="191"/>
      <c r="B187" s="177"/>
      <c r="C187" s="193"/>
      <c r="D187" s="22"/>
      <c r="E187" s="287"/>
      <c r="F187" s="180"/>
    </row>
    <row r="188" spans="1:6" ht="30" customHeight="1">
      <c r="A188" s="20"/>
      <c r="B188" s="266" t="s">
        <v>325</v>
      </c>
      <c r="C188" s="267">
        <f>C37+C42+C57+C62+C79+C87+C100+C107+C117+C129+C186</f>
        <v>149</v>
      </c>
      <c r="D188" s="268"/>
      <c r="E188" s="269">
        <f>E186+E129+E117+E107+E100+E87+E79+E62+E57+E42+E37</f>
        <v>11070000</v>
      </c>
      <c r="F188" s="180"/>
    </row>
    <row r="189" spans="1:6" ht="20.100000000000001" customHeight="1">
      <c r="B189" s="198"/>
      <c r="D189" s="199"/>
      <c r="E189" s="248"/>
      <c r="F189" s="202"/>
    </row>
    <row r="190" spans="1:6" ht="65.25" customHeight="1">
      <c r="B190" s="198"/>
      <c r="C190" s="199"/>
      <c r="D190" s="199"/>
      <c r="E190" s="249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5"/>
  <sheetViews>
    <sheetView view="pageBreakPreview" zoomScaleNormal="100" zoomScaleSheetLayoutView="100" workbookViewId="0">
      <pane xSplit="3" ySplit="7" topLeftCell="D132" activePane="bottomRight" state="frozen"/>
      <selection pane="bottomRight" activeCell="H191" sqref="H19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4.5703125" style="164" customWidth="1"/>
    <col min="3" max="3" width="38" style="164" customWidth="1"/>
    <col min="4" max="4" width="12.42578125" style="164" customWidth="1"/>
    <col min="5" max="5" width="21.85546875" style="164" customWidth="1"/>
    <col min="6" max="6" width="21.7109375" style="164" customWidth="1"/>
    <col min="7" max="16384" width="9.140625" style="164"/>
  </cols>
  <sheetData>
    <row r="1" spans="1:6" ht="27" customHeight="1">
      <c r="A1" s="270" t="s">
        <v>0</v>
      </c>
      <c r="B1" s="270"/>
      <c r="C1" s="270"/>
      <c r="D1" s="270"/>
      <c r="E1" s="271"/>
    </row>
    <row r="2" spans="1:6" ht="33.75" customHeight="1">
      <c r="A2" s="270" t="s">
        <v>552</v>
      </c>
      <c r="B2" s="166"/>
      <c r="C2" s="165"/>
      <c r="D2" s="165"/>
      <c r="E2" s="169"/>
    </row>
    <row r="3" spans="1:6" ht="9.75" customHeight="1"/>
    <row r="4" spans="1:6" ht="49.5" customHeight="1">
      <c r="A4" s="265"/>
      <c r="B4" s="272" t="s">
        <v>2</v>
      </c>
      <c r="C4" s="273" t="s">
        <v>3</v>
      </c>
      <c r="D4" s="274" t="s">
        <v>4</v>
      </c>
      <c r="E4" s="275" t="s">
        <v>553</v>
      </c>
    </row>
    <row r="5" spans="1:6" ht="17.25" customHeight="1">
      <c r="C5" s="177"/>
      <c r="D5" s="177"/>
      <c r="E5" s="216" t="s">
        <v>25</v>
      </c>
    </row>
    <row r="6" spans="1:6" ht="20.100000000000001" customHeight="1">
      <c r="A6" s="176" t="s">
        <v>26</v>
      </c>
      <c r="B6" s="177" t="s">
        <v>27</v>
      </c>
      <c r="C6" s="177"/>
      <c r="D6" s="177"/>
      <c r="E6" s="216"/>
    </row>
    <row r="7" spans="1:6" ht="20.100000000000001" customHeight="1">
      <c r="A7" s="28">
        <v>1</v>
      </c>
      <c r="B7" s="156" t="s">
        <v>28</v>
      </c>
      <c r="C7" s="161" t="s">
        <v>29</v>
      </c>
      <c r="D7" s="161" t="s">
        <v>30</v>
      </c>
      <c r="E7" s="276">
        <v>450000</v>
      </c>
      <c r="F7" s="180"/>
    </row>
    <row r="8" spans="1:6" ht="20.100000000000001" customHeight="1">
      <c r="A8" s="28">
        <v>2</v>
      </c>
      <c r="B8" s="156" t="s">
        <v>456</v>
      </c>
      <c r="C8" s="20" t="s">
        <v>554</v>
      </c>
      <c r="D8" s="28" t="s">
        <v>228</v>
      </c>
      <c r="E8" s="276">
        <v>150000</v>
      </c>
      <c r="F8" s="180"/>
    </row>
    <row r="9" spans="1:6" ht="20.100000000000001" customHeight="1">
      <c r="A9" s="28">
        <v>3</v>
      </c>
      <c r="B9" s="158" t="s">
        <v>555</v>
      </c>
      <c r="C9" s="20" t="s">
        <v>556</v>
      </c>
      <c r="D9" s="28" t="s">
        <v>228</v>
      </c>
      <c r="E9" s="276">
        <v>150000</v>
      </c>
      <c r="F9" s="180"/>
    </row>
    <row r="10" spans="1:6" ht="20.100000000000001" customHeight="1">
      <c r="A10" s="28">
        <v>4</v>
      </c>
      <c r="B10" s="156" t="s">
        <v>31</v>
      </c>
      <c r="C10" s="161" t="s">
        <v>32</v>
      </c>
      <c r="D10" s="28" t="s">
        <v>33</v>
      </c>
      <c r="E10" s="276">
        <v>150000</v>
      </c>
      <c r="F10" s="180"/>
    </row>
    <row r="11" spans="1:6" ht="20.100000000000001" customHeight="1">
      <c r="A11" s="28">
        <v>5</v>
      </c>
      <c r="B11" s="158" t="s">
        <v>458</v>
      </c>
      <c r="C11" s="20" t="s">
        <v>35</v>
      </c>
      <c r="D11" s="181" t="s">
        <v>36</v>
      </c>
      <c r="E11" s="276">
        <v>150000</v>
      </c>
      <c r="F11" s="180"/>
    </row>
    <row r="12" spans="1:6" ht="20.100000000000001" customHeight="1">
      <c r="A12" s="28">
        <v>6</v>
      </c>
      <c r="B12" s="158" t="s">
        <v>176</v>
      </c>
      <c r="C12" s="20" t="s">
        <v>177</v>
      </c>
      <c r="D12" s="24" t="s">
        <v>36</v>
      </c>
      <c r="E12" s="276">
        <v>150000</v>
      </c>
      <c r="F12" s="180"/>
    </row>
    <row r="13" spans="1:6" ht="20.100000000000001" customHeight="1">
      <c r="A13" s="28">
        <v>7</v>
      </c>
      <c r="B13" s="156" t="s">
        <v>37</v>
      </c>
      <c r="C13" s="112" t="s">
        <v>38</v>
      </c>
      <c r="D13" s="24" t="s">
        <v>36</v>
      </c>
      <c r="E13" s="276">
        <v>150000</v>
      </c>
      <c r="F13" s="180"/>
    </row>
    <row r="14" spans="1:6" ht="20.100000000000001" customHeight="1">
      <c r="A14" s="28">
        <v>8</v>
      </c>
      <c r="B14" s="158" t="s">
        <v>39</v>
      </c>
      <c r="C14" s="20" t="s">
        <v>40</v>
      </c>
      <c r="D14" s="24" t="s">
        <v>36</v>
      </c>
      <c r="E14" s="276">
        <v>150000</v>
      </c>
      <c r="F14" s="180"/>
    </row>
    <row r="15" spans="1:6" ht="20.100000000000001" customHeight="1">
      <c r="A15" s="28">
        <v>9</v>
      </c>
      <c r="B15" s="156" t="s">
        <v>43</v>
      </c>
      <c r="C15" s="161" t="s">
        <v>44</v>
      </c>
      <c r="D15" s="181" t="s">
        <v>45</v>
      </c>
      <c r="E15" s="276">
        <v>105000</v>
      </c>
      <c r="F15" s="180"/>
    </row>
    <row r="16" spans="1:6" ht="20.100000000000001" customHeight="1">
      <c r="A16" s="28">
        <v>10</v>
      </c>
      <c r="B16" s="157" t="s">
        <v>148</v>
      </c>
      <c r="C16" s="161" t="s">
        <v>149</v>
      </c>
      <c r="D16" s="28" t="s">
        <v>122</v>
      </c>
      <c r="E16" s="276">
        <v>105000</v>
      </c>
      <c r="F16" s="180"/>
    </row>
    <row r="17" spans="1:6" ht="20.100000000000001" customHeight="1">
      <c r="A17" s="28">
        <v>11</v>
      </c>
      <c r="B17" s="160" t="s">
        <v>557</v>
      </c>
      <c r="C17" s="20" t="s">
        <v>558</v>
      </c>
      <c r="D17" s="24" t="s">
        <v>51</v>
      </c>
      <c r="E17" s="276">
        <v>75000</v>
      </c>
      <c r="F17" s="180"/>
    </row>
    <row r="18" spans="1:6" ht="19.5" customHeight="1">
      <c r="A18" s="28">
        <v>12</v>
      </c>
      <c r="B18" s="158" t="s">
        <v>459</v>
      </c>
      <c r="C18" s="20" t="s">
        <v>50</v>
      </c>
      <c r="D18" s="28" t="s">
        <v>51</v>
      </c>
      <c r="E18" s="276">
        <v>75000</v>
      </c>
      <c r="F18" s="180"/>
    </row>
    <row r="19" spans="1:6" ht="19.5" customHeight="1">
      <c r="A19" s="28">
        <v>13</v>
      </c>
      <c r="B19" s="158" t="s">
        <v>559</v>
      </c>
      <c r="C19" s="20" t="s">
        <v>560</v>
      </c>
      <c r="D19" s="28" t="s">
        <v>51</v>
      </c>
      <c r="E19" s="276">
        <v>75000</v>
      </c>
      <c r="F19" s="180"/>
    </row>
    <row r="20" spans="1:6" ht="20.100000000000001" customHeight="1">
      <c r="A20" s="28">
        <v>14</v>
      </c>
      <c r="B20" s="156" t="s">
        <v>49</v>
      </c>
      <c r="C20" s="20" t="s">
        <v>50</v>
      </c>
      <c r="D20" s="181" t="s">
        <v>51</v>
      </c>
      <c r="E20" s="276">
        <v>75000</v>
      </c>
      <c r="F20" s="180"/>
    </row>
    <row r="21" spans="1:6" ht="20.100000000000001" customHeight="1">
      <c r="A21" s="28">
        <v>15</v>
      </c>
      <c r="B21" s="156" t="s">
        <v>55</v>
      </c>
      <c r="C21" s="161" t="s">
        <v>56</v>
      </c>
      <c r="D21" s="181" t="s">
        <v>57</v>
      </c>
      <c r="E21" s="276">
        <v>75000</v>
      </c>
      <c r="F21" s="180"/>
    </row>
    <row r="22" spans="1:6" ht="20.100000000000001" customHeight="1">
      <c r="A22" s="28">
        <v>16</v>
      </c>
      <c r="B22" s="157" t="s">
        <v>58</v>
      </c>
      <c r="C22" s="20" t="s">
        <v>59</v>
      </c>
      <c r="D22" s="181" t="s">
        <v>60</v>
      </c>
      <c r="E22" s="276">
        <v>75000</v>
      </c>
      <c r="F22" s="180"/>
    </row>
    <row r="23" spans="1:6" ht="20.100000000000001" customHeight="1">
      <c r="A23" s="28">
        <v>17</v>
      </c>
      <c r="B23" s="156" t="s">
        <v>202</v>
      </c>
      <c r="C23" s="161" t="s">
        <v>203</v>
      </c>
      <c r="D23" s="181" t="s">
        <v>199</v>
      </c>
      <c r="E23" s="276">
        <v>45000</v>
      </c>
      <c r="F23" s="180"/>
    </row>
    <row r="24" spans="1:6" ht="18.75" customHeight="1">
      <c r="A24" s="28">
        <v>18</v>
      </c>
      <c r="B24" s="156" t="s">
        <v>61</v>
      </c>
      <c r="C24" s="161" t="s">
        <v>62</v>
      </c>
      <c r="D24" s="181" t="s">
        <v>63</v>
      </c>
      <c r="E24" s="276">
        <v>45000</v>
      </c>
      <c r="F24" s="180"/>
    </row>
    <row r="25" spans="1:6" ht="18.75" customHeight="1">
      <c r="A25" s="28">
        <v>19</v>
      </c>
      <c r="B25" s="157" t="s">
        <v>561</v>
      </c>
      <c r="C25" s="161" t="s">
        <v>83</v>
      </c>
      <c r="D25" s="181" t="s">
        <v>252</v>
      </c>
      <c r="E25" s="276">
        <v>45000</v>
      </c>
      <c r="F25" s="180"/>
    </row>
    <row r="26" spans="1:6" ht="18.75" customHeight="1">
      <c r="A26" s="28">
        <v>20</v>
      </c>
      <c r="B26" s="20" t="s">
        <v>67</v>
      </c>
      <c r="C26" s="20" t="s">
        <v>68</v>
      </c>
      <c r="D26" s="28" t="s">
        <v>69</v>
      </c>
      <c r="E26" s="276">
        <v>45000</v>
      </c>
      <c r="F26" s="180"/>
    </row>
    <row r="27" spans="1:6" ht="18.75" customHeight="1">
      <c r="A27" s="28">
        <v>21</v>
      </c>
      <c r="B27" s="157" t="s">
        <v>70</v>
      </c>
      <c r="C27" s="161" t="s">
        <v>68</v>
      </c>
      <c r="D27" s="181" t="s">
        <v>69</v>
      </c>
      <c r="E27" s="276">
        <v>45000</v>
      </c>
      <c r="F27" s="180"/>
    </row>
    <row r="28" spans="1:6" ht="18.75" customHeight="1">
      <c r="A28" s="28">
        <v>22</v>
      </c>
      <c r="B28" s="156" t="s">
        <v>460</v>
      </c>
      <c r="C28" s="161" t="s">
        <v>461</v>
      </c>
      <c r="D28" s="181" t="s">
        <v>69</v>
      </c>
      <c r="E28" s="276">
        <v>45000</v>
      </c>
      <c r="F28" s="180"/>
    </row>
    <row r="29" spans="1:6" ht="18.75" customHeight="1">
      <c r="A29" s="28">
        <v>23</v>
      </c>
      <c r="B29" s="157" t="s">
        <v>71</v>
      </c>
      <c r="C29" s="161" t="s">
        <v>404</v>
      </c>
      <c r="D29" s="181" t="s">
        <v>76</v>
      </c>
      <c r="E29" s="276">
        <v>45000</v>
      </c>
      <c r="F29" s="180"/>
    </row>
    <row r="30" spans="1:6" ht="18.75" customHeight="1">
      <c r="A30" s="28">
        <v>24</v>
      </c>
      <c r="B30" s="157" t="s">
        <v>74</v>
      </c>
      <c r="C30" s="20" t="s">
        <v>75</v>
      </c>
      <c r="D30" s="28" t="s">
        <v>76</v>
      </c>
      <c r="E30" s="276">
        <v>45000</v>
      </c>
      <c r="F30" s="180"/>
    </row>
    <row r="31" spans="1:6" ht="18.75" customHeight="1">
      <c r="A31" s="28">
        <v>25</v>
      </c>
      <c r="B31" s="157" t="s">
        <v>77</v>
      </c>
      <c r="C31" s="112" t="s">
        <v>78</v>
      </c>
      <c r="D31" s="181" t="s">
        <v>69</v>
      </c>
      <c r="E31" s="276">
        <v>45000</v>
      </c>
      <c r="F31" s="180"/>
    </row>
    <row r="32" spans="1:6" ht="18.75" customHeight="1">
      <c r="A32" s="28">
        <v>26</v>
      </c>
      <c r="B32" s="157" t="s">
        <v>79</v>
      </c>
      <c r="C32" s="20" t="s">
        <v>80</v>
      </c>
      <c r="D32" s="28" t="s">
        <v>81</v>
      </c>
      <c r="E32" s="276">
        <v>45000</v>
      </c>
      <c r="F32" s="180"/>
    </row>
    <row r="33" spans="1:6" ht="18.75" customHeight="1">
      <c r="A33" s="28">
        <v>27</v>
      </c>
      <c r="B33" s="157" t="s">
        <v>82</v>
      </c>
      <c r="C33" s="161" t="s">
        <v>83</v>
      </c>
      <c r="D33" s="181" t="s">
        <v>81</v>
      </c>
      <c r="E33" s="276">
        <v>45000</v>
      </c>
      <c r="F33" s="180"/>
    </row>
    <row r="34" spans="1:6" ht="18.75" customHeight="1">
      <c r="A34" s="28">
        <v>28</v>
      </c>
      <c r="B34" s="157" t="s">
        <v>562</v>
      </c>
      <c r="C34" s="161" t="s">
        <v>83</v>
      </c>
      <c r="D34" s="181" t="s">
        <v>81</v>
      </c>
      <c r="E34" s="276">
        <v>45000</v>
      </c>
      <c r="F34" s="180"/>
    </row>
    <row r="35" spans="1:6" ht="18.75" customHeight="1">
      <c r="A35" s="28">
        <v>29</v>
      </c>
      <c r="B35" s="157" t="s">
        <v>220</v>
      </c>
      <c r="C35" s="161" t="s">
        <v>221</v>
      </c>
      <c r="D35" s="181" t="s">
        <v>85</v>
      </c>
      <c r="E35" s="276">
        <v>45000</v>
      </c>
      <c r="F35" s="180"/>
    </row>
    <row r="36" spans="1:6" ht="26.25" customHeight="1">
      <c r="A36" s="28"/>
      <c r="B36" s="159" t="s">
        <v>86</v>
      </c>
      <c r="C36" s="29">
        <v>29</v>
      </c>
      <c r="D36" s="181"/>
      <c r="E36" s="277">
        <f>SUM(E7:E35)</f>
        <v>2745000</v>
      </c>
      <c r="F36" s="180"/>
    </row>
    <row r="37" spans="1:6" ht="18.75" customHeight="1">
      <c r="A37" s="28"/>
      <c r="B37" s="123"/>
      <c r="C37" s="20"/>
      <c r="D37" s="181"/>
      <c r="E37" s="278"/>
      <c r="F37" s="180"/>
    </row>
    <row r="38" spans="1:6" ht="18.75" customHeight="1">
      <c r="A38" s="28"/>
      <c r="B38" s="159" t="s">
        <v>87</v>
      </c>
      <c r="C38" s="20"/>
      <c r="D38" s="181"/>
      <c r="E38" s="276"/>
      <c r="F38" s="180"/>
    </row>
    <row r="39" spans="1:6" ht="18.75" customHeight="1">
      <c r="A39" s="28">
        <v>1</v>
      </c>
      <c r="B39" s="157" t="s">
        <v>88</v>
      </c>
      <c r="C39" s="20" t="s">
        <v>89</v>
      </c>
      <c r="D39" s="28" t="s">
        <v>90</v>
      </c>
      <c r="E39" s="276">
        <v>225000</v>
      </c>
      <c r="F39" s="180"/>
    </row>
    <row r="40" spans="1:6" ht="18.75" customHeight="1">
      <c r="A40" s="28">
        <v>2</v>
      </c>
      <c r="B40" s="157" t="s">
        <v>91</v>
      </c>
      <c r="C40" s="20" t="s">
        <v>92</v>
      </c>
      <c r="D40" s="28" t="s">
        <v>85</v>
      </c>
      <c r="E40" s="276">
        <v>45000</v>
      </c>
      <c r="F40" s="180"/>
    </row>
    <row r="41" spans="1:6" ht="19.5" customHeight="1">
      <c r="A41" s="28"/>
      <c r="B41" s="158"/>
      <c r="C41" s="29">
        <v>2</v>
      </c>
      <c r="D41" s="28"/>
      <c r="E41" s="277">
        <f>SUM(E39:E40)</f>
        <v>270000</v>
      </c>
      <c r="F41" s="180"/>
    </row>
    <row r="42" spans="1:6" ht="20.100000000000001" customHeight="1">
      <c r="A42" s="28"/>
      <c r="B42" s="158"/>
      <c r="C42" s="20"/>
      <c r="D42" s="28"/>
      <c r="E42" s="276"/>
      <c r="F42" s="180"/>
    </row>
    <row r="43" spans="1:6" ht="20.100000000000001" customHeight="1">
      <c r="A43" s="28"/>
      <c r="B43" s="185" t="s">
        <v>96</v>
      </c>
      <c r="C43" s="170"/>
      <c r="D43" s="174"/>
      <c r="E43" s="276"/>
      <c r="F43" s="180"/>
    </row>
    <row r="44" spans="1:6" ht="20.100000000000001" customHeight="1">
      <c r="A44" s="28">
        <v>1</v>
      </c>
      <c r="B44" s="156" t="s">
        <v>97</v>
      </c>
      <c r="C44" s="20" t="s">
        <v>98</v>
      </c>
      <c r="D44" s="28" t="s">
        <v>90</v>
      </c>
      <c r="E44" s="276">
        <v>225000</v>
      </c>
      <c r="F44" s="180"/>
    </row>
    <row r="45" spans="1:6" ht="20.100000000000001" customHeight="1">
      <c r="A45" s="28">
        <v>2</v>
      </c>
      <c r="B45" s="156" t="s">
        <v>99</v>
      </c>
      <c r="C45" s="20" t="s">
        <v>100</v>
      </c>
      <c r="D45" s="28" t="s">
        <v>45</v>
      </c>
      <c r="E45" s="276">
        <v>105000</v>
      </c>
      <c r="F45" s="180"/>
    </row>
    <row r="46" spans="1:6" ht="20.100000000000001" customHeight="1">
      <c r="A46" s="28">
        <v>3</v>
      </c>
      <c r="B46" s="156" t="s">
        <v>101</v>
      </c>
      <c r="C46" s="20" t="s">
        <v>102</v>
      </c>
      <c r="D46" s="28" t="s">
        <v>45</v>
      </c>
      <c r="E46" s="276">
        <v>105000</v>
      </c>
      <c r="F46" s="180"/>
    </row>
    <row r="47" spans="1:6" ht="20.100000000000001" customHeight="1">
      <c r="A47" s="28">
        <v>4</v>
      </c>
      <c r="B47" s="156" t="s">
        <v>103</v>
      </c>
      <c r="C47" s="20" t="s">
        <v>102</v>
      </c>
      <c r="D47" s="28" t="s">
        <v>45</v>
      </c>
      <c r="E47" s="276">
        <v>105000</v>
      </c>
      <c r="F47" s="180"/>
    </row>
    <row r="48" spans="1:6" ht="20.100000000000001" customHeight="1">
      <c r="A48" s="28">
        <v>5</v>
      </c>
      <c r="B48" s="156" t="s">
        <v>104</v>
      </c>
      <c r="C48" s="20" t="s">
        <v>102</v>
      </c>
      <c r="D48" s="28" t="s">
        <v>105</v>
      </c>
      <c r="E48" s="276">
        <v>105000</v>
      </c>
      <c r="F48" s="180"/>
    </row>
    <row r="49" spans="1:6" ht="20.100000000000001" customHeight="1">
      <c r="A49" s="28">
        <v>6</v>
      </c>
      <c r="B49" s="156" t="s">
        <v>106</v>
      </c>
      <c r="C49" s="20" t="s">
        <v>107</v>
      </c>
      <c r="D49" s="28" t="s">
        <v>51</v>
      </c>
      <c r="E49" s="276">
        <v>75000</v>
      </c>
      <c r="F49" s="180"/>
    </row>
    <row r="50" spans="1:6" ht="20.100000000000001" customHeight="1">
      <c r="A50" s="28">
        <v>7</v>
      </c>
      <c r="B50" s="158" t="s">
        <v>108</v>
      </c>
      <c r="C50" s="20" t="s">
        <v>109</v>
      </c>
      <c r="D50" s="24" t="s">
        <v>51</v>
      </c>
      <c r="E50" s="276">
        <v>75000</v>
      </c>
      <c r="F50" s="180"/>
    </row>
    <row r="51" spans="1:6" ht="20.100000000000001" customHeight="1">
      <c r="A51" s="28">
        <v>8</v>
      </c>
      <c r="B51" s="156" t="s">
        <v>464</v>
      </c>
      <c r="C51" s="20" t="s">
        <v>109</v>
      </c>
      <c r="D51" s="28" t="s">
        <v>134</v>
      </c>
      <c r="E51" s="276">
        <v>75000</v>
      </c>
      <c r="F51" s="180"/>
    </row>
    <row r="52" spans="1:6" ht="20.100000000000001" customHeight="1">
      <c r="A52" s="28">
        <v>9</v>
      </c>
      <c r="B52" s="156" t="s">
        <v>110</v>
      </c>
      <c r="C52" s="20" t="s">
        <v>164</v>
      </c>
      <c r="D52" s="28" t="s">
        <v>165</v>
      </c>
      <c r="E52" s="276">
        <v>75000</v>
      </c>
      <c r="F52" s="180"/>
    </row>
    <row r="53" spans="1:6" ht="20.100000000000001" customHeight="1">
      <c r="A53" s="28">
        <v>10</v>
      </c>
      <c r="B53" s="156" t="s">
        <v>114</v>
      </c>
      <c r="C53" s="20" t="s">
        <v>113</v>
      </c>
      <c r="D53" s="28" t="s">
        <v>73</v>
      </c>
      <c r="E53" s="276">
        <v>45000</v>
      </c>
      <c r="F53" s="180"/>
    </row>
    <row r="54" spans="1:6" ht="20.100000000000001" customHeight="1">
      <c r="A54" s="28">
        <v>11</v>
      </c>
      <c r="B54" s="156" t="s">
        <v>115</v>
      </c>
      <c r="C54" s="20" t="s">
        <v>113</v>
      </c>
      <c r="D54" s="28" t="s">
        <v>73</v>
      </c>
      <c r="E54" s="276">
        <v>45000</v>
      </c>
      <c r="F54" s="180"/>
    </row>
    <row r="55" spans="1:6" ht="20.100000000000001" customHeight="1">
      <c r="A55" s="28">
        <v>12</v>
      </c>
      <c r="B55" s="156" t="s">
        <v>116</v>
      </c>
      <c r="C55" s="20" t="s">
        <v>113</v>
      </c>
      <c r="D55" s="28" t="s">
        <v>73</v>
      </c>
      <c r="E55" s="276">
        <v>45000</v>
      </c>
      <c r="F55" s="180"/>
    </row>
    <row r="56" spans="1:6" ht="25.5" customHeight="1">
      <c r="A56" s="28"/>
      <c r="B56" s="159" t="s">
        <v>86</v>
      </c>
      <c r="C56" s="29">
        <v>12</v>
      </c>
      <c r="D56" s="29"/>
      <c r="E56" s="279">
        <f>SUM(E44:E55)</f>
        <v>1080000</v>
      </c>
      <c r="F56" s="180"/>
    </row>
    <row r="57" spans="1:6" ht="20.100000000000001" customHeight="1">
      <c r="A57" s="28"/>
      <c r="B57" s="123"/>
      <c r="C57" s="29"/>
      <c r="D57" s="29"/>
      <c r="E57" s="280"/>
      <c r="F57" s="180"/>
    </row>
    <row r="58" spans="1:6" ht="20.100000000000001" customHeight="1">
      <c r="A58" s="28"/>
      <c r="B58" s="159" t="s">
        <v>117</v>
      </c>
      <c r="C58" s="29"/>
      <c r="D58" s="29"/>
      <c r="E58" s="280"/>
      <c r="F58" s="180"/>
    </row>
    <row r="59" spans="1:6" ht="20.100000000000001" customHeight="1">
      <c r="A59" s="28">
        <v>1</v>
      </c>
      <c r="B59" s="156" t="s">
        <v>118</v>
      </c>
      <c r="C59" s="161" t="s">
        <v>119</v>
      </c>
      <c r="D59" s="181" t="s">
        <v>90</v>
      </c>
      <c r="E59" s="276">
        <v>225000</v>
      </c>
      <c r="F59" s="180"/>
    </row>
    <row r="60" spans="1:6" ht="20.100000000000001" customHeight="1">
      <c r="A60" s="28">
        <v>2</v>
      </c>
      <c r="B60" s="156" t="s">
        <v>120</v>
      </c>
      <c r="C60" s="161" t="s">
        <v>121</v>
      </c>
      <c r="D60" s="181" t="s">
        <v>122</v>
      </c>
      <c r="E60" s="276">
        <v>105000</v>
      </c>
      <c r="F60" s="180"/>
    </row>
    <row r="61" spans="1:6" ht="20.100000000000001" customHeight="1">
      <c r="A61" s="28"/>
      <c r="B61" s="159" t="s">
        <v>86</v>
      </c>
      <c r="C61" s="29">
        <v>2</v>
      </c>
      <c r="D61" s="29"/>
      <c r="E61" s="279">
        <f>SUM(E59:E60)</f>
        <v>330000</v>
      </c>
      <c r="F61" s="180"/>
    </row>
    <row r="62" spans="1:6" ht="20.100000000000001" customHeight="1">
      <c r="A62" s="28"/>
      <c r="B62" s="159"/>
      <c r="C62" s="29"/>
      <c r="D62" s="29"/>
      <c r="E62" s="280"/>
      <c r="F62" s="180"/>
    </row>
    <row r="63" spans="1:6" ht="20.100000000000001" customHeight="1">
      <c r="A63" s="28"/>
      <c r="B63" s="159" t="s">
        <v>123</v>
      </c>
      <c r="C63" s="29"/>
      <c r="D63" s="29"/>
      <c r="E63" s="280"/>
      <c r="F63" s="180"/>
    </row>
    <row r="64" spans="1:6" ht="20.100000000000001" customHeight="1">
      <c r="A64" s="28">
        <v>1</v>
      </c>
      <c r="B64" s="156" t="s">
        <v>124</v>
      </c>
      <c r="C64" s="112" t="s">
        <v>125</v>
      </c>
      <c r="D64" s="28" t="s">
        <v>90</v>
      </c>
      <c r="E64" s="281">
        <v>225000</v>
      </c>
      <c r="F64" s="180"/>
    </row>
    <row r="65" spans="1:6" ht="20.100000000000001" customHeight="1">
      <c r="A65" s="28">
        <v>2</v>
      </c>
      <c r="B65" s="157" t="s">
        <v>126</v>
      </c>
      <c r="C65" s="112" t="s">
        <v>127</v>
      </c>
      <c r="D65" s="181" t="s">
        <v>128</v>
      </c>
      <c r="E65" s="276">
        <v>105000</v>
      </c>
      <c r="F65" s="180"/>
    </row>
    <row r="66" spans="1:6" ht="20.100000000000001" customHeight="1">
      <c r="A66" s="28">
        <v>3</v>
      </c>
      <c r="B66" s="156" t="s">
        <v>129</v>
      </c>
      <c r="C66" s="20" t="s">
        <v>131</v>
      </c>
      <c r="D66" s="28" t="s">
        <v>165</v>
      </c>
      <c r="E66" s="281">
        <v>75000</v>
      </c>
      <c r="F66" s="180"/>
    </row>
    <row r="67" spans="1:6" ht="20.100000000000001" customHeight="1">
      <c r="A67" s="28">
        <v>4</v>
      </c>
      <c r="B67" s="157" t="s">
        <v>130</v>
      </c>
      <c r="C67" s="112" t="s">
        <v>131</v>
      </c>
      <c r="D67" s="181" t="s">
        <v>57</v>
      </c>
      <c r="E67" s="281">
        <v>75000</v>
      </c>
      <c r="F67" s="180"/>
    </row>
    <row r="68" spans="1:6" ht="20.100000000000001" customHeight="1">
      <c r="A68" s="28">
        <v>5</v>
      </c>
      <c r="B68" s="158" t="s">
        <v>132</v>
      </c>
      <c r="C68" s="112" t="s">
        <v>109</v>
      </c>
      <c r="D68" s="181" t="s">
        <v>51</v>
      </c>
      <c r="E68" s="281">
        <v>75000</v>
      </c>
      <c r="F68" s="180"/>
    </row>
    <row r="69" spans="1:6" ht="20.100000000000001" customHeight="1">
      <c r="A69" s="28">
        <v>6</v>
      </c>
      <c r="B69" s="158" t="s">
        <v>133</v>
      </c>
      <c r="C69" s="112" t="s">
        <v>109</v>
      </c>
      <c r="D69" s="181" t="s">
        <v>134</v>
      </c>
      <c r="E69" s="281">
        <v>75000</v>
      </c>
      <c r="F69" s="180"/>
    </row>
    <row r="70" spans="1:6" ht="20.100000000000001" customHeight="1">
      <c r="A70" s="28">
        <v>7</v>
      </c>
      <c r="B70" s="156" t="s">
        <v>135</v>
      </c>
      <c r="C70" s="20" t="s">
        <v>113</v>
      </c>
      <c r="D70" s="28" t="s">
        <v>66</v>
      </c>
      <c r="E70" s="276">
        <v>45000</v>
      </c>
      <c r="F70" s="180"/>
    </row>
    <row r="71" spans="1:6" ht="20.100000000000001" customHeight="1">
      <c r="A71" s="28">
        <v>8</v>
      </c>
      <c r="B71" s="156" t="s">
        <v>136</v>
      </c>
      <c r="C71" s="112" t="s">
        <v>137</v>
      </c>
      <c r="D71" s="181" t="s">
        <v>66</v>
      </c>
      <c r="E71" s="276">
        <v>45000</v>
      </c>
      <c r="F71" s="180"/>
    </row>
    <row r="72" spans="1:6" ht="20.100000000000001" customHeight="1">
      <c r="A72" s="28">
        <v>9</v>
      </c>
      <c r="B72" s="156" t="s">
        <v>138</v>
      </c>
      <c r="C72" s="112" t="s">
        <v>137</v>
      </c>
      <c r="D72" s="181" t="s">
        <v>66</v>
      </c>
      <c r="E72" s="276">
        <v>45000</v>
      </c>
      <c r="F72" s="180"/>
    </row>
    <row r="73" spans="1:6" ht="20.100000000000001" customHeight="1">
      <c r="A73" s="28">
        <v>10</v>
      </c>
      <c r="B73" s="156" t="s">
        <v>139</v>
      </c>
      <c r="C73" s="20" t="s">
        <v>140</v>
      </c>
      <c r="D73" s="28" t="s">
        <v>63</v>
      </c>
      <c r="E73" s="276">
        <v>45000</v>
      </c>
      <c r="F73" s="180"/>
    </row>
    <row r="74" spans="1:6" ht="20.100000000000001" customHeight="1">
      <c r="A74" s="28">
        <v>11</v>
      </c>
      <c r="B74" s="156" t="s">
        <v>563</v>
      </c>
      <c r="C74" s="112" t="s">
        <v>113</v>
      </c>
      <c r="D74" s="28" t="s">
        <v>154</v>
      </c>
      <c r="E74" s="276">
        <v>45000</v>
      </c>
      <c r="F74" s="180"/>
    </row>
    <row r="75" spans="1:6" ht="20.100000000000001" customHeight="1">
      <c r="A75" s="28">
        <v>12</v>
      </c>
      <c r="B75" s="156" t="s">
        <v>142</v>
      </c>
      <c r="C75" s="112" t="s">
        <v>65</v>
      </c>
      <c r="D75" s="28" t="s">
        <v>69</v>
      </c>
      <c r="E75" s="276">
        <v>45000</v>
      </c>
      <c r="F75" s="180"/>
    </row>
    <row r="76" spans="1:6" ht="20.100000000000001" customHeight="1">
      <c r="A76" s="28">
        <v>13</v>
      </c>
      <c r="B76" s="158" t="s">
        <v>64</v>
      </c>
      <c r="C76" s="112" t="s">
        <v>65</v>
      </c>
      <c r="D76" s="28" t="s">
        <v>81</v>
      </c>
      <c r="E76" s="276">
        <v>45000</v>
      </c>
      <c r="F76" s="180"/>
    </row>
    <row r="77" spans="1:6" ht="20.100000000000001" customHeight="1">
      <c r="A77" s="28"/>
      <c r="B77" s="159" t="s">
        <v>86</v>
      </c>
      <c r="C77" s="29">
        <v>13</v>
      </c>
      <c r="D77" s="29"/>
      <c r="E77" s="279">
        <f>SUM(E64:E76)</f>
        <v>945000</v>
      </c>
      <c r="F77" s="180"/>
    </row>
    <row r="78" spans="1:6" ht="20.100000000000001" customHeight="1">
      <c r="A78" s="28"/>
      <c r="B78" s="123"/>
      <c r="C78" s="29"/>
      <c r="D78" s="29"/>
      <c r="E78" s="280"/>
      <c r="F78" s="180"/>
    </row>
    <row r="79" spans="1:6" ht="20.100000000000001" customHeight="1">
      <c r="A79" s="28"/>
      <c r="B79" s="159" t="s">
        <v>143</v>
      </c>
      <c r="C79" s="29"/>
      <c r="D79" s="29"/>
      <c r="E79" s="280"/>
      <c r="F79" s="180"/>
    </row>
    <row r="80" spans="1:6" ht="20.100000000000001" customHeight="1">
      <c r="A80" s="28">
        <v>1</v>
      </c>
      <c r="B80" s="156" t="s">
        <v>144</v>
      </c>
      <c r="C80" s="20" t="s">
        <v>145</v>
      </c>
      <c r="D80" s="28" t="s">
        <v>90</v>
      </c>
      <c r="E80" s="276">
        <v>225000</v>
      </c>
      <c r="F80" s="180"/>
    </row>
    <row r="81" spans="1:6" ht="20.100000000000001" customHeight="1">
      <c r="A81" s="28">
        <v>2</v>
      </c>
      <c r="B81" s="158" t="s">
        <v>146</v>
      </c>
      <c r="C81" s="20" t="s">
        <v>147</v>
      </c>
      <c r="D81" s="181" t="s">
        <v>128</v>
      </c>
      <c r="E81" s="276">
        <v>105000</v>
      </c>
      <c r="F81" s="180"/>
    </row>
    <row r="82" spans="1:6" ht="20.100000000000001" customHeight="1">
      <c r="A82" s="28">
        <v>3</v>
      </c>
      <c r="B82" s="158" t="s">
        <v>564</v>
      </c>
      <c r="C82" s="20" t="s">
        <v>565</v>
      </c>
      <c r="D82" s="181" t="s">
        <v>128</v>
      </c>
      <c r="E82" s="276">
        <v>105000</v>
      </c>
      <c r="F82" s="180"/>
    </row>
    <row r="83" spans="1:6" ht="20.100000000000001" customHeight="1">
      <c r="A83" s="28">
        <v>4</v>
      </c>
      <c r="B83" s="156" t="s">
        <v>150</v>
      </c>
      <c r="C83" s="20" t="s">
        <v>406</v>
      </c>
      <c r="D83" s="181" t="s">
        <v>165</v>
      </c>
      <c r="E83" s="276">
        <v>75000</v>
      </c>
      <c r="F83" s="180"/>
    </row>
    <row r="84" spans="1:6" ht="20.100000000000001" customHeight="1">
      <c r="A84" s="28">
        <v>5</v>
      </c>
      <c r="B84" s="156" t="s">
        <v>152</v>
      </c>
      <c r="C84" s="20" t="s">
        <v>153</v>
      </c>
      <c r="D84" s="28" t="s">
        <v>154</v>
      </c>
      <c r="E84" s="276">
        <v>45000</v>
      </c>
      <c r="F84" s="180"/>
    </row>
    <row r="85" spans="1:6" ht="20.100000000000001" customHeight="1">
      <c r="A85" s="28"/>
      <c r="B85" s="159" t="s">
        <v>86</v>
      </c>
      <c r="C85" s="29">
        <v>5</v>
      </c>
      <c r="D85" s="29"/>
      <c r="E85" s="279">
        <f>SUM(E80:E84)</f>
        <v>555000</v>
      </c>
      <c r="F85" s="180"/>
    </row>
    <row r="86" spans="1:6" ht="20.100000000000001" customHeight="1">
      <c r="A86" s="28"/>
      <c r="B86" s="159"/>
      <c r="C86" s="29"/>
      <c r="D86" s="29"/>
      <c r="E86" s="276"/>
      <c r="F86" s="180"/>
    </row>
    <row r="87" spans="1:6" ht="20.100000000000001" customHeight="1">
      <c r="A87" s="28"/>
      <c r="B87" s="159" t="s">
        <v>158</v>
      </c>
      <c r="C87" s="186"/>
      <c r="D87" s="29"/>
      <c r="E87" s="276"/>
      <c r="F87" s="180"/>
    </row>
    <row r="88" spans="1:6" ht="20.100000000000001" customHeight="1">
      <c r="A88" s="28">
        <v>1</v>
      </c>
      <c r="B88" s="156" t="s">
        <v>159</v>
      </c>
      <c r="C88" s="20" t="s">
        <v>102</v>
      </c>
      <c r="D88" s="28" t="s">
        <v>45</v>
      </c>
      <c r="E88" s="276">
        <v>105000</v>
      </c>
      <c r="F88" s="180"/>
    </row>
    <row r="89" spans="1:6" ht="20.100000000000001" customHeight="1">
      <c r="A89" s="28">
        <v>2</v>
      </c>
      <c r="B89" s="156" t="s">
        <v>160</v>
      </c>
      <c r="C89" s="20" t="s">
        <v>102</v>
      </c>
      <c r="D89" s="28" t="s">
        <v>45</v>
      </c>
      <c r="E89" s="276">
        <v>105000</v>
      </c>
      <c r="F89" s="180"/>
    </row>
    <row r="90" spans="1:6" ht="20.100000000000001" customHeight="1">
      <c r="A90" s="28">
        <v>3</v>
      </c>
      <c r="B90" s="158" t="s">
        <v>161</v>
      </c>
      <c r="C90" s="20" t="s">
        <v>109</v>
      </c>
      <c r="D90" s="28" t="s">
        <v>405</v>
      </c>
      <c r="E90" s="281">
        <v>75000</v>
      </c>
      <c r="F90" s="180"/>
    </row>
    <row r="91" spans="1:6" ht="20.100000000000001" customHeight="1">
      <c r="A91" s="28">
        <v>4</v>
      </c>
      <c r="B91" s="156" t="s">
        <v>162</v>
      </c>
      <c r="C91" s="20" t="s">
        <v>107</v>
      </c>
      <c r="D91" s="28" t="s">
        <v>51</v>
      </c>
      <c r="E91" s="281">
        <v>75000</v>
      </c>
      <c r="F91" s="180"/>
    </row>
    <row r="92" spans="1:6" ht="21.6" customHeight="1">
      <c r="A92" s="28">
        <v>5</v>
      </c>
      <c r="B92" s="156" t="s">
        <v>163</v>
      </c>
      <c r="C92" s="20" t="s">
        <v>164</v>
      </c>
      <c r="D92" s="181" t="s">
        <v>165</v>
      </c>
      <c r="E92" s="281">
        <v>75000</v>
      </c>
      <c r="F92" s="180"/>
    </row>
    <row r="93" spans="1:6" ht="21.6" customHeight="1">
      <c r="A93" s="28">
        <v>6</v>
      </c>
      <c r="B93" s="156" t="s">
        <v>166</v>
      </c>
      <c r="C93" s="161" t="s">
        <v>131</v>
      </c>
      <c r="D93" s="181" t="s">
        <v>57</v>
      </c>
      <c r="E93" s="281">
        <v>75000</v>
      </c>
      <c r="F93" s="180"/>
    </row>
    <row r="94" spans="1:6" ht="21.6" customHeight="1">
      <c r="A94" s="28">
        <v>7</v>
      </c>
      <c r="B94" s="156" t="s">
        <v>167</v>
      </c>
      <c r="C94" s="161" t="s">
        <v>131</v>
      </c>
      <c r="D94" s="181" t="s">
        <v>57</v>
      </c>
      <c r="E94" s="281">
        <v>75000</v>
      </c>
      <c r="F94" s="180"/>
    </row>
    <row r="95" spans="1:6" ht="21.6" customHeight="1">
      <c r="A95" s="28">
        <v>8</v>
      </c>
      <c r="B95" s="156" t="s">
        <v>169</v>
      </c>
      <c r="C95" s="112" t="s">
        <v>137</v>
      </c>
      <c r="D95" s="181" t="s">
        <v>66</v>
      </c>
      <c r="E95" s="276">
        <v>45000</v>
      </c>
      <c r="F95" s="180"/>
    </row>
    <row r="96" spans="1:6" ht="21.6" customHeight="1">
      <c r="A96" s="28">
        <v>9</v>
      </c>
      <c r="B96" s="156" t="s">
        <v>171</v>
      </c>
      <c r="C96" s="20" t="s">
        <v>172</v>
      </c>
      <c r="D96" s="28" t="s">
        <v>95</v>
      </c>
      <c r="E96" s="276">
        <v>45000</v>
      </c>
      <c r="F96" s="180"/>
    </row>
    <row r="97" spans="1:6" ht="21.6" customHeight="1">
      <c r="A97" s="28">
        <v>10</v>
      </c>
      <c r="B97" s="156" t="s">
        <v>173</v>
      </c>
      <c r="C97" s="112" t="s">
        <v>174</v>
      </c>
      <c r="D97" s="181" t="s">
        <v>81</v>
      </c>
      <c r="E97" s="276">
        <v>45000</v>
      </c>
      <c r="F97" s="180"/>
    </row>
    <row r="98" spans="1:6" ht="20.100000000000001" customHeight="1">
      <c r="A98" s="28"/>
      <c r="B98" s="159" t="s">
        <v>86</v>
      </c>
      <c r="C98" s="29">
        <v>10</v>
      </c>
      <c r="D98" s="29"/>
      <c r="E98" s="279">
        <f>SUM(E88:E97)</f>
        <v>720000</v>
      </c>
      <c r="F98" s="180"/>
    </row>
    <row r="99" spans="1:6" ht="20.100000000000001" customHeight="1">
      <c r="A99" s="28"/>
      <c r="B99" s="123"/>
      <c r="C99" s="29"/>
      <c r="D99" s="29"/>
      <c r="E99" s="280"/>
      <c r="F99" s="180"/>
    </row>
    <row r="100" spans="1:6" ht="20.100000000000001" customHeight="1">
      <c r="A100" s="28"/>
      <c r="B100" s="159" t="s">
        <v>175</v>
      </c>
      <c r="C100" s="29"/>
      <c r="D100" s="29"/>
      <c r="E100" s="280"/>
      <c r="F100" s="180"/>
    </row>
    <row r="101" spans="1:6" ht="20.100000000000001" customHeight="1">
      <c r="A101" s="28">
        <v>1</v>
      </c>
      <c r="B101" s="157" t="s">
        <v>41</v>
      </c>
      <c r="C101" s="28" t="s">
        <v>42</v>
      </c>
      <c r="D101" s="181" t="s">
        <v>36</v>
      </c>
      <c r="E101" s="276">
        <v>150000</v>
      </c>
      <c r="F101" s="180"/>
    </row>
    <row r="102" spans="1:6" ht="20.100000000000001" customHeight="1">
      <c r="A102" s="28">
        <v>2</v>
      </c>
      <c r="B102" s="156" t="s">
        <v>46</v>
      </c>
      <c r="C102" s="20" t="s">
        <v>179</v>
      </c>
      <c r="D102" s="28" t="s">
        <v>51</v>
      </c>
      <c r="E102" s="276">
        <v>75000</v>
      </c>
      <c r="F102" s="180"/>
    </row>
    <row r="103" spans="1:6" ht="20.100000000000001" customHeight="1">
      <c r="A103" s="28">
        <v>3</v>
      </c>
      <c r="B103" s="156" t="s">
        <v>180</v>
      </c>
      <c r="C103" s="20" t="s">
        <v>181</v>
      </c>
      <c r="D103" s="181" t="s">
        <v>63</v>
      </c>
      <c r="E103" s="276">
        <v>45000</v>
      </c>
      <c r="F103" s="180"/>
    </row>
    <row r="104" spans="1:6" ht="20.100000000000001" customHeight="1">
      <c r="A104" s="28">
        <v>4</v>
      </c>
      <c r="B104" s="156" t="s">
        <v>566</v>
      </c>
      <c r="C104" s="20" t="s">
        <v>567</v>
      </c>
      <c r="D104" s="181" t="s">
        <v>76</v>
      </c>
      <c r="E104" s="276">
        <v>45000</v>
      </c>
      <c r="F104" s="180"/>
    </row>
    <row r="105" spans="1:6" ht="20.100000000000001" customHeight="1">
      <c r="A105" s="20"/>
      <c r="B105" s="159" t="s">
        <v>86</v>
      </c>
      <c r="C105" s="29">
        <v>3</v>
      </c>
      <c r="D105" s="187"/>
      <c r="E105" s="279">
        <f>SUM(E101:E104)</f>
        <v>315000</v>
      </c>
      <c r="F105" s="180"/>
    </row>
    <row r="106" spans="1:6" ht="20.100000000000001" customHeight="1">
      <c r="A106" s="20"/>
      <c r="B106" s="123"/>
      <c r="C106" s="29"/>
      <c r="D106" s="187"/>
      <c r="E106" s="280"/>
      <c r="F106" s="180"/>
    </row>
    <row r="107" spans="1:6" ht="20.100000000000001" customHeight="1">
      <c r="A107" s="20"/>
      <c r="B107" s="159" t="s">
        <v>184</v>
      </c>
      <c r="C107" s="20"/>
      <c r="D107" s="20"/>
      <c r="E107" s="282"/>
      <c r="F107" s="180"/>
    </row>
    <row r="108" spans="1:6" ht="20.100000000000001" customHeight="1">
      <c r="A108" s="20">
        <v>1</v>
      </c>
      <c r="B108" s="156" t="s">
        <v>185</v>
      </c>
      <c r="C108" s="161" t="s">
        <v>186</v>
      </c>
      <c r="D108" s="181" t="s">
        <v>90</v>
      </c>
      <c r="E108" s="276">
        <v>225000</v>
      </c>
      <c r="F108" s="180"/>
    </row>
    <row r="109" spans="1:6" ht="20.100000000000001" customHeight="1">
      <c r="A109" s="20">
        <v>2</v>
      </c>
      <c r="B109" s="156" t="s">
        <v>187</v>
      </c>
      <c r="C109" s="20" t="s">
        <v>188</v>
      </c>
      <c r="D109" s="24" t="s">
        <v>36</v>
      </c>
      <c r="E109" s="276">
        <v>150000</v>
      </c>
      <c r="F109" s="180"/>
    </row>
    <row r="110" spans="1:6" ht="20.100000000000001" customHeight="1">
      <c r="A110" s="20">
        <v>3</v>
      </c>
      <c r="B110" s="156" t="s">
        <v>189</v>
      </c>
      <c r="C110" s="20" t="s">
        <v>190</v>
      </c>
      <c r="D110" s="28" t="s">
        <v>54</v>
      </c>
      <c r="E110" s="276">
        <v>75000</v>
      </c>
      <c r="F110" s="180"/>
    </row>
    <row r="111" spans="1:6" ht="20.100000000000001" customHeight="1">
      <c r="A111" s="20">
        <v>4</v>
      </c>
      <c r="B111" s="156" t="s">
        <v>191</v>
      </c>
      <c r="C111" s="20" t="s">
        <v>190</v>
      </c>
      <c r="D111" s="28" t="s">
        <v>54</v>
      </c>
      <c r="E111" s="276">
        <v>75000</v>
      </c>
      <c r="F111" s="180"/>
    </row>
    <row r="112" spans="1:6" ht="20.100000000000001" customHeight="1">
      <c r="A112" s="20">
        <v>5</v>
      </c>
      <c r="B112" s="156" t="s">
        <v>192</v>
      </c>
      <c r="C112" s="20" t="s">
        <v>193</v>
      </c>
      <c r="D112" s="181" t="s">
        <v>194</v>
      </c>
      <c r="E112" s="276">
        <v>45000</v>
      </c>
      <c r="F112" s="180"/>
    </row>
    <row r="113" spans="1:6" ht="20.100000000000001" customHeight="1">
      <c r="A113" s="20">
        <v>6</v>
      </c>
      <c r="B113" s="157" t="s">
        <v>195</v>
      </c>
      <c r="C113" s="20" t="s">
        <v>193</v>
      </c>
      <c r="D113" s="28" t="s">
        <v>76</v>
      </c>
      <c r="E113" s="276">
        <v>45000</v>
      </c>
      <c r="F113" s="180"/>
    </row>
    <row r="114" spans="1:6" ht="20.100000000000001" customHeight="1">
      <c r="A114" s="20">
        <v>7</v>
      </c>
      <c r="B114" s="157" t="s">
        <v>196</v>
      </c>
      <c r="C114" s="20" t="s">
        <v>193</v>
      </c>
      <c r="D114" s="181" t="s">
        <v>81</v>
      </c>
      <c r="E114" s="276">
        <v>45000</v>
      </c>
      <c r="F114" s="180"/>
    </row>
    <row r="115" spans="1:6" ht="20.100000000000001" customHeight="1">
      <c r="A115" s="20"/>
      <c r="B115" s="159" t="s">
        <v>86</v>
      </c>
      <c r="C115" s="29">
        <v>7</v>
      </c>
      <c r="D115" s="20"/>
      <c r="E115" s="283">
        <f>SUM(E108:E114)</f>
        <v>660000</v>
      </c>
      <c r="F115" s="180"/>
    </row>
    <row r="116" spans="1:6" ht="20.100000000000001" customHeight="1">
      <c r="A116" s="20"/>
      <c r="B116" s="159"/>
      <c r="C116" s="29"/>
      <c r="D116" s="20"/>
      <c r="E116" s="283"/>
      <c r="F116" s="180"/>
    </row>
    <row r="117" spans="1:6" ht="48.75" customHeight="1">
      <c r="A117" s="28"/>
      <c r="B117" s="159" t="s">
        <v>571</v>
      </c>
      <c r="C117" s="29"/>
      <c r="D117" s="29"/>
      <c r="E117" s="283"/>
      <c r="F117" s="180"/>
    </row>
    <row r="118" spans="1:6" ht="27" customHeight="1">
      <c r="A118" s="28">
        <v>1</v>
      </c>
      <c r="B118" s="156" t="s">
        <v>198</v>
      </c>
      <c r="C118" s="112" t="s">
        <v>137</v>
      </c>
      <c r="D118" s="181" t="s">
        <v>199</v>
      </c>
      <c r="E118" s="276">
        <v>45000</v>
      </c>
      <c r="F118" s="180"/>
    </row>
    <row r="119" spans="1:6" ht="27" customHeight="1">
      <c r="A119" s="28">
        <v>2</v>
      </c>
      <c r="B119" s="156" t="s">
        <v>200</v>
      </c>
      <c r="C119" s="20" t="s">
        <v>201</v>
      </c>
      <c r="D119" s="181" t="s">
        <v>63</v>
      </c>
      <c r="E119" s="276">
        <v>45000</v>
      </c>
      <c r="F119" s="180"/>
    </row>
    <row r="120" spans="1:6" ht="27" customHeight="1">
      <c r="A120" s="20"/>
      <c r="B120" s="159" t="s">
        <v>86</v>
      </c>
      <c r="C120" s="29">
        <v>2</v>
      </c>
      <c r="D120" s="187"/>
      <c r="E120" s="283">
        <f>SUM(E118:E119)</f>
        <v>90000</v>
      </c>
      <c r="F120" s="180"/>
    </row>
    <row r="121" spans="1:6" ht="20.100000000000001" customHeight="1">
      <c r="A121" s="20"/>
      <c r="B121" s="123"/>
      <c r="C121" s="28"/>
      <c r="D121" s="20"/>
      <c r="E121" s="284"/>
      <c r="F121" s="180"/>
    </row>
    <row r="122" spans="1:6" ht="20.100000000000001" customHeight="1">
      <c r="A122" s="20"/>
      <c r="B122" s="159" t="s">
        <v>204</v>
      </c>
      <c r="C122" s="29"/>
      <c r="D122" s="29"/>
      <c r="E122" s="276"/>
      <c r="F122" s="180"/>
    </row>
    <row r="123" spans="1:6" ht="20.100000000000001" customHeight="1">
      <c r="A123" s="20">
        <v>1</v>
      </c>
      <c r="B123" s="156" t="s">
        <v>205</v>
      </c>
      <c r="C123" s="161" t="s">
        <v>206</v>
      </c>
      <c r="D123" s="181" t="s">
        <v>90</v>
      </c>
      <c r="E123" s="276">
        <v>225000</v>
      </c>
      <c r="F123" s="180"/>
    </row>
    <row r="124" spans="1:6" ht="20.100000000000001" customHeight="1">
      <c r="A124" s="20">
        <v>2</v>
      </c>
      <c r="B124" s="156" t="s">
        <v>207</v>
      </c>
      <c r="C124" s="161" t="s">
        <v>208</v>
      </c>
      <c r="D124" s="181" t="s">
        <v>45</v>
      </c>
      <c r="E124" s="276">
        <v>105000</v>
      </c>
      <c r="F124" s="180"/>
    </row>
    <row r="125" spans="1:6" ht="20.100000000000001" customHeight="1">
      <c r="A125" s="20">
        <v>3</v>
      </c>
      <c r="B125" s="158" t="s">
        <v>209</v>
      </c>
      <c r="C125" s="161" t="s">
        <v>208</v>
      </c>
      <c r="D125" s="181" t="s">
        <v>45</v>
      </c>
      <c r="E125" s="276">
        <v>105000</v>
      </c>
      <c r="F125" s="180"/>
    </row>
    <row r="126" spans="1:6" ht="20.100000000000001" customHeight="1">
      <c r="A126" s="20">
        <v>4</v>
      </c>
      <c r="B126" s="158" t="s">
        <v>210</v>
      </c>
      <c r="C126" s="161" t="s">
        <v>208</v>
      </c>
      <c r="D126" s="181" t="s">
        <v>48</v>
      </c>
      <c r="E126" s="276">
        <v>105000</v>
      </c>
      <c r="F126" s="180"/>
    </row>
    <row r="127" spans="1:6" ht="20.100000000000001" customHeight="1">
      <c r="A127" s="20">
        <v>5</v>
      </c>
      <c r="B127" s="156" t="s">
        <v>211</v>
      </c>
      <c r="C127" s="161" t="s">
        <v>212</v>
      </c>
      <c r="D127" s="181" t="s">
        <v>134</v>
      </c>
      <c r="E127" s="276">
        <v>75000</v>
      </c>
      <c r="F127" s="180"/>
    </row>
    <row r="128" spans="1:6" ht="20.100000000000001" customHeight="1">
      <c r="A128" s="20">
        <v>6</v>
      </c>
      <c r="B128" s="156" t="s">
        <v>213</v>
      </c>
      <c r="C128" s="161" t="s">
        <v>214</v>
      </c>
      <c r="D128" s="181" t="s">
        <v>165</v>
      </c>
      <c r="E128" s="276">
        <v>75000</v>
      </c>
      <c r="F128" s="180"/>
    </row>
    <row r="129" spans="1:6" ht="20.100000000000001" customHeight="1">
      <c r="A129" s="20">
        <v>7</v>
      </c>
      <c r="B129" s="156" t="s">
        <v>215</v>
      </c>
      <c r="C129" s="161" t="s">
        <v>408</v>
      </c>
      <c r="D129" s="181" t="s">
        <v>165</v>
      </c>
      <c r="E129" s="276">
        <v>75000</v>
      </c>
      <c r="F129" s="180"/>
    </row>
    <row r="130" spans="1:6" ht="20.100000000000001" customHeight="1">
      <c r="A130" s="20">
        <v>8</v>
      </c>
      <c r="B130" s="156" t="s">
        <v>216</v>
      </c>
      <c r="C130" s="161" t="s">
        <v>217</v>
      </c>
      <c r="D130" s="28" t="s">
        <v>69</v>
      </c>
      <c r="E130" s="276">
        <v>45000</v>
      </c>
      <c r="F130" s="180"/>
    </row>
    <row r="131" spans="1:6" ht="20.100000000000001" customHeight="1">
      <c r="A131" s="20">
        <v>9</v>
      </c>
      <c r="B131" s="157" t="s">
        <v>218</v>
      </c>
      <c r="C131" s="161" t="s">
        <v>219</v>
      </c>
      <c r="D131" s="181" t="s">
        <v>81</v>
      </c>
      <c r="E131" s="276">
        <v>45000</v>
      </c>
      <c r="F131" s="180"/>
    </row>
    <row r="132" spans="1:6" ht="20.100000000000001" customHeight="1">
      <c r="A132" s="20"/>
      <c r="B132" s="159" t="s">
        <v>86</v>
      </c>
      <c r="C132" s="187" t="s">
        <v>568</v>
      </c>
      <c r="D132" s="181"/>
      <c r="E132" s="285">
        <f>SUM(E123:E131)</f>
        <v>855000</v>
      </c>
      <c r="F132" s="180"/>
    </row>
    <row r="133" spans="1:6" ht="20.100000000000001" customHeight="1">
      <c r="A133" s="20"/>
      <c r="B133" s="123"/>
      <c r="C133" s="187"/>
      <c r="D133" s="181"/>
      <c r="E133" s="286"/>
      <c r="F133" s="180"/>
    </row>
    <row r="134" spans="1:6" ht="20.100000000000001" customHeight="1">
      <c r="A134" s="20"/>
      <c r="B134" s="159" t="s">
        <v>223</v>
      </c>
      <c r="C134" s="161"/>
      <c r="D134" s="181"/>
      <c r="E134" s="276"/>
      <c r="F134" s="180"/>
    </row>
    <row r="135" spans="1:6" ht="20.100000000000001" customHeight="1">
      <c r="A135" s="191">
        <v>1</v>
      </c>
      <c r="B135" s="156" t="s">
        <v>224</v>
      </c>
      <c r="C135" s="161" t="s">
        <v>225</v>
      </c>
      <c r="D135" s="181" t="s">
        <v>90</v>
      </c>
      <c r="E135" s="276">
        <v>225000</v>
      </c>
      <c r="F135" s="180"/>
    </row>
    <row r="136" spans="1:6" ht="20.100000000000001" customHeight="1">
      <c r="A136" s="191">
        <v>2</v>
      </c>
      <c r="B136" s="156" t="s">
        <v>226</v>
      </c>
      <c r="C136" s="161" t="s">
        <v>227</v>
      </c>
      <c r="D136" s="181" t="s">
        <v>228</v>
      </c>
      <c r="E136" s="276">
        <v>150000</v>
      </c>
      <c r="F136" s="180"/>
    </row>
    <row r="137" spans="1:6" ht="20.100000000000001" customHeight="1">
      <c r="A137" s="191">
        <v>3</v>
      </c>
      <c r="B137" s="158" t="s">
        <v>229</v>
      </c>
      <c r="C137" s="20" t="s">
        <v>230</v>
      </c>
      <c r="D137" s="24" t="s">
        <v>36</v>
      </c>
      <c r="E137" s="276">
        <v>150000</v>
      </c>
      <c r="F137" s="180"/>
    </row>
    <row r="138" spans="1:6" ht="20.100000000000001" customHeight="1">
      <c r="A138" s="191">
        <v>4</v>
      </c>
      <c r="B138" s="156" t="s">
        <v>231</v>
      </c>
      <c r="C138" s="161" t="s">
        <v>232</v>
      </c>
      <c r="D138" s="181" t="s">
        <v>51</v>
      </c>
      <c r="E138" s="276">
        <v>75000</v>
      </c>
      <c r="F138" s="180"/>
    </row>
    <row r="139" spans="1:6" ht="20.100000000000001" customHeight="1">
      <c r="A139" s="191">
        <v>5</v>
      </c>
      <c r="B139" s="156" t="s">
        <v>233</v>
      </c>
      <c r="C139" s="20" t="s">
        <v>234</v>
      </c>
      <c r="D139" s="181" t="s">
        <v>51</v>
      </c>
      <c r="E139" s="276">
        <v>75000</v>
      </c>
      <c r="F139" s="180"/>
    </row>
    <row r="140" spans="1:6" ht="20.100000000000001" customHeight="1">
      <c r="A140" s="191">
        <v>6</v>
      </c>
      <c r="B140" s="156" t="s">
        <v>178</v>
      </c>
      <c r="C140" s="20" t="s">
        <v>240</v>
      </c>
      <c r="D140" s="181" t="s">
        <v>165</v>
      </c>
      <c r="E140" s="276">
        <v>75000</v>
      </c>
      <c r="F140" s="180"/>
    </row>
    <row r="141" spans="1:6" ht="20.100000000000001" customHeight="1">
      <c r="A141" s="191">
        <v>7</v>
      </c>
      <c r="B141" s="156" t="s">
        <v>236</v>
      </c>
      <c r="C141" s="161" t="s">
        <v>237</v>
      </c>
      <c r="D141" s="181" t="s">
        <v>199</v>
      </c>
      <c r="E141" s="276">
        <v>45000</v>
      </c>
      <c r="F141" s="180"/>
    </row>
    <row r="142" spans="1:6" ht="20.100000000000001" customHeight="1">
      <c r="A142" s="191">
        <v>8</v>
      </c>
      <c r="B142" s="156" t="s">
        <v>238</v>
      </c>
      <c r="C142" s="161" t="s">
        <v>237</v>
      </c>
      <c r="D142" s="181" t="s">
        <v>199</v>
      </c>
      <c r="E142" s="276">
        <v>45000</v>
      </c>
      <c r="F142" s="180"/>
    </row>
    <row r="143" spans="1:6" ht="20.100000000000001" customHeight="1">
      <c r="A143" s="191">
        <v>9</v>
      </c>
      <c r="B143" s="156" t="s">
        <v>239</v>
      </c>
      <c r="C143" s="20" t="s">
        <v>240</v>
      </c>
      <c r="D143" s="181" t="s">
        <v>199</v>
      </c>
      <c r="E143" s="276">
        <v>45000</v>
      </c>
      <c r="F143" s="180"/>
    </row>
    <row r="144" spans="1:6" ht="20.100000000000001" customHeight="1">
      <c r="A144" s="191">
        <v>10</v>
      </c>
      <c r="B144" s="156" t="s">
        <v>241</v>
      </c>
      <c r="C144" s="161" t="s">
        <v>246</v>
      </c>
      <c r="D144" s="181" t="s">
        <v>63</v>
      </c>
      <c r="E144" s="276">
        <v>45000</v>
      </c>
      <c r="F144" s="180"/>
    </row>
    <row r="145" spans="1:6" ht="20.100000000000001" customHeight="1">
      <c r="A145" s="191">
        <v>11</v>
      </c>
      <c r="B145" s="156" t="s">
        <v>243</v>
      </c>
      <c r="C145" s="161" t="s">
        <v>410</v>
      </c>
      <c r="D145" s="181" t="s">
        <v>411</v>
      </c>
      <c r="E145" s="276">
        <v>45000</v>
      </c>
      <c r="F145" s="180"/>
    </row>
    <row r="146" spans="1:6" ht="20.100000000000001" customHeight="1">
      <c r="A146" s="191">
        <v>12</v>
      </c>
      <c r="B146" s="156" t="s">
        <v>245</v>
      </c>
      <c r="C146" s="161" t="s">
        <v>246</v>
      </c>
      <c r="D146" s="181" t="s">
        <v>199</v>
      </c>
      <c r="E146" s="276">
        <v>45000</v>
      </c>
      <c r="F146" s="180"/>
    </row>
    <row r="147" spans="1:6" ht="20.100000000000001" customHeight="1">
      <c r="A147" s="191">
        <v>13</v>
      </c>
      <c r="B147" s="157" t="s">
        <v>247</v>
      </c>
      <c r="C147" s="20" t="s">
        <v>257</v>
      </c>
      <c r="D147" s="181" t="s">
        <v>411</v>
      </c>
      <c r="E147" s="276">
        <v>45000</v>
      </c>
      <c r="F147" s="180"/>
    </row>
    <row r="148" spans="1:6" ht="20.100000000000001" customHeight="1">
      <c r="A148" s="191">
        <v>14</v>
      </c>
      <c r="B148" s="156" t="s">
        <v>249</v>
      </c>
      <c r="C148" s="20" t="s">
        <v>250</v>
      </c>
      <c r="D148" s="181" t="s">
        <v>154</v>
      </c>
      <c r="E148" s="276">
        <v>45000</v>
      </c>
      <c r="F148" s="180"/>
    </row>
    <row r="149" spans="1:6" ht="20.100000000000001" customHeight="1">
      <c r="A149" s="191">
        <v>15</v>
      </c>
      <c r="B149" s="156" t="s">
        <v>251</v>
      </c>
      <c r="C149" s="20" t="s">
        <v>250</v>
      </c>
      <c r="D149" s="181" t="s">
        <v>252</v>
      </c>
      <c r="E149" s="276">
        <v>45000</v>
      </c>
      <c r="F149" s="180"/>
    </row>
    <row r="150" spans="1:6" ht="20.100000000000001" customHeight="1">
      <c r="A150" s="191">
        <v>16</v>
      </c>
      <c r="B150" s="156" t="s">
        <v>253</v>
      </c>
      <c r="C150" s="20" t="s">
        <v>250</v>
      </c>
      <c r="D150" s="181" t="s">
        <v>252</v>
      </c>
      <c r="E150" s="276">
        <v>45000</v>
      </c>
      <c r="F150" s="180"/>
    </row>
    <row r="151" spans="1:6" ht="20.100000000000001" customHeight="1">
      <c r="A151" s="191">
        <v>17</v>
      </c>
      <c r="B151" s="156" t="s">
        <v>254</v>
      </c>
      <c r="C151" s="161" t="s">
        <v>255</v>
      </c>
      <c r="D151" s="181" t="s">
        <v>95</v>
      </c>
      <c r="E151" s="276">
        <v>45000</v>
      </c>
      <c r="F151" s="180"/>
    </row>
    <row r="152" spans="1:6" ht="20.100000000000001" customHeight="1">
      <c r="A152" s="191">
        <v>18</v>
      </c>
      <c r="B152" s="156" t="s">
        <v>256</v>
      </c>
      <c r="C152" s="161" t="s">
        <v>257</v>
      </c>
      <c r="D152" s="28" t="s">
        <v>73</v>
      </c>
      <c r="E152" s="276">
        <v>45000</v>
      </c>
      <c r="F152" s="180"/>
    </row>
    <row r="153" spans="1:6" ht="20.100000000000001" customHeight="1">
      <c r="A153" s="191">
        <v>19</v>
      </c>
      <c r="B153" s="156" t="s">
        <v>258</v>
      </c>
      <c r="C153" s="161" t="s">
        <v>259</v>
      </c>
      <c r="D153" s="181" t="s">
        <v>154</v>
      </c>
      <c r="E153" s="276">
        <v>45000</v>
      </c>
      <c r="F153" s="180"/>
    </row>
    <row r="154" spans="1:6" ht="20.100000000000001" customHeight="1">
      <c r="A154" s="191">
        <v>20</v>
      </c>
      <c r="B154" s="156" t="s">
        <v>260</v>
      </c>
      <c r="C154" s="161" t="s">
        <v>261</v>
      </c>
      <c r="D154" s="181" t="s">
        <v>69</v>
      </c>
      <c r="E154" s="276">
        <v>45000</v>
      </c>
      <c r="F154" s="180"/>
    </row>
    <row r="155" spans="1:6" ht="20.100000000000001" customHeight="1">
      <c r="A155" s="191">
        <v>21</v>
      </c>
      <c r="B155" s="156" t="s">
        <v>262</v>
      </c>
      <c r="C155" s="161" t="s">
        <v>263</v>
      </c>
      <c r="D155" s="181" t="s">
        <v>154</v>
      </c>
      <c r="E155" s="276">
        <v>45000</v>
      </c>
      <c r="F155" s="180"/>
    </row>
    <row r="156" spans="1:6" ht="20.100000000000001" customHeight="1">
      <c r="A156" s="191">
        <v>22</v>
      </c>
      <c r="B156" s="156" t="s">
        <v>264</v>
      </c>
      <c r="C156" s="161" t="s">
        <v>265</v>
      </c>
      <c r="D156" s="181" t="s">
        <v>69</v>
      </c>
      <c r="E156" s="276">
        <v>45000</v>
      </c>
      <c r="F156" s="180"/>
    </row>
    <row r="157" spans="1:6" ht="20.100000000000001" customHeight="1">
      <c r="A157" s="191">
        <v>23</v>
      </c>
      <c r="B157" s="157" t="s">
        <v>266</v>
      </c>
      <c r="C157" s="161" t="s">
        <v>271</v>
      </c>
      <c r="D157" s="181" t="s">
        <v>76</v>
      </c>
      <c r="E157" s="276">
        <v>45000</v>
      </c>
      <c r="F157" s="180"/>
    </row>
    <row r="158" spans="1:6" ht="20.100000000000001" customHeight="1">
      <c r="A158" s="191">
        <v>24</v>
      </c>
      <c r="B158" s="157" t="s">
        <v>268</v>
      </c>
      <c r="C158" s="161" t="s">
        <v>269</v>
      </c>
      <c r="D158" s="181" t="s">
        <v>85</v>
      </c>
      <c r="E158" s="276">
        <v>45000</v>
      </c>
      <c r="F158" s="180"/>
    </row>
    <row r="159" spans="1:6" ht="20.100000000000001" customHeight="1">
      <c r="A159" s="191">
        <v>25</v>
      </c>
      <c r="B159" s="157" t="s">
        <v>270</v>
      </c>
      <c r="C159" s="161" t="s">
        <v>271</v>
      </c>
      <c r="D159" s="181" t="s">
        <v>85</v>
      </c>
      <c r="E159" s="276">
        <v>45000</v>
      </c>
      <c r="F159" s="180"/>
    </row>
    <row r="160" spans="1:6" ht="20.100000000000001" customHeight="1">
      <c r="A160" s="191">
        <v>26</v>
      </c>
      <c r="B160" s="157" t="s">
        <v>272</v>
      </c>
      <c r="C160" s="161" t="s">
        <v>273</v>
      </c>
      <c r="D160" s="181" t="s">
        <v>81</v>
      </c>
      <c r="E160" s="276">
        <v>45000</v>
      </c>
      <c r="F160" s="180"/>
    </row>
    <row r="161" spans="1:6" ht="20.100000000000001" customHeight="1">
      <c r="A161" s="191">
        <v>27</v>
      </c>
      <c r="B161" s="157" t="s">
        <v>274</v>
      </c>
      <c r="C161" s="161" t="s">
        <v>275</v>
      </c>
      <c r="D161" s="181" t="s">
        <v>81</v>
      </c>
      <c r="E161" s="276">
        <v>45000</v>
      </c>
      <c r="F161" s="180"/>
    </row>
    <row r="162" spans="1:6" ht="20.100000000000001" customHeight="1">
      <c r="A162" s="191">
        <v>28</v>
      </c>
      <c r="B162" s="156" t="s">
        <v>277</v>
      </c>
      <c r="C162" s="161" t="s">
        <v>278</v>
      </c>
      <c r="D162" s="181" t="s">
        <v>279</v>
      </c>
      <c r="E162" s="276">
        <v>30000</v>
      </c>
      <c r="F162" s="180"/>
    </row>
    <row r="163" spans="1:6" ht="20.100000000000001" customHeight="1">
      <c r="A163" s="191">
        <v>29</v>
      </c>
      <c r="B163" s="156" t="s">
        <v>280</v>
      </c>
      <c r="C163" s="161" t="s">
        <v>278</v>
      </c>
      <c r="D163" s="181" t="s">
        <v>279</v>
      </c>
      <c r="E163" s="276">
        <v>30000</v>
      </c>
      <c r="F163" s="180"/>
    </row>
    <row r="164" spans="1:6" ht="20.100000000000001" customHeight="1">
      <c r="A164" s="191">
        <v>30</v>
      </c>
      <c r="B164" s="156" t="s">
        <v>281</v>
      </c>
      <c r="C164" s="161" t="s">
        <v>278</v>
      </c>
      <c r="D164" s="181" t="s">
        <v>279</v>
      </c>
      <c r="E164" s="276">
        <v>30000</v>
      </c>
      <c r="F164" s="180"/>
    </row>
    <row r="165" spans="1:6" ht="20.100000000000001" customHeight="1">
      <c r="A165" s="191">
        <v>32</v>
      </c>
      <c r="B165" s="156" t="s">
        <v>282</v>
      </c>
      <c r="C165" s="161" t="s">
        <v>278</v>
      </c>
      <c r="D165" s="181" t="s">
        <v>279</v>
      </c>
      <c r="E165" s="276">
        <v>30000</v>
      </c>
      <c r="F165" s="180"/>
    </row>
    <row r="166" spans="1:6" ht="20.100000000000001" customHeight="1">
      <c r="A166" s="191">
        <v>33</v>
      </c>
      <c r="B166" s="156" t="s">
        <v>283</v>
      </c>
      <c r="C166" s="161" t="s">
        <v>278</v>
      </c>
      <c r="D166" s="181" t="s">
        <v>279</v>
      </c>
      <c r="E166" s="276">
        <v>30000</v>
      </c>
      <c r="F166" s="180"/>
    </row>
    <row r="167" spans="1:6" ht="20.100000000000001" customHeight="1">
      <c r="A167" s="191">
        <v>34</v>
      </c>
      <c r="B167" s="156" t="s">
        <v>284</v>
      </c>
      <c r="C167" s="161" t="s">
        <v>278</v>
      </c>
      <c r="D167" s="181" t="s">
        <v>285</v>
      </c>
      <c r="E167" s="276">
        <v>30000</v>
      </c>
      <c r="F167" s="180"/>
    </row>
    <row r="168" spans="1:6" ht="20.100000000000001" customHeight="1">
      <c r="A168" s="191">
        <v>35</v>
      </c>
      <c r="B168" s="156" t="s">
        <v>286</v>
      </c>
      <c r="C168" s="161" t="s">
        <v>278</v>
      </c>
      <c r="D168" s="181" t="s">
        <v>285</v>
      </c>
      <c r="E168" s="276">
        <v>30000</v>
      </c>
      <c r="F168" s="180"/>
    </row>
    <row r="169" spans="1:6" ht="20.100000000000001" customHeight="1">
      <c r="A169" s="191">
        <v>36</v>
      </c>
      <c r="B169" s="158" t="s">
        <v>287</v>
      </c>
      <c r="C169" s="161" t="s">
        <v>278</v>
      </c>
      <c r="D169" s="181" t="s">
        <v>285</v>
      </c>
      <c r="E169" s="276">
        <v>30000</v>
      </c>
      <c r="F169" s="180"/>
    </row>
    <row r="170" spans="1:6" ht="20.100000000000001" customHeight="1">
      <c r="A170" s="191">
        <v>37</v>
      </c>
      <c r="B170" s="156" t="s">
        <v>288</v>
      </c>
      <c r="C170" s="161" t="s">
        <v>278</v>
      </c>
      <c r="D170" s="181" t="s">
        <v>285</v>
      </c>
      <c r="E170" s="276">
        <v>30000</v>
      </c>
      <c r="F170" s="180"/>
    </row>
    <row r="171" spans="1:6" ht="20.100000000000001" customHeight="1">
      <c r="A171" s="191">
        <v>38</v>
      </c>
      <c r="B171" s="157" t="s">
        <v>289</v>
      </c>
      <c r="C171" s="161" t="s">
        <v>278</v>
      </c>
      <c r="D171" s="181" t="s">
        <v>285</v>
      </c>
      <c r="E171" s="276">
        <v>30000</v>
      </c>
      <c r="F171" s="180"/>
    </row>
    <row r="172" spans="1:6" ht="20.100000000000001" customHeight="1">
      <c r="A172" s="191">
        <v>39</v>
      </c>
      <c r="B172" s="157" t="s">
        <v>290</v>
      </c>
      <c r="C172" s="161" t="s">
        <v>278</v>
      </c>
      <c r="D172" s="181" t="s">
        <v>285</v>
      </c>
      <c r="E172" s="276">
        <v>30000</v>
      </c>
      <c r="F172" s="180"/>
    </row>
    <row r="173" spans="1:6" ht="20.100000000000001" customHeight="1">
      <c r="A173" s="191">
        <v>40</v>
      </c>
      <c r="B173" s="156" t="s">
        <v>291</v>
      </c>
      <c r="C173" s="161" t="s">
        <v>297</v>
      </c>
      <c r="D173" s="181" t="s">
        <v>397</v>
      </c>
      <c r="E173" s="276">
        <v>30000</v>
      </c>
      <c r="F173" s="180"/>
    </row>
    <row r="174" spans="1:6" ht="20.100000000000001" customHeight="1">
      <c r="A174" s="191">
        <v>41</v>
      </c>
      <c r="B174" s="156" t="s">
        <v>294</v>
      </c>
      <c r="C174" s="161" t="s">
        <v>297</v>
      </c>
      <c r="D174" s="181" t="s">
        <v>397</v>
      </c>
      <c r="E174" s="276">
        <v>30000</v>
      </c>
      <c r="F174" s="180"/>
    </row>
    <row r="175" spans="1:6" ht="20.100000000000001" customHeight="1">
      <c r="A175" s="191">
        <v>42</v>
      </c>
      <c r="B175" s="157" t="s">
        <v>295</v>
      </c>
      <c r="C175" s="161" t="s">
        <v>297</v>
      </c>
      <c r="D175" s="181" t="s">
        <v>398</v>
      </c>
      <c r="E175" s="276">
        <v>30000</v>
      </c>
      <c r="F175" s="180"/>
    </row>
    <row r="176" spans="1:6" ht="20.100000000000001" customHeight="1">
      <c r="A176" s="191">
        <v>43</v>
      </c>
      <c r="B176" s="156" t="s">
        <v>296</v>
      </c>
      <c r="C176" s="161" t="s">
        <v>297</v>
      </c>
      <c r="D176" s="181" t="s">
        <v>298</v>
      </c>
      <c r="E176" s="276">
        <v>30000</v>
      </c>
      <c r="F176" s="180"/>
    </row>
    <row r="177" spans="1:6" ht="20.100000000000001" customHeight="1">
      <c r="A177" s="191">
        <v>44</v>
      </c>
      <c r="B177" s="156" t="s">
        <v>299</v>
      </c>
      <c r="C177" s="161" t="s">
        <v>300</v>
      </c>
      <c r="D177" s="181" t="s">
        <v>301</v>
      </c>
      <c r="E177" s="276">
        <v>30000</v>
      </c>
      <c r="F177" s="180"/>
    </row>
    <row r="178" spans="1:6" ht="20.100000000000001" customHeight="1">
      <c r="A178" s="191">
        <v>45</v>
      </c>
      <c r="B178" s="156" t="s">
        <v>302</v>
      </c>
      <c r="C178" s="161" t="s">
        <v>300</v>
      </c>
      <c r="D178" s="181" t="s">
        <v>301</v>
      </c>
      <c r="E178" s="276">
        <v>30000</v>
      </c>
      <c r="F178" s="180"/>
    </row>
    <row r="179" spans="1:6" ht="20.100000000000001" customHeight="1">
      <c r="A179" s="191">
        <v>46</v>
      </c>
      <c r="B179" s="156" t="s">
        <v>303</v>
      </c>
      <c r="C179" s="161" t="s">
        <v>300</v>
      </c>
      <c r="D179" s="181" t="s">
        <v>301</v>
      </c>
      <c r="E179" s="276">
        <v>30000</v>
      </c>
      <c r="F179" s="180"/>
    </row>
    <row r="180" spans="1:6" ht="20.100000000000001" customHeight="1">
      <c r="A180" s="191">
        <v>47</v>
      </c>
      <c r="B180" s="156" t="s">
        <v>304</v>
      </c>
      <c r="C180" s="161" t="s">
        <v>300</v>
      </c>
      <c r="D180" s="181" t="s">
        <v>301</v>
      </c>
      <c r="E180" s="276">
        <v>30000</v>
      </c>
      <c r="F180" s="180"/>
    </row>
    <row r="181" spans="1:6" ht="20.100000000000001" customHeight="1">
      <c r="A181" s="191">
        <v>48</v>
      </c>
      <c r="B181" s="156" t="s">
        <v>305</v>
      </c>
      <c r="C181" s="161" t="s">
        <v>300</v>
      </c>
      <c r="D181" s="181" t="s">
        <v>301</v>
      </c>
      <c r="E181" s="276">
        <v>30000</v>
      </c>
      <c r="F181" s="180"/>
    </row>
    <row r="182" spans="1:6" ht="20.100000000000001" customHeight="1">
      <c r="A182" s="191">
        <v>49</v>
      </c>
      <c r="B182" s="157" t="s">
        <v>306</v>
      </c>
      <c r="C182" s="161" t="s">
        <v>300</v>
      </c>
      <c r="D182" s="181" t="s">
        <v>301</v>
      </c>
      <c r="E182" s="276">
        <v>30000</v>
      </c>
      <c r="F182" s="180"/>
    </row>
    <row r="183" spans="1:6" ht="20.100000000000001" customHeight="1">
      <c r="A183" s="191">
        <v>50</v>
      </c>
      <c r="B183" s="157" t="s">
        <v>307</v>
      </c>
      <c r="C183" s="161" t="s">
        <v>300</v>
      </c>
      <c r="D183" s="181" t="s">
        <v>301</v>
      </c>
      <c r="E183" s="276">
        <v>30000</v>
      </c>
      <c r="F183" s="180"/>
    </row>
    <row r="184" spans="1:6" ht="20.100000000000001" customHeight="1">
      <c r="A184" s="191">
        <v>51</v>
      </c>
      <c r="B184" s="156" t="s">
        <v>308</v>
      </c>
      <c r="C184" s="161" t="s">
        <v>297</v>
      </c>
      <c r="D184" s="181" t="s">
        <v>301</v>
      </c>
      <c r="E184" s="276">
        <v>30000</v>
      </c>
      <c r="F184" s="180"/>
    </row>
    <row r="185" spans="1:6" ht="20.100000000000001" customHeight="1">
      <c r="A185" s="191">
        <v>52</v>
      </c>
      <c r="B185" s="156" t="s">
        <v>309</v>
      </c>
      <c r="C185" s="161" t="s">
        <v>297</v>
      </c>
      <c r="D185" s="181" t="s">
        <v>301</v>
      </c>
      <c r="E185" s="276">
        <v>30000</v>
      </c>
      <c r="F185" s="180"/>
    </row>
    <row r="186" spans="1:6" ht="20.100000000000001" customHeight="1">
      <c r="A186" s="191">
        <v>53</v>
      </c>
      <c r="B186" s="157" t="s">
        <v>310</v>
      </c>
      <c r="C186" s="161" t="s">
        <v>300</v>
      </c>
      <c r="D186" s="181" t="s">
        <v>412</v>
      </c>
      <c r="E186" s="276">
        <v>30000</v>
      </c>
      <c r="F186" s="180"/>
    </row>
    <row r="187" spans="1:6" ht="20.100000000000001" customHeight="1">
      <c r="A187" s="191">
        <v>54</v>
      </c>
      <c r="B187" s="157" t="s">
        <v>313</v>
      </c>
      <c r="C187" s="161" t="s">
        <v>300</v>
      </c>
      <c r="D187" s="181" t="s">
        <v>314</v>
      </c>
      <c r="E187" s="276">
        <v>30000</v>
      </c>
      <c r="F187" s="180"/>
    </row>
    <row r="188" spans="1:6" ht="20.100000000000001" customHeight="1">
      <c r="A188" s="191"/>
      <c r="B188" s="177" t="s">
        <v>86</v>
      </c>
      <c r="C188" s="193" t="s">
        <v>572</v>
      </c>
      <c r="D188" s="22"/>
      <c r="E188" s="287">
        <f>SUM(E135:E187)</f>
        <v>2475000</v>
      </c>
      <c r="F188" s="180"/>
    </row>
    <row r="189" spans="1:6" ht="9" customHeight="1">
      <c r="A189" s="191"/>
      <c r="B189" s="177"/>
      <c r="C189" s="193"/>
      <c r="D189" s="22"/>
      <c r="E189" s="287"/>
      <c r="F189" s="180"/>
    </row>
    <row r="190" spans="1:6" ht="30" customHeight="1">
      <c r="A190" s="20"/>
      <c r="B190" s="266" t="s">
        <v>325</v>
      </c>
      <c r="C190" s="267">
        <f>C36+C41+C56+C61+C77+C85+C98+C105+C115+C132+C188</f>
        <v>146</v>
      </c>
      <c r="D190" s="268"/>
      <c r="E190" s="269">
        <f>E188+E132+E120+E115+E105+E98+E85+E77+E61+E56+E41+E36</f>
        <v>11040000</v>
      </c>
      <c r="F190" s="180"/>
    </row>
    <row r="191" spans="1:6" ht="20.100000000000001" customHeight="1">
      <c r="B191" s="198"/>
      <c r="D191" s="199"/>
      <c r="E191" s="248"/>
      <c r="F191" s="202"/>
    </row>
    <row r="192" spans="1:6" ht="65.25" customHeight="1">
      <c r="B192" s="198"/>
      <c r="C192" s="199"/>
      <c r="D192" s="199"/>
      <c r="E192" s="249"/>
      <c r="F192" s="288">
        <f>'[8]Sallah Welfare June 2023 '!$D$73</f>
        <v>2842500</v>
      </c>
    </row>
    <row r="193" spans="6:6" ht="20.100000000000001" customHeight="1">
      <c r="F193" s="288">
        <v>830000</v>
      </c>
    </row>
    <row r="194" spans="6:6" ht="20.100000000000001" customHeight="1">
      <c r="F194" s="288">
        <f>E190</f>
        <v>11040000</v>
      </c>
    </row>
    <row r="195" spans="6:6" ht="20.100000000000001" customHeight="1">
      <c r="F195" s="288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4"/>
  <sheetViews>
    <sheetView view="pageBreakPreview" zoomScaleNormal="100" zoomScaleSheetLayoutView="100" workbookViewId="0">
      <pane xSplit="3" ySplit="7" topLeftCell="D165" activePane="bottomRight" state="frozen"/>
      <selection pane="bottomRight" activeCell="F169" sqref="F16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4.5703125" style="164" customWidth="1"/>
    <col min="3" max="3" width="37.5703125" style="164" customWidth="1"/>
    <col min="4" max="4" width="12.42578125" style="164" customWidth="1"/>
    <col min="5" max="5" width="21.5703125" style="164" customWidth="1"/>
    <col min="6" max="6" width="21.7109375" style="164" customWidth="1"/>
    <col min="7" max="10" width="9.140625" style="164"/>
    <col min="11" max="11" width="8.42578125" style="164" customWidth="1"/>
    <col min="12" max="16384" width="9.140625" style="164"/>
  </cols>
  <sheetData>
    <row r="1" spans="1:6" ht="27" customHeight="1">
      <c r="A1" s="270" t="s">
        <v>0</v>
      </c>
      <c r="B1" s="270"/>
      <c r="C1" s="270"/>
      <c r="D1" s="270"/>
      <c r="E1" s="270"/>
    </row>
    <row r="2" spans="1:6" ht="33.75" customHeight="1">
      <c r="A2" s="270" t="s">
        <v>552</v>
      </c>
      <c r="B2" s="166"/>
      <c r="C2" s="165"/>
      <c r="D2" s="165"/>
      <c r="E2" s="165"/>
    </row>
    <row r="3" spans="1:6" ht="9.75" customHeight="1"/>
    <row r="4" spans="1:6" ht="49.5" customHeight="1">
      <c r="A4" s="265"/>
      <c r="B4" s="272" t="s">
        <v>2</v>
      </c>
      <c r="C4" s="273" t="s">
        <v>3</v>
      </c>
      <c r="D4" s="274" t="s">
        <v>4</v>
      </c>
      <c r="E4" s="275" t="s">
        <v>553</v>
      </c>
    </row>
    <row r="5" spans="1:6" ht="17.25" customHeight="1">
      <c r="C5" s="177"/>
      <c r="D5" s="177"/>
      <c r="E5" s="216" t="s">
        <v>25</v>
      </c>
    </row>
    <row r="6" spans="1:6" ht="20.100000000000001" customHeight="1">
      <c r="A6" s="176" t="s">
        <v>26</v>
      </c>
      <c r="B6" s="177" t="s">
        <v>27</v>
      </c>
      <c r="C6" s="177"/>
      <c r="D6" s="177"/>
      <c r="E6" s="216"/>
    </row>
    <row r="7" spans="1:6" ht="20.100000000000001" customHeight="1">
      <c r="A7" s="28">
        <v>1</v>
      </c>
      <c r="B7" s="156" t="s">
        <v>28</v>
      </c>
      <c r="C7" s="161" t="s">
        <v>29</v>
      </c>
      <c r="D7" s="161" t="s">
        <v>30</v>
      </c>
      <c r="E7" s="276">
        <v>540000</v>
      </c>
      <c r="F7" s="180"/>
    </row>
    <row r="8" spans="1:6" ht="20.100000000000001" customHeight="1">
      <c r="A8" s="28">
        <v>2</v>
      </c>
      <c r="B8" s="156" t="s">
        <v>456</v>
      </c>
      <c r="C8" s="20" t="s">
        <v>554</v>
      </c>
      <c r="D8" s="28" t="s">
        <v>228</v>
      </c>
      <c r="E8" s="276">
        <v>180000</v>
      </c>
      <c r="F8" s="180"/>
    </row>
    <row r="9" spans="1:6" ht="20.100000000000001" customHeight="1">
      <c r="A9" s="28">
        <v>3</v>
      </c>
      <c r="B9" s="156" t="s">
        <v>31</v>
      </c>
      <c r="C9" s="161" t="s">
        <v>32</v>
      </c>
      <c r="D9" s="28" t="s">
        <v>33</v>
      </c>
      <c r="E9" s="276">
        <v>180000</v>
      </c>
      <c r="F9" s="180"/>
    </row>
    <row r="10" spans="1:6" ht="20.100000000000001" customHeight="1">
      <c r="A10" s="28">
        <v>4</v>
      </c>
      <c r="B10" s="158" t="s">
        <v>458</v>
      </c>
      <c r="C10" s="20" t="s">
        <v>35</v>
      </c>
      <c r="D10" s="181" t="s">
        <v>36</v>
      </c>
      <c r="E10" s="276">
        <v>180000</v>
      </c>
      <c r="F10" s="180"/>
    </row>
    <row r="11" spans="1:6" ht="20.100000000000001" customHeight="1">
      <c r="A11" s="28">
        <v>5</v>
      </c>
      <c r="B11" s="158" t="s">
        <v>176</v>
      </c>
      <c r="C11" s="20" t="s">
        <v>177</v>
      </c>
      <c r="D11" s="24" t="s">
        <v>36</v>
      </c>
      <c r="E11" s="276">
        <v>180000</v>
      </c>
      <c r="F11" s="180"/>
    </row>
    <row r="12" spans="1:6" ht="20.100000000000001" customHeight="1">
      <c r="A12" s="28">
        <v>6</v>
      </c>
      <c r="B12" s="156" t="s">
        <v>37</v>
      </c>
      <c r="C12" s="112" t="s">
        <v>38</v>
      </c>
      <c r="D12" s="24" t="s">
        <v>36</v>
      </c>
      <c r="E12" s="276">
        <v>180000</v>
      </c>
      <c r="F12" s="180"/>
    </row>
    <row r="13" spans="1:6" ht="20.100000000000001" customHeight="1">
      <c r="A13" s="28">
        <v>7</v>
      </c>
      <c r="B13" s="158" t="s">
        <v>39</v>
      </c>
      <c r="C13" s="20" t="s">
        <v>40</v>
      </c>
      <c r="D13" s="24" t="s">
        <v>36</v>
      </c>
      <c r="E13" s="276">
        <v>180000</v>
      </c>
      <c r="F13" s="180"/>
    </row>
    <row r="14" spans="1:6" ht="20.100000000000001" customHeight="1">
      <c r="A14" s="28">
        <v>8</v>
      </c>
      <c r="B14" s="156" t="s">
        <v>43</v>
      </c>
      <c r="C14" s="161" t="s">
        <v>44</v>
      </c>
      <c r="D14" s="181" t="s">
        <v>45</v>
      </c>
      <c r="E14" s="276">
        <v>126000</v>
      </c>
      <c r="F14" s="180"/>
    </row>
    <row r="15" spans="1:6" ht="20.100000000000001" customHeight="1">
      <c r="A15" s="28">
        <v>9</v>
      </c>
      <c r="B15" s="157" t="s">
        <v>148</v>
      </c>
      <c r="C15" s="161" t="s">
        <v>149</v>
      </c>
      <c r="D15" s="28" t="s">
        <v>122</v>
      </c>
      <c r="E15" s="276">
        <v>126000</v>
      </c>
      <c r="F15" s="180"/>
    </row>
    <row r="16" spans="1:6" ht="20.100000000000001" customHeight="1">
      <c r="A16" s="28">
        <v>10</v>
      </c>
      <c r="B16" s="160" t="s">
        <v>557</v>
      </c>
      <c r="C16" s="20" t="s">
        <v>558</v>
      </c>
      <c r="D16" s="24" t="s">
        <v>51</v>
      </c>
      <c r="E16" s="276">
        <v>90000</v>
      </c>
      <c r="F16" s="180"/>
    </row>
    <row r="17" spans="1:6" ht="19.5" customHeight="1">
      <c r="A17" s="28">
        <v>11</v>
      </c>
      <c r="B17" s="158" t="s">
        <v>459</v>
      </c>
      <c r="C17" s="20" t="s">
        <v>50</v>
      </c>
      <c r="D17" s="28" t="s">
        <v>51</v>
      </c>
      <c r="E17" s="276">
        <v>90000</v>
      </c>
      <c r="F17" s="180"/>
    </row>
    <row r="18" spans="1:6" ht="19.5" customHeight="1">
      <c r="A18" s="28">
        <v>12</v>
      </c>
      <c r="B18" s="158" t="s">
        <v>559</v>
      </c>
      <c r="C18" s="20" t="s">
        <v>560</v>
      </c>
      <c r="D18" s="28" t="s">
        <v>51</v>
      </c>
      <c r="E18" s="276">
        <v>90000</v>
      </c>
      <c r="F18" s="180"/>
    </row>
    <row r="19" spans="1:6" ht="20.100000000000001" customHeight="1">
      <c r="A19" s="28">
        <v>13</v>
      </c>
      <c r="B19" s="156" t="s">
        <v>49</v>
      </c>
      <c r="C19" s="20" t="s">
        <v>50</v>
      </c>
      <c r="D19" s="181" t="s">
        <v>51</v>
      </c>
      <c r="E19" s="276">
        <v>90000</v>
      </c>
      <c r="F19" s="180"/>
    </row>
    <row r="20" spans="1:6" ht="20.100000000000001" customHeight="1">
      <c r="A20" s="28">
        <v>14</v>
      </c>
      <c r="B20" s="156" t="s">
        <v>55</v>
      </c>
      <c r="C20" s="161" t="s">
        <v>56</v>
      </c>
      <c r="D20" s="181" t="s">
        <v>57</v>
      </c>
      <c r="E20" s="276">
        <v>90000</v>
      </c>
      <c r="F20" s="180"/>
    </row>
    <row r="21" spans="1:6" ht="20.100000000000001" customHeight="1">
      <c r="A21" s="28">
        <v>15</v>
      </c>
      <c r="B21" s="157" t="s">
        <v>58</v>
      </c>
      <c r="C21" s="20" t="s">
        <v>59</v>
      </c>
      <c r="D21" s="181" t="s">
        <v>60</v>
      </c>
      <c r="E21" s="276">
        <v>90000</v>
      </c>
      <c r="F21" s="180"/>
    </row>
    <row r="22" spans="1:6" ht="20.100000000000001" customHeight="1">
      <c r="A22" s="28">
        <v>16</v>
      </c>
      <c r="B22" s="156" t="s">
        <v>202</v>
      </c>
      <c r="C22" s="161" t="s">
        <v>203</v>
      </c>
      <c r="D22" s="181" t="s">
        <v>199</v>
      </c>
      <c r="E22" s="276">
        <v>54000</v>
      </c>
      <c r="F22" s="180"/>
    </row>
    <row r="23" spans="1:6" ht="18.75" customHeight="1">
      <c r="A23" s="28">
        <v>17</v>
      </c>
      <c r="B23" s="156" t="s">
        <v>61</v>
      </c>
      <c r="C23" s="161" t="s">
        <v>62</v>
      </c>
      <c r="D23" s="181" t="s">
        <v>63</v>
      </c>
      <c r="E23" s="276">
        <v>54000</v>
      </c>
      <c r="F23" s="180"/>
    </row>
    <row r="24" spans="1:6" ht="18.75" customHeight="1">
      <c r="A24" s="28">
        <v>18</v>
      </c>
      <c r="B24" s="157" t="s">
        <v>561</v>
      </c>
      <c r="C24" s="161" t="s">
        <v>83</v>
      </c>
      <c r="D24" s="181" t="s">
        <v>252</v>
      </c>
      <c r="E24" s="276">
        <v>54000</v>
      </c>
      <c r="F24" s="180"/>
    </row>
    <row r="25" spans="1:6" ht="18.75" customHeight="1">
      <c r="A25" s="28">
        <v>19</v>
      </c>
      <c r="B25" s="20" t="s">
        <v>67</v>
      </c>
      <c r="C25" s="20" t="s">
        <v>68</v>
      </c>
      <c r="D25" s="28" t="s">
        <v>69</v>
      </c>
      <c r="E25" s="276">
        <v>54000</v>
      </c>
      <c r="F25" s="180"/>
    </row>
    <row r="26" spans="1:6" ht="18.75" customHeight="1">
      <c r="A26" s="28">
        <v>20</v>
      </c>
      <c r="B26" s="157" t="s">
        <v>70</v>
      </c>
      <c r="C26" s="161" t="s">
        <v>68</v>
      </c>
      <c r="D26" s="181" t="s">
        <v>69</v>
      </c>
      <c r="E26" s="276">
        <v>54000</v>
      </c>
      <c r="F26" s="180"/>
    </row>
    <row r="27" spans="1:6" ht="18.75" customHeight="1">
      <c r="A27" s="28">
        <v>21</v>
      </c>
      <c r="B27" s="156" t="s">
        <v>460</v>
      </c>
      <c r="C27" s="161" t="s">
        <v>461</v>
      </c>
      <c r="D27" s="181" t="s">
        <v>69</v>
      </c>
      <c r="E27" s="276">
        <v>54000</v>
      </c>
      <c r="F27" s="180"/>
    </row>
    <row r="28" spans="1:6" ht="18.75" customHeight="1">
      <c r="A28" s="28">
        <v>22</v>
      </c>
      <c r="B28" s="157" t="s">
        <v>71</v>
      </c>
      <c r="C28" s="161" t="s">
        <v>404</v>
      </c>
      <c r="D28" s="181" t="s">
        <v>76</v>
      </c>
      <c r="E28" s="276">
        <v>54000</v>
      </c>
      <c r="F28" s="180"/>
    </row>
    <row r="29" spans="1:6" ht="18.75" customHeight="1">
      <c r="A29" s="28">
        <v>23</v>
      </c>
      <c r="B29" s="157" t="s">
        <v>74</v>
      </c>
      <c r="C29" s="20" t="s">
        <v>75</v>
      </c>
      <c r="D29" s="28" t="s">
        <v>76</v>
      </c>
      <c r="E29" s="276">
        <v>54000</v>
      </c>
      <c r="F29" s="180"/>
    </row>
    <row r="30" spans="1:6" ht="18.75" customHeight="1">
      <c r="A30" s="28">
        <v>24</v>
      </c>
      <c r="B30" s="157" t="s">
        <v>77</v>
      </c>
      <c r="C30" s="112" t="s">
        <v>78</v>
      </c>
      <c r="D30" s="181" t="s">
        <v>69</v>
      </c>
      <c r="E30" s="276">
        <v>54000</v>
      </c>
      <c r="F30" s="180"/>
    </row>
    <row r="31" spans="1:6" ht="18.75" customHeight="1">
      <c r="A31" s="28">
        <v>25</v>
      </c>
      <c r="B31" s="157" t="s">
        <v>79</v>
      </c>
      <c r="C31" s="20" t="s">
        <v>80</v>
      </c>
      <c r="D31" s="28" t="s">
        <v>81</v>
      </c>
      <c r="E31" s="276">
        <v>54000</v>
      </c>
      <c r="F31" s="180"/>
    </row>
    <row r="32" spans="1:6" ht="18.75" customHeight="1">
      <c r="A32" s="28">
        <v>26</v>
      </c>
      <c r="B32" s="157" t="s">
        <v>82</v>
      </c>
      <c r="C32" s="161" t="s">
        <v>83</v>
      </c>
      <c r="D32" s="181" t="s">
        <v>81</v>
      </c>
      <c r="E32" s="276">
        <v>54000</v>
      </c>
      <c r="F32" s="180"/>
    </row>
    <row r="33" spans="1:6" ht="18.75" customHeight="1">
      <c r="A33" s="28">
        <v>27</v>
      </c>
      <c r="B33" s="157" t="s">
        <v>562</v>
      </c>
      <c r="C33" s="161" t="s">
        <v>83</v>
      </c>
      <c r="D33" s="181" t="s">
        <v>81</v>
      </c>
      <c r="E33" s="276">
        <v>54000</v>
      </c>
      <c r="F33" s="180"/>
    </row>
    <row r="34" spans="1:6" ht="18.75" customHeight="1">
      <c r="A34" s="28">
        <v>28</v>
      </c>
      <c r="B34" s="157" t="s">
        <v>220</v>
      </c>
      <c r="C34" s="161" t="s">
        <v>221</v>
      </c>
      <c r="D34" s="181" t="s">
        <v>85</v>
      </c>
      <c r="E34" s="276">
        <v>54000</v>
      </c>
      <c r="F34" s="180"/>
    </row>
    <row r="35" spans="1:6" ht="26.25" customHeight="1">
      <c r="A35" s="28"/>
      <c r="B35" s="159" t="s">
        <v>86</v>
      </c>
      <c r="C35" s="29">
        <v>28</v>
      </c>
      <c r="D35" s="181"/>
      <c r="E35" s="277">
        <f>SUM(E7:E34)</f>
        <v>3114000</v>
      </c>
      <c r="F35" s="180"/>
    </row>
    <row r="36" spans="1:6" ht="18.75" customHeight="1">
      <c r="A36" s="28"/>
      <c r="B36" s="123"/>
      <c r="C36" s="20"/>
      <c r="D36" s="181"/>
      <c r="E36" s="278"/>
      <c r="F36" s="180"/>
    </row>
    <row r="37" spans="1:6" ht="18.75" customHeight="1">
      <c r="A37" s="28"/>
      <c r="B37" s="159" t="s">
        <v>87</v>
      </c>
      <c r="C37" s="20"/>
      <c r="D37" s="181"/>
      <c r="E37" s="276"/>
      <c r="F37" s="180"/>
    </row>
    <row r="38" spans="1:6" ht="18.75" customHeight="1">
      <c r="A38" s="28">
        <v>1</v>
      </c>
      <c r="B38" s="157" t="s">
        <v>88</v>
      </c>
      <c r="C38" s="20" t="s">
        <v>89</v>
      </c>
      <c r="D38" s="28" t="s">
        <v>90</v>
      </c>
      <c r="E38" s="276">
        <v>270000</v>
      </c>
      <c r="F38" s="180"/>
    </row>
    <row r="39" spans="1:6" ht="18.75" customHeight="1">
      <c r="A39" s="28">
        <v>2</v>
      </c>
      <c r="B39" s="157" t="s">
        <v>91</v>
      </c>
      <c r="C39" s="20" t="s">
        <v>92</v>
      </c>
      <c r="D39" s="28" t="s">
        <v>85</v>
      </c>
      <c r="E39" s="276">
        <v>54000</v>
      </c>
      <c r="F39" s="180"/>
    </row>
    <row r="40" spans="1:6" ht="19.5" customHeight="1">
      <c r="A40" s="28"/>
      <c r="B40" s="158"/>
      <c r="C40" s="29">
        <v>2</v>
      </c>
      <c r="D40" s="28"/>
      <c r="E40" s="277">
        <v>324000</v>
      </c>
      <c r="F40" s="180"/>
    </row>
    <row r="41" spans="1:6" ht="20.100000000000001" customHeight="1">
      <c r="A41" s="28"/>
      <c r="B41" s="158"/>
      <c r="C41" s="20"/>
      <c r="D41" s="28"/>
      <c r="E41" s="276"/>
      <c r="F41" s="180"/>
    </row>
    <row r="42" spans="1:6" ht="20.100000000000001" customHeight="1">
      <c r="A42" s="28"/>
      <c r="B42" s="185" t="s">
        <v>96</v>
      </c>
      <c r="C42" s="170"/>
      <c r="D42" s="174"/>
      <c r="E42" s="276"/>
      <c r="F42" s="180"/>
    </row>
    <row r="43" spans="1:6" ht="20.100000000000001" customHeight="1">
      <c r="A43" s="28">
        <v>1</v>
      </c>
      <c r="B43" s="156" t="s">
        <v>97</v>
      </c>
      <c r="C43" s="20" t="s">
        <v>98</v>
      </c>
      <c r="D43" s="28" t="s">
        <v>90</v>
      </c>
      <c r="E43" s="276">
        <v>270000</v>
      </c>
      <c r="F43" s="180"/>
    </row>
    <row r="44" spans="1:6" ht="20.100000000000001" customHeight="1">
      <c r="A44" s="28">
        <v>2</v>
      </c>
      <c r="B44" s="156" t="s">
        <v>99</v>
      </c>
      <c r="C44" s="20" t="s">
        <v>100</v>
      </c>
      <c r="D44" s="28" t="s">
        <v>45</v>
      </c>
      <c r="E44" s="276">
        <v>126000</v>
      </c>
      <c r="F44" s="180"/>
    </row>
    <row r="45" spans="1:6" ht="20.100000000000001" customHeight="1">
      <c r="A45" s="28">
        <v>3</v>
      </c>
      <c r="B45" s="156" t="s">
        <v>101</v>
      </c>
      <c r="C45" s="20" t="s">
        <v>102</v>
      </c>
      <c r="D45" s="28" t="s">
        <v>45</v>
      </c>
      <c r="E45" s="276">
        <v>126000</v>
      </c>
      <c r="F45" s="180"/>
    </row>
    <row r="46" spans="1:6" ht="20.100000000000001" customHeight="1">
      <c r="A46" s="28">
        <v>4</v>
      </c>
      <c r="B46" s="156" t="s">
        <v>103</v>
      </c>
      <c r="C46" s="20" t="s">
        <v>102</v>
      </c>
      <c r="D46" s="28" t="s">
        <v>45</v>
      </c>
      <c r="E46" s="276">
        <v>126000</v>
      </c>
      <c r="F46" s="180"/>
    </row>
    <row r="47" spans="1:6" ht="20.100000000000001" customHeight="1">
      <c r="A47" s="28">
        <v>5</v>
      </c>
      <c r="B47" s="156" t="s">
        <v>104</v>
      </c>
      <c r="C47" s="20" t="s">
        <v>102</v>
      </c>
      <c r="D47" s="28" t="s">
        <v>105</v>
      </c>
      <c r="E47" s="276">
        <v>126000</v>
      </c>
      <c r="F47" s="180"/>
    </row>
    <row r="48" spans="1:6" ht="20.100000000000001" customHeight="1">
      <c r="A48" s="28">
        <v>6</v>
      </c>
      <c r="B48" s="156" t="s">
        <v>106</v>
      </c>
      <c r="C48" s="20" t="s">
        <v>107</v>
      </c>
      <c r="D48" s="28" t="s">
        <v>51</v>
      </c>
      <c r="E48" s="276">
        <v>90000</v>
      </c>
      <c r="F48" s="180"/>
    </row>
    <row r="49" spans="1:6" ht="20.100000000000001" customHeight="1">
      <c r="A49" s="28">
        <v>7</v>
      </c>
      <c r="B49" s="158" t="s">
        <v>108</v>
      </c>
      <c r="C49" s="20" t="s">
        <v>109</v>
      </c>
      <c r="D49" s="24" t="s">
        <v>51</v>
      </c>
      <c r="E49" s="276">
        <v>90000</v>
      </c>
      <c r="F49" s="180"/>
    </row>
    <row r="50" spans="1:6" ht="20.100000000000001" customHeight="1">
      <c r="A50" s="28">
        <v>8</v>
      </c>
      <c r="B50" s="156" t="s">
        <v>464</v>
      </c>
      <c r="C50" s="20" t="s">
        <v>109</v>
      </c>
      <c r="D50" s="28" t="s">
        <v>134</v>
      </c>
      <c r="E50" s="276">
        <v>90000</v>
      </c>
      <c r="F50" s="180"/>
    </row>
    <row r="51" spans="1:6" ht="20.100000000000001" customHeight="1">
      <c r="A51" s="28">
        <v>9</v>
      </c>
      <c r="B51" s="156" t="s">
        <v>110</v>
      </c>
      <c r="C51" s="20" t="s">
        <v>164</v>
      </c>
      <c r="D51" s="28" t="s">
        <v>165</v>
      </c>
      <c r="E51" s="276">
        <v>90000</v>
      </c>
      <c r="F51" s="180"/>
    </row>
    <row r="52" spans="1:6" ht="20.100000000000001" customHeight="1">
      <c r="A52" s="28">
        <v>10</v>
      </c>
      <c r="B52" s="156" t="s">
        <v>114</v>
      </c>
      <c r="C52" s="20" t="s">
        <v>113</v>
      </c>
      <c r="D52" s="28" t="s">
        <v>73</v>
      </c>
      <c r="E52" s="276">
        <v>54000</v>
      </c>
      <c r="F52" s="180"/>
    </row>
    <row r="53" spans="1:6" ht="20.100000000000001" customHeight="1">
      <c r="A53" s="28">
        <v>11</v>
      </c>
      <c r="B53" s="156" t="s">
        <v>115</v>
      </c>
      <c r="C53" s="20" t="s">
        <v>113</v>
      </c>
      <c r="D53" s="28" t="s">
        <v>73</v>
      </c>
      <c r="E53" s="276">
        <v>54000</v>
      </c>
      <c r="F53" s="180"/>
    </row>
    <row r="54" spans="1:6" ht="20.100000000000001" customHeight="1">
      <c r="A54" s="28">
        <v>12</v>
      </c>
      <c r="B54" s="156" t="s">
        <v>116</v>
      </c>
      <c r="C54" s="20" t="s">
        <v>113</v>
      </c>
      <c r="D54" s="28" t="s">
        <v>73</v>
      </c>
      <c r="E54" s="276">
        <v>54000</v>
      </c>
      <c r="F54" s="180"/>
    </row>
    <row r="55" spans="1:6" ht="25.5" customHeight="1">
      <c r="A55" s="28"/>
      <c r="B55" s="159" t="s">
        <v>86</v>
      </c>
      <c r="C55" s="29">
        <v>12</v>
      </c>
      <c r="D55" s="29"/>
      <c r="E55" s="279">
        <v>1296000</v>
      </c>
      <c r="F55" s="180"/>
    </row>
    <row r="56" spans="1:6" ht="20.100000000000001" customHeight="1">
      <c r="A56" s="28"/>
      <c r="B56" s="123"/>
      <c r="C56" s="29"/>
      <c r="D56" s="29"/>
      <c r="E56" s="280"/>
      <c r="F56" s="180"/>
    </row>
    <row r="57" spans="1:6" ht="20.100000000000001" customHeight="1">
      <c r="A57" s="28"/>
      <c r="B57" s="159" t="s">
        <v>117</v>
      </c>
      <c r="C57" s="29"/>
      <c r="D57" s="29"/>
      <c r="E57" s="280"/>
      <c r="F57" s="180"/>
    </row>
    <row r="58" spans="1:6" ht="20.100000000000001" customHeight="1">
      <c r="A58" s="28">
        <v>1</v>
      </c>
      <c r="B58" s="156" t="s">
        <v>118</v>
      </c>
      <c r="C58" s="161" t="s">
        <v>119</v>
      </c>
      <c r="D58" s="181" t="s">
        <v>90</v>
      </c>
      <c r="E58" s="276">
        <v>270000</v>
      </c>
      <c r="F58" s="180"/>
    </row>
    <row r="59" spans="1:6" ht="20.100000000000001" customHeight="1">
      <c r="A59" s="28">
        <v>2</v>
      </c>
      <c r="B59" s="156" t="s">
        <v>120</v>
      </c>
      <c r="C59" s="161" t="s">
        <v>121</v>
      </c>
      <c r="D59" s="181" t="s">
        <v>122</v>
      </c>
      <c r="E59" s="276">
        <v>126000</v>
      </c>
      <c r="F59" s="180"/>
    </row>
    <row r="60" spans="1:6" ht="20.100000000000001" customHeight="1">
      <c r="A60" s="28"/>
      <c r="B60" s="159" t="s">
        <v>86</v>
      </c>
      <c r="C60" s="29">
        <v>2</v>
      </c>
      <c r="D60" s="29"/>
      <c r="E60" s="279">
        <v>396000</v>
      </c>
      <c r="F60" s="180"/>
    </row>
    <row r="61" spans="1:6" ht="20.100000000000001" customHeight="1">
      <c r="A61" s="28"/>
      <c r="B61" s="159"/>
      <c r="C61" s="29"/>
      <c r="D61" s="29"/>
      <c r="E61" s="280"/>
      <c r="F61" s="180"/>
    </row>
    <row r="62" spans="1:6" ht="20.100000000000001" customHeight="1">
      <c r="A62" s="28"/>
      <c r="B62" s="159" t="s">
        <v>123</v>
      </c>
      <c r="C62" s="29"/>
      <c r="D62" s="29"/>
      <c r="E62" s="280"/>
      <c r="F62" s="180"/>
    </row>
    <row r="63" spans="1:6" ht="20.100000000000001" customHeight="1">
      <c r="A63" s="28">
        <v>1</v>
      </c>
      <c r="B63" s="156" t="s">
        <v>124</v>
      </c>
      <c r="C63" s="112" t="s">
        <v>125</v>
      </c>
      <c r="D63" s="28" t="s">
        <v>90</v>
      </c>
      <c r="E63" s="281">
        <v>270000</v>
      </c>
      <c r="F63" s="180"/>
    </row>
    <row r="64" spans="1:6" ht="20.100000000000001" customHeight="1">
      <c r="A64" s="28">
        <v>2</v>
      </c>
      <c r="B64" s="157" t="s">
        <v>126</v>
      </c>
      <c r="C64" s="112" t="s">
        <v>127</v>
      </c>
      <c r="D64" s="181" t="s">
        <v>128</v>
      </c>
      <c r="E64" s="276">
        <v>126000</v>
      </c>
      <c r="F64" s="180"/>
    </row>
    <row r="65" spans="1:6" ht="20.100000000000001" customHeight="1">
      <c r="A65" s="28">
        <v>3</v>
      </c>
      <c r="B65" s="156" t="s">
        <v>129</v>
      </c>
      <c r="C65" s="20" t="s">
        <v>131</v>
      </c>
      <c r="D65" s="28" t="s">
        <v>165</v>
      </c>
      <c r="E65" s="281">
        <v>90000</v>
      </c>
      <c r="F65" s="180"/>
    </row>
    <row r="66" spans="1:6" ht="20.100000000000001" customHeight="1">
      <c r="A66" s="28">
        <v>4</v>
      </c>
      <c r="B66" s="157" t="s">
        <v>130</v>
      </c>
      <c r="C66" s="112" t="s">
        <v>131</v>
      </c>
      <c r="D66" s="181" t="s">
        <v>57</v>
      </c>
      <c r="E66" s="281">
        <v>90000</v>
      </c>
      <c r="F66" s="180"/>
    </row>
    <row r="67" spans="1:6" ht="20.100000000000001" customHeight="1">
      <c r="A67" s="28">
        <v>5</v>
      </c>
      <c r="B67" s="158" t="s">
        <v>132</v>
      </c>
      <c r="C67" s="112" t="s">
        <v>109</v>
      </c>
      <c r="D67" s="181" t="s">
        <v>51</v>
      </c>
      <c r="E67" s="281">
        <v>90000</v>
      </c>
      <c r="F67" s="180"/>
    </row>
    <row r="68" spans="1:6" ht="20.100000000000001" customHeight="1">
      <c r="A68" s="28">
        <v>6</v>
      </c>
      <c r="B68" s="158" t="s">
        <v>133</v>
      </c>
      <c r="C68" s="112" t="s">
        <v>109</v>
      </c>
      <c r="D68" s="181" t="s">
        <v>134</v>
      </c>
      <c r="E68" s="281">
        <v>90000</v>
      </c>
      <c r="F68" s="180"/>
    </row>
    <row r="69" spans="1:6" ht="20.100000000000001" customHeight="1">
      <c r="A69" s="28">
        <v>7</v>
      </c>
      <c r="B69" s="156" t="s">
        <v>135</v>
      </c>
      <c r="C69" s="20" t="s">
        <v>113</v>
      </c>
      <c r="D69" s="28" t="s">
        <v>66</v>
      </c>
      <c r="E69" s="276">
        <v>54000</v>
      </c>
      <c r="F69" s="180"/>
    </row>
    <row r="70" spans="1:6" ht="20.100000000000001" customHeight="1">
      <c r="A70" s="28">
        <v>8</v>
      </c>
      <c r="B70" s="156" t="s">
        <v>136</v>
      </c>
      <c r="C70" s="112" t="s">
        <v>137</v>
      </c>
      <c r="D70" s="181" t="s">
        <v>66</v>
      </c>
      <c r="E70" s="276">
        <v>54000</v>
      </c>
      <c r="F70" s="180"/>
    </row>
    <row r="71" spans="1:6" ht="20.100000000000001" customHeight="1">
      <c r="A71" s="28">
        <v>9</v>
      </c>
      <c r="B71" s="156" t="s">
        <v>138</v>
      </c>
      <c r="C71" s="112" t="s">
        <v>137</v>
      </c>
      <c r="D71" s="181" t="s">
        <v>66</v>
      </c>
      <c r="E71" s="276">
        <v>54000</v>
      </c>
      <c r="F71" s="180"/>
    </row>
    <row r="72" spans="1:6" ht="20.100000000000001" customHeight="1">
      <c r="A72" s="28">
        <v>10</v>
      </c>
      <c r="B72" s="156" t="s">
        <v>139</v>
      </c>
      <c r="C72" s="20" t="s">
        <v>140</v>
      </c>
      <c r="D72" s="28" t="s">
        <v>63</v>
      </c>
      <c r="E72" s="276">
        <v>54000</v>
      </c>
      <c r="F72" s="180"/>
    </row>
    <row r="73" spans="1:6" ht="20.100000000000001" customHeight="1">
      <c r="A73" s="28">
        <v>11</v>
      </c>
      <c r="B73" s="156" t="s">
        <v>563</v>
      </c>
      <c r="C73" s="112" t="s">
        <v>113</v>
      </c>
      <c r="D73" s="28" t="s">
        <v>154</v>
      </c>
      <c r="E73" s="276">
        <v>54000</v>
      </c>
      <c r="F73" s="180"/>
    </row>
    <row r="74" spans="1:6" ht="20.100000000000001" customHeight="1">
      <c r="A74" s="28">
        <v>12</v>
      </c>
      <c r="B74" s="156" t="s">
        <v>142</v>
      </c>
      <c r="C74" s="112" t="s">
        <v>65</v>
      </c>
      <c r="D74" s="28" t="s">
        <v>69</v>
      </c>
      <c r="E74" s="276">
        <v>54000</v>
      </c>
      <c r="F74" s="180"/>
    </row>
    <row r="75" spans="1:6" ht="20.100000000000001" customHeight="1">
      <c r="A75" s="28">
        <v>13</v>
      </c>
      <c r="B75" s="158" t="s">
        <v>64</v>
      </c>
      <c r="C75" s="112" t="s">
        <v>65</v>
      </c>
      <c r="D75" s="28" t="s">
        <v>81</v>
      </c>
      <c r="E75" s="276">
        <v>54000</v>
      </c>
      <c r="F75" s="180"/>
    </row>
    <row r="76" spans="1:6" ht="20.100000000000001" customHeight="1">
      <c r="A76" s="28"/>
      <c r="B76" s="159" t="s">
        <v>86</v>
      </c>
      <c r="C76" s="29">
        <v>13</v>
      </c>
      <c r="D76" s="29"/>
      <c r="E76" s="279">
        <v>1134000</v>
      </c>
      <c r="F76" s="180"/>
    </row>
    <row r="77" spans="1:6" ht="20.100000000000001" customHeight="1">
      <c r="A77" s="28"/>
      <c r="B77" s="123"/>
      <c r="C77" s="29"/>
      <c r="D77" s="29"/>
      <c r="E77" s="280"/>
      <c r="F77" s="180"/>
    </row>
    <row r="78" spans="1:6" ht="20.100000000000001" customHeight="1">
      <c r="A78" s="28"/>
      <c r="B78" s="159" t="s">
        <v>143</v>
      </c>
      <c r="C78" s="29"/>
      <c r="D78" s="29"/>
      <c r="E78" s="280"/>
      <c r="F78" s="180"/>
    </row>
    <row r="79" spans="1:6" ht="20.100000000000001" customHeight="1">
      <c r="A79" s="28">
        <v>1</v>
      </c>
      <c r="B79" s="156" t="s">
        <v>144</v>
      </c>
      <c r="C79" s="20" t="s">
        <v>145</v>
      </c>
      <c r="D79" s="28" t="s">
        <v>90</v>
      </c>
      <c r="E79" s="276">
        <v>270000</v>
      </c>
      <c r="F79" s="180"/>
    </row>
    <row r="80" spans="1:6" ht="20.100000000000001" customHeight="1">
      <c r="A80" s="28">
        <v>2</v>
      </c>
      <c r="B80" s="158" t="s">
        <v>146</v>
      </c>
      <c r="C80" s="20" t="s">
        <v>147</v>
      </c>
      <c r="D80" s="181" t="s">
        <v>128</v>
      </c>
      <c r="E80" s="276">
        <v>126000</v>
      </c>
      <c r="F80" s="180"/>
    </row>
    <row r="81" spans="1:6" ht="20.100000000000001" customHeight="1">
      <c r="A81" s="28">
        <v>3</v>
      </c>
      <c r="B81" s="158" t="s">
        <v>564</v>
      </c>
      <c r="C81" s="20" t="s">
        <v>565</v>
      </c>
      <c r="D81" s="181" t="s">
        <v>128</v>
      </c>
      <c r="E81" s="276">
        <v>126000</v>
      </c>
      <c r="F81" s="180"/>
    </row>
    <row r="82" spans="1:6" ht="20.100000000000001" customHeight="1">
      <c r="A82" s="28">
        <v>4</v>
      </c>
      <c r="B82" s="156" t="s">
        <v>150</v>
      </c>
      <c r="C82" s="20" t="s">
        <v>406</v>
      </c>
      <c r="D82" s="181" t="s">
        <v>165</v>
      </c>
      <c r="E82" s="276">
        <v>90000</v>
      </c>
      <c r="F82" s="180"/>
    </row>
    <row r="83" spans="1:6" ht="20.100000000000001" customHeight="1">
      <c r="A83" s="28">
        <v>5</v>
      </c>
      <c r="B83" s="156" t="s">
        <v>152</v>
      </c>
      <c r="C83" s="20" t="s">
        <v>153</v>
      </c>
      <c r="D83" s="28" t="s">
        <v>154</v>
      </c>
      <c r="E83" s="276">
        <v>54000</v>
      </c>
      <c r="F83" s="180"/>
    </row>
    <row r="84" spans="1:6" ht="20.100000000000001" customHeight="1">
      <c r="A84" s="28"/>
      <c r="B84" s="159" t="s">
        <v>86</v>
      </c>
      <c r="C84" s="29">
        <v>5</v>
      </c>
      <c r="D84" s="29"/>
      <c r="E84" s="279">
        <v>666000</v>
      </c>
      <c r="F84" s="180"/>
    </row>
    <row r="85" spans="1:6" ht="20.100000000000001" customHeight="1">
      <c r="A85" s="28"/>
      <c r="B85" s="159"/>
      <c r="C85" s="29"/>
      <c r="D85" s="29"/>
      <c r="E85" s="276"/>
      <c r="F85" s="180"/>
    </row>
    <row r="86" spans="1:6" ht="20.100000000000001" customHeight="1">
      <c r="A86" s="28"/>
      <c r="B86" s="159" t="s">
        <v>158</v>
      </c>
      <c r="C86" s="186"/>
      <c r="D86" s="29"/>
      <c r="E86" s="276"/>
      <c r="F86" s="180"/>
    </row>
    <row r="87" spans="1:6" ht="20.100000000000001" customHeight="1">
      <c r="A87" s="28">
        <v>1</v>
      </c>
      <c r="B87" s="156" t="s">
        <v>159</v>
      </c>
      <c r="C87" s="20" t="s">
        <v>102</v>
      </c>
      <c r="D87" s="28" t="s">
        <v>45</v>
      </c>
      <c r="E87" s="276">
        <v>126000</v>
      </c>
      <c r="F87" s="180"/>
    </row>
    <row r="88" spans="1:6" ht="20.100000000000001" customHeight="1">
      <c r="A88" s="28">
        <v>2</v>
      </c>
      <c r="B88" s="156" t="s">
        <v>160</v>
      </c>
      <c r="C88" s="20" t="s">
        <v>102</v>
      </c>
      <c r="D88" s="28" t="s">
        <v>45</v>
      </c>
      <c r="E88" s="276">
        <v>126000</v>
      </c>
      <c r="F88" s="180"/>
    </row>
    <row r="89" spans="1:6" ht="20.100000000000001" customHeight="1">
      <c r="A89" s="28">
        <v>3</v>
      </c>
      <c r="B89" s="158" t="s">
        <v>161</v>
      </c>
      <c r="C89" s="20" t="s">
        <v>109</v>
      </c>
      <c r="D89" s="28" t="s">
        <v>405</v>
      </c>
      <c r="E89" s="281">
        <v>90000</v>
      </c>
      <c r="F89" s="180"/>
    </row>
    <row r="90" spans="1:6" ht="20.100000000000001" customHeight="1">
      <c r="A90" s="28">
        <v>4</v>
      </c>
      <c r="B90" s="156" t="s">
        <v>162</v>
      </c>
      <c r="C90" s="20" t="s">
        <v>107</v>
      </c>
      <c r="D90" s="28" t="s">
        <v>51</v>
      </c>
      <c r="E90" s="281">
        <v>90000</v>
      </c>
      <c r="F90" s="180"/>
    </row>
    <row r="91" spans="1:6" ht="21.6" customHeight="1">
      <c r="A91" s="28">
        <v>5</v>
      </c>
      <c r="B91" s="156" t="s">
        <v>163</v>
      </c>
      <c r="C91" s="20" t="s">
        <v>164</v>
      </c>
      <c r="D91" s="181" t="s">
        <v>165</v>
      </c>
      <c r="E91" s="281">
        <v>90000</v>
      </c>
      <c r="F91" s="180"/>
    </row>
    <row r="92" spans="1:6" ht="21.6" customHeight="1">
      <c r="A92" s="28">
        <v>6</v>
      </c>
      <c r="B92" s="156" t="s">
        <v>166</v>
      </c>
      <c r="C92" s="161" t="s">
        <v>131</v>
      </c>
      <c r="D92" s="181" t="s">
        <v>57</v>
      </c>
      <c r="E92" s="281">
        <v>90000</v>
      </c>
      <c r="F92" s="180"/>
    </row>
    <row r="93" spans="1:6" ht="21.6" customHeight="1">
      <c r="A93" s="28">
        <v>7</v>
      </c>
      <c r="B93" s="156" t="s">
        <v>167</v>
      </c>
      <c r="C93" s="161" t="s">
        <v>131</v>
      </c>
      <c r="D93" s="181" t="s">
        <v>57</v>
      </c>
      <c r="E93" s="281">
        <v>90000</v>
      </c>
      <c r="F93" s="180"/>
    </row>
    <row r="94" spans="1:6" ht="21.6" customHeight="1">
      <c r="A94" s="28">
        <v>8</v>
      </c>
      <c r="B94" s="156" t="s">
        <v>169</v>
      </c>
      <c r="C94" s="112" t="s">
        <v>137</v>
      </c>
      <c r="D94" s="181" t="s">
        <v>66</v>
      </c>
      <c r="E94" s="276">
        <v>54000</v>
      </c>
      <c r="F94" s="180"/>
    </row>
    <row r="95" spans="1:6" ht="21.6" customHeight="1">
      <c r="A95" s="28">
        <v>9</v>
      </c>
      <c r="B95" s="156" t="s">
        <v>171</v>
      </c>
      <c r="C95" s="20" t="s">
        <v>172</v>
      </c>
      <c r="D95" s="28" t="s">
        <v>95</v>
      </c>
      <c r="E95" s="276">
        <v>54000</v>
      </c>
      <c r="F95" s="180"/>
    </row>
    <row r="96" spans="1:6" ht="21.6" customHeight="1">
      <c r="A96" s="28">
        <v>10</v>
      </c>
      <c r="B96" s="156" t="s">
        <v>173</v>
      </c>
      <c r="C96" s="112" t="s">
        <v>174</v>
      </c>
      <c r="D96" s="181" t="s">
        <v>81</v>
      </c>
      <c r="E96" s="276">
        <v>54000</v>
      </c>
      <c r="F96" s="180"/>
    </row>
    <row r="97" spans="1:6" ht="20.100000000000001" customHeight="1">
      <c r="A97" s="28"/>
      <c r="B97" s="159" t="s">
        <v>86</v>
      </c>
      <c r="C97" s="29">
        <v>10</v>
      </c>
      <c r="D97" s="29"/>
      <c r="E97" s="279">
        <v>864000</v>
      </c>
      <c r="F97" s="180"/>
    </row>
    <row r="98" spans="1:6" ht="20.100000000000001" customHeight="1">
      <c r="A98" s="28"/>
      <c r="B98" s="123"/>
      <c r="C98" s="29"/>
      <c r="D98" s="29"/>
      <c r="E98" s="280"/>
      <c r="F98" s="180"/>
    </row>
    <row r="99" spans="1:6" ht="20.100000000000001" customHeight="1">
      <c r="A99" s="28"/>
      <c r="B99" s="159" t="s">
        <v>175</v>
      </c>
      <c r="C99" s="29"/>
      <c r="D99" s="29"/>
      <c r="E99" s="280"/>
      <c r="F99" s="180"/>
    </row>
    <row r="100" spans="1:6" ht="20.100000000000001" customHeight="1">
      <c r="A100" s="28">
        <v>1</v>
      </c>
      <c r="B100" s="157" t="s">
        <v>41</v>
      </c>
      <c r="C100" s="28" t="s">
        <v>42</v>
      </c>
      <c r="D100" s="181" t="s">
        <v>36</v>
      </c>
      <c r="E100" s="276">
        <v>180000</v>
      </c>
      <c r="F100" s="180"/>
    </row>
    <row r="101" spans="1:6" ht="20.100000000000001" customHeight="1">
      <c r="A101" s="28">
        <v>2</v>
      </c>
      <c r="B101" s="156" t="s">
        <v>46</v>
      </c>
      <c r="C101" s="20" t="s">
        <v>179</v>
      </c>
      <c r="D101" s="28" t="s">
        <v>51</v>
      </c>
      <c r="E101" s="276">
        <v>90000</v>
      </c>
      <c r="F101" s="180"/>
    </row>
    <row r="102" spans="1:6" ht="20.100000000000001" customHeight="1">
      <c r="A102" s="28">
        <v>3</v>
      </c>
      <c r="B102" s="156" t="s">
        <v>180</v>
      </c>
      <c r="C102" s="20" t="s">
        <v>181</v>
      </c>
      <c r="D102" s="181" t="s">
        <v>63</v>
      </c>
      <c r="E102" s="276">
        <v>54000</v>
      </c>
      <c r="F102" s="180"/>
    </row>
    <row r="103" spans="1:6" ht="20.100000000000001" customHeight="1">
      <c r="A103" s="28">
        <v>4</v>
      </c>
      <c r="B103" s="156" t="s">
        <v>566</v>
      </c>
      <c r="C103" s="20" t="s">
        <v>567</v>
      </c>
      <c r="D103" s="181" t="s">
        <v>76</v>
      </c>
      <c r="E103" s="276">
        <v>54000</v>
      </c>
      <c r="F103" s="180"/>
    </row>
    <row r="104" spans="1:6" ht="20.100000000000001" customHeight="1">
      <c r="A104" s="20"/>
      <c r="B104" s="159" t="s">
        <v>86</v>
      </c>
      <c r="C104" s="29">
        <v>3</v>
      </c>
      <c r="D104" s="187"/>
      <c r="E104" s="279">
        <v>378000</v>
      </c>
      <c r="F104" s="180"/>
    </row>
    <row r="105" spans="1:6" ht="20.100000000000001" customHeight="1">
      <c r="A105" s="20"/>
      <c r="B105" s="123"/>
      <c r="C105" s="29"/>
      <c r="D105" s="187"/>
      <c r="E105" s="280"/>
      <c r="F105" s="180"/>
    </row>
    <row r="106" spans="1:6" ht="20.100000000000001" customHeight="1">
      <c r="A106" s="20"/>
      <c r="B106" s="159" t="s">
        <v>184</v>
      </c>
      <c r="C106" s="20"/>
      <c r="D106" s="20"/>
      <c r="E106" s="282"/>
      <c r="F106" s="180"/>
    </row>
    <row r="107" spans="1:6" ht="20.100000000000001" customHeight="1">
      <c r="A107" s="20">
        <v>1</v>
      </c>
      <c r="B107" s="156" t="s">
        <v>185</v>
      </c>
      <c r="C107" s="161" t="s">
        <v>186</v>
      </c>
      <c r="D107" s="181" t="s">
        <v>90</v>
      </c>
      <c r="E107" s="276">
        <v>270000</v>
      </c>
      <c r="F107" s="180"/>
    </row>
    <row r="108" spans="1:6" ht="20.100000000000001" customHeight="1">
      <c r="A108" s="20">
        <v>2</v>
      </c>
      <c r="B108" s="156" t="s">
        <v>187</v>
      </c>
      <c r="C108" s="20" t="s">
        <v>188</v>
      </c>
      <c r="D108" s="24" t="s">
        <v>36</v>
      </c>
      <c r="E108" s="276">
        <v>180000</v>
      </c>
      <c r="F108" s="180"/>
    </row>
    <row r="109" spans="1:6" ht="20.100000000000001" customHeight="1">
      <c r="A109" s="20">
        <v>3</v>
      </c>
      <c r="B109" s="156" t="s">
        <v>189</v>
      </c>
      <c r="C109" s="20" t="s">
        <v>190</v>
      </c>
      <c r="D109" s="28" t="s">
        <v>54</v>
      </c>
      <c r="E109" s="276">
        <v>90000</v>
      </c>
      <c r="F109" s="180"/>
    </row>
    <row r="110" spans="1:6" ht="20.100000000000001" customHeight="1">
      <c r="A110" s="20">
        <v>4</v>
      </c>
      <c r="B110" s="156" t="s">
        <v>191</v>
      </c>
      <c r="C110" s="20" t="s">
        <v>190</v>
      </c>
      <c r="D110" s="28" t="s">
        <v>54</v>
      </c>
      <c r="E110" s="276">
        <v>90000</v>
      </c>
      <c r="F110" s="180"/>
    </row>
    <row r="111" spans="1:6" ht="20.100000000000001" customHeight="1">
      <c r="A111" s="20">
        <v>5</v>
      </c>
      <c r="B111" s="156" t="s">
        <v>192</v>
      </c>
      <c r="C111" s="20" t="s">
        <v>193</v>
      </c>
      <c r="D111" s="181" t="s">
        <v>194</v>
      </c>
      <c r="E111" s="276">
        <v>54000</v>
      </c>
      <c r="F111" s="180"/>
    </row>
    <row r="112" spans="1:6" ht="20.100000000000001" customHeight="1">
      <c r="A112" s="20">
        <v>6</v>
      </c>
      <c r="B112" s="157" t="s">
        <v>195</v>
      </c>
      <c r="C112" s="20" t="s">
        <v>193</v>
      </c>
      <c r="D112" s="28" t="s">
        <v>76</v>
      </c>
      <c r="E112" s="276">
        <v>54000</v>
      </c>
      <c r="F112" s="180"/>
    </row>
    <row r="113" spans="1:6" ht="20.100000000000001" customHeight="1">
      <c r="A113" s="20">
        <v>7</v>
      </c>
      <c r="B113" s="157" t="s">
        <v>196</v>
      </c>
      <c r="C113" s="20" t="s">
        <v>193</v>
      </c>
      <c r="D113" s="181" t="s">
        <v>81</v>
      </c>
      <c r="E113" s="276">
        <v>54000</v>
      </c>
      <c r="F113" s="180"/>
    </row>
    <row r="114" spans="1:6" ht="20.100000000000001" customHeight="1">
      <c r="A114" s="20"/>
      <c r="B114" s="159" t="s">
        <v>86</v>
      </c>
      <c r="C114" s="29">
        <v>7</v>
      </c>
      <c r="D114" s="20"/>
      <c r="E114" s="283">
        <v>792000</v>
      </c>
      <c r="F114" s="180"/>
    </row>
    <row r="115" spans="1:6" ht="20.100000000000001" customHeight="1">
      <c r="A115" s="20"/>
      <c r="B115" s="159"/>
      <c r="C115" s="29"/>
      <c r="D115" s="20"/>
      <c r="E115" s="283"/>
      <c r="F115" s="180"/>
    </row>
    <row r="116" spans="1:6" ht="43.5" customHeight="1">
      <c r="A116" s="28"/>
      <c r="B116" s="159" t="s">
        <v>573</v>
      </c>
      <c r="C116" s="29"/>
      <c r="D116" s="29"/>
      <c r="E116" s="283"/>
      <c r="F116" s="180"/>
    </row>
    <row r="117" spans="1:6" ht="27" customHeight="1">
      <c r="A117" s="28">
        <v>1</v>
      </c>
      <c r="B117" s="156" t="s">
        <v>198</v>
      </c>
      <c r="C117" s="112" t="s">
        <v>137</v>
      </c>
      <c r="D117" s="181" t="s">
        <v>199</v>
      </c>
      <c r="E117" s="276">
        <v>54000</v>
      </c>
      <c r="F117" s="180"/>
    </row>
    <row r="118" spans="1:6" ht="27" customHeight="1">
      <c r="A118" s="28">
        <v>2</v>
      </c>
      <c r="B118" s="156" t="s">
        <v>200</v>
      </c>
      <c r="C118" s="20" t="s">
        <v>201</v>
      </c>
      <c r="D118" s="181" t="s">
        <v>63</v>
      </c>
      <c r="E118" s="276">
        <v>54000</v>
      </c>
      <c r="F118" s="180"/>
    </row>
    <row r="119" spans="1:6" ht="27" customHeight="1">
      <c r="A119" s="20"/>
      <c r="B119" s="159" t="s">
        <v>86</v>
      </c>
      <c r="C119" s="29">
        <v>2</v>
      </c>
      <c r="D119" s="187"/>
      <c r="E119" s="283">
        <v>108000</v>
      </c>
      <c r="F119" s="180"/>
    </row>
    <row r="120" spans="1:6" ht="20.100000000000001" customHeight="1">
      <c r="A120" s="20"/>
      <c r="B120" s="123"/>
      <c r="C120" s="28"/>
      <c r="D120" s="20"/>
      <c r="E120" s="284"/>
      <c r="F120" s="180"/>
    </row>
    <row r="121" spans="1:6" ht="20.100000000000001" customHeight="1">
      <c r="A121" s="20"/>
      <c r="B121" s="159" t="s">
        <v>204</v>
      </c>
      <c r="C121" s="29"/>
      <c r="D121" s="29"/>
      <c r="E121" s="276"/>
      <c r="F121" s="180"/>
    </row>
    <row r="122" spans="1:6" ht="20.100000000000001" customHeight="1">
      <c r="A122" s="20">
        <v>1</v>
      </c>
      <c r="B122" s="156" t="s">
        <v>205</v>
      </c>
      <c r="C122" s="161" t="s">
        <v>206</v>
      </c>
      <c r="D122" s="181" t="s">
        <v>90</v>
      </c>
      <c r="E122" s="276">
        <v>270000</v>
      </c>
      <c r="F122" s="180"/>
    </row>
    <row r="123" spans="1:6" ht="20.100000000000001" customHeight="1">
      <c r="A123" s="20">
        <v>2</v>
      </c>
      <c r="B123" s="156" t="s">
        <v>207</v>
      </c>
      <c r="C123" s="161" t="s">
        <v>208</v>
      </c>
      <c r="D123" s="181" t="s">
        <v>45</v>
      </c>
      <c r="E123" s="276">
        <v>126000</v>
      </c>
      <c r="F123" s="180"/>
    </row>
    <row r="124" spans="1:6" ht="20.100000000000001" customHeight="1">
      <c r="A124" s="20">
        <v>3</v>
      </c>
      <c r="B124" s="158" t="s">
        <v>209</v>
      </c>
      <c r="C124" s="161" t="s">
        <v>208</v>
      </c>
      <c r="D124" s="181" t="s">
        <v>45</v>
      </c>
      <c r="E124" s="276">
        <v>126000</v>
      </c>
      <c r="F124" s="180"/>
    </row>
    <row r="125" spans="1:6" ht="20.100000000000001" customHeight="1">
      <c r="A125" s="20">
        <v>4</v>
      </c>
      <c r="B125" s="158" t="s">
        <v>210</v>
      </c>
      <c r="C125" s="161" t="s">
        <v>208</v>
      </c>
      <c r="D125" s="181" t="s">
        <v>48</v>
      </c>
      <c r="E125" s="276">
        <v>126000</v>
      </c>
      <c r="F125" s="180"/>
    </row>
    <row r="126" spans="1:6" ht="20.100000000000001" customHeight="1">
      <c r="A126" s="20">
        <v>5</v>
      </c>
      <c r="B126" s="156" t="s">
        <v>211</v>
      </c>
      <c r="C126" s="161" t="s">
        <v>212</v>
      </c>
      <c r="D126" s="181" t="s">
        <v>134</v>
      </c>
      <c r="E126" s="276">
        <v>90000</v>
      </c>
      <c r="F126" s="180"/>
    </row>
    <row r="127" spans="1:6" ht="20.100000000000001" customHeight="1">
      <c r="A127" s="20">
        <v>6</v>
      </c>
      <c r="B127" s="156" t="s">
        <v>213</v>
      </c>
      <c r="C127" s="161" t="s">
        <v>214</v>
      </c>
      <c r="D127" s="181" t="s">
        <v>165</v>
      </c>
      <c r="E127" s="276">
        <v>90000</v>
      </c>
      <c r="F127" s="180"/>
    </row>
    <row r="128" spans="1:6" ht="20.100000000000001" customHeight="1">
      <c r="A128" s="20">
        <v>7</v>
      </c>
      <c r="B128" s="156" t="s">
        <v>215</v>
      </c>
      <c r="C128" s="161" t="s">
        <v>408</v>
      </c>
      <c r="D128" s="181" t="s">
        <v>165</v>
      </c>
      <c r="E128" s="276">
        <v>90000</v>
      </c>
      <c r="F128" s="180"/>
    </row>
    <row r="129" spans="1:6" ht="20.100000000000001" customHeight="1">
      <c r="A129" s="20">
        <v>8</v>
      </c>
      <c r="B129" s="156" t="s">
        <v>216</v>
      </c>
      <c r="C129" s="161" t="s">
        <v>217</v>
      </c>
      <c r="D129" s="28" t="s">
        <v>69</v>
      </c>
      <c r="E129" s="276">
        <v>54000</v>
      </c>
      <c r="F129" s="180"/>
    </row>
    <row r="130" spans="1:6" ht="20.100000000000001" customHeight="1">
      <c r="A130" s="20">
        <v>9</v>
      </c>
      <c r="B130" s="157" t="s">
        <v>218</v>
      </c>
      <c r="C130" s="161" t="s">
        <v>219</v>
      </c>
      <c r="D130" s="181" t="s">
        <v>81</v>
      </c>
      <c r="E130" s="276">
        <v>54000</v>
      </c>
      <c r="F130" s="180"/>
    </row>
    <row r="131" spans="1:6" ht="20.100000000000001" customHeight="1">
      <c r="A131" s="20"/>
      <c r="B131" s="159" t="s">
        <v>86</v>
      </c>
      <c r="C131" s="187" t="s">
        <v>568</v>
      </c>
      <c r="D131" s="181"/>
      <c r="E131" s="285">
        <v>1026000</v>
      </c>
      <c r="F131" s="180"/>
    </row>
    <row r="132" spans="1:6" ht="20.100000000000001" customHeight="1">
      <c r="A132" s="20"/>
      <c r="B132" s="123"/>
      <c r="C132" s="187"/>
      <c r="D132" s="181"/>
      <c r="E132" s="286"/>
      <c r="F132" s="180"/>
    </row>
    <row r="133" spans="1:6" ht="20.100000000000001" customHeight="1">
      <c r="A133" s="20"/>
      <c r="B133" s="159" t="s">
        <v>223</v>
      </c>
      <c r="C133" s="161"/>
      <c r="D133" s="181"/>
      <c r="E133" s="276"/>
      <c r="F133" s="180"/>
    </row>
    <row r="134" spans="1:6" ht="20.100000000000001" customHeight="1">
      <c r="A134" s="191">
        <v>1</v>
      </c>
      <c r="B134" s="156" t="s">
        <v>224</v>
      </c>
      <c r="C134" s="161" t="s">
        <v>225</v>
      </c>
      <c r="D134" s="181" t="s">
        <v>90</v>
      </c>
      <c r="E134" s="276">
        <v>270000</v>
      </c>
      <c r="F134" s="180"/>
    </row>
    <row r="135" spans="1:6" ht="20.100000000000001" customHeight="1">
      <c r="A135" s="191">
        <v>2</v>
      </c>
      <c r="B135" s="156" t="s">
        <v>226</v>
      </c>
      <c r="C135" s="161" t="s">
        <v>227</v>
      </c>
      <c r="D135" s="181" t="s">
        <v>228</v>
      </c>
      <c r="E135" s="276">
        <v>180000</v>
      </c>
      <c r="F135" s="180"/>
    </row>
    <row r="136" spans="1:6" ht="20.100000000000001" customHeight="1">
      <c r="A136" s="191">
        <v>3</v>
      </c>
      <c r="B136" s="158" t="s">
        <v>229</v>
      </c>
      <c r="C136" s="20" t="s">
        <v>230</v>
      </c>
      <c r="D136" s="24" t="s">
        <v>36</v>
      </c>
      <c r="E136" s="276">
        <v>180000</v>
      </c>
      <c r="F136" s="180"/>
    </row>
    <row r="137" spans="1:6" ht="20.100000000000001" customHeight="1">
      <c r="A137" s="191">
        <v>4</v>
      </c>
      <c r="B137" s="156" t="s">
        <v>231</v>
      </c>
      <c r="C137" s="161" t="s">
        <v>232</v>
      </c>
      <c r="D137" s="181" t="s">
        <v>51</v>
      </c>
      <c r="E137" s="276">
        <v>90000</v>
      </c>
      <c r="F137" s="180"/>
    </row>
    <row r="138" spans="1:6" ht="20.100000000000001" customHeight="1">
      <c r="A138" s="191">
        <v>5</v>
      </c>
      <c r="B138" s="156" t="s">
        <v>233</v>
      </c>
      <c r="C138" s="20" t="s">
        <v>234</v>
      </c>
      <c r="D138" s="181" t="s">
        <v>51</v>
      </c>
      <c r="E138" s="276">
        <v>90000</v>
      </c>
      <c r="F138" s="180"/>
    </row>
    <row r="139" spans="1:6" ht="20.100000000000001" customHeight="1">
      <c r="A139" s="191">
        <v>6</v>
      </c>
      <c r="B139" s="156" t="s">
        <v>178</v>
      </c>
      <c r="C139" s="20" t="s">
        <v>240</v>
      </c>
      <c r="D139" s="181" t="s">
        <v>165</v>
      </c>
      <c r="E139" s="276">
        <v>90000</v>
      </c>
      <c r="F139" s="180"/>
    </row>
    <row r="140" spans="1:6" ht="20.100000000000001" customHeight="1">
      <c r="A140" s="191">
        <v>7</v>
      </c>
      <c r="B140" s="156" t="s">
        <v>236</v>
      </c>
      <c r="C140" s="161" t="s">
        <v>237</v>
      </c>
      <c r="D140" s="181" t="s">
        <v>199</v>
      </c>
      <c r="E140" s="276">
        <v>54000</v>
      </c>
      <c r="F140" s="180"/>
    </row>
    <row r="141" spans="1:6" ht="20.100000000000001" customHeight="1">
      <c r="A141" s="191">
        <v>8</v>
      </c>
      <c r="B141" s="156" t="s">
        <v>238</v>
      </c>
      <c r="C141" s="161" t="s">
        <v>237</v>
      </c>
      <c r="D141" s="181" t="s">
        <v>199</v>
      </c>
      <c r="E141" s="276">
        <v>54000</v>
      </c>
      <c r="F141" s="180"/>
    </row>
    <row r="142" spans="1:6" ht="20.100000000000001" customHeight="1">
      <c r="A142" s="191">
        <v>9</v>
      </c>
      <c r="B142" s="156" t="s">
        <v>239</v>
      </c>
      <c r="C142" s="20" t="s">
        <v>240</v>
      </c>
      <c r="D142" s="181" t="s">
        <v>199</v>
      </c>
      <c r="E142" s="276">
        <v>54000</v>
      </c>
      <c r="F142" s="180"/>
    </row>
    <row r="143" spans="1:6" ht="20.100000000000001" customHeight="1">
      <c r="A143" s="191">
        <v>10</v>
      </c>
      <c r="B143" s="156" t="s">
        <v>241</v>
      </c>
      <c r="C143" s="161" t="s">
        <v>246</v>
      </c>
      <c r="D143" s="181" t="s">
        <v>63</v>
      </c>
      <c r="E143" s="276">
        <v>54000</v>
      </c>
      <c r="F143" s="180"/>
    </row>
    <row r="144" spans="1:6" ht="20.100000000000001" customHeight="1">
      <c r="A144" s="191">
        <v>11</v>
      </c>
      <c r="B144" s="156" t="s">
        <v>243</v>
      </c>
      <c r="C144" s="161" t="s">
        <v>410</v>
      </c>
      <c r="D144" s="181" t="s">
        <v>411</v>
      </c>
      <c r="E144" s="276">
        <v>54000</v>
      </c>
      <c r="F144" s="180"/>
    </row>
    <row r="145" spans="1:6" ht="20.100000000000001" customHeight="1">
      <c r="A145" s="191">
        <v>12</v>
      </c>
      <c r="B145" s="156" t="s">
        <v>245</v>
      </c>
      <c r="C145" s="161" t="s">
        <v>246</v>
      </c>
      <c r="D145" s="181" t="s">
        <v>199</v>
      </c>
      <c r="E145" s="276">
        <v>54000</v>
      </c>
      <c r="F145" s="180"/>
    </row>
    <row r="146" spans="1:6" ht="20.100000000000001" customHeight="1">
      <c r="A146" s="191">
        <v>13</v>
      </c>
      <c r="B146" s="157" t="s">
        <v>247</v>
      </c>
      <c r="C146" s="20" t="s">
        <v>257</v>
      </c>
      <c r="D146" s="181" t="s">
        <v>411</v>
      </c>
      <c r="E146" s="276">
        <v>54000</v>
      </c>
      <c r="F146" s="180"/>
    </row>
    <row r="147" spans="1:6" ht="20.100000000000001" customHeight="1">
      <c r="A147" s="191">
        <v>14</v>
      </c>
      <c r="B147" s="156" t="s">
        <v>249</v>
      </c>
      <c r="C147" s="20" t="s">
        <v>250</v>
      </c>
      <c r="D147" s="181" t="s">
        <v>154</v>
      </c>
      <c r="E147" s="276">
        <v>54000</v>
      </c>
      <c r="F147" s="180"/>
    </row>
    <row r="148" spans="1:6" ht="20.100000000000001" customHeight="1">
      <c r="A148" s="191">
        <v>15</v>
      </c>
      <c r="B148" s="156" t="s">
        <v>251</v>
      </c>
      <c r="C148" s="20" t="s">
        <v>250</v>
      </c>
      <c r="D148" s="181" t="s">
        <v>252</v>
      </c>
      <c r="E148" s="276">
        <v>54000</v>
      </c>
      <c r="F148" s="180"/>
    </row>
    <row r="149" spans="1:6" ht="20.100000000000001" customHeight="1">
      <c r="A149" s="191">
        <v>16</v>
      </c>
      <c r="B149" s="156" t="s">
        <v>253</v>
      </c>
      <c r="C149" s="20" t="s">
        <v>250</v>
      </c>
      <c r="D149" s="181" t="s">
        <v>252</v>
      </c>
      <c r="E149" s="276">
        <v>54000</v>
      </c>
      <c r="F149" s="180"/>
    </row>
    <row r="150" spans="1:6" ht="20.100000000000001" customHeight="1">
      <c r="A150" s="191">
        <v>17</v>
      </c>
      <c r="B150" s="156" t="s">
        <v>254</v>
      </c>
      <c r="C150" s="161" t="s">
        <v>255</v>
      </c>
      <c r="D150" s="181" t="s">
        <v>95</v>
      </c>
      <c r="E150" s="276">
        <v>54000</v>
      </c>
      <c r="F150" s="180"/>
    </row>
    <row r="151" spans="1:6" ht="20.100000000000001" customHeight="1">
      <c r="A151" s="191">
        <v>18</v>
      </c>
      <c r="B151" s="156" t="s">
        <v>256</v>
      </c>
      <c r="C151" s="161" t="s">
        <v>257</v>
      </c>
      <c r="D151" s="28" t="s">
        <v>73</v>
      </c>
      <c r="E151" s="276">
        <v>54000</v>
      </c>
      <c r="F151" s="180"/>
    </row>
    <row r="152" spans="1:6" ht="20.100000000000001" customHeight="1">
      <c r="A152" s="191">
        <v>19</v>
      </c>
      <c r="B152" s="156" t="s">
        <v>258</v>
      </c>
      <c r="C152" s="161" t="s">
        <v>259</v>
      </c>
      <c r="D152" s="181" t="s">
        <v>154</v>
      </c>
      <c r="E152" s="276">
        <v>54000</v>
      </c>
      <c r="F152" s="180"/>
    </row>
    <row r="153" spans="1:6" ht="20.100000000000001" customHeight="1">
      <c r="A153" s="191">
        <v>20</v>
      </c>
      <c r="B153" s="156" t="s">
        <v>260</v>
      </c>
      <c r="C153" s="161" t="s">
        <v>261</v>
      </c>
      <c r="D153" s="181" t="s">
        <v>69</v>
      </c>
      <c r="E153" s="276">
        <v>54000</v>
      </c>
      <c r="F153" s="180"/>
    </row>
    <row r="154" spans="1:6" ht="20.100000000000001" customHeight="1">
      <c r="A154" s="191">
        <v>21</v>
      </c>
      <c r="B154" s="156" t="s">
        <v>262</v>
      </c>
      <c r="C154" s="161" t="s">
        <v>263</v>
      </c>
      <c r="D154" s="181" t="s">
        <v>154</v>
      </c>
      <c r="E154" s="276">
        <v>54000</v>
      </c>
      <c r="F154" s="180"/>
    </row>
    <row r="155" spans="1:6" ht="20.100000000000001" customHeight="1">
      <c r="A155" s="191">
        <v>22</v>
      </c>
      <c r="B155" s="156" t="s">
        <v>264</v>
      </c>
      <c r="C155" s="161" t="s">
        <v>265</v>
      </c>
      <c r="D155" s="181" t="s">
        <v>69</v>
      </c>
      <c r="E155" s="276">
        <v>54000</v>
      </c>
      <c r="F155" s="180"/>
    </row>
    <row r="156" spans="1:6" ht="20.100000000000001" customHeight="1">
      <c r="A156" s="191">
        <v>23</v>
      </c>
      <c r="B156" s="157" t="s">
        <v>266</v>
      </c>
      <c r="C156" s="161" t="s">
        <v>271</v>
      </c>
      <c r="D156" s="181" t="s">
        <v>76</v>
      </c>
      <c r="E156" s="276">
        <v>54000</v>
      </c>
      <c r="F156" s="180"/>
    </row>
    <row r="157" spans="1:6" ht="20.100000000000001" customHeight="1">
      <c r="A157" s="191">
        <v>24</v>
      </c>
      <c r="B157" s="157" t="s">
        <v>268</v>
      </c>
      <c r="C157" s="161" t="s">
        <v>269</v>
      </c>
      <c r="D157" s="181" t="s">
        <v>85</v>
      </c>
      <c r="E157" s="276">
        <v>54000</v>
      </c>
      <c r="F157" s="180"/>
    </row>
    <row r="158" spans="1:6" ht="20.100000000000001" customHeight="1">
      <c r="A158" s="191">
        <v>25</v>
      </c>
      <c r="B158" s="157" t="s">
        <v>270</v>
      </c>
      <c r="C158" s="161" t="s">
        <v>271</v>
      </c>
      <c r="D158" s="181" t="s">
        <v>85</v>
      </c>
      <c r="E158" s="276">
        <v>54000</v>
      </c>
      <c r="F158" s="180"/>
    </row>
    <row r="159" spans="1:6" ht="20.100000000000001" customHeight="1">
      <c r="A159" s="191">
        <v>26</v>
      </c>
      <c r="B159" s="157" t="s">
        <v>272</v>
      </c>
      <c r="C159" s="161" t="s">
        <v>273</v>
      </c>
      <c r="D159" s="181" t="s">
        <v>81</v>
      </c>
      <c r="E159" s="276">
        <v>54000</v>
      </c>
      <c r="F159" s="180"/>
    </row>
    <row r="160" spans="1:6" ht="20.100000000000001" customHeight="1">
      <c r="A160" s="191">
        <v>27</v>
      </c>
      <c r="B160" s="157" t="s">
        <v>274</v>
      </c>
      <c r="C160" s="161" t="s">
        <v>275</v>
      </c>
      <c r="D160" s="181" t="s">
        <v>81</v>
      </c>
      <c r="E160" s="276">
        <v>54000</v>
      </c>
      <c r="F160" s="180"/>
    </row>
    <row r="161" spans="1:6" ht="20.100000000000001" customHeight="1">
      <c r="A161" s="191">
        <v>28</v>
      </c>
      <c r="B161" s="156" t="s">
        <v>277</v>
      </c>
      <c r="C161" s="161" t="s">
        <v>278</v>
      </c>
      <c r="D161" s="181" t="s">
        <v>279</v>
      </c>
      <c r="E161" s="276">
        <v>36000</v>
      </c>
      <c r="F161" s="180"/>
    </row>
    <row r="162" spans="1:6" ht="20.100000000000001" customHeight="1">
      <c r="A162" s="191">
        <v>29</v>
      </c>
      <c r="B162" s="156" t="s">
        <v>280</v>
      </c>
      <c r="C162" s="161" t="s">
        <v>278</v>
      </c>
      <c r="D162" s="181" t="s">
        <v>279</v>
      </c>
      <c r="E162" s="276">
        <v>36000</v>
      </c>
      <c r="F162" s="180"/>
    </row>
    <row r="163" spans="1:6" ht="20.100000000000001" customHeight="1">
      <c r="A163" s="191">
        <v>30</v>
      </c>
      <c r="B163" s="156" t="s">
        <v>281</v>
      </c>
      <c r="C163" s="161" t="s">
        <v>278</v>
      </c>
      <c r="D163" s="181" t="s">
        <v>279</v>
      </c>
      <c r="E163" s="276">
        <v>36000</v>
      </c>
      <c r="F163" s="180"/>
    </row>
    <row r="164" spans="1:6" ht="20.100000000000001" customHeight="1">
      <c r="A164" s="191">
        <v>32</v>
      </c>
      <c r="B164" s="156" t="s">
        <v>282</v>
      </c>
      <c r="C164" s="161" t="s">
        <v>278</v>
      </c>
      <c r="D164" s="181" t="s">
        <v>279</v>
      </c>
      <c r="E164" s="276">
        <v>36000</v>
      </c>
      <c r="F164" s="180"/>
    </row>
    <row r="165" spans="1:6" ht="20.100000000000001" customHeight="1">
      <c r="A165" s="191">
        <v>33</v>
      </c>
      <c r="B165" s="156" t="s">
        <v>283</v>
      </c>
      <c r="C165" s="161" t="s">
        <v>278</v>
      </c>
      <c r="D165" s="181" t="s">
        <v>279</v>
      </c>
      <c r="E165" s="276">
        <v>36000</v>
      </c>
      <c r="F165" s="180"/>
    </row>
    <row r="166" spans="1:6" ht="20.100000000000001" customHeight="1">
      <c r="A166" s="191">
        <v>34</v>
      </c>
      <c r="B166" s="156" t="s">
        <v>284</v>
      </c>
      <c r="C166" s="161" t="s">
        <v>278</v>
      </c>
      <c r="D166" s="181" t="s">
        <v>285</v>
      </c>
      <c r="E166" s="276">
        <v>36000</v>
      </c>
      <c r="F166" s="180"/>
    </row>
    <row r="167" spans="1:6" ht="20.100000000000001" customHeight="1">
      <c r="A167" s="191">
        <v>35</v>
      </c>
      <c r="B167" s="156" t="s">
        <v>286</v>
      </c>
      <c r="C167" s="161" t="s">
        <v>278</v>
      </c>
      <c r="D167" s="181" t="s">
        <v>285</v>
      </c>
      <c r="E167" s="276">
        <v>36000</v>
      </c>
      <c r="F167" s="180"/>
    </row>
    <row r="168" spans="1:6" ht="20.100000000000001" customHeight="1">
      <c r="A168" s="191">
        <v>36</v>
      </c>
      <c r="B168" s="158" t="s">
        <v>287</v>
      </c>
      <c r="C168" s="161" t="s">
        <v>278</v>
      </c>
      <c r="D168" s="181" t="s">
        <v>285</v>
      </c>
      <c r="E168" s="276">
        <v>36000</v>
      </c>
      <c r="F168" s="180"/>
    </row>
    <row r="169" spans="1:6" ht="20.100000000000001" customHeight="1">
      <c r="A169" s="191">
        <v>37</v>
      </c>
      <c r="B169" s="156" t="s">
        <v>288</v>
      </c>
      <c r="C169" s="161" t="s">
        <v>278</v>
      </c>
      <c r="D169" s="181" t="s">
        <v>285</v>
      </c>
      <c r="E169" s="276">
        <v>36000</v>
      </c>
      <c r="F169" s="180"/>
    </row>
    <row r="170" spans="1:6" ht="20.100000000000001" customHeight="1">
      <c r="A170" s="191">
        <v>38</v>
      </c>
      <c r="B170" s="157" t="s">
        <v>289</v>
      </c>
      <c r="C170" s="161" t="s">
        <v>278</v>
      </c>
      <c r="D170" s="181" t="s">
        <v>285</v>
      </c>
      <c r="E170" s="276">
        <v>36000</v>
      </c>
      <c r="F170" s="180"/>
    </row>
    <row r="171" spans="1:6" ht="20.100000000000001" customHeight="1">
      <c r="A171" s="191">
        <v>39</v>
      </c>
      <c r="B171" s="157" t="s">
        <v>290</v>
      </c>
      <c r="C171" s="161" t="s">
        <v>278</v>
      </c>
      <c r="D171" s="181" t="s">
        <v>285</v>
      </c>
      <c r="E171" s="276">
        <v>36000</v>
      </c>
      <c r="F171" s="180"/>
    </row>
    <row r="172" spans="1:6" ht="20.100000000000001" customHeight="1">
      <c r="A172" s="191">
        <v>40</v>
      </c>
      <c r="B172" s="156" t="s">
        <v>291</v>
      </c>
      <c r="C172" s="161" t="s">
        <v>297</v>
      </c>
      <c r="D172" s="181" t="s">
        <v>397</v>
      </c>
      <c r="E172" s="276">
        <v>36000</v>
      </c>
      <c r="F172" s="180"/>
    </row>
    <row r="173" spans="1:6" ht="20.100000000000001" customHeight="1">
      <c r="A173" s="191">
        <v>41</v>
      </c>
      <c r="B173" s="156" t="s">
        <v>294</v>
      </c>
      <c r="C173" s="161" t="s">
        <v>297</v>
      </c>
      <c r="D173" s="181" t="s">
        <v>397</v>
      </c>
      <c r="E173" s="276">
        <v>36000</v>
      </c>
      <c r="F173" s="180"/>
    </row>
    <row r="174" spans="1:6" ht="20.100000000000001" customHeight="1">
      <c r="A174" s="191">
        <v>42</v>
      </c>
      <c r="B174" s="157" t="s">
        <v>295</v>
      </c>
      <c r="C174" s="161" t="s">
        <v>297</v>
      </c>
      <c r="D174" s="181" t="s">
        <v>398</v>
      </c>
      <c r="E174" s="276">
        <v>36000</v>
      </c>
      <c r="F174" s="180"/>
    </row>
    <row r="175" spans="1:6" ht="20.100000000000001" customHeight="1">
      <c r="A175" s="191">
        <v>43</v>
      </c>
      <c r="B175" s="156" t="s">
        <v>296</v>
      </c>
      <c r="C175" s="161" t="s">
        <v>297</v>
      </c>
      <c r="D175" s="181" t="s">
        <v>298</v>
      </c>
      <c r="E175" s="276">
        <v>36000</v>
      </c>
      <c r="F175" s="180"/>
    </row>
    <row r="176" spans="1:6" ht="20.100000000000001" customHeight="1">
      <c r="A176" s="191">
        <v>44</v>
      </c>
      <c r="B176" s="156" t="s">
        <v>299</v>
      </c>
      <c r="C176" s="161" t="s">
        <v>300</v>
      </c>
      <c r="D176" s="181" t="s">
        <v>301</v>
      </c>
      <c r="E176" s="276">
        <v>36000</v>
      </c>
      <c r="F176" s="180"/>
    </row>
    <row r="177" spans="1:6" ht="20.100000000000001" customHeight="1">
      <c r="A177" s="191">
        <v>45</v>
      </c>
      <c r="B177" s="156" t="s">
        <v>302</v>
      </c>
      <c r="C177" s="161" t="s">
        <v>300</v>
      </c>
      <c r="D177" s="181" t="s">
        <v>301</v>
      </c>
      <c r="E177" s="276">
        <v>36000</v>
      </c>
      <c r="F177" s="180"/>
    </row>
    <row r="178" spans="1:6" ht="20.100000000000001" customHeight="1">
      <c r="A178" s="191">
        <v>46</v>
      </c>
      <c r="B178" s="156" t="s">
        <v>303</v>
      </c>
      <c r="C178" s="161" t="s">
        <v>300</v>
      </c>
      <c r="D178" s="181" t="s">
        <v>301</v>
      </c>
      <c r="E178" s="276">
        <v>36000</v>
      </c>
      <c r="F178" s="180"/>
    </row>
    <row r="179" spans="1:6" ht="20.100000000000001" customHeight="1">
      <c r="A179" s="191">
        <v>47</v>
      </c>
      <c r="B179" s="156" t="s">
        <v>304</v>
      </c>
      <c r="C179" s="161" t="s">
        <v>300</v>
      </c>
      <c r="D179" s="181" t="s">
        <v>301</v>
      </c>
      <c r="E179" s="276">
        <v>36000</v>
      </c>
      <c r="F179" s="180"/>
    </row>
    <row r="180" spans="1:6" ht="20.100000000000001" customHeight="1">
      <c r="A180" s="191">
        <v>48</v>
      </c>
      <c r="B180" s="156" t="s">
        <v>305</v>
      </c>
      <c r="C180" s="161" t="s">
        <v>300</v>
      </c>
      <c r="D180" s="181" t="s">
        <v>301</v>
      </c>
      <c r="E180" s="276">
        <v>36000</v>
      </c>
      <c r="F180" s="180"/>
    </row>
    <row r="181" spans="1:6" ht="20.100000000000001" customHeight="1">
      <c r="A181" s="191">
        <v>49</v>
      </c>
      <c r="B181" s="157" t="s">
        <v>306</v>
      </c>
      <c r="C181" s="161" t="s">
        <v>300</v>
      </c>
      <c r="D181" s="181" t="s">
        <v>301</v>
      </c>
      <c r="E181" s="276">
        <v>36000</v>
      </c>
      <c r="F181" s="180"/>
    </row>
    <row r="182" spans="1:6" ht="20.100000000000001" customHeight="1">
      <c r="A182" s="191">
        <v>50</v>
      </c>
      <c r="B182" s="157" t="s">
        <v>307</v>
      </c>
      <c r="C182" s="161" t="s">
        <v>300</v>
      </c>
      <c r="D182" s="181" t="s">
        <v>301</v>
      </c>
      <c r="E182" s="276">
        <v>36000</v>
      </c>
      <c r="F182" s="180"/>
    </row>
    <row r="183" spans="1:6" ht="20.100000000000001" customHeight="1">
      <c r="A183" s="191">
        <v>51</v>
      </c>
      <c r="B183" s="156" t="s">
        <v>308</v>
      </c>
      <c r="C183" s="161" t="s">
        <v>297</v>
      </c>
      <c r="D183" s="181" t="s">
        <v>301</v>
      </c>
      <c r="E183" s="276">
        <v>36000</v>
      </c>
      <c r="F183" s="180"/>
    </row>
    <row r="184" spans="1:6" ht="20.100000000000001" customHeight="1">
      <c r="A184" s="191">
        <v>52</v>
      </c>
      <c r="B184" s="156" t="s">
        <v>309</v>
      </c>
      <c r="C184" s="161" t="s">
        <v>297</v>
      </c>
      <c r="D184" s="181" t="s">
        <v>301</v>
      </c>
      <c r="E184" s="276">
        <v>36000</v>
      </c>
      <c r="F184" s="180"/>
    </row>
    <row r="185" spans="1:6" ht="20.100000000000001" customHeight="1">
      <c r="A185" s="191">
        <v>53</v>
      </c>
      <c r="B185" s="157" t="s">
        <v>310</v>
      </c>
      <c r="C185" s="161" t="s">
        <v>300</v>
      </c>
      <c r="D185" s="181" t="s">
        <v>412</v>
      </c>
      <c r="E185" s="276">
        <v>36000</v>
      </c>
      <c r="F185" s="180"/>
    </row>
    <row r="186" spans="1:6" ht="20.100000000000001" customHeight="1">
      <c r="A186" s="191">
        <v>54</v>
      </c>
      <c r="B186" s="157" t="s">
        <v>313</v>
      </c>
      <c r="C186" s="161" t="s">
        <v>300</v>
      </c>
      <c r="D186" s="181" t="s">
        <v>314</v>
      </c>
      <c r="E186" s="276">
        <v>36000</v>
      </c>
      <c r="F186" s="180"/>
    </row>
    <row r="187" spans="1:6" ht="20.100000000000001" customHeight="1">
      <c r="A187" s="191"/>
      <c r="B187" s="177" t="s">
        <v>86</v>
      </c>
      <c r="C187" s="193" t="s">
        <v>572</v>
      </c>
      <c r="D187" s="22"/>
      <c r="E187" s="287">
        <v>2970000</v>
      </c>
      <c r="F187" s="180"/>
    </row>
    <row r="188" spans="1:6" ht="9" customHeight="1">
      <c r="A188" s="191"/>
      <c r="B188" s="177"/>
      <c r="C188" s="193"/>
      <c r="D188" s="22"/>
      <c r="E188" s="287"/>
      <c r="F188" s="180"/>
    </row>
    <row r="189" spans="1:6" ht="40.5" customHeight="1">
      <c r="A189" s="20"/>
      <c r="B189" s="266" t="s">
        <v>325</v>
      </c>
      <c r="C189" s="267">
        <f>C35+C40+C55+C60+C76+C84+C97+C104+C114+C131+C187</f>
        <v>145</v>
      </c>
      <c r="D189" s="268"/>
      <c r="E189" s="269">
        <f>E187+E131+E119+E114+E104+E97+E84+E76+E60+E55+E40+E35</f>
        <v>13068000</v>
      </c>
      <c r="F189" s="180"/>
    </row>
    <row r="190" spans="1:6" ht="20.100000000000001" customHeight="1">
      <c r="B190" s="198"/>
      <c r="D190" s="199"/>
      <c r="E190" s="199"/>
      <c r="F190" s="202"/>
    </row>
    <row r="191" spans="1:6" ht="65.25" customHeight="1">
      <c r="B191" s="198"/>
      <c r="C191" s="199"/>
      <c r="D191" s="199"/>
      <c r="E191" s="199"/>
      <c r="F191" s="288"/>
    </row>
    <row r="192" spans="1:6" ht="20.100000000000001" customHeight="1">
      <c r="F192" s="288"/>
    </row>
    <row r="193" spans="6:6" ht="20.100000000000001" customHeight="1">
      <c r="F193" s="288"/>
    </row>
    <row r="194" spans="6:6" ht="20.100000000000001" customHeight="1">
      <c r="F194" s="288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bottomRight" activeCell="E49" sqref="E4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7109375" style="164" customWidth="1"/>
    <col min="6" max="6" width="20.42578125" style="164" customWidth="1"/>
    <col min="7" max="7" width="19.5703125" style="164" customWidth="1"/>
    <col min="8" max="8" width="20.140625" style="164" customWidth="1"/>
    <col min="9" max="9" width="21.7109375" style="164" customWidth="1"/>
    <col min="10" max="16384" width="9.140625" style="164"/>
  </cols>
  <sheetData>
    <row r="1" spans="1:9" ht="27" customHeight="1">
      <c r="A1" s="439" t="s">
        <v>0</v>
      </c>
      <c r="B1" s="439"/>
      <c r="C1" s="439"/>
      <c r="D1" s="439"/>
    </row>
    <row r="2" spans="1:9" ht="33.75" customHeight="1">
      <c r="A2" s="165" t="s">
        <v>574</v>
      </c>
      <c r="B2" s="166"/>
      <c r="C2" s="165"/>
      <c r="D2" s="165"/>
      <c r="E2" s="169"/>
      <c r="F2" s="169"/>
      <c r="G2" s="169"/>
    </row>
    <row r="3" spans="1:9" ht="9.75" customHeight="1"/>
    <row r="4" spans="1:9" ht="45" customHeight="1">
      <c r="A4" s="20"/>
      <c r="B4" s="170" t="s">
        <v>2</v>
      </c>
      <c r="C4" s="171" t="s">
        <v>3</v>
      </c>
      <c r="D4" s="172" t="s">
        <v>4</v>
      </c>
      <c r="E4" s="174" t="s">
        <v>575</v>
      </c>
      <c r="F4" s="174" t="s">
        <v>389</v>
      </c>
      <c r="G4" s="175" t="s">
        <v>576</v>
      </c>
    </row>
    <row r="5" spans="1:9" ht="20.100000000000001" customHeight="1">
      <c r="A5" s="176" t="s">
        <v>26</v>
      </c>
      <c r="B5" s="177" t="s">
        <v>27</v>
      </c>
      <c r="C5" s="177"/>
      <c r="D5" s="177"/>
      <c r="E5" s="178" t="s">
        <v>25</v>
      </c>
      <c r="F5" s="216" t="s">
        <v>25</v>
      </c>
      <c r="G5" s="178" t="s">
        <v>25</v>
      </c>
    </row>
    <row r="6" spans="1:9" ht="20.100000000000001" customHeight="1">
      <c r="A6" s="28">
        <v>1</v>
      </c>
      <c r="B6" s="156" t="s">
        <v>28</v>
      </c>
      <c r="C6" s="161" t="s">
        <v>29</v>
      </c>
      <c r="D6" s="161" t="s">
        <v>30</v>
      </c>
      <c r="E6" s="23">
        <f>201165.84</f>
        <v>201165.84</v>
      </c>
      <c r="F6" s="207">
        <v>201165.83594666663</v>
      </c>
      <c r="G6" s="23">
        <v>0</v>
      </c>
      <c r="H6" s="180"/>
      <c r="I6" s="180"/>
    </row>
    <row r="7" spans="1:9" ht="20.100000000000001" customHeight="1">
      <c r="A7" s="28">
        <v>2</v>
      </c>
      <c r="B7" s="156" t="s">
        <v>456</v>
      </c>
      <c r="C7" s="20" t="s">
        <v>554</v>
      </c>
      <c r="D7" s="28" t="s">
        <v>228</v>
      </c>
      <c r="E7" s="25" t="e">
        <f>#REF!</f>
        <v>#REF!</v>
      </c>
      <c r="F7" s="207">
        <v>128510.39445866668</v>
      </c>
      <c r="G7" s="23" t="e">
        <f>F7-E7</f>
        <v>#REF!</v>
      </c>
      <c r="H7" s="180"/>
      <c r="I7" s="180"/>
    </row>
    <row r="8" spans="1:9" ht="20.100000000000001" customHeight="1">
      <c r="A8" s="28">
        <v>3</v>
      </c>
      <c r="B8" s="158" t="s">
        <v>555</v>
      </c>
      <c r="C8" s="20" t="s">
        <v>556</v>
      </c>
      <c r="D8" s="28" t="s">
        <v>228</v>
      </c>
      <c r="E8" s="23">
        <f>116473.51</f>
        <v>116473.51</v>
      </c>
      <c r="F8" s="207">
        <v>119107.95141866668</v>
      </c>
      <c r="G8" s="23">
        <f t="shared" ref="G8:G36" si="0">F8-E8</f>
        <v>2634.4414186666836</v>
      </c>
      <c r="H8" s="180"/>
      <c r="I8" s="180"/>
    </row>
    <row r="9" spans="1:9" ht="20.100000000000001" customHeight="1">
      <c r="A9" s="28">
        <v>4</v>
      </c>
      <c r="B9" s="156" t="s">
        <v>31</v>
      </c>
      <c r="C9" s="161" t="s">
        <v>32</v>
      </c>
      <c r="D9" s="28" t="s">
        <v>33</v>
      </c>
      <c r="E9" s="23">
        <f>79993.51</f>
        <v>79993.509999999995</v>
      </c>
      <c r="F9" s="207">
        <v>82627.951418666678</v>
      </c>
      <c r="G9" s="23">
        <f t="shared" si="0"/>
        <v>2634.4414186666836</v>
      </c>
      <c r="H9" s="180"/>
      <c r="I9" s="180"/>
    </row>
    <row r="10" spans="1:9" ht="20.100000000000001" customHeight="1">
      <c r="A10" s="28">
        <v>5</v>
      </c>
      <c r="B10" s="158" t="s">
        <v>458</v>
      </c>
      <c r="C10" s="20" t="s">
        <v>35</v>
      </c>
      <c r="D10" s="181" t="s">
        <v>36</v>
      </c>
      <c r="E10" s="25">
        <f>107095.69</f>
        <v>107095.69</v>
      </c>
      <c r="F10" s="207">
        <v>109730.05337066665</v>
      </c>
      <c r="G10" s="23">
        <f t="shared" si="0"/>
        <v>2634.3633706666442</v>
      </c>
      <c r="H10" s="180"/>
      <c r="I10" s="180"/>
    </row>
    <row r="11" spans="1:9" ht="20.100000000000001" customHeight="1">
      <c r="A11" s="28">
        <v>6</v>
      </c>
      <c r="B11" s="158" t="s">
        <v>176</v>
      </c>
      <c r="C11" s="20" t="s">
        <v>177</v>
      </c>
      <c r="D11" s="24" t="s">
        <v>36</v>
      </c>
      <c r="E11" s="23" t="e">
        <f>#REF!</f>
        <v>#REF!</v>
      </c>
      <c r="F11" s="207">
        <v>99032.677850666674</v>
      </c>
      <c r="G11" s="23" t="e">
        <f t="shared" si="0"/>
        <v>#REF!</v>
      </c>
      <c r="H11" s="180"/>
      <c r="I11" s="180"/>
    </row>
    <row r="12" spans="1:9" ht="20.100000000000001" customHeight="1">
      <c r="A12" s="28">
        <v>7</v>
      </c>
      <c r="B12" s="156" t="s">
        <v>37</v>
      </c>
      <c r="C12" s="112" t="s">
        <v>38</v>
      </c>
      <c r="D12" s="24" t="s">
        <v>36</v>
      </c>
      <c r="E12" s="25" t="e">
        <f>#REF!</f>
        <v>#REF!</v>
      </c>
      <c r="F12" s="207">
        <v>79832.677850666674</v>
      </c>
      <c r="G12" s="23" t="e">
        <f t="shared" si="0"/>
        <v>#REF!</v>
      </c>
      <c r="H12" s="180"/>
      <c r="I12" s="180"/>
    </row>
    <row r="13" spans="1:9" ht="20.100000000000001" customHeight="1">
      <c r="A13" s="28">
        <v>8</v>
      </c>
      <c r="B13" s="158" t="s">
        <v>39</v>
      </c>
      <c r="C13" s="20" t="s">
        <v>40</v>
      </c>
      <c r="D13" s="24" t="s">
        <v>36</v>
      </c>
      <c r="E13" s="23" t="e">
        <f>#REF!</f>
        <v>#REF!</v>
      </c>
      <c r="F13" s="207">
        <v>79832.677850666674</v>
      </c>
      <c r="G13" s="23" t="e">
        <f t="shared" si="0"/>
        <v>#REF!</v>
      </c>
      <c r="H13" s="180"/>
      <c r="I13" s="180"/>
    </row>
    <row r="14" spans="1:9" ht="20.100000000000001" customHeight="1">
      <c r="A14" s="28">
        <v>9</v>
      </c>
      <c r="B14" s="156" t="s">
        <v>43</v>
      </c>
      <c r="C14" s="161" t="s">
        <v>44</v>
      </c>
      <c r="D14" s="181" t="s">
        <v>45</v>
      </c>
      <c r="E14" s="25">
        <f>64436.1</f>
        <v>64436.1</v>
      </c>
      <c r="F14" s="207">
        <v>64436.103146666661</v>
      </c>
      <c r="G14" s="23">
        <f t="shared" si="0"/>
        <v>3.1466666623600759E-3</v>
      </c>
      <c r="H14" s="180"/>
      <c r="I14" s="180"/>
    </row>
    <row r="15" spans="1:9" ht="20.100000000000001" customHeight="1">
      <c r="A15" s="28">
        <v>10</v>
      </c>
      <c r="B15" s="157" t="s">
        <v>148</v>
      </c>
      <c r="C15" s="161" t="s">
        <v>149</v>
      </c>
      <c r="D15" s="28" t="s">
        <v>122</v>
      </c>
      <c r="E15" s="23">
        <f>60212.92</f>
        <v>60212.92</v>
      </c>
      <c r="F15" s="207">
        <v>62404.980266666658</v>
      </c>
      <c r="G15" s="23">
        <f t="shared" si="0"/>
        <v>2192.06026666666</v>
      </c>
      <c r="H15" s="180"/>
      <c r="I15" s="180"/>
    </row>
    <row r="16" spans="1:9" ht="20.100000000000001" customHeight="1">
      <c r="A16" s="28">
        <v>11</v>
      </c>
      <c r="B16" s="160" t="s">
        <v>557</v>
      </c>
      <c r="C16" s="20" t="s">
        <v>558</v>
      </c>
      <c r="D16" s="24" t="s">
        <v>51</v>
      </c>
      <c r="E16" s="23">
        <f>52638.9</f>
        <v>52638.9</v>
      </c>
      <c r="F16" s="207">
        <v>54186.609434666672</v>
      </c>
      <c r="G16" s="23">
        <f t="shared" si="0"/>
        <v>1547.7094346666709</v>
      </c>
      <c r="H16" s="180"/>
      <c r="I16" s="180"/>
    </row>
    <row r="17" spans="1:9" ht="19.5" customHeight="1">
      <c r="A17" s="28">
        <v>12</v>
      </c>
      <c r="B17" s="158" t="s">
        <v>459</v>
      </c>
      <c r="C17" s="20" t="s">
        <v>50</v>
      </c>
      <c r="D17" s="28" t="s">
        <v>51</v>
      </c>
      <c r="E17" s="23">
        <f>43380</f>
        <v>43380</v>
      </c>
      <c r="F17" s="207">
        <v>44734.339388666653</v>
      </c>
      <c r="G17" s="23">
        <f t="shared" si="0"/>
        <v>1354.3393886666527</v>
      </c>
      <c r="H17" s="180"/>
      <c r="I17" s="180"/>
    </row>
    <row r="18" spans="1:9" ht="19.5" customHeight="1">
      <c r="A18" s="28">
        <v>13</v>
      </c>
      <c r="B18" s="158" t="s">
        <v>559</v>
      </c>
      <c r="C18" s="20" t="s">
        <v>560</v>
      </c>
      <c r="D18" s="28" t="s">
        <v>51</v>
      </c>
      <c r="E18" s="23">
        <f>85278.9</f>
        <v>85278.9</v>
      </c>
      <c r="F18" s="207">
        <v>86826.60943466665</v>
      </c>
      <c r="G18" s="23">
        <f t="shared" si="0"/>
        <v>1547.7094346666563</v>
      </c>
      <c r="H18" s="180"/>
      <c r="I18" s="180"/>
    </row>
    <row r="19" spans="1:9" ht="20.100000000000001" customHeight="1">
      <c r="A19" s="28">
        <v>14</v>
      </c>
      <c r="B19" s="156" t="s">
        <v>49</v>
      </c>
      <c r="C19" s="20" t="s">
        <v>50</v>
      </c>
      <c r="D19" s="181" t="s">
        <v>51</v>
      </c>
      <c r="E19" s="25" t="e">
        <f>#REF!</f>
        <v>#REF!</v>
      </c>
      <c r="F19" s="207">
        <v>44006.616588666657</v>
      </c>
      <c r="G19" s="23" t="e">
        <f t="shared" si="0"/>
        <v>#REF!</v>
      </c>
      <c r="H19" s="180"/>
      <c r="I19" s="180"/>
    </row>
    <row r="20" spans="1:9" ht="20.100000000000001" customHeight="1">
      <c r="A20" s="28">
        <v>15</v>
      </c>
      <c r="B20" s="156" t="s">
        <v>55</v>
      </c>
      <c r="C20" s="161" t="s">
        <v>56</v>
      </c>
      <c r="D20" s="181" t="s">
        <v>57</v>
      </c>
      <c r="E20" s="25">
        <f>46673.26</f>
        <v>46673.26</v>
      </c>
      <c r="F20" s="207">
        <v>46666.666666666664</v>
      </c>
      <c r="G20" s="23">
        <f t="shared" si="0"/>
        <v>-6.5933333333377959</v>
      </c>
      <c r="H20" s="180"/>
      <c r="I20" s="180"/>
    </row>
    <row r="21" spans="1:9" ht="20.100000000000001" customHeight="1">
      <c r="A21" s="28">
        <v>16</v>
      </c>
      <c r="B21" s="157" t="s">
        <v>58</v>
      </c>
      <c r="C21" s="20" t="s">
        <v>59</v>
      </c>
      <c r="D21" s="181" t="s">
        <v>60</v>
      </c>
      <c r="E21" s="25">
        <f>63364.81</f>
        <v>63364.81</v>
      </c>
      <c r="F21" s="207">
        <v>64913.263658666656</v>
      </c>
      <c r="G21" s="23">
        <f t="shared" si="0"/>
        <v>1548.4536586666582</v>
      </c>
      <c r="H21" s="180"/>
      <c r="I21" s="180"/>
    </row>
    <row r="22" spans="1:9" ht="20.100000000000001" customHeight="1">
      <c r="A22" s="28">
        <v>17</v>
      </c>
      <c r="B22" s="156" t="s">
        <v>202</v>
      </c>
      <c r="C22" s="161" t="s">
        <v>203</v>
      </c>
      <c r="D22" s="181" t="s">
        <v>199</v>
      </c>
      <c r="E22" s="25">
        <f>31848.56</f>
        <v>31848.560000000001</v>
      </c>
      <c r="F22" s="207">
        <v>34871.967414666666</v>
      </c>
      <c r="G22" s="23">
        <f t="shared" si="0"/>
        <v>3023.4074146666644</v>
      </c>
      <c r="H22" s="180"/>
      <c r="I22" s="180"/>
    </row>
    <row r="23" spans="1:9" ht="18.75" customHeight="1">
      <c r="A23" s="28">
        <v>18</v>
      </c>
      <c r="B23" s="156" t="s">
        <v>61</v>
      </c>
      <c r="C23" s="161" t="s">
        <v>62</v>
      </c>
      <c r="D23" s="181" t="s">
        <v>63</v>
      </c>
      <c r="E23" s="25" t="e">
        <f>#REF!</f>
        <v>#REF!</v>
      </c>
      <c r="F23" s="207">
        <v>32008.563458666671</v>
      </c>
      <c r="G23" s="23" t="e">
        <f t="shared" si="0"/>
        <v>#REF!</v>
      </c>
      <c r="H23" s="180"/>
      <c r="I23" s="180"/>
    </row>
    <row r="24" spans="1:9" ht="18.75" customHeight="1">
      <c r="A24" s="28">
        <v>19</v>
      </c>
      <c r="B24" s="156" t="s">
        <v>200</v>
      </c>
      <c r="C24" s="20" t="s">
        <v>201</v>
      </c>
      <c r="D24" s="181" t="s">
        <v>63</v>
      </c>
      <c r="E24" s="25" t="e">
        <f>#REF!</f>
        <v>#REF!</v>
      </c>
      <c r="F24" s="207">
        <v>32098.951098666672</v>
      </c>
      <c r="G24" s="23" t="e">
        <f t="shared" si="0"/>
        <v>#REF!</v>
      </c>
      <c r="H24" s="180"/>
      <c r="I24" s="180"/>
    </row>
    <row r="25" spans="1:9" ht="18.75" customHeight="1">
      <c r="A25" s="28">
        <v>20</v>
      </c>
      <c r="B25" s="157" t="s">
        <v>247</v>
      </c>
      <c r="C25" s="20" t="s">
        <v>577</v>
      </c>
      <c r="D25" s="181" t="s">
        <v>411</v>
      </c>
      <c r="E25" s="25">
        <f>27105.99</f>
        <v>27105.99</v>
      </c>
      <c r="F25" s="207">
        <v>27873.079686666664</v>
      </c>
      <c r="G25" s="23">
        <f t="shared" si="0"/>
        <v>767.0896866666626</v>
      </c>
      <c r="H25" s="180"/>
      <c r="I25" s="180"/>
    </row>
    <row r="26" spans="1:9" ht="18.75" customHeight="1">
      <c r="A26" s="28">
        <v>21</v>
      </c>
      <c r="B26" s="157" t="s">
        <v>561</v>
      </c>
      <c r="C26" s="161" t="s">
        <v>83</v>
      </c>
      <c r="D26" s="181" t="s">
        <v>252</v>
      </c>
      <c r="E26" s="179">
        <f>26339.08</f>
        <v>26339.08</v>
      </c>
      <c r="F26" s="207">
        <v>27105.986562666669</v>
      </c>
      <c r="G26" s="23">
        <f t="shared" si="0"/>
        <v>766.90656266666701</v>
      </c>
      <c r="H26" s="180"/>
      <c r="I26" s="180"/>
    </row>
    <row r="27" spans="1:9" ht="18.75" customHeight="1">
      <c r="A27" s="28">
        <v>22</v>
      </c>
      <c r="B27" s="20" t="s">
        <v>67</v>
      </c>
      <c r="C27" s="20" t="s">
        <v>68</v>
      </c>
      <c r="D27" s="28" t="s">
        <v>69</v>
      </c>
      <c r="E27" s="25">
        <v>21640.95</v>
      </c>
      <c r="F27" s="207">
        <v>21640.952862666669</v>
      </c>
      <c r="G27" s="23">
        <f t="shared" si="0"/>
        <v>2.8626666680793278E-3</v>
      </c>
      <c r="H27" s="180"/>
      <c r="I27" s="180"/>
    </row>
    <row r="28" spans="1:9" ht="18.75" customHeight="1">
      <c r="A28" s="28">
        <v>23</v>
      </c>
      <c r="B28" s="157" t="s">
        <v>70</v>
      </c>
      <c r="C28" s="161" t="s">
        <v>68</v>
      </c>
      <c r="D28" s="181" t="s">
        <v>69</v>
      </c>
      <c r="E28" s="25">
        <f>21640.95</f>
        <v>21640.95</v>
      </c>
      <c r="F28" s="207">
        <v>22338.48260466666</v>
      </c>
      <c r="G28" s="23">
        <f t="shared" si="0"/>
        <v>697.53260466665961</v>
      </c>
      <c r="H28" s="180"/>
      <c r="I28" s="180"/>
    </row>
    <row r="29" spans="1:9" ht="18.75" customHeight="1">
      <c r="A29" s="28">
        <v>24</v>
      </c>
      <c r="B29" s="156" t="s">
        <v>460</v>
      </c>
      <c r="C29" s="161" t="s">
        <v>461</v>
      </c>
      <c r="D29" s="181" t="s">
        <v>69</v>
      </c>
      <c r="E29" s="25">
        <v>21640.95</v>
      </c>
      <c r="F29" s="207">
        <v>22338.48260466666</v>
      </c>
      <c r="G29" s="23">
        <f t="shared" si="0"/>
        <v>697.53260466665961</v>
      </c>
      <c r="H29" s="180"/>
      <c r="I29" s="180"/>
    </row>
    <row r="30" spans="1:9" ht="18.75" customHeight="1">
      <c r="A30" s="28">
        <v>25</v>
      </c>
      <c r="B30" s="157" t="s">
        <v>71</v>
      </c>
      <c r="C30" s="161" t="s">
        <v>404</v>
      </c>
      <c r="D30" s="181" t="s">
        <v>578</v>
      </c>
      <c r="E30" s="25">
        <f>17572.89</f>
        <v>17572.89</v>
      </c>
      <c r="F30" s="207">
        <v>18102.902732666666</v>
      </c>
      <c r="G30" s="23">
        <f t="shared" si="0"/>
        <v>530.01273266666612</v>
      </c>
      <c r="H30" s="180"/>
      <c r="I30" s="180"/>
    </row>
    <row r="31" spans="1:9" ht="18.75" customHeight="1">
      <c r="A31" s="28">
        <v>26</v>
      </c>
      <c r="B31" s="156" t="s">
        <v>182</v>
      </c>
      <c r="C31" s="112" t="s">
        <v>579</v>
      </c>
      <c r="D31" s="181" t="s">
        <v>76</v>
      </c>
      <c r="E31" s="179">
        <f>17572.89</f>
        <v>17572.89</v>
      </c>
      <c r="F31" s="207">
        <v>18102.902732666666</v>
      </c>
      <c r="G31" s="23">
        <f t="shared" si="0"/>
        <v>530.01273266666612</v>
      </c>
      <c r="H31" s="180"/>
      <c r="I31" s="180"/>
    </row>
    <row r="32" spans="1:9" ht="18.75" customHeight="1">
      <c r="A32" s="28">
        <v>27</v>
      </c>
      <c r="B32" s="157" t="s">
        <v>74</v>
      </c>
      <c r="C32" s="20" t="s">
        <v>75</v>
      </c>
      <c r="D32" s="28" t="s">
        <v>76</v>
      </c>
      <c r="E32" s="25">
        <f>17572.89</f>
        <v>17572.89</v>
      </c>
      <c r="F32" s="207">
        <v>18102.902732666666</v>
      </c>
      <c r="G32" s="23">
        <f t="shared" si="0"/>
        <v>530.01273266666612</v>
      </c>
      <c r="H32" s="180"/>
      <c r="I32" s="180"/>
    </row>
    <row r="33" spans="1:9" ht="18.75" customHeight="1">
      <c r="A33" s="28">
        <v>28</v>
      </c>
      <c r="B33" s="157" t="s">
        <v>77</v>
      </c>
      <c r="C33" s="112" t="s">
        <v>78</v>
      </c>
      <c r="D33" s="181" t="s">
        <v>69</v>
      </c>
      <c r="E33" s="179">
        <v>21640.95</v>
      </c>
      <c r="F33" s="207">
        <v>22338.48260466666</v>
      </c>
      <c r="G33" s="23">
        <f t="shared" si="0"/>
        <v>697.53260466665961</v>
      </c>
      <c r="H33" s="180"/>
      <c r="I33" s="180"/>
    </row>
    <row r="34" spans="1:9" ht="18.75" customHeight="1">
      <c r="A34" s="28">
        <v>29</v>
      </c>
      <c r="B34" s="157" t="s">
        <v>79</v>
      </c>
      <c r="C34" s="20" t="s">
        <v>580</v>
      </c>
      <c r="D34" s="28" t="s">
        <v>81</v>
      </c>
      <c r="E34" s="25">
        <f>16512.68</f>
        <v>16512.68</v>
      </c>
      <c r="F34" s="207">
        <v>17042.713866666669</v>
      </c>
      <c r="G34" s="23">
        <f t="shared" si="0"/>
        <v>530.03386666666847</v>
      </c>
      <c r="H34" s="180"/>
      <c r="I34" s="180"/>
    </row>
    <row r="35" spans="1:9" ht="18.75" customHeight="1">
      <c r="A35" s="28">
        <v>30</v>
      </c>
      <c r="B35" s="157" t="s">
        <v>82</v>
      </c>
      <c r="C35" s="161" t="s">
        <v>83</v>
      </c>
      <c r="D35" s="181" t="s">
        <v>81</v>
      </c>
      <c r="E35" s="25">
        <f t="shared" ref="E35:E36" si="1">16512.68</f>
        <v>16512.68</v>
      </c>
      <c r="F35" s="207">
        <v>17042.865866666671</v>
      </c>
      <c r="G35" s="23">
        <f t="shared" si="0"/>
        <v>530.18586666667034</v>
      </c>
      <c r="H35" s="180"/>
      <c r="I35" s="180"/>
    </row>
    <row r="36" spans="1:9" ht="18.75" customHeight="1">
      <c r="A36" s="28">
        <v>31</v>
      </c>
      <c r="B36" s="157" t="s">
        <v>562</v>
      </c>
      <c r="C36" s="161" t="s">
        <v>83</v>
      </c>
      <c r="D36" s="181" t="s">
        <v>81</v>
      </c>
      <c r="E36" s="25">
        <f t="shared" si="1"/>
        <v>16512.68</v>
      </c>
      <c r="F36" s="207">
        <v>17043.017866666672</v>
      </c>
      <c r="G36" s="23">
        <f t="shared" si="0"/>
        <v>530.3378666666722</v>
      </c>
      <c r="H36" s="180"/>
      <c r="I36" s="180"/>
    </row>
    <row r="37" spans="1:9" ht="26.25" customHeight="1">
      <c r="A37" s="28"/>
      <c r="B37" s="159" t="s">
        <v>86</v>
      </c>
      <c r="C37" s="29">
        <v>31</v>
      </c>
      <c r="D37" s="181"/>
      <c r="E37" s="183" t="e">
        <f t="shared" ref="E37" si="2">SUM(E6:E36)</f>
        <v>#REF!</v>
      </c>
      <c r="F37" s="183">
        <f t="shared" ref="F37" si="3">SUM(F6:F36)</f>
        <v>1716067.6634466664</v>
      </c>
      <c r="G37" s="183" t="e">
        <f t="shared" ref="G37" si="4">SUM(G6:G36)</f>
        <v>#REF!</v>
      </c>
      <c r="H37" s="180"/>
      <c r="I37" s="180"/>
    </row>
    <row r="38" spans="1:9" ht="18.75" customHeight="1">
      <c r="A38" s="28"/>
      <c r="B38" s="123"/>
      <c r="C38" s="20"/>
      <c r="D38" s="181"/>
      <c r="E38" s="183"/>
      <c r="F38" s="217"/>
      <c r="G38" s="183"/>
      <c r="H38" s="180"/>
      <c r="I38" s="180"/>
    </row>
    <row r="39" spans="1:9" ht="18.75" customHeight="1">
      <c r="A39" s="28"/>
      <c r="B39" s="159" t="s">
        <v>87</v>
      </c>
      <c r="C39" s="20"/>
      <c r="D39" s="181"/>
      <c r="E39" s="25"/>
      <c r="F39" s="207"/>
      <c r="G39" s="23"/>
      <c r="H39" s="180"/>
      <c r="I39" s="180"/>
    </row>
    <row r="40" spans="1:9" ht="18.75" customHeight="1">
      <c r="A40" s="28">
        <v>1</v>
      </c>
      <c r="B40" s="157" t="s">
        <v>88</v>
      </c>
      <c r="C40" s="20" t="s">
        <v>89</v>
      </c>
      <c r="D40" s="28" t="s">
        <v>90</v>
      </c>
      <c r="E40" s="25">
        <f>156349.82</f>
        <v>156349.82</v>
      </c>
      <c r="F40" s="207">
        <v>161106.80685866668</v>
      </c>
      <c r="G40" s="23">
        <f>F40-E40</f>
        <v>4756.9868586666707</v>
      </c>
      <c r="H40" s="180"/>
      <c r="I40" s="180"/>
    </row>
    <row r="41" spans="1:9" ht="18.75" customHeight="1">
      <c r="A41" s="28">
        <v>2</v>
      </c>
      <c r="B41" s="157" t="s">
        <v>91</v>
      </c>
      <c r="C41" s="20" t="s">
        <v>92</v>
      </c>
      <c r="D41" s="28" t="s">
        <v>85</v>
      </c>
      <c r="E41" s="25">
        <f>16512.68</f>
        <v>16512.68</v>
      </c>
      <c r="F41" s="207">
        <v>16512.68219066667</v>
      </c>
      <c r="G41" s="23">
        <f>F41-E41</f>
        <v>2.1906666697759647E-3</v>
      </c>
      <c r="H41" s="180"/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172862.5</v>
      </c>
      <c r="F42" s="217">
        <f>SUM(F40:F41)</f>
        <v>177619.48904933335</v>
      </c>
      <c r="G42" s="217">
        <f>SUM(G40:G41)</f>
        <v>4756.9890493333405</v>
      </c>
      <c r="H42" s="180"/>
      <c r="I42" s="180"/>
    </row>
    <row r="43" spans="1:9" ht="20.100000000000001" customHeight="1">
      <c r="A43" s="28"/>
      <c r="B43" s="158"/>
      <c r="C43" s="20"/>
      <c r="D43" s="28"/>
      <c r="E43" s="183"/>
      <c r="F43" s="207"/>
      <c r="G43" s="23"/>
      <c r="H43" s="180"/>
      <c r="I43" s="180"/>
    </row>
    <row r="44" spans="1:9" ht="20.100000000000001" customHeight="1">
      <c r="A44" s="28"/>
      <c r="B44" s="185" t="s">
        <v>96</v>
      </c>
      <c r="C44" s="170"/>
      <c r="D44" s="174"/>
      <c r="E44" s="23"/>
      <c r="F44" s="207"/>
      <c r="G44" s="23"/>
      <c r="H44" s="180"/>
      <c r="I44" s="180"/>
    </row>
    <row r="45" spans="1:9" ht="20.100000000000001" customHeight="1">
      <c r="A45" s="28">
        <v>1</v>
      </c>
      <c r="B45" s="156" t="s">
        <v>97</v>
      </c>
      <c r="C45" s="20" t="s">
        <v>98</v>
      </c>
      <c r="D45" s="28" t="s">
        <v>90</v>
      </c>
      <c r="E45" s="25">
        <f>180306.81</f>
        <v>180306.81</v>
      </c>
      <c r="F45" s="207">
        <v>180306.80685866671</v>
      </c>
      <c r="G45" s="23">
        <f>F45-E45</f>
        <v>-3.1413332908414304E-3</v>
      </c>
      <c r="H45" s="180"/>
      <c r="I45" s="180"/>
    </row>
    <row r="46" spans="1:9" ht="20.100000000000001" customHeight="1">
      <c r="A46" s="28">
        <v>2</v>
      </c>
      <c r="B46" s="156" t="s">
        <v>99</v>
      </c>
      <c r="C46" s="20" t="s">
        <v>100</v>
      </c>
      <c r="D46" s="28" t="s">
        <v>45</v>
      </c>
      <c r="E46" s="25">
        <f>79956.94</f>
        <v>79956.94</v>
      </c>
      <c r="F46" s="207">
        <v>79956.939146666657</v>
      </c>
      <c r="G46" s="23">
        <f t="shared" ref="G46:G56" si="5">F46-E46</f>
        <v>-8.5333334573078901E-4</v>
      </c>
      <c r="H46" s="180"/>
      <c r="I46" s="180"/>
    </row>
    <row r="47" spans="1:9" ht="20.100000000000001" customHeight="1">
      <c r="A47" s="28">
        <v>3</v>
      </c>
      <c r="B47" s="156" t="s">
        <v>101</v>
      </c>
      <c r="C47" s="20" t="s">
        <v>102</v>
      </c>
      <c r="D47" s="28" t="s">
        <v>45</v>
      </c>
      <c r="E47" s="25">
        <f>79956.94</f>
        <v>79956.94</v>
      </c>
      <c r="F47" s="207">
        <v>79956.939146666657</v>
      </c>
      <c r="G47" s="23">
        <f t="shared" si="5"/>
        <v>-8.5333334573078901E-4</v>
      </c>
      <c r="H47" s="180"/>
      <c r="I47" s="180"/>
    </row>
    <row r="48" spans="1:9" ht="20.100000000000001" customHeight="1">
      <c r="A48" s="28">
        <v>4</v>
      </c>
      <c r="B48" s="156" t="s">
        <v>103</v>
      </c>
      <c r="C48" s="20" t="s">
        <v>102</v>
      </c>
      <c r="D48" s="28" t="s">
        <v>45</v>
      </c>
      <c r="E48" s="25">
        <f>77764.98</f>
        <v>77764.98</v>
      </c>
      <c r="F48" s="207">
        <v>79956.939146666657</v>
      </c>
      <c r="G48" s="23">
        <f t="shared" si="5"/>
        <v>2191.9591466666607</v>
      </c>
      <c r="H48" s="180"/>
      <c r="I48" s="180"/>
    </row>
    <row r="49" spans="1:9" ht="20.100000000000001" customHeight="1">
      <c r="A49" s="28">
        <v>5</v>
      </c>
      <c r="B49" s="156" t="s">
        <v>104</v>
      </c>
      <c r="C49" s="20" t="s">
        <v>102</v>
      </c>
      <c r="D49" s="28" t="s">
        <v>105</v>
      </c>
      <c r="E49" s="25" t="e">
        <f>#REF!</f>
        <v>#REF!</v>
      </c>
      <c r="F49" s="207">
        <v>70061.519786666671</v>
      </c>
      <c r="G49" s="23" t="e">
        <f t="shared" si="5"/>
        <v>#REF!</v>
      </c>
      <c r="H49" s="180"/>
      <c r="I49" s="180"/>
    </row>
    <row r="50" spans="1:9" ht="20.100000000000001" customHeight="1">
      <c r="A50" s="28">
        <v>6</v>
      </c>
      <c r="B50" s="156" t="s">
        <v>106</v>
      </c>
      <c r="C50" s="20" t="s">
        <v>107</v>
      </c>
      <c r="D50" s="28" t="s">
        <v>51</v>
      </c>
      <c r="E50" s="25">
        <f>56478.9</f>
        <v>56478.9</v>
      </c>
      <c r="F50" s="207">
        <v>57889.864794666668</v>
      </c>
      <c r="G50" s="23">
        <f t="shared" si="5"/>
        <v>1410.9647946666664</v>
      </c>
      <c r="H50" s="180"/>
      <c r="I50" s="180"/>
    </row>
    <row r="51" spans="1:9" ht="20.100000000000001" customHeight="1">
      <c r="A51" s="28">
        <v>7</v>
      </c>
      <c r="B51" s="158" t="s">
        <v>108</v>
      </c>
      <c r="C51" s="20" t="s">
        <v>109</v>
      </c>
      <c r="D51" s="24" t="s">
        <v>51</v>
      </c>
      <c r="E51" s="23">
        <f>56478.9</f>
        <v>56478.9</v>
      </c>
      <c r="F51" s="207">
        <v>58026.609434666672</v>
      </c>
      <c r="G51" s="23">
        <f t="shared" si="5"/>
        <v>1547.7094346666709</v>
      </c>
      <c r="H51" s="180"/>
      <c r="I51" s="180"/>
    </row>
    <row r="52" spans="1:9" ht="20.100000000000001" customHeight="1">
      <c r="A52" s="28">
        <v>8</v>
      </c>
      <c r="B52" s="156" t="s">
        <v>464</v>
      </c>
      <c r="C52" s="20" t="s">
        <v>109</v>
      </c>
      <c r="D52" s="28" t="s">
        <v>134</v>
      </c>
      <c r="E52" s="25" t="e">
        <f>#REF!</f>
        <v>#REF!</v>
      </c>
      <c r="F52" s="207">
        <v>55518.902906666663</v>
      </c>
      <c r="G52" s="23" t="e">
        <f t="shared" si="5"/>
        <v>#REF!</v>
      </c>
      <c r="H52" s="180"/>
      <c r="I52" s="180"/>
    </row>
    <row r="53" spans="1:9" ht="20.100000000000001" customHeight="1">
      <c r="A53" s="28">
        <v>9</v>
      </c>
      <c r="B53" s="156" t="s">
        <v>110</v>
      </c>
      <c r="C53" s="20" t="s">
        <v>164</v>
      </c>
      <c r="D53" s="28" t="s">
        <v>165</v>
      </c>
      <c r="E53" s="25">
        <f>48052.11</f>
        <v>48052.11</v>
      </c>
      <c r="F53" s="207">
        <v>49548.776186666662</v>
      </c>
      <c r="G53" s="23">
        <f t="shared" si="5"/>
        <v>1496.6661866666618</v>
      </c>
      <c r="H53" s="180"/>
      <c r="I53" s="180"/>
    </row>
    <row r="54" spans="1:9" ht="20.100000000000001" customHeight="1">
      <c r="A54" s="28">
        <v>10</v>
      </c>
      <c r="B54" s="156" t="s">
        <v>114</v>
      </c>
      <c r="C54" s="20" t="s">
        <v>113</v>
      </c>
      <c r="D54" s="28" t="s">
        <v>73</v>
      </c>
      <c r="E54" s="25">
        <f>28360.95</f>
        <v>28360.95</v>
      </c>
      <c r="F54" s="207">
        <v>28360.952862666662</v>
      </c>
      <c r="G54" s="23">
        <f t="shared" si="5"/>
        <v>2.8626666608033702E-3</v>
      </c>
      <c r="H54" s="180"/>
      <c r="I54" s="180"/>
    </row>
    <row r="55" spans="1:9" ht="20.100000000000001" customHeight="1">
      <c r="A55" s="28">
        <v>11</v>
      </c>
      <c r="B55" s="156" t="s">
        <v>115</v>
      </c>
      <c r="C55" s="20" t="s">
        <v>113</v>
      </c>
      <c r="D55" s="28" t="s">
        <v>73</v>
      </c>
      <c r="E55" s="25">
        <f>28360.95</f>
        <v>28360.95</v>
      </c>
      <c r="F55" s="207">
        <v>28360.952862666662</v>
      </c>
      <c r="G55" s="23">
        <f t="shared" si="5"/>
        <v>2.8626666608033702E-3</v>
      </c>
      <c r="H55" s="180"/>
      <c r="I55" s="180"/>
    </row>
    <row r="56" spans="1:9" ht="20.100000000000001" customHeight="1">
      <c r="A56" s="28">
        <v>12</v>
      </c>
      <c r="B56" s="156" t="s">
        <v>116</v>
      </c>
      <c r="C56" s="20" t="s">
        <v>113</v>
      </c>
      <c r="D56" s="28" t="s">
        <v>73</v>
      </c>
      <c r="E56" s="25">
        <f>28360.95</f>
        <v>28360.95</v>
      </c>
      <c r="F56" s="207">
        <v>28360.952862666662</v>
      </c>
      <c r="G56" s="23">
        <f t="shared" si="5"/>
        <v>2.8626666608033702E-3</v>
      </c>
      <c r="H56" s="180"/>
      <c r="I56" s="180"/>
    </row>
    <row r="57" spans="1:9" ht="25.5" customHeight="1">
      <c r="A57" s="28"/>
      <c r="B57" s="159" t="s">
        <v>86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80"/>
      <c r="I57" s="180"/>
    </row>
    <row r="58" spans="1:9" ht="20.100000000000001" customHeight="1">
      <c r="A58" s="28"/>
      <c r="B58" s="123"/>
      <c r="C58" s="29"/>
      <c r="D58" s="29"/>
      <c r="E58" s="30"/>
      <c r="F58" s="218"/>
      <c r="G58" s="30"/>
      <c r="H58" s="180"/>
      <c r="I58" s="180"/>
    </row>
    <row r="59" spans="1:9" ht="20.100000000000001" customHeight="1">
      <c r="A59" s="28"/>
      <c r="B59" s="159" t="s">
        <v>117</v>
      </c>
      <c r="C59" s="29"/>
      <c r="D59" s="29"/>
      <c r="E59" s="30"/>
      <c r="F59" s="218"/>
      <c r="G59" s="30"/>
      <c r="H59" s="180"/>
      <c r="I59" s="180"/>
    </row>
    <row r="60" spans="1:9" ht="20.100000000000001" customHeight="1">
      <c r="A60" s="28">
        <v>1</v>
      </c>
      <c r="B60" s="156" t="s">
        <v>118</v>
      </c>
      <c r="C60" s="161" t="s">
        <v>119</v>
      </c>
      <c r="D60" s="181" t="s">
        <v>90</v>
      </c>
      <c r="E60" s="25">
        <f>180306.81</f>
        <v>180306.81</v>
      </c>
      <c r="F60" s="207">
        <f>'[9]August 2022  (2)'!$AA$56</f>
        <v>180306.80685866671</v>
      </c>
      <c r="G60" s="23">
        <f>F60-E60</f>
        <v>-3.1413332908414304E-3</v>
      </c>
      <c r="H60" s="180"/>
      <c r="I60" s="180"/>
    </row>
    <row r="61" spans="1:9" ht="20.100000000000001" customHeight="1">
      <c r="A61" s="28"/>
      <c r="B61" s="159" t="s">
        <v>86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80"/>
      <c r="I61" s="180"/>
    </row>
    <row r="62" spans="1:9" ht="20.100000000000001" customHeight="1">
      <c r="A62" s="28"/>
      <c r="B62" s="159"/>
      <c r="C62" s="29"/>
      <c r="D62" s="29"/>
      <c r="E62" s="30"/>
      <c r="F62" s="218"/>
      <c r="G62" s="30"/>
      <c r="H62" s="180"/>
      <c r="I62" s="180"/>
    </row>
    <row r="63" spans="1:9" ht="20.100000000000001" customHeight="1">
      <c r="A63" s="28"/>
      <c r="B63" s="159" t="s">
        <v>123</v>
      </c>
      <c r="C63" s="29"/>
      <c r="D63" s="29"/>
      <c r="E63" s="30"/>
      <c r="F63" s="218"/>
      <c r="G63" s="30"/>
      <c r="H63" s="180"/>
      <c r="I63" s="180"/>
    </row>
    <row r="64" spans="1:9" ht="20.100000000000001" customHeight="1">
      <c r="A64" s="28">
        <v>1</v>
      </c>
      <c r="B64" s="156" t="s">
        <v>124</v>
      </c>
      <c r="C64" s="112" t="s">
        <v>125</v>
      </c>
      <c r="D64" s="28" t="s">
        <v>90</v>
      </c>
      <c r="E64" s="25">
        <f>180306.81</f>
        <v>180306.81</v>
      </c>
      <c r="F64" s="208">
        <v>180306.80685866671</v>
      </c>
      <c r="G64" s="25">
        <f>F64-E64</f>
        <v>-3.1413332908414304E-3</v>
      </c>
      <c r="H64" s="180"/>
      <c r="I64" s="180"/>
    </row>
    <row r="65" spans="1:9" ht="20.100000000000001" customHeight="1">
      <c r="A65" s="28">
        <v>2</v>
      </c>
      <c r="B65" s="157" t="s">
        <v>126</v>
      </c>
      <c r="C65" s="112" t="s">
        <v>127</v>
      </c>
      <c r="D65" s="181" t="s">
        <v>128</v>
      </c>
      <c r="E65" s="25">
        <v>75572.92</v>
      </c>
      <c r="F65" s="208">
        <v>75572.915690666661</v>
      </c>
      <c r="G65" s="25">
        <f t="shared" ref="G65:G76" si="7">F65-E65</f>
        <v>-4.3093333370052278E-3</v>
      </c>
      <c r="H65" s="180"/>
      <c r="I65" s="180"/>
    </row>
    <row r="66" spans="1:9" ht="20.100000000000001" customHeight="1">
      <c r="A66" s="28">
        <v>3</v>
      </c>
      <c r="B66" s="156" t="s">
        <v>129</v>
      </c>
      <c r="C66" s="20" t="s">
        <v>131</v>
      </c>
      <c r="D66" s="28" t="s">
        <v>165</v>
      </c>
      <c r="E66" s="25">
        <f>48170.87</f>
        <v>48170.87</v>
      </c>
      <c r="F66" s="208">
        <v>49548.776186666662</v>
      </c>
      <c r="G66" s="25">
        <f t="shared" si="7"/>
        <v>1377.9061866666598</v>
      </c>
      <c r="H66" s="180"/>
      <c r="I66" s="180"/>
    </row>
    <row r="67" spans="1:9" ht="20.100000000000001" customHeight="1">
      <c r="A67" s="28">
        <v>4</v>
      </c>
      <c r="B67" s="157" t="s">
        <v>130</v>
      </c>
      <c r="C67" s="112" t="s">
        <v>131</v>
      </c>
      <c r="D67" s="181" t="s">
        <v>57</v>
      </c>
      <c r="E67" s="25">
        <f>46673.26</f>
        <v>46673.26</v>
      </c>
      <c r="F67" s="208">
        <v>48170.870282666663</v>
      </c>
      <c r="G67" s="25">
        <f t="shared" si="7"/>
        <v>1497.6102826666611</v>
      </c>
      <c r="H67" s="180"/>
      <c r="I67" s="180"/>
    </row>
    <row r="68" spans="1:9" ht="20.100000000000001" customHeight="1">
      <c r="A68" s="28">
        <v>5</v>
      </c>
      <c r="B68" s="158" t="s">
        <v>132</v>
      </c>
      <c r="C68" s="112" t="s">
        <v>109</v>
      </c>
      <c r="D68" s="181" t="s">
        <v>51</v>
      </c>
      <c r="E68" s="23">
        <v>56478.9</v>
      </c>
      <c r="F68" s="208">
        <v>58026.609434666672</v>
      </c>
      <c r="G68" s="25">
        <f t="shared" si="7"/>
        <v>1547.7094346666709</v>
      </c>
      <c r="H68" s="180"/>
      <c r="I68" s="180"/>
    </row>
    <row r="69" spans="1:9" ht="20.100000000000001" customHeight="1">
      <c r="A69" s="28">
        <v>6</v>
      </c>
      <c r="B69" s="156" t="s">
        <v>135</v>
      </c>
      <c r="C69" s="20" t="s">
        <v>113</v>
      </c>
      <c r="D69" s="28" t="s">
        <v>581</v>
      </c>
      <c r="E69" s="25">
        <v>36127.269999999997</v>
      </c>
      <c r="F69" s="208">
        <v>37661.421354666665</v>
      </c>
      <c r="G69" s="25">
        <f t="shared" si="7"/>
        <v>1534.1513546666683</v>
      </c>
      <c r="H69" s="180"/>
      <c r="I69" s="180"/>
    </row>
    <row r="70" spans="1:9" ht="20.100000000000001" customHeight="1">
      <c r="A70" s="28">
        <v>7</v>
      </c>
      <c r="B70" s="156" t="s">
        <v>198</v>
      </c>
      <c r="C70" s="112" t="s">
        <v>137</v>
      </c>
      <c r="D70" s="181" t="s">
        <v>199</v>
      </c>
      <c r="E70" s="25">
        <v>41248.559999999998</v>
      </c>
      <c r="F70" s="208">
        <v>43278.494774666666</v>
      </c>
      <c r="G70" s="25">
        <f t="shared" si="7"/>
        <v>2029.9347746666681</v>
      </c>
      <c r="H70" s="180"/>
      <c r="I70" s="180"/>
    </row>
    <row r="71" spans="1:9" ht="20.100000000000001" customHeight="1">
      <c r="A71" s="28">
        <v>8</v>
      </c>
      <c r="B71" s="156" t="s">
        <v>136</v>
      </c>
      <c r="C71" s="112" t="s">
        <v>137</v>
      </c>
      <c r="D71" s="181" t="s">
        <v>66</v>
      </c>
      <c r="E71" s="25">
        <f>40149.18</f>
        <v>40149.18</v>
      </c>
      <c r="F71" s="208">
        <v>40149.175266666673</v>
      </c>
      <c r="G71" s="25">
        <f t="shared" si="7"/>
        <v>-4.7333333277492784E-3</v>
      </c>
      <c r="H71" s="180"/>
      <c r="I71" s="180"/>
    </row>
    <row r="72" spans="1:9" ht="20.100000000000001" customHeight="1">
      <c r="A72" s="28">
        <v>9</v>
      </c>
      <c r="B72" s="156" t="s">
        <v>138</v>
      </c>
      <c r="C72" s="112" t="s">
        <v>137</v>
      </c>
      <c r="D72" s="181" t="s">
        <v>66</v>
      </c>
      <c r="E72" s="25">
        <f>40149.18</f>
        <v>40149.18</v>
      </c>
      <c r="F72" s="208">
        <v>40149.175266666673</v>
      </c>
      <c r="G72" s="25">
        <f t="shared" si="7"/>
        <v>-4.7333333277492784E-3</v>
      </c>
      <c r="H72" s="180"/>
      <c r="I72" s="180"/>
    </row>
    <row r="73" spans="1:9" ht="20.100000000000001" customHeight="1">
      <c r="A73" s="28">
        <v>10</v>
      </c>
      <c r="B73" s="156" t="s">
        <v>139</v>
      </c>
      <c r="C73" s="20" t="s">
        <v>140</v>
      </c>
      <c r="D73" s="28" t="s">
        <v>63</v>
      </c>
      <c r="E73" s="25" t="e">
        <f>#REF!</f>
        <v>#REF!</v>
      </c>
      <c r="F73" s="208">
        <f>'[9]August 2022  (2)'!$Z$69</f>
        <v>41338.951098666665</v>
      </c>
      <c r="G73" s="25" t="e">
        <f t="shared" si="7"/>
        <v>#REF!</v>
      </c>
      <c r="H73" s="180"/>
      <c r="I73" s="180"/>
    </row>
    <row r="74" spans="1:9" ht="20.100000000000001" customHeight="1">
      <c r="A74" s="28">
        <v>11</v>
      </c>
      <c r="B74" s="156" t="s">
        <v>563</v>
      </c>
      <c r="C74" s="112" t="s">
        <v>113</v>
      </c>
      <c r="D74" s="28" t="s">
        <v>154</v>
      </c>
      <c r="E74" s="25">
        <f>32291.82</f>
        <v>32291.82</v>
      </c>
      <c r="F74" s="208">
        <v>33059.078406666667</v>
      </c>
      <c r="G74" s="25">
        <f t="shared" si="7"/>
        <v>767.25840666666772</v>
      </c>
      <c r="H74" s="180"/>
      <c r="I74" s="180"/>
    </row>
    <row r="75" spans="1:9" ht="20.100000000000001" customHeight="1">
      <c r="A75" s="28">
        <v>12</v>
      </c>
      <c r="B75" s="156" t="s">
        <v>142</v>
      </c>
      <c r="C75" s="112" t="s">
        <v>65</v>
      </c>
      <c r="D75" s="28" t="s">
        <v>69</v>
      </c>
      <c r="E75" s="25">
        <f>24685.95</f>
        <v>24685.95</v>
      </c>
      <c r="F75" s="208">
        <v>29058.48260466666</v>
      </c>
      <c r="G75" s="25">
        <f t="shared" si="7"/>
        <v>4372.5326046666596</v>
      </c>
      <c r="H75" s="180"/>
      <c r="I75" s="180"/>
    </row>
    <row r="76" spans="1:9" ht="20.100000000000001" customHeight="1">
      <c r="A76" s="28">
        <v>13</v>
      </c>
      <c r="B76" s="158" t="s">
        <v>64</v>
      </c>
      <c r="C76" s="112" t="s">
        <v>65</v>
      </c>
      <c r="D76" s="28" t="s">
        <v>81</v>
      </c>
      <c r="E76" s="25">
        <f>24685.95</f>
        <v>24685.95</v>
      </c>
      <c r="F76" s="208">
        <v>25271.771466666669</v>
      </c>
      <c r="G76" s="25">
        <f t="shared" si="7"/>
        <v>585.82146666666813</v>
      </c>
      <c r="H76" s="180"/>
      <c r="I76" s="180"/>
    </row>
    <row r="77" spans="1:9" ht="20.100000000000001" customHeight="1">
      <c r="A77" s="28"/>
      <c r="B77" s="159" t="s">
        <v>86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80"/>
      <c r="I77" s="180"/>
    </row>
    <row r="78" spans="1:9" ht="20.100000000000001" customHeight="1">
      <c r="A78" s="28"/>
      <c r="B78" s="123"/>
      <c r="C78" s="29"/>
      <c r="D78" s="29"/>
      <c r="E78" s="30"/>
      <c r="F78" s="218"/>
      <c r="G78" s="30"/>
      <c r="H78" s="180"/>
      <c r="I78" s="180"/>
    </row>
    <row r="79" spans="1:9" ht="20.100000000000001" customHeight="1">
      <c r="A79" s="28"/>
      <c r="B79" s="159" t="s">
        <v>143</v>
      </c>
      <c r="C79" s="29"/>
      <c r="D79" s="29"/>
      <c r="E79" s="30"/>
      <c r="F79" s="218"/>
      <c r="G79" s="30"/>
      <c r="H79" s="180"/>
      <c r="I79" s="180"/>
    </row>
    <row r="80" spans="1:9" ht="20.100000000000001" customHeight="1">
      <c r="A80" s="28">
        <v>1</v>
      </c>
      <c r="B80" s="156" t="s">
        <v>144</v>
      </c>
      <c r="C80" s="20" t="s">
        <v>145</v>
      </c>
      <c r="D80" s="28" t="s">
        <v>90</v>
      </c>
      <c r="E80" s="25">
        <f>180306.81</f>
        <v>180306.81</v>
      </c>
      <c r="F80" s="207">
        <v>180306.80685866671</v>
      </c>
      <c r="G80" s="23">
        <f>F80-E80</f>
        <v>-3.1413332908414304E-3</v>
      </c>
      <c r="H80" s="180"/>
      <c r="I80" s="180"/>
    </row>
    <row r="81" spans="1:9" ht="20.100000000000001" customHeight="1">
      <c r="A81" s="28">
        <v>2</v>
      </c>
      <c r="B81" s="158" t="s">
        <v>146</v>
      </c>
      <c r="C81" s="20" t="s">
        <v>147</v>
      </c>
      <c r="D81" s="181" t="s">
        <v>128</v>
      </c>
      <c r="E81" s="25">
        <f>75572.92</f>
        <v>75572.92</v>
      </c>
      <c r="F81" s="207">
        <v>75572.915690666661</v>
      </c>
      <c r="G81" s="23">
        <f t="shared" ref="G81:G84" si="9">F81-E81</f>
        <v>-4.3093333370052278E-3</v>
      </c>
      <c r="H81" s="180"/>
      <c r="I81" s="180"/>
    </row>
    <row r="82" spans="1:9" ht="20.100000000000001" customHeight="1">
      <c r="A82" s="28">
        <v>3</v>
      </c>
      <c r="B82" s="158" t="s">
        <v>564</v>
      </c>
      <c r="C82" s="20" t="s">
        <v>565</v>
      </c>
      <c r="D82" s="181" t="s">
        <v>128</v>
      </c>
      <c r="E82" s="25">
        <f>75572.92</f>
        <v>75572.92</v>
      </c>
      <c r="F82" s="207">
        <v>75572.915690666661</v>
      </c>
      <c r="G82" s="23">
        <f t="shared" si="9"/>
        <v>-4.3093333370052278E-3</v>
      </c>
      <c r="H82" s="180"/>
      <c r="I82" s="180"/>
    </row>
    <row r="83" spans="1:9" ht="20.100000000000001" customHeight="1">
      <c r="A83" s="28">
        <v>4</v>
      </c>
      <c r="B83" s="156" t="s">
        <v>150</v>
      </c>
      <c r="C83" s="20" t="s">
        <v>406</v>
      </c>
      <c r="D83" s="181" t="s">
        <v>165</v>
      </c>
      <c r="E83" s="25">
        <v>48170.87</v>
      </c>
      <c r="F83" s="207">
        <v>49548.776186666662</v>
      </c>
      <c r="G83" s="23">
        <f t="shared" si="9"/>
        <v>1377.9061866666598</v>
      </c>
      <c r="H83" s="180"/>
      <c r="I83" s="180"/>
    </row>
    <row r="84" spans="1:9" ht="20.100000000000001" customHeight="1">
      <c r="A84" s="28">
        <v>5</v>
      </c>
      <c r="B84" s="156" t="s">
        <v>152</v>
      </c>
      <c r="C84" s="20" t="s">
        <v>153</v>
      </c>
      <c r="D84" s="28" t="s">
        <v>154</v>
      </c>
      <c r="E84" s="25">
        <f>32291.82</f>
        <v>32291.82</v>
      </c>
      <c r="F84" s="207">
        <v>33059.078406666667</v>
      </c>
      <c r="G84" s="23">
        <f t="shared" si="9"/>
        <v>767.25840666666772</v>
      </c>
      <c r="H84" s="180"/>
      <c r="I84" s="180"/>
    </row>
    <row r="85" spans="1:9" ht="20.100000000000001" customHeight="1">
      <c r="A85" s="28"/>
      <c r="B85" s="159" t="s">
        <v>86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80"/>
      <c r="I85" s="180"/>
    </row>
    <row r="86" spans="1:9" ht="20.100000000000001" customHeight="1">
      <c r="A86" s="28"/>
      <c r="B86" s="159"/>
      <c r="C86" s="29"/>
      <c r="D86" s="29"/>
      <c r="E86" s="30"/>
      <c r="F86" s="207"/>
      <c r="G86" s="23"/>
      <c r="H86" s="180"/>
      <c r="I86" s="180"/>
    </row>
    <row r="87" spans="1:9" ht="20.100000000000001" customHeight="1">
      <c r="A87" s="28"/>
      <c r="B87" s="159" t="s">
        <v>158</v>
      </c>
      <c r="C87" s="186"/>
      <c r="D87" s="29"/>
      <c r="E87" s="30"/>
      <c r="F87" s="207"/>
      <c r="G87" s="23"/>
      <c r="H87" s="180"/>
      <c r="I87" s="180"/>
    </row>
    <row r="88" spans="1:9" ht="23.25" customHeight="1">
      <c r="A88" s="28">
        <v>1</v>
      </c>
      <c r="B88" s="156" t="s">
        <v>582</v>
      </c>
      <c r="C88" s="20" t="s">
        <v>583</v>
      </c>
      <c r="D88" s="28" t="s">
        <v>228</v>
      </c>
      <c r="E88" s="25">
        <f>97273.51</f>
        <v>97273.51</v>
      </c>
      <c r="F88" s="207">
        <v>99907.951418666678</v>
      </c>
      <c r="G88" s="23">
        <f>F88-E88</f>
        <v>2634.4414186666836</v>
      </c>
      <c r="H88" s="180"/>
      <c r="I88" s="180"/>
    </row>
    <row r="89" spans="1:9" ht="20.100000000000001" customHeight="1">
      <c r="A89" s="28">
        <v>2</v>
      </c>
      <c r="B89" s="156" t="s">
        <v>159</v>
      </c>
      <c r="C89" s="20" t="s">
        <v>102</v>
      </c>
      <c r="D89" s="28" t="s">
        <v>45</v>
      </c>
      <c r="E89" s="25">
        <f>79956.94</f>
        <v>79956.94</v>
      </c>
      <c r="F89" s="207">
        <v>79956.939146666657</v>
      </c>
      <c r="G89" s="23">
        <f t="shared" ref="G89:G98" si="11">F89-E89</f>
        <v>-8.5333334573078901E-4</v>
      </c>
      <c r="H89" s="180"/>
      <c r="I89" s="180"/>
    </row>
    <row r="90" spans="1:9" ht="20.100000000000001" customHeight="1">
      <c r="A90" s="28">
        <v>3</v>
      </c>
      <c r="B90" s="156" t="s">
        <v>160</v>
      </c>
      <c r="C90" s="20" t="s">
        <v>102</v>
      </c>
      <c r="D90" s="28" t="s">
        <v>45</v>
      </c>
      <c r="E90" s="25">
        <f>79796.1</f>
        <v>79796.100000000006</v>
      </c>
      <c r="F90" s="207">
        <v>79796.103146666646</v>
      </c>
      <c r="G90" s="23">
        <f t="shared" si="11"/>
        <v>3.146666640532203E-3</v>
      </c>
      <c r="H90" s="180"/>
      <c r="I90" s="180"/>
    </row>
    <row r="91" spans="1:9" ht="20.100000000000001" customHeight="1">
      <c r="A91" s="28">
        <v>4</v>
      </c>
      <c r="B91" s="158" t="s">
        <v>161</v>
      </c>
      <c r="C91" s="20" t="s">
        <v>109</v>
      </c>
      <c r="D91" s="28" t="s">
        <v>405</v>
      </c>
      <c r="E91" s="23">
        <f>57894.08</f>
        <v>57894.080000000002</v>
      </c>
      <c r="F91" s="207">
        <v>59441.782042666666</v>
      </c>
      <c r="G91" s="23">
        <f t="shared" si="11"/>
        <v>1547.7020426666641</v>
      </c>
      <c r="H91" s="180"/>
      <c r="I91" s="180"/>
    </row>
    <row r="92" spans="1:9" ht="20.100000000000001" customHeight="1">
      <c r="A92" s="28">
        <v>5</v>
      </c>
      <c r="B92" s="156" t="s">
        <v>162</v>
      </c>
      <c r="C92" s="20" t="s">
        <v>107</v>
      </c>
      <c r="D92" s="28" t="s">
        <v>51</v>
      </c>
      <c r="E92" s="23">
        <f>56478.9</f>
        <v>56478.9</v>
      </c>
      <c r="F92" s="207">
        <v>58026.609434666672</v>
      </c>
      <c r="G92" s="23">
        <f t="shared" si="11"/>
        <v>1547.7094346666709</v>
      </c>
      <c r="H92" s="180"/>
      <c r="I92" s="180"/>
    </row>
    <row r="93" spans="1:9" ht="21.6" customHeight="1">
      <c r="A93" s="28">
        <v>6</v>
      </c>
      <c r="B93" s="156" t="s">
        <v>163</v>
      </c>
      <c r="C93" s="20" t="s">
        <v>164</v>
      </c>
      <c r="D93" s="181" t="s">
        <v>165</v>
      </c>
      <c r="E93" s="25">
        <f>48170.87</f>
        <v>48170.87</v>
      </c>
      <c r="F93" s="207">
        <v>49548.776186666662</v>
      </c>
      <c r="G93" s="23">
        <f t="shared" si="11"/>
        <v>1377.9061866666598</v>
      </c>
      <c r="H93" s="180"/>
      <c r="I93" s="180"/>
    </row>
    <row r="94" spans="1:9" ht="21.6" customHeight="1">
      <c r="A94" s="28">
        <v>7</v>
      </c>
      <c r="B94" s="156" t="s">
        <v>166</v>
      </c>
      <c r="C94" s="161" t="s">
        <v>131</v>
      </c>
      <c r="D94" s="181" t="s">
        <v>57</v>
      </c>
      <c r="E94" s="25">
        <f>46673.26</f>
        <v>46673.26</v>
      </c>
      <c r="F94" s="207">
        <v>48170.870282666663</v>
      </c>
      <c r="G94" s="23">
        <f t="shared" si="11"/>
        <v>1497.6102826666611</v>
      </c>
      <c r="H94" s="180"/>
      <c r="I94" s="180"/>
    </row>
    <row r="95" spans="1:9" ht="21.6" customHeight="1">
      <c r="A95" s="28">
        <v>8</v>
      </c>
      <c r="B95" s="156" t="s">
        <v>167</v>
      </c>
      <c r="C95" s="161" t="s">
        <v>131</v>
      </c>
      <c r="D95" s="181" t="s">
        <v>57</v>
      </c>
      <c r="E95" s="25">
        <f>46673.26</f>
        <v>46673.26</v>
      </c>
      <c r="F95" s="207">
        <v>48170.870282666663</v>
      </c>
      <c r="G95" s="23">
        <f t="shared" si="11"/>
        <v>1497.6102826666611</v>
      </c>
      <c r="H95" s="180"/>
      <c r="I95" s="180"/>
    </row>
    <row r="96" spans="1:9" ht="21.6" customHeight="1">
      <c r="A96" s="28">
        <v>9</v>
      </c>
      <c r="B96" s="156" t="s">
        <v>169</v>
      </c>
      <c r="C96" s="112" t="s">
        <v>137</v>
      </c>
      <c r="D96" s="181" t="s">
        <v>66</v>
      </c>
      <c r="E96" s="25">
        <f>40149.18</f>
        <v>40149.18</v>
      </c>
      <c r="F96" s="208">
        <v>40149.175266666673</v>
      </c>
      <c r="G96" s="23">
        <f t="shared" si="11"/>
        <v>-4.7333333277492784E-3</v>
      </c>
      <c r="H96" s="180"/>
      <c r="I96" s="180"/>
    </row>
    <row r="97" spans="1:9" ht="21.6" customHeight="1">
      <c r="A97" s="28">
        <v>10</v>
      </c>
      <c r="B97" s="156" t="s">
        <v>171</v>
      </c>
      <c r="C97" s="20" t="s">
        <v>172</v>
      </c>
      <c r="D97" s="28" t="s">
        <v>95</v>
      </c>
      <c r="E97" s="25">
        <v>0</v>
      </c>
      <c r="F97" s="207">
        <v>0</v>
      </c>
      <c r="G97" s="23">
        <f t="shared" si="11"/>
        <v>0</v>
      </c>
      <c r="H97" s="180"/>
      <c r="I97" s="180"/>
    </row>
    <row r="98" spans="1:9" ht="21.6" customHeight="1">
      <c r="A98" s="28">
        <v>11</v>
      </c>
      <c r="B98" s="156" t="s">
        <v>173</v>
      </c>
      <c r="C98" s="112" t="s">
        <v>174</v>
      </c>
      <c r="D98" s="181" t="s">
        <v>81</v>
      </c>
      <c r="E98" s="25">
        <f>24685.95</f>
        <v>24685.95</v>
      </c>
      <c r="F98" s="208">
        <v>24749.797062666661</v>
      </c>
      <c r="G98" s="23">
        <f t="shared" si="11"/>
        <v>63.847062666660349</v>
      </c>
      <c r="H98" s="180"/>
      <c r="I98" s="180"/>
    </row>
    <row r="99" spans="1:9" ht="20.100000000000001" customHeight="1">
      <c r="A99" s="28"/>
      <c r="B99" s="159" t="s">
        <v>86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80"/>
      <c r="I99" s="180"/>
    </row>
    <row r="100" spans="1:9" ht="20.100000000000001" customHeight="1">
      <c r="A100" s="28"/>
      <c r="B100" s="123"/>
      <c r="C100" s="29"/>
      <c r="D100" s="29"/>
      <c r="E100" s="30"/>
      <c r="F100" s="218"/>
      <c r="G100" s="30"/>
      <c r="H100" s="180"/>
      <c r="I100" s="180"/>
    </row>
    <row r="101" spans="1:9" ht="20.100000000000001" customHeight="1">
      <c r="A101" s="28"/>
      <c r="B101" s="159" t="s">
        <v>175</v>
      </c>
      <c r="C101" s="29"/>
      <c r="D101" s="29"/>
      <c r="E101" s="30"/>
      <c r="F101" s="218"/>
      <c r="G101" s="30"/>
      <c r="H101" s="180"/>
      <c r="I101" s="180"/>
    </row>
    <row r="102" spans="1:9" ht="20.100000000000001" customHeight="1">
      <c r="A102" s="28">
        <v>1</v>
      </c>
      <c r="B102" s="157" t="s">
        <v>41</v>
      </c>
      <c r="C102" s="28" t="s">
        <v>42</v>
      </c>
      <c r="D102" s="181" t="s">
        <v>36</v>
      </c>
      <c r="E102" s="25">
        <f>79993.51</f>
        <v>79993.509999999995</v>
      </c>
      <c r="F102" s="207">
        <v>79993.513850666655</v>
      </c>
      <c r="G102" s="23">
        <f>F102-E102</f>
        <v>3.8506666605826467E-3</v>
      </c>
      <c r="H102" s="180"/>
      <c r="I102" s="180"/>
    </row>
    <row r="103" spans="1:9" ht="20.100000000000001" customHeight="1">
      <c r="A103" s="28">
        <v>2</v>
      </c>
      <c r="B103" s="156" t="s">
        <v>46</v>
      </c>
      <c r="C103" s="20" t="s">
        <v>179</v>
      </c>
      <c r="D103" s="28" t="s">
        <v>51</v>
      </c>
      <c r="E103" s="23">
        <f>43380.1</f>
        <v>43380.1</v>
      </c>
      <c r="F103" s="207">
        <v>44734.339388666674</v>
      </c>
      <c r="G103" s="23">
        <f t="shared" ref="G103:G105" si="13">F103-E103</f>
        <v>1354.2393886666759</v>
      </c>
      <c r="H103" s="180"/>
      <c r="I103" s="180"/>
    </row>
    <row r="104" spans="1:9" ht="20.100000000000001" customHeight="1">
      <c r="A104" s="28">
        <v>3</v>
      </c>
      <c r="B104" s="157" t="s">
        <v>584</v>
      </c>
      <c r="C104" s="20" t="s">
        <v>585</v>
      </c>
      <c r="D104" s="181" t="s">
        <v>57</v>
      </c>
      <c r="E104" s="25">
        <f>38272.44</f>
        <v>38272.44</v>
      </c>
      <c r="F104" s="207">
        <v>39582.844830666661</v>
      </c>
      <c r="G104" s="23">
        <f t="shared" si="13"/>
        <v>1310.4048306666591</v>
      </c>
      <c r="H104" s="180"/>
      <c r="I104" s="180"/>
    </row>
    <row r="105" spans="1:9" ht="20.100000000000001" customHeight="1">
      <c r="A105" s="28">
        <v>4</v>
      </c>
      <c r="B105" s="156" t="s">
        <v>180</v>
      </c>
      <c r="C105" s="20" t="s">
        <v>181</v>
      </c>
      <c r="D105" s="181" t="s">
        <v>63</v>
      </c>
      <c r="E105" s="25" t="e">
        <f>#REF!</f>
        <v>#REF!</v>
      </c>
      <c r="F105" s="207">
        <v>32098.951098666672</v>
      </c>
      <c r="G105" s="23" t="e">
        <f t="shared" si="13"/>
        <v>#REF!</v>
      </c>
      <c r="H105" s="180"/>
      <c r="I105" s="180"/>
    </row>
    <row r="106" spans="1:9" ht="20.100000000000001" customHeight="1">
      <c r="A106" s="20"/>
      <c r="B106" s="159" t="s">
        <v>86</v>
      </c>
      <c r="C106" s="29">
        <v>4</v>
      </c>
      <c r="D106" s="187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80"/>
      <c r="I106" s="180"/>
    </row>
    <row r="107" spans="1:9" ht="20.100000000000001" customHeight="1">
      <c r="A107" s="20"/>
      <c r="B107" s="123"/>
      <c r="C107" s="29"/>
      <c r="D107" s="187"/>
      <c r="E107" s="30"/>
      <c r="F107" s="218"/>
      <c r="G107" s="30"/>
      <c r="H107" s="180"/>
      <c r="I107" s="180"/>
    </row>
    <row r="108" spans="1:9" ht="20.100000000000001" customHeight="1">
      <c r="A108" s="20"/>
      <c r="B108" s="159" t="s">
        <v>184</v>
      </c>
      <c r="C108" s="20"/>
      <c r="D108" s="20"/>
      <c r="E108" s="20"/>
      <c r="F108" s="219"/>
      <c r="G108" s="20"/>
      <c r="H108" s="180"/>
      <c r="I108" s="180"/>
    </row>
    <row r="109" spans="1:9" ht="20.100000000000001" customHeight="1">
      <c r="A109" s="20">
        <v>1</v>
      </c>
      <c r="B109" s="156" t="s">
        <v>185</v>
      </c>
      <c r="C109" s="161" t="s">
        <v>186</v>
      </c>
      <c r="D109" s="181" t="s">
        <v>90</v>
      </c>
      <c r="E109" s="25">
        <f>180306.81</f>
        <v>180306.81</v>
      </c>
      <c r="F109" s="207">
        <v>180145.9708586667</v>
      </c>
      <c r="G109" s="23">
        <f>F109-E109</f>
        <v>-160.83914133330109</v>
      </c>
      <c r="H109" s="180"/>
      <c r="I109" s="180"/>
    </row>
    <row r="110" spans="1:9" ht="20.100000000000001" customHeight="1">
      <c r="A110" s="20">
        <v>2</v>
      </c>
      <c r="B110" s="156" t="s">
        <v>187</v>
      </c>
      <c r="C110" s="20" t="s">
        <v>188</v>
      </c>
      <c r="D110" s="24" t="s">
        <v>36</v>
      </c>
      <c r="E110" s="25" t="e">
        <f>#REF!</f>
        <v>#REF!</v>
      </c>
      <c r="F110" s="207">
        <v>97147.085210666657</v>
      </c>
      <c r="G110" s="23" t="e">
        <f t="shared" ref="G110:G115" si="15">F110-E110</f>
        <v>#REF!</v>
      </c>
      <c r="H110" s="180"/>
      <c r="I110" s="180"/>
    </row>
    <row r="111" spans="1:9" ht="20.100000000000001" customHeight="1">
      <c r="A111" s="20">
        <v>3</v>
      </c>
      <c r="B111" s="156" t="s">
        <v>189</v>
      </c>
      <c r="C111" s="20" t="s">
        <v>190</v>
      </c>
      <c r="D111" s="28" t="s">
        <v>54</v>
      </c>
      <c r="E111" s="23">
        <f>58814.67</f>
        <v>58814.67</v>
      </c>
      <c r="F111" s="207">
        <v>58941.101743466657</v>
      </c>
      <c r="G111" s="23">
        <f t="shared" si="15"/>
        <v>126.4317434666591</v>
      </c>
      <c r="H111" s="180"/>
      <c r="I111" s="180"/>
    </row>
    <row r="112" spans="1:9" ht="20.100000000000001" customHeight="1">
      <c r="A112" s="20">
        <v>4</v>
      </c>
      <c r="B112" s="156" t="s">
        <v>191</v>
      </c>
      <c r="C112" s="20" t="s">
        <v>190</v>
      </c>
      <c r="D112" s="28" t="s">
        <v>54</v>
      </c>
      <c r="E112" s="23">
        <f>57194.24</f>
        <v>57194.239999999998</v>
      </c>
      <c r="F112" s="207">
        <v>58941.101743466657</v>
      </c>
      <c r="G112" s="23">
        <f t="shared" si="15"/>
        <v>1746.8617434666594</v>
      </c>
      <c r="H112" s="180"/>
      <c r="I112" s="180"/>
    </row>
    <row r="113" spans="1:9" ht="20.100000000000001" customHeight="1">
      <c r="A113" s="20">
        <v>5</v>
      </c>
      <c r="B113" s="156" t="s">
        <v>192</v>
      </c>
      <c r="C113" s="20" t="s">
        <v>193</v>
      </c>
      <c r="D113" s="181" t="s">
        <v>194</v>
      </c>
      <c r="E113" s="25">
        <f>30699.58</f>
        <v>30699.58</v>
      </c>
      <c r="F113" s="207">
        <v>31285.603203306662</v>
      </c>
      <c r="G113" s="23">
        <f t="shared" si="15"/>
        <v>586.02320330666043</v>
      </c>
      <c r="H113" s="180"/>
      <c r="I113" s="180"/>
    </row>
    <row r="114" spans="1:9" ht="20.100000000000001" customHeight="1">
      <c r="A114" s="20">
        <v>6</v>
      </c>
      <c r="B114" s="157" t="s">
        <v>195</v>
      </c>
      <c r="C114" s="20" t="s">
        <v>193</v>
      </c>
      <c r="D114" s="28" t="s">
        <v>76</v>
      </c>
      <c r="E114" s="25">
        <f>30049.31</f>
        <v>30049.31</v>
      </c>
      <c r="F114" s="207">
        <v>30635.120688666666</v>
      </c>
      <c r="G114" s="23">
        <f t="shared" si="15"/>
        <v>585.81068866666465</v>
      </c>
      <c r="H114" s="180"/>
      <c r="I114" s="180"/>
    </row>
    <row r="115" spans="1:9" ht="20.100000000000001" customHeight="1">
      <c r="A115" s="20">
        <v>7</v>
      </c>
      <c r="B115" s="157" t="s">
        <v>196</v>
      </c>
      <c r="C115" s="20" t="s">
        <v>193</v>
      </c>
      <c r="D115" s="181" t="s">
        <v>81</v>
      </c>
      <c r="E115" s="25">
        <f>28813.07</f>
        <v>28813.07</v>
      </c>
      <c r="F115" s="207">
        <v>29055.584161426657</v>
      </c>
      <c r="G115" s="23">
        <f t="shared" si="15"/>
        <v>242.51416142665767</v>
      </c>
      <c r="H115" s="180"/>
      <c r="I115" s="180"/>
    </row>
    <row r="116" spans="1:9" ht="20.100000000000001" customHeight="1">
      <c r="A116" s="20"/>
      <c r="B116" s="159" t="s">
        <v>86</v>
      </c>
      <c r="C116" s="29">
        <v>7</v>
      </c>
      <c r="D116" s="20"/>
      <c r="E116" s="188" t="e">
        <f t="shared" ref="E116:G116" si="16">SUM(E109:E115)</f>
        <v>#REF!</v>
      </c>
      <c r="F116" s="188">
        <f t="shared" si="16"/>
        <v>486151.56760966667</v>
      </c>
      <c r="G116" s="188" t="e">
        <f t="shared" si="16"/>
        <v>#REF!</v>
      </c>
      <c r="H116" s="180"/>
      <c r="I116" s="180"/>
    </row>
    <row r="117" spans="1:9" ht="20.100000000000001" customHeight="1">
      <c r="A117" s="20"/>
      <c r="B117" s="123"/>
      <c r="C117" s="28"/>
      <c r="D117" s="20"/>
      <c r="E117" s="189"/>
      <c r="F117" s="209"/>
      <c r="G117" s="189"/>
      <c r="H117" s="180"/>
      <c r="I117" s="180"/>
    </row>
    <row r="118" spans="1:9" ht="20.100000000000001" customHeight="1">
      <c r="A118" s="20"/>
      <c r="B118" s="159" t="s">
        <v>204</v>
      </c>
      <c r="C118" s="29"/>
      <c r="D118" s="29"/>
      <c r="E118" s="30"/>
      <c r="F118" s="207"/>
      <c r="G118" s="23"/>
      <c r="H118" s="180"/>
      <c r="I118" s="180"/>
    </row>
    <row r="119" spans="1:9" ht="20.100000000000001" customHeight="1">
      <c r="A119" s="20">
        <v>1</v>
      </c>
      <c r="B119" s="156" t="s">
        <v>205</v>
      </c>
      <c r="C119" s="161" t="s">
        <v>206</v>
      </c>
      <c r="D119" s="181" t="s">
        <v>90</v>
      </c>
      <c r="E119" s="25">
        <f>179914.45</f>
        <v>179914.45</v>
      </c>
      <c r="F119" s="207">
        <v>179914.4546986667</v>
      </c>
      <c r="G119" s="23">
        <f>F119-E119</f>
        <v>4.6986666857264936E-3</v>
      </c>
      <c r="H119" s="180"/>
      <c r="I119" s="180"/>
    </row>
    <row r="120" spans="1:9" ht="20.100000000000001" customHeight="1">
      <c r="A120" s="20" t="s">
        <v>586</v>
      </c>
      <c r="B120" s="156" t="s">
        <v>587</v>
      </c>
      <c r="C120" s="161" t="s">
        <v>588</v>
      </c>
      <c r="D120" s="181" t="s">
        <v>228</v>
      </c>
      <c r="E120" s="25">
        <f>101827.95</f>
        <v>101827.95</v>
      </c>
      <c r="F120" s="207">
        <v>101827.95141866668</v>
      </c>
      <c r="G120" s="23">
        <f t="shared" ref="G120:G129" si="17">F120-E120</f>
        <v>1.4186666812747717E-3</v>
      </c>
      <c r="H120" s="180"/>
      <c r="I120" s="180"/>
    </row>
    <row r="121" spans="1:9" ht="20.100000000000001" customHeight="1">
      <c r="A121" s="20">
        <v>3</v>
      </c>
      <c r="B121" s="156" t="s">
        <v>207</v>
      </c>
      <c r="C121" s="161" t="s">
        <v>208</v>
      </c>
      <c r="D121" s="181" t="s">
        <v>45</v>
      </c>
      <c r="E121" s="25">
        <f>83636.1</f>
        <v>83636.100000000006</v>
      </c>
      <c r="F121" s="207">
        <v>83636.103146666646</v>
      </c>
      <c r="G121" s="23">
        <f t="shared" si="17"/>
        <v>3.146666640532203E-3</v>
      </c>
      <c r="H121" s="180"/>
      <c r="I121" s="180"/>
    </row>
    <row r="122" spans="1:9" ht="20.100000000000001" customHeight="1">
      <c r="A122" s="20">
        <v>4</v>
      </c>
      <c r="B122" s="158" t="s">
        <v>209</v>
      </c>
      <c r="C122" s="161" t="s">
        <v>208</v>
      </c>
      <c r="D122" s="181" t="s">
        <v>45</v>
      </c>
      <c r="E122" s="23">
        <f>64436.1</f>
        <v>64436.1</v>
      </c>
      <c r="F122" s="207">
        <v>64436.103146666661</v>
      </c>
      <c r="G122" s="23">
        <f t="shared" si="17"/>
        <v>3.1466666623600759E-3</v>
      </c>
      <c r="H122" s="180"/>
      <c r="I122" s="180"/>
    </row>
    <row r="123" spans="1:9" ht="20.100000000000001" customHeight="1">
      <c r="A123" s="20">
        <v>5</v>
      </c>
      <c r="B123" s="158" t="s">
        <v>210</v>
      </c>
      <c r="C123" s="161" t="s">
        <v>208</v>
      </c>
      <c r="D123" s="181" t="s">
        <v>48</v>
      </c>
      <c r="E123" s="25">
        <f>60212.92</f>
        <v>60212.92</v>
      </c>
      <c r="F123" s="207">
        <v>60212.915690666669</v>
      </c>
      <c r="G123" s="23">
        <f t="shared" si="17"/>
        <v>-4.3093333297292702E-3</v>
      </c>
      <c r="H123" s="180"/>
      <c r="I123" s="180"/>
    </row>
    <row r="124" spans="1:9" ht="20.100000000000001" customHeight="1">
      <c r="A124" s="20">
        <v>6</v>
      </c>
      <c r="B124" s="156" t="s">
        <v>211</v>
      </c>
      <c r="C124" s="161" t="s">
        <v>212</v>
      </c>
      <c r="D124" s="181" t="s">
        <v>134</v>
      </c>
      <c r="E124" s="25" t="e">
        <f>#REF!</f>
        <v>#REF!</v>
      </c>
      <c r="F124" s="207">
        <v>42652.373376666663</v>
      </c>
      <c r="G124" s="23" t="e">
        <f t="shared" si="17"/>
        <v>#REF!</v>
      </c>
      <c r="H124" s="180"/>
      <c r="I124" s="180"/>
    </row>
    <row r="125" spans="1:9" ht="20.100000000000001" customHeight="1">
      <c r="A125" s="20">
        <v>7</v>
      </c>
      <c r="B125" s="156" t="s">
        <v>213</v>
      </c>
      <c r="C125" s="161" t="s">
        <v>214</v>
      </c>
      <c r="D125" s="181" t="s">
        <v>165</v>
      </c>
      <c r="E125" s="25">
        <f>44518.93</f>
        <v>44518.93</v>
      </c>
      <c r="F125" s="207">
        <v>45724.599176666663</v>
      </c>
      <c r="G125" s="23">
        <f t="shared" si="17"/>
        <v>1205.6691766666627</v>
      </c>
      <c r="H125" s="180"/>
      <c r="I125" s="180"/>
    </row>
    <row r="126" spans="1:9" ht="20.100000000000001" customHeight="1">
      <c r="A126" s="20">
        <v>8</v>
      </c>
      <c r="B126" s="156" t="s">
        <v>215</v>
      </c>
      <c r="C126" s="161" t="s">
        <v>408</v>
      </c>
      <c r="D126" s="181" t="s">
        <v>165</v>
      </c>
      <c r="E126" s="25">
        <f>39478.93</f>
        <v>39478.93</v>
      </c>
      <c r="F126" s="207">
        <v>40684.599176666663</v>
      </c>
      <c r="G126" s="23">
        <f t="shared" si="17"/>
        <v>1205.6691766666627</v>
      </c>
      <c r="H126" s="180"/>
      <c r="I126" s="180"/>
    </row>
    <row r="127" spans="1:9" ht="20.100000000000001" customHeight="1">
      <c r="A127" s="20">
        <v>9</v>
      </c>
      <c r="B127" s="157" t="s">
        <v>589</v>
      </c>
      <c r="C127" s="161" t="s">
        <v>590</v>
      </c>
      <c r="D127" s="181" t="s">
        <v>591</v>
      </c>
      <c r="E127" s="25">
        <f>38272.44</f>
        <v>38272.44</v>
      </c>
      <c r="F127" s="207">
        <v>39582.844830666661</v>
      </c>
      <c r="G127" s="23">
        <f t="shared" si="17"/>
        <v>1310.4048306666591</v>
      </c>
      <c r="H127" s="180"/>
      <c r="I127" s="180"/>
    </row>
    <row r="128" spans="1:9" ht="20.100000000000001" customHeight="1">
      <c r="A128" s="20">
        <v>10</v>
      </c>
      <c r="B128" s="156" t="s">
        <v>216</v>
      </c>
      <c r="C128" s="161" t="s">
        <v>217</v>
      </c>
      <c r="D128" s="28" t="s">
        <v>69</v>
      </c>
      <c r="E128" s="25">
        <f>21640.95</f>
        <v>21640.95</v>
      </c>
      <c r="F128" s="207">
        <v>22338.48260466666</v>
      </c>
      <c r="G128" s="23">
        <f t="shared" si="17"/>
        <v>697.53260466665961</v>
      </c>
      <c r="H128" s="180"/>
      <c r="I128" s="180"/>
    </row>
    <row r="129" spans="1:9" ht="20.100000000000001" customHeight="1">
      <c r="A129" s="20">
        <v>11</v>
      </c>
      <c r="B129" s="157" t="s">
        <v>218</v>
      </c>
      <c r="C129" s="161" t="s">
        <v>219</v>
      </c>
      <c r="D129" s="181" t="s">
        <v>81</v>
      </c>
      <c r="E129" s="25">
        <f>25245.23</f>
        <v>25245.23</v>
      </c>
      <c r="F129" s="207">
        <v>17042.713866666661</v>
      </c>
      <c r="G129" s="23">
        <f t="shared" si="17"/>
        <v>-8202.5161333333381</v>
      </c>
      <c r="H129" s="180"/>
      <c r="I129" s="180"/>
    </row>
    <row r="130" spans="1:9" ht="20.100000000000001" customHeight="1">
      <c r="A130" s="20"/>
      <c r="B130" s="159" t="s">
        <v>86</v>
      </c>
      <c r="C130" s="187" t="s">
        <v>592</v>
      </c>
      <c r="D130" s="181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80"/>
      <c r="I130" s="180"/>
    </row>
    <row r="131" spans="1:9" ht="20.100000000000001" customHeight="1">
      <c r="A131" s="20"/>
      <c r="B131" s="123"/>
      <c r="C131" s="187"/>
      <c r="D131" s="181"/>
      <c r="E131" s="30"/>
      <c r="F131" s="220"/>
      <c r="G131" s="182"/>
      <c r="H131" s="180"/>
      <c r="I131" s="180"/>
    </row>
    <row r="132" spans="1:9" ht="20.100000000000001" customHeight="1">
      <c r="A132" s="20"/>
      <c r="B132" s="159" t="s">
        <v>223</v>
      </c>
      <c r="C132" s="161"/>
      <c r="D132" s="181"/>
      <c r="E132" s="25"/>
      <c r="F132" s="207"/>
      <c r="G132" s="23"/>
      <c r="H132" s="180"/>
      <c r="I132" s="180"/>
    </row>
    <row r="133" spans="1:9" ht="20.100000000000001" customHeight="1">
      <c r="A133" s="191">
        <v>1</v>
      </c>
      <c r="B133" s="156" t="s">
        <v>224</v>
      </c>
      <c r="C133" s="161" t="s">
        <v>225</v>
      </c>
      <c r="D133" s="181" t="s">
        <v>90</v>
      </c>
      <c r="E133" s="25">
        <f>161106.81</f>
        <v>161106.81</v>
      </c>
      <c r="F133" s="207">
        <v>161106.80685866668</v>
      </c>
      <c r="G133" s="23">
        <f>F133-E133</f>
        <v>-3.1413333199452609E-3</v>
      </c>
      <c r="H133" s="180"/>
      <c r="I133" s="180"/>
    </row>
    <row r="134" spans="1:9" ht="20.100000000000001" customHeight="1">
      <c r="A134" s="191">
        <v>2</v>
      </c>
      <c r="B134" s="156" t="s">
        <v>226</v>
      </c>
      <c r="C134" s="161" t="s">
        <v>227</v>
      </c>
      <c r="D134" s="181" t="s">
        <v>228</v>
      </c>
      <c r="E134" s="23">
        <v>82627.95</v>
      </c>
      <c r="F134" s="207">
        <v>82467.115418666668</v>
      </c>
      <c r="G134" s="23">
        <f t="shared" ref="G134:G187" si="19">F134-E134</f>
        <v>-160.83458133332897</v>
      </c>
      <c r="H134" s="180"/>
      <c r="I134" s="180"/>
    </row>
    <row r="135" spans="1:9" ht="20.100000000000001" customHeight="1">
      <c r="A135" s="191">
        <v>3</v>
      </c>
      <c r="B135" s="158" t="s">
        <v>229</v>
      </c>
      <c r="C135" s="20" t="s">
        <v>230</v>
      </c>
      <c r="D135" s="24" t="s">
        <v>36</v>
      </c>
      <c r="E135" s="23" t="e">
        <f>#REF!</f>
        <v>#REF!</v>
      </c>
      <c r="F135" s="207">
        <v>89465.197050666669</v>
      </c>
      <c r="G135" s="23" t="e">
        <f t="shared" si="19"/>
        <v>#REF!</v>
      </c>
      <c r="H135" s="180"/>
      <c r="I135" s="180"/>
    </row>
    <row r="136" spans="1:9" ht="20.100000000000001" customHeight="1">
      <c r="A136" s="191">
        <v>4</v>
      </c>
      <c r="B136" s="156" t="s">
        <v>231</v>
      </c>
      <c r="C136" s="161" t="s">
        <v>232</v>
      </c>
      <c r="D136" s="181" t="s">
        <v>51</v>
      </c>
      <c r="E136" s="25">
        <f>43380.1</f>
        <v>43380.1</v>
      </c>
      <c r="F136" s="207">
        <v>44734.339388666674</v>
      </c>
      <c r="G136" s="23">
        <f t="shared" si="19"/>
        <v>1354.2393886666759</v>
      </c>
      <c r="H136" s="180"/>
      <c r="I136" s="180"/>
    </row>
    <row r="137" spans="1:9" ht="20.100000000000001" customHeight="1">
      <c r="A137" s="191">
        <v>5</v>
      </c>
      <c r="B137" s="156" t="s">
        <v>233</v>
      </c>
      <c r="C137" s="20" t="s">
        <v>234</v>
      </c>
      <c r="D137" s="181" t="s">
        <v>51</v>
      </c>
      <c r="E137" s="25">
        <f>43380.1</f>
        <v>43380.1</v>
      </c>
      <c r="F137" s="207">
        <v>44846.616588666679</v>
      </c>
      <c r="G137" s="23">
        <f t="shared" si="19"/>
        <v>1466.51658866668</v>
      </c>
      <c r="H137" s="180"/>
      <c r="I137" s="180"/>
    </row>
    <row r="138" spans="1:9" ht="20.100000000000001" customHeight="1">
      <c r="A138" s="191">
        <v>6</v>
      </c>
      <c r="B138" s="156" t="s">
        <v>178</v>
      </c>
      <c r="C138" s="20" t="s">
        <v>240</v>
      </c>
      <c r="D138" s="181" t="s">
        <v>165</v>
      </c>
      <c r="E138" s="25">
        <f>39582.84</f>
        <v>39582.839999999997</v>
      </c>
      <c r="F138" s="207">
        <v>40698.124856666655</v>
      </c>
      <c r="G138" s="23">
        <f t="shared" si="19"/>
        <v>1115.284856666658</v>
      </c>
      <c r="H138" s="180"/>
      <c r="I138" s="180"/>
    </row>
    <row r="139" spans="1:9" ht="20.100000000000001" customHeight="1">
      <c r="A139" s="191">
        <v>7</v>
      </c>
      <c r="B139" s="156" t="s">
        <v>236</v>
      </c>
      <c r="C139" s="161" t="s">
        <v>237</v>
      </c>
      <c r="D139" s="181" t="s">
        <v>199</v>
      </c>
      <c r="E139" s="25">
        <f>32848.56</f>
        <v>32848.559999999998</v>
      </c>
      <c r="F139" s="207">
        <v>34968.882414666667</v>
      </c>
      <c r="G139" s="23">
        <f t="shared" si="19"/>
        <v>2120.3224146666689</v>
      </c>
      <c r="H139" s="180"/>
      <c r="I139" s="180"/>
    </row>
    <row r="140" spans="1:9" ht="20.100000000000001" customHeight="1">
      <c r="A140" s="191">
        <v>8</v>
      </c>
      <c r="B140" s="156" t="s">
        <v>238</v>
      </c>
      <c r="C140" s="161" t="s">
        <v>237</v>
      </c>
      <c r="D140" s="181" t="s">
        <v>199</v>
      </c>
      <c r="E140" s="25">
        <f>32938.95</f>
        <v>32938.949999999997</v>
      </c>
      <c r="F140" s="207">
        <v>34968.882414666667</v>
      </c>
      <c r="G140" s="23">
        <f t="shared" si="19"/>
        <v>2029.9324146666695</v>
      </c>
      <c r="H140" s="180"/>
      <c r="I140" s="180"/>
    </row>
    <row r="141" spans="1:9" ht="20.100000000000001" customHeight="1">
      <c r="A141" s="191">
        <v>9</v>
      </c>
      <c r="B141" s="156" t="s">
        <v>239</v>
      </c>
      <c r="C141" s="20" t="s">
        <v>240</v>
      </c>
      <c r="D141" s="181" t="s">
        <v>199</v>
      </c>
      <c r="E141" s="25">
        <f>32938.95</f>
        <v>32938.949999999997</v>
      </c>
      <c r="F141" s="207">
        <v>34968.882414666667</v>
      </c>
      <c r="G141" s="23">
        <f t="shared" si="19"/>
        <v>2029.9324146666695</v>
      </c>
      <c r="H141" s="180"/>
      <c r="I141" s="180"/>
    </row>
    <row r="142" spans="1:9" ht="20.100000000000001" customHeight="1">
      <c r="A142" s="191">
        <v>10</v>
      </c>
      <c r="B142" s="156" t="s">
        <v>241</v>
      </c>
      <c r="C142" s="161" t="s">
        <v>246</v>
      </c>
      <c r="D142" s="181" t="s">
        <v>63</v>
      </c>
      <c r="E142" s="25" t="e">
        <f>#REF!</f>
        <v>#REF!</v>
      </c>
      <c r="F142" s="207">
        <v>32022.168238666676</v>
      </c>
      <c r="G142" s="23" t="e">
        <f t="shared" si="19"/>
        <v>#REF!</v>
      </c>
      <c r="H142" s="180"/>
      <c r="I142" s="180"/>
    </row>
    <row r="143" spans="1:9" ht="20.100000000000001" customHeight="1">
      <c r="A143" s="191">
        <v>11</v>
      </c>
      <c r="B143" s="156" t="s">
        <v>243</v>
      </c>
      <c r="C143" s="161" t="s">
        <v>410</v>
      </c>
      <c r="D143" s="181" t="s">
        <v>411</v>
      </c>
      <c r="E143" s="25">
        <f>27029.2</f>
        <v>27029.200000000001</v>
      </c>
      <c r="F143" s="207">
        <v>27794.206626666662</v>
      </c>
      <c r="G143" s="23">
        <f t="shared" si="19"/>
        <v>765.00662666666176</v>
      </c>
      <c r="H143" s="180"/>
      <c r="I143" s="180"/>
    </row>
    <row r="144" spans="1:9" ht="20.100000000000001" customHeight="1">
      <c r="A144" s="191">
        <v>12</v>
      </c>
      <c r="B144" s="156" t="s">
        <v>245</v>
      </c>
      <c r="C144" s="161" t="s">
        <v>246</v>
      </c>
      <c r="D144" s="181" t="s">
        <v>199</v>
      </c>
      <c r="E144" s="25" t="e">
        <f>#REF!</f>
        <v>#REF!</v>
      </c>
      <c r="F144" s="207">
        <v>34128.882414666667</v>
      </c>
      <c r="G144" s="23" t="e">
        <f t="shared" si="19"/>
        <v>#REF!</v>
      </c>
      <c r="H144" s="180"/>
      <c r="I144" s="180"/>
    </row>
    <row r="145" spans="1:9" ht="20.100000000000001" customHeight="1">
      <c r="A145" s="191">
        <v>13</v>
      </c>
      <c r="B145" s="156" t="s">
        <v>249</v>
      </c>
      <c r="C145" s="20" t="s">
        <v>250</v>
      </c>
      <c r="D145" s="181" t="s">
        <v>154</v>
      </c>
      <c r="E145" s="25">
        <f>26339.08</f>
        <v>26339.08</v>
      </c>
      <c r="F145" s="207">
        <v>27031.29334266666</v>
      </c>
      <c r="G145" s="23">
        <f t="shared" si="19"/>
        <v>692.21334266665872</v>
      </c>
      <c r="H145" s="180"/>
      <c r="I145" s="180"/>
    </row>
    <row r="146" spans="1:9" ht="20.100000000000001" customHeight="1">
      <c r="A146" s="191">
        <v>14</v>
      </c>
      <c r="B146" s="156" t="s">
        <v>251</v>
      </c>
      <c r="C146" s="20" t="s">
        <v>250</v>
      </c>
      <c r="D146" s="181" t="s">
        <v>252</v>
      </c>
      <c r="E146" s="25">
        <f>26264.39</f>
        <v>26264.39</v>
      </c>
      <c r="F146" s="207">
        <v>27105.986562666658</v>
      </c>
      <c r="G146" s="23">
        <f t="shared" si="19"/>
        <v>841.59656266665843</v>
      </c>
      <c r="H146" s="180"/>
      <c r="I146" s="180"/>
    </row>
    <row r="147" spans="1:9" ht="20.100000000000001" customHeight="1">
      <c r="A147" s="191">
        <v>15</v>
      </c>
      <c r="B147" s="156" t="s">
        <v>253</v>
      </c>
      <c r="C147" s="20" t="s">
        <v>250</v>
      </c>
      <c r="D147" s="181" t="s">
        <v>252</v>
      </c>
      <c r="E147" s="25">
        <f>26339.08</f>
        <v>26339.08</v>
      </c>
      <c r="F147" s="207">
        <v>27105.986562666658</v>
      </c>
      <c r="G147" s="23">
        <f t="shared" si="19"/>
        <v>766.9065626666561</v>
      </c>
      <c r="H147" s="180"/>
      <c r="I147" s="180"/>
    </row>
    <row r="148" spans="1:9" ht="20.100000000000001" customHeight="1">
      <c r="A148" s="191">
        <v>16</v>
      </c>
      <c r="B148" s="156" t="s">
        <v>254</v>
      </c>
      <c r="C148" s="161" t="s">
        <v>255</v>
      </c>
      <c r="D148" s="181" t="s">
        <v>95</v>
      </c>
      <c r="E148" s="25">
        <f>25571.82</f>
        <v>25571.82</v>
      </c>
      <c r="F148" s="207">
        <v>25571.815728666668</v>
      </c>
      <c r="G148" s="23">
        <f t="shared" si="19"/>
        <v>-4.2713333314168267E-3</v>
      </c>
      <c r="H148" s="180"/>
      <c r="I148" s="180"/>
    </row>
    <row r="149" spans="1:9" ht="20.100000000000001" customHeight="1">
      <c r="A149" s="191">
        <v>17</v>
      </c>
      <c r="B149" s="156" t="s">
        <v>256</v>
      </c>
      <c r="C149" s="161" t="s">
        <v>257</v>
      </c>
      <c r="D149" s="28" t="s">
        <v>73</v>
      </c>
      <c r="E149" s="25">
        <f>21640.95</f>
        <v>21640.95</v>
      </c>
      <c r="F149" s="207">
        <v>21640.952862666669</v>
      </c>
      <c r="G149" s="23">
        <f t="shared" si="19"/>
        <v>2.8626666680793278E-3</v>
      </c>
      <c r="H149" s="180"/>
      <c r="I149" s="180"/>
    </row>
    <row r="150" spans="1:9" ht="20.100000000000001" customHeight="1">
      <c r="A150" s="191">
        <v>18</v>
      </c>
      <c r="B150" s="156" t="s">
        <v>258</v>
      </c>
      <c r="C150" s="161" t="s">
        <v>259</v>
      </c>
      <c r="D150" s="181" t="s">
        <v>154</v>
      </c>
      <c r="E150" s="25" t="e">
        <f>#REF!</f>
        <v>#REF!</v>
      </c>
      <c r="F150" s="207">
        <v>27105.986562666658</v>
      </c>
      <c r="G150" s="23" t="e">
        <f t="shared" si="19"/>
        <v>#REF!</v>
      </c>
      <c r="H150" s="180"/>
      <c r="I150" s="180"/>
    </row>
    <row r="151" spans="1:9" ht="20.100000000000001" customHeight="1">
      <c r="A151" s="191">
        <v>19</v>
      </c>
      <c r="B151" s="156" t="s">
        <v>260</v>
      </c>
      <c r="C151" s="161" t="s">
        <v>261</v>
      </c>
      <c r="D151" s="181" t="s">
        <v>69</v>
      </c>
      <c r="E151" s="25">
        <v>21640.95</v>
      </c>
      <c r="F151" s="207">
        <v>22281.815364666661</v>
      </c>
      <c r="G151" s="23">
        <f t="shared" si="19"/>
        <v>640.86536466666075</v>
      </c>
      <c r="H151" s="180"/>
      <c r="I151" s="180"/>
    </row>
    <row r="152" spans="1:9" ht="20.100000000000001" customHeight="1">
      <c r="A152" s="191">
        <v>20</v>
      </c>
      <c r="B152" s="156" t="s">
        <v>262</v>
      </c>
      <c r="C152" s="161" t="s">
        <v>263</v>
      </c>
      <c r="D152" s="181" t="s">
        <v>154</v>
      </c>
      <c r="E152" s="25">
        <v>25571.708040666661</v>
      </c>
      <c r="F152" s="207">
        <v>27105.986562666658</v>
      </c>
      <c r="G152" s="23">
        <f t="shared" si="19"/>
        <v>1534.2785219999969</v>
      </c>
      <c r="H152" s="180"/>
      <c r="I152" s="180"/>
    </row>
    <row r="153" spans="1:9" ht="20.100000000000001" customHeight="1">
      <c r="A153" s="191">
        <v>21</v>
      </c>
      <c r="B153" s="156" t="s">
        <v>264</v>
      </c>
      <c r="C153" s="161" t="s">
        <v>265</v>
      </c>
      <c r="D153" s="181" t="s">
        <v>69</v>
      </c>
      <c r="E153" s="25">
        <f>18102.9+3538.05</f>
        <v>21640.95</v>
      </c>
      <c r="F153" s="207">
        <v>22338.48260466666</v>
      </c>
      <c r="G153" s="23">
        <f t="shared" si="19"/>
        <v>697.53260466665961</v>
      </c>
      <c r="H153" s="180"/>
      <c r="I153" s="180"/>
    </row>
    <row r="154" spans="1:9" ht="20.100000000000001" customHeight="1">
      <c r="A154" s="191">
        <v>22</v>
      </c>
      <c r="B154" s="157" t="s">
        <v>266</v>
      </c>
      <c r="C154" s="161" t="s">
        <v>271</v>
      </c>
      <c r="D154" s="181" t="s">
        <v>578</v>
      </c>
      <c r="E154" s="25">
        <f>17572.89</f>
        <v>17572.89</v>
      </c>
      <c r="F154" s="207">
        <v>18102.902732666666</v>
      </c>
      <c r="G154" s="23">
        <f t="shared" si="19"/>
        <v>530.01273266666612</v>
      </c>
      <c r="H154" s="180"/>
      <c r="I154" s="180"/>
    </row>
    <row r="155" spans="1:9" ht="20.100000000000001" customHeight="1">
      <c r="A155" s="191">
        <v>23</v>
      </c>
      <c r="B155" s="157" t="s">
        <v>593</v>
      </c>
      <c r="C155" s="161" t="s">
        <v>269</v>
      </c>
      <c r="D155" s="181" t="s">
        <v>81</v>
      </c>
      <c r="E155" s="25">
        <f>16512.68</f>
        <v>16512.68</v>
      </c>
      <c r="F155" s="207">
        <v>17042.713866666661</v>
      </c>
      <c r="G155" s="23">
        <f t="shared" si="19"/>
        <v>530.0338666666612</v>
      </c>
      <c r="H155" s="180"/>
      <c r="I155" s="180"/>
    </row>
    <row r="156" spans="1:9" ht="20.100000000000001" customHeight="1">
      <c r="A156" s="191">
        <v>24</v>
      </c>
      <c r="B156" s="157" t="s">
        <v>268</v>
      </c>
      <c r="C156" s="161" t="s">
        <v>269</v>
      </c>
      <c r="D156" s="181" t="s">
        <v>85</v>
      </c>
      <c r="E156" s="25">
        <f>16512.68</f>
        <v>16512.68</v>
      </c>
      <c r="F156" s="207">
        <v>16512.68219066667</v>
      </c>
      <c r="G156" s="23">
        <f t="shared" si="19"/>
        <v>2.1906666697759647E-3</v>
      </c>
      <c r="H156" s="180"/>
      <c r="I156" s="180"/>
    </row>
    <row r="157" spans="1:9" ht="20.100000000000001" customHeight="1">
      <c r="A157" s="191">
        <v>25</v>
      </c>
      <c r="B157" s="157" t="s">
        <v>270</v>
      </c>
      <c r="C157" s="161" t="s">
        <v>271</v>
      </c>
      <c r="D157" s="181" t="s">
        <v>85</v>
      </c>
      <c r="E157" s="25">
        <f t="shared" ref="E157:E158" si="20">16512.68</f>
        <v>16512.68</v>
      </c>
      <c r="F157" s="207">
        <v>16514.228790666668</v>
      </c>
      <c r="G157" s="23">
        <f t="shared" si="19"/>
        <v>1.5487906666676281</v>
      </c>
      <c r="H157" s="180"/>
      <c r="I157" s="180"/>
    </row>
    <row r="158" spans="1:9" ht="20.100000000000001" customHeight="1">
      <c r="A158" s="191">
        <v>26</v>
      </c>
      <c r="B158" s="157" t="s">
        <v>272</v>
      </c>
      <c r="C158" s="161" t="s">
        <v>273</v>
      </c>
      <c r="D158" s="181" t="s">
        <v>81</v>
      </c>
      <c r="E158" s="25">
        <f t="shared" si="20"/>
        <v>16512.68</v>
      </c>
      <c r="F158" s="207">
        <v>17043.017866666662</v>
      </c>
      <c r="G158" s="23">
        <f t="shared" si="19"/>
        <v>530.33786666666128</v>
      </c>
      <c r="H158" s="180"/>
      <c r="I158" s="180"/>
    </row>
    <row r="159" spans="1:9" ht="20.100000000000001" customHeight="1">
      <c r="A159" s="191">
        <v>27</v>
      </c>
      <c r="B159" s="157" t="s">
        <v>274</v>
      </c>
      <c r="C159" s="161" t="s">
        <v>275</v>
      </c>
      <c r="D159" s="181" t="s">
        <v>81</v>
      </c>
      <c r="E159" s="25">
        <f>16512.68</f>
        <v>16512.68</v>
      </c>
      <c r="F159" s="207">
        <v>17008.323359999995</v>
      </c>
      <c r="G159" s="23">
        <f t="shared" si="19"/>
        <v>495.64335999999457</v>
      </c>
      <c r="H159" s="180"/>
      <c r="I159" s="180"/>
    </row>
    <row r="160" spans="1:9" ht="20.100000000000001" customHeight="1">
      <c r="A160" s="191">
        <v>28</v>
      </c>
      <c r="B160" s="156" t="s">
        <v>277</v>
      </c>
      <c r="C160" s="161" t="s">
        <v>278</v>
      </c>
      <c r="D160" s="181" t="s">
        <v>279</v>
      </c>
      <c r="E160" s="23">
        <f>9117.05</f>
        <v>9117.0499999999993</v>
      </c>
      <c r="F160" s="207">
        <v>10776.457626666665</v>
      </c>
      <c r="G160" s="23">
        <f t="shared" si="19"/>
        <v>1659.4076266666652</v>
      </c>
      <c r="H160" s="180"/>
      <c r="I160" s="180"/>
    </row>
    <row r="161" spans="1:9" ht="20.100000000000001" customHeight="1">
      <c r="A161" s="191">
        <v>29</v>
      </c>
      <c r="B161" s="156" t="s">
        <v>280</v>
      </c>
      <c r="C161" s="161" t="s">
        <v>278</v>
      </c>
      <c r="D161" s="181" t="s">
        <v>279</v>
      </c>
      <c r="E161" s="23">
        <f>9504.2</f>
        <v>9504.2000000000007</v>
      </c>
      <c r="F161" s="207">
        <v>11232.457626666665</v>
      </c>
      <c r="G161" s="23">
        <f t="shared" si="19"/>
        <v>1728.2576266666638</v>
      </c>
      <c r="H161" s="180"/>
      <c r="I161" s="180"/>
    </row>
    <row r="162" spans="1:9" ht="20.100000000000001" customHeight="1">
      <c r="A162" s="191">
        <v>30</v>
      </c>
      <c r="B162" s="156" t="s">
        <v>281</v>
      </c>
      <c r="C162" s="161" t="s">
        <v>278</v>
      </c>
      <c r="D162" s="181" t="s">
        <v>279</v>
      </c>
      <c r="E162" s="23">
        <f>9144.2</f>
        <v>9144.2000000000007</v>
      </c>
      <c r="F162" s="207">
        <v>10776.457626666665</v>
      </c>
      <c r="G162" s="23">
        <f t="shared" si="19"/>
        <v>1632.2576266666638</v>
      </c>
      <c r="H162" s="180"/>
      <c r="I162" s="180"/>
    </row>
    <row r="163" spans="1:9" ht="20.100000000000001" customHeight="1">
      <c r="A163" s="191">
        <v>31</v>
      </c>
      <c r="B163" s="156" t="s">
        <v>594</v>
      </c>
      <c r="C163" s="161" t="s">
        <v>278</v>
      </c>
      <c r="D163" s="181" t="s">
        <v>279</v>
      </c>
      <c r="E163" s="23">
        <f>9144.2</f>
        <v>9144.2000000000007</v>
      </c>
      <c r="F163" s="207">
        <v>10776.457626666665</v>
      </c>
      <c r="G163" s="23">
        <f t="shared" si="19"/>
        <v>1632.2576266666638</v>
      </c>
      <c r="H163" s="180"/>
      <c r="I163" s="180"/>
    </row>
    <row r="164" spans="1:9" ht="20.100000000000001" customHeight="1">
      <c r="A164" s="191">
        <v>32</v>
      </c>
      <c r="B164" s="156" t="s">
        <v>282</v>
      </c>
      <c r="C164" s="161" t="s">
        <v>278</v>
      </c>
      <c r="D164" s="181" t="s">
        <v>279</v>
      </c>
      <c r="E164" s="23">
        <f>9117.05</f>
        <v>9117.0499999999993</v>
      </c>
      <c r="F164" s="207">
        <v>10743.737199999998</v>
      </c>
      <c r="G164" s="23">
        <f t="shared" si="19"/>
        <v>1626.6871999999985</v>
      </c>
      <c r="H164" s="180"/>
      <c r="I164" s="180"/>
    </row>
    <row r="165" spans="1:9" ht="20.100000000000001" customHeight="1">
      <c r="A165" s="191">
        <v>33</v>
      </c>
      <c r="B165" s="156" t="s">
        <v>283</v>
      </c>
      <c r="C165" s="161" t="s">
        <v>278</v>
      </c>
      <c r="D165" s="181" t="s">
        <v>279</v>
      </c>
      <c r="E165" s="23">
        <f>9144.2</f>
        <v>9144.2000000000007</v>
      </c>
      <c r="F165" s="207">
        <v>10776.457626666665</v>
      </c>
      <c r="G165" s="23">
        <f t="shared" si="19"/>
        <v>1632.2576266666638</v>
      </c>
      <c r="H165" s="180"/>
      <c r="I165" s="180"/>
    </row>
    <row r="166" spans="1:9" ht="20.100000000000001" customHeight="1">
      <c r="A166" s="191">
        <v>34</v>
      </c>
      <c r="B166" s="156" t="s">
        <v>284</v>
      </c>
      <c r="C166" s="161" t="s">
        <v>278</v>
      </c>
      <c r="D166" s="181" t="s">
        <v>285</v>
      </c>
      <c r="E166" s="23">
        <v>9152.6</v>
      </c>
      <c r="F166" s="207">
        <v>9504.2041399999998</v>
      </c>
      <c r="G166" s="23">
        <f t="shared" si="19"/>
        <v>351.60413999999946</v>
      </c>
      <c r="H166" s="180"/>
      <c r="I166" s="180"/>
    </row>
    <row r="167" spans="1:9" ht="20.100000000000001" customHeight="1">
      <c r="A167" s="191">
        <v>35</v>
      </c>
      <c r="B167" s="156" t="s">
        <v>286</v>
      </c>
      <c r="C167" s="161" t="s">
        <v>278</v>
      </c>
      <c r="D167" s="181" t="s">
        <v>285</v>
      </c>
      <c r="E167" s="23">
        <v>8792.6</v>
      </c>
      <c r="F167" s="207">
        <v>9144.2041399999998</v>
      </c>
      <c r="G167" s="23">
        <f t="shared" si="19"/>
        <v>351.60413999999946</v>
      </c>
      <c r="H167" s="180"/>
      <c r="I167" s="180"/>
    </row>
    <row r="168" spans="1:9" ht="20.100000000000001" customHeight="1">
      <c r="A168" s="191">
        <v>36</v>
      </c>
      <c r="B168" s="156" t="s">
        <v>569</v>
      </c>
      <c r="C168" s="161" t="s">
        <v>278</v>
      </c>
      <c r="D168" s="181" t="s">
        <v>285</v>
      </c>
      <c r="E168" s="23">
        <v>8792.6</v>
      </c>
      <c r="F168" s="207">
        <v>9144.2041399999998</v>
      </c>
      <c r="G168" s="23">
        <f t="shared" si="19"/>
        <v>351.60413999999946</v>
      </c>
      <c r="H168" s="180"/>
      <c r="I168" s="180"/>
    </row>
    <row r="169" spans="1:9" ht="20.100000000000001" customHeight="1">
      <c r="A169" s="191">
        <v>37</v>
      </c>
      <c r="B169" s="158" t="s">
        <v>287</v>
      </c>
      <c r="C169" s="161" t="s">
        <v>278</v>
      </c>
      <c r="D169" s="181" t="s">
        <v>285</v>
      </c>
      <c r="E169" s="23">
        <v>9152.6</v>
      </c>
      <c r="F169" s="207">
        <v>9504.2041399999998</v>
      </c>
      <c r="G169" s="23">
        <f t="shared" si="19"/>
        <v>351.60413999999946</v>
      </c>
      <c r="H169" s="180"/>
      <c r="I169" s="180"/>
    </row>
    <row r="170" spans="1:9" ht="20.100000000000001" customHeight="1">
      <c r="A170" s="191">
        <v>38</v>
      </c>
      <c r="B170" s="156" t="s">
        <v>288</v>
      </c>
      <c r="C170" s="161" t="s">
        <v>278</v>
      </c>
      <c r="D170" s="181" t="s">
        <v>285</v>
      </c>
      <c r="E170" s="23">
        <v>8792.6</v>
      </c>
      <c r="F170" s="207">
        <v>9144.2041399999998</v>
      </c>
      <c r="G170" s="23">
        <f t="shared" si="19"/>
        <v>351.60413999999946</v>
      </c>
      <c r="H170" s="180"/>
      <c r="I170" s="180"/>
    </row>
    <row r="171" spans="1:9" ht="20.100000000000001" customHeight="1">
      <c r="A171" s="191">
        <v>39</v>
      </c>
      <c r="B171" s="157" t="s">
        <v>289</v>
      </c>
      <c r="C171" s="161" t="s">
        <v>278</v>
      </c>
      <c r="D171" s="181" t="s">
        <v>285</v>
      </c>
      <c r="E171" s="23">
        <v>8792.6</v>
      </c>
      <c r="F171" s="207">
        <v>9144.2041399999998</v>
      </c>
      <c r="G171" s="23">
        <f t="shared" si="19"/>
        <v>351.60413999999946</v>
      </c>
      <c r="H171" s="180"/>
      <c r="I171" s="180"/>
    </row>
    <row r="172" spans="1:9" ht="20.100000000000001" customHeight="1">
      <c r="A172" s="191">
        <v>40</v>
      </c>
      <c r="B172" s="157" t="s">
        <v>290</v>
      </c>
      <c r="C172" s="161" t="s">
        <v>278</v>
      </c>
      <c r="D172" s="181" t="s">
        <v>285</v>
      </c>
      <c r="E172" s="23">
        <v>9152.6</v>
      </c>
      <c r="F172" s="207">
        <v>9504.2041399999998</v>
      </c>
      <c r="G172" s="23">
        <f t="shared" si="19"/>
        <v>351.60413999999946</v>
      </c>
      <c r="H172" s="180"/>
      <c r="I172" s="180"/>
    </row>
    <row r="173" spans="1:9" ht="20.100000000000001" customHeight="1">
      <c r="A173" s="191">
        <v>41</v>
      </c>
      <c r="B173" s="156" t="s">
        <v>291</v>
      </c>
      <c r="C173" s="161" t="s">
        <v>297</v>
      </c>
      <c r="D173" s="181" t="s">
        <v>397</v>
      </c>
      <c r="E173" s="23">
        <f>4227.52</f>
        <v>4227.5200000000004</v>
      </c>
      <c r="F173" s="207">
        <v>4365.3307546666683</v>
      </c>
      <c r="G173" s="23">
        <f t="shared" si="19"/>
        <v>137.81075466666789</v>
      </c>
      <c r="H173" s="180"/>
      <c r="I173" s="180"/>
    </row>
    <row r="174" spans="1:9" ht="20.100000000000001" customHeight="1">
      <c r="A174" s="191">
        <v>42</v>
      </c>
      <c r="B174" s="156" t="s">
        <v>294</v>
      </c>
      <c r="C174" s="161" t="s">
        <v>297</v>
      </c>
      <c r="D174" s="181" t="s">
        <v>397</v>
      </c>
      <c r="E174" s="23">
        <f>4227.52</f>
        <v>4227.5200000000004</v>
      </c>
      <c r="F174" s="207">
        <v>4365.3307546666683</v>
      </c>
      <c r="G174" s="23">
        <f t="shared" si="19"/>
        <v>137.81075466666789</v>
      </c>
      <c r="H174" s="180"/>
      <c r="I174" s="180"/>
    </row>
    <row r="175" spans="1:9" ht="20.100000000000001" customHeight="1">
      <c r="A175" s="191">
        <v>43</v>
      </c>
      <c r="B175" s="157" t="s">
        <v>295</v>
      </c>
      <c r="C175" s="161" t="s">
        <v>297</v>
      </c>
      <c r="D175" s="181" t="s">
        <v>398</v>
      </c>
      <c r="E175" s="23">
        <f>4365.33</f>
        <v>4365.33</v>
      </c>
      <c r="F175" s="207">
        <v>4504.4109199999994</v>
      </c>
      <c r="G175" s="23">
        <f t="shared" si="19"/>
        <v>139.08091999999942</v>
      </c>
      <c r="H175" s="180"/>
      <c r="I175" s="180"/>
    </row>
    <row r="176" spans="1:9" ht="20.100000000000001" customHeight="1">
      <c r="A176" s="191">
        <v>44</v>
      </c>
      <c r="B176" s="156" t="s">
        <v>296</v>
      </c>
      <c r="C176" s="161" t="s">
        <v>297</v>
      </c>
      <c r="D176" s="181" t="s">
        <v>298</v>
      </c>
      <c r="E176" s="23">
        <f>4089.72</f>
        <v>4089.72</v>
      </c>
      <c r="F176" s="207">
        <v>4227.5237226666677</v>
      </c>
      <c r="G176" s="23">
        <f t="shared" si="19"/>
        <v>137.80372266666791</v>
      </c>
      <c r="H176" s="180"/>
      <c r="I176" s="180"/>
    </row>
    <row r="177" spans="1:9" ht="20.100000000000001" customHeight="1">
      <c r="A177" s="191">
        <v>45</v>
      </c>
      <c r="B177" s="156" t="s">
        <v>299</v>
      </c>
      <c r="C177" s="161" t="s">
        <v>300</v>
      </c>
      <c r="D177" s="181" t="s">
        <v>301</v>
      </c>
      <c r="E177" s="23">
        <f>3951.8</f>
        <v>3951.8</v>
      </c>
      <c r="F177" s="207">
        <v>4089.716690666668</v>
      </c>
      <c r="G177" s="23">
        <f t="shared" si="19"/>
        <v>137.91669066666782</v>
      </c>
      <c r="H177" s="180"/>
      <c r="I177" s="180"/>
    </row>
    <row r="178" spans="1:9" ht="20.100000000000001" customHeight="1">
      <c r="A178" s="191">
        <v>46</v>
      </c>
      <c r="B178" s="156" t="s">
        <v>302</v>
      </c>
      <c r="C178" s="161" t="s">
        <v>300</v>
      </c>
      <c r="D178" s="181" t="s">
        <v>301</v>
      </c>
      <c r="E178" s="23">
        <f>3687.8</f>
        <v>3687.8</v>
      </c>
      <c r="F178" s="207">
        <v>3825.716690666668</v>
      </c>
      <c r="G178" s="23">
        <f t="shared" si="19"/>
        <v>137.91669066666782</v>
      </c>
      <c r="H178" s="180"/>
      <c r="I178" s="180"/>
    </row>
    <row r="179" spans="1:9" ht="20.100000000000001" customHeight="1">
      <c r="A179" s="191">
        <v>47</v>
      </c>
      <c r="B179" s="156" t="s">
        <v>303</v>
      </c>
      <c r="C179" s="161" t="s">
        <v>300</v>
      </c>
      <c r="D179" s="181" t="s">
        <v>301</v>
      </c>
      <c r="E179" s="23">
        <f>3951.8</f>
        <v>3951.8</v>
      </c>
      <c r="F179" s="207">
        <v>4089.716690666668</v>
      </c>
      <c r="G179" s="23">
        <f t="shared" si="19"/>
        <v>137.91669066666782</v>
      </c>
      <c r="H179" s="180"/>
      <c r="I179" s="180"/>
    </row>
    <row r="180" spans="1:9" ht="20.100000000000001" customHeight="1">
      <c r="A180" s="191">
        <v>48</v>
      </c>
      <c r="B180" s="156" t="s">
        <v>304</v>
      </c>
      <c r="C180" s="161" t="s">
        <v>300</v>
      </c>
      <c r="D180" s="181" t="s">
        <v>301</v>
      </c>
      <c r="E180" s="23">
        <f>3687.8</f>
        <v>3687.8</v>
      </c>
      <c r="F180" s="207">
        <v>3825.716690666668</v>
      </c>
      <c r="G180" s="23">
        <f t="shared" si="19"/>
        <v>137.91669066666782</v>
      </c>
      <c r="H180" s="180"/>
      <c r="I180" s="180"/>
    </row>
    <row r="181" spans="1:9" ht="20.100000000000001" customHeight="1">
      <c r="A181" s="191">
        <v>49</v>
      </c>
      <c r="B181" s="156" t="s">
        <v>305</v>
      </c>
      <c r="C181" s="161" t="s">
        <v>300</v>
      </c>
      <c r="D181" s="181" t="s">
        <v>301</v>
      </c>
      <c r="E181" s="23">
        <f>3951.8</f>
        <v>3951.8</v>
      </c>
      <c r="F181" s="207">
        <v>4089.716690666668</v>
      </c>
      <c r="G181" s="23">
        <f t="shared" si="19"/>
        <v>137.91669066666782</v>
      </c>
      <c r="H181" s="180"/>
      <c r="I181" s="180"/>
    </row>
    <row r="182" spans="1:9" ht="20.100000000000001" customHeight="1">
      <c r="A182" s="191">
        <v>50</v>
      </c>
      <c r="B182" s="157" t="s">
        <v>306</v>
      </c>
      <c r="C182" s="161" t="s">
        <v>300</v>
      </c>
      <c r="D182" s="181" t="s">
        <v>301</v>
      </c>
      <c r="E182" s="23">
        <f>3687.8</f>
        <v>3687.8</v>
      </c>
      <c r="F182" s="207">
        <v>3825.716690666668</v>
      </c>
      <c r="G182" s="23">
        <f t="shared" si="19"/>
        <v>137.91669066666782</v>
      </c>
      <c r="H182" s="180"/>
      <c r="I182" s="180"/>
    </row>
    <row r="183" spans="1:9" ht="20.100000000000001" customHeight="1">
      <c r="A183" s="191">
        <v>51</v>
      </c>
      <c r="B183" s="157" t="s">
        <v>307</v>
      </c>
      <c r="C183" s="161" t="s">
        <v>300</v>
      </c>
      <c r="D183" s="181" t="s">
        <v>301</v>
      </c>
      <c r="E183" s="23">
        <f>3951.8</f>
        <v>3951.8</v>
      </c>
      <c r="F183" s="207">
        <v>4089.716690666668</v>
      </c>
      <c r="G183" s="23">
        <f t="shared" si="19"/>
        <v>137.91669066666782</v>
      </c>
      <c r="H183" s="180"/>
      <c r="I183" s="180"/>
    </row>
    <row r="184" spans="1:9" ht="20.100000000000001" customHeight="1">
      <c r="A184" s="191">
        <v>52</v>
      </c>
      <c r="B184" s="156" t="s">
        <v>308</v>
      </c>
      <c r="C184" s="161" t="s">
        <v>297</v>
      </c>
      <c r="D184" s="181" t="s">
        <v>301</v>
      </c>
      <c r="E184" s="23">
        <f>3951.8</f>
        <v>3951.8</v>
      </c>
      <c r="F184" s="207">
        <v>4089.716690666668</v>
      </c>
      <c r="G184" s="23">
        <f t="shared" si="19"/>
        <v>137.91669066666782</v>
      </c>
      <c r="H184" s="180"/>
      <c r="I184" s="180"/>
    </row>
    <row r="185" spans="1:9" ht="20.100000000000001" customHeight="1">
      <c r="A185" s="191">
        <v>53</v>
      </c>
      <c r="B185" s="156" t="s">
        <v>309</v>
      </c>
      <c r="C185" s="161" t="s">
        <v>297</v>
      </c>
      <c r="D185" s="181" t="s">
        <v>301</v>
      </c>
      <c r="E185" s="23">
        <f>3951.8</f>
        <v>3951.8</v>
      </c>
      <c r="F185" s="207">
        <v>4089.716690666668</v>
      </c>
      <c r="G185" s="23">
        <f t="shared" si="19"/>
        <v>137.91669066666782</v>
      </c>
      <c r="H185" s="180"/>
      <c r="I185" s="180"/>
    </row>
    <row r="186" spans="1:9" ht="20.100000000000001" customHeight="1">
      <c r="A186" s="191">
        <v>54</v>
      </c>
      <c r="B186" s="157" t="s">
        <v>310</v>
      </c>
      <c r="C186" s="161" t="s">
        <v>300</v>
      </c>
      <c r="D186" s="181" t="s">
        <v>412</v>
      </c>
      <c r="E186" s="23">
        <f>3183.66</f>
        <v>3183.66</v>
      </c>
      <c r="F186" s="207">
        <v>3064.8720786666654</v>
      </c>
      <c r="G186" s="23">
        <f t="shared" si="19"/>
        <v>-118.78792133333445</v>
      </c>
      <c r="H186" s="180"/>
      <c r="I186" s="180"/>
    </row>
    <row r="187" spans="1:9" ht="20.100000000000001" customHeight="1">
      <c r="A187" s="191">
        <v>55</v>
      </c>
      <c r="B187" s="157" t="s">
        <v>313</v>
      </c>
      <c r="C187" s="161" t="s">
        <v>300</v>
      </c>
      <c r="D187" s="181" t="s">
        <v>314</v>
      </c>
      <c r="E187" s="23">
        <f>2972.91</f>
        <v>2972.91</v>
      </c>
      <c r="F187" s="207">
        <v>3091.5368486666671</v>
      </c>
      <c r="G187" s="23">
        <f t="shared" si="19"/>
        <v>118.62684866666723</v>
      </c>
      <c r="H187" s="180"/>
      <c r="I187" s="180"/>
    </row>
    <row r="188" spans="1:9" ht="20.100000000000001" customHeight="1">
      <c r="A188" s="191"/>
      <c r="B188" s="177" t="s">
        <v>86</v>
      </c>
      <c r="C188" s="193" t="s">
        <v>570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80"/>
      <c r="I188" s="180"/>
    </row>
    <row r="189" spans="1:9" ht="20.100000000000001" customHeight="1">
      <c r="A189" s="20"/>
      <c r="B189" s="194" t="s">
        <v>325</v>
      </c>
      <c r="C189" s="195">
        <f>C37+C42+C57+C61+C77+C85+C99+C106+C116+C130+C188+2</f>
        <v>154</v>
      </c>
      <c r="D189" s="196"/>
      <c r="E189" s="197" t="e">
        <f>E37+E42+E57+E61+E77+E85+E99+E106+E116+E130+E188</f>
        <v>#REF!</v>
      </c>
      <c r="F189" s="197">
        <f t="shared" ref="F189:G189" si="22">F37+F42+F57+F61+F77+F85+F99+F106+F116+F130+F188</f>
        <v>7135974.5583150014</v>
      </c>
      <c r="G189" s="197" t="e">
        <f t="shared" si="22"/>
        <v>#REF!</v>
      </c>
      <c r="H189" s="180"/>
      <c r="I189" s="180"/>
    </row>
    <row r="190" spans="1:9" ht="20.100000000000001" customHeight="1">
      <c r="B190" s="198"/>
      <c r="D190" s="199"/>
      <c r="E190" s="201"/>
      <c r="F190" s="201"/>
      <c r="G190" s="201"/>
      <c r="I190" s="202"/>
    </row>
    <row r="191" spans="1:9" ht="65.25" customHeight="1">
      <c r="B191" s="198"/>
      <c r="C191" s="199"/>
      <c r="D191" s="199"/>
      <c r="E191" s="201"/>
      <c r="F191" s="201"/>
      <c r="G191" s="201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bottomRight" activeCell="D191" sqref="D19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85546875" style="164" customWidth="1"/>
    <col min="6" max="7" width="14.85546875" style="164" customWidth="1"/>
    <col min="8" max="8" width="17.7109375" style="164" customWidth="1"/>
    <col min="9" max="9" width="21.7109375" style="164" customWidth="1"/>
    <col min="10" max="16384" width="9.140625" style="164"/>
  </cols>
  <sheetData>
    <row r="1" spans="1:9" ht="27" customHeight="1">
      <c r="A1" s="439" t="s">
        <v>0</v>
      </c>
      <c r="B1" s="439"/>
      <c r="C1" s="439"/>
      <c r="D1" s="439"/>
      <c r="E1" s="439"/>
    </row>
    <row r="2" spans="1:9" ht="33.75" customHeight="1">
      <c r="A2" s="165" t="s">
        <v>574</v>
      </c>
      <c r="B2" s="166"/>
      <c r="C2" s="165"/>
      <c r="D2" s="165"/>
      <c r="E2" s="167"/>
      <c r="F2" s="169"/>
      <c r="G2" s="169"/>
      <c r="H2" s="169"/>
    </row>
    <row r="3" spans="1:9" ht="9.75" customHeight="1">
      <c r="E3" s="163" t="e">
        <f>'[1]FEB 08'!E11/'[1]FEB 08'!M11</f>
        <v>#REF!</v>
      </c>
    </row>
    <row r="4" spans="1:9" ht="45" customHeight="1">
      <c r="A4" s="20"/>
      <c r="B4" s="170" t="s">
        <v>2</v>
      </c>
      <c r="C4" s="171" t="s">
        <v>3</v>
      </c>
      <c r="D4" s="172" t="s">
        <v>4</v>
      </c>
      <c r="E4" s="173" t="s">
        <v>5</v>
      </c>
      <c r="F4" s="173" t="s">
        <v>595</v>
      </c>
      <c r="G4" s="173" t="s">
        <v>596</v>
      </c>
      <c r="H4" s="174" t="s">
        <v>597</v>
      </c>
    </row>
    <row r="5" spans="1:9" ht="20.100000000000001" customHeight="1">
      <c r="A5" s="176" t="s">
        <v>26</v>
      </c>
      <c r="B5" s="177" t="s">
        <v>27</v>
      </c>
      <c r="C5" s="177"/>
      <c r="D5" s="177"/>
      <c r="E5" s="178" t="s">
        <v>25</v>
      </c>
      <c r="F5" s="178" t="s">
        <v>25</v>
      </c>
      <c r="G5" s="178" t="s">
        <v>25</v>
      </c>
      <c r="H5" s="178" t="s">
        <v>25</v>
      </c>
    </row>
    <row r="6" spans="1:9" ht="20.100000000000001" customHeight="1">
      <c r="A6" s="28">
        <v>1</v>
      </c>
      <c r="B6" s="156" t="s">
        <v>28</v>
      </c>
      <c r="C6" s="161" t="s">
        <v>29</v>
      </c>
      <c r="D6" s="161" t="s">
        <v>30</v>
      </c>
      <c r="E6" s="23">
        <v>160488.75</v>
      </c>
      <c r="F6" s="23"/>
      <c r="G6" s="23"/>
      <c r="H6" s="23"/>
      <c r="I6" s="180"/>
    </row>
    <row r="7" spans="1:9" ht="20.100000000000001" customHeight="1">
      <c r="A7" s="28">
        <v>2</v>
      </c>
      <c r="B7" s="156" t="s">
        <v>456</v>
      </c>
      <c r="C7" s="20" t="s">
        <v>554</v>
      </c>
      <c r="D7" s="28" t="s">
        <v>228</v>
      </c>
      <c r="E7" s="25">
        <f>42653.17</f>
        <v>42653.17</v>
      </c>
      <c r="F7" s="23">
        <f>0.025*E7</f>
        <v>1066.32925</v>
      </c>
      <c r="G7" s="23">
        <f>'[10]April 2022'!$H$26</f>
        <v>1028.9422500000001</v>
      </c>
      <c r="H7" s="25">
        <f>F7-G7</f>
        <v>37.386999999999944</v>
      </c>
      <c r="I7" s="180"/>
    </row>
    <row r="8" spans="1:9" ht="20.100000000000001" customHeight="1">
      <c r="A8" s="28">
        <v>3</v>
      </c>
      <c r="B8" s="158" t="s">
        <v>555</v>
      </c>
      <c r="C8" s="20" t="s">
        <v>556</v>
      </c>
      <c r="D8" s="28" t="s">
        <v>228</v>
      </c>
      <c r="E8" s="23">
        <f>42653.17</f>
        <v>42653.17</v>
      </c>
      <c r="F8" s="23"/>
      <c r="G8" s="23"/>
      <c r="H8" s="25">
        <f t="shared" ref="H8:H71" si="0">F8-G8</f>
        <v>0</v>
      </c>
      <c r="I8" s="180"/>
    </row>
    <row r="9" spans="1:9" ht="20.100000000000001" customHeight="1">
      <c r="A9" s="28">
        <v>4</v>
      </c>
      <c r="B9" s="156" t="s">
        <v>31</v>
      </c>
      <c r="C9" s="161" t="s">
        <v>32</v>
      </c>
      <c r="D9" s="28" t="s">
        <v>33</v>
      </c>
      <c r="E9" s="23">
        <f>42653.17</f>
        <v>42653.17</v>
      </c>
      <c r="F9" s="23"/>
      <c r="G9" s="23"/>
      <c r="H9" s="25">
        <f t="shared" si="0"/>
        <v>0</v>
      </c>
      <c r="I9" s="180"/>
    </row>
    <row r="10" spans="1:9" ht="20.100000000000001" customHeight="1">
      <c r="A10" s="28">
        <v>5</v>
      </c>
      <c r="B10" s="158" t="s">
        <v>458</v>
      </c>
      <c r="C10" s="20" t="s">
        <v>35</v>
      </c>
      <c r="D10" s="181" t="s">
        <v>36</v>
      </c>
      <c r="E10" s="25">
        <v>41157.69</v>
      </c>
      <c r="F10" s="23"/>
      <c r="G10" s="23"/>
      <c r="H10" s="25">
        <f t="shared" si="0"/>
        <v>0</v>
      </c>
      <c r="I10" s="180"/>
    </row>
    <row r="11" spans="1:9" ht="20.100000000000001" customHeight="1">
      <c r="A11" s="28">
        <v>6</v>
      </c>
      <c r="B11" s="158" t="s">
        <v>176</v>
      </c>
      <c r="C11" s="20" t="s">
        <v>177</v>
      </c>
      <c r="D11" s="24" t="s">
        <v>36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80"/>
    </row>
    <row r="12" spans="1:9" ht="20.100000000000001" customHeight="1">
      <c r="A12" s="28">
        <v>7</v>
      </c>
      <c r="B12" s="156" t="s">
        <v>37</v>
      </c>
      <c r="C12" s="112" t="s">
        <v>38</v>
      </c>
      <c r="D12" s="24" t="s">
        <v>36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80"/>
    </row>
    <row r="13" spans="1:9" ht="20.100000000000001" customHeight="1">
      <c r="A13" s="28">
        <v>8</v>
      </c>
      <c r="B13" s="158" t="s">
        <v>39</v>
      </c>
      <c r="C13" s="20" t="s">
        <v>40</v>
      </c>
      <c r="D13" s="24" t="s">
        <v>36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80"/>
    </row>
    <row r="14" spans="1:9" ht="20.100000000000001" customHeight="1">
      <c r="A14" s="28">
        <v>9</v>
      </c>
      <c r="B14" s="156" t="s">
        <v>43</v>
      </c>
      <c r="C14" s="161" t="s">
        <v>44</v>
      </c>
      <c r="D14" s="181" t="s">
        <v>45</v>
      </c>
      <c r="E14" s="25">
        <v>33507.5</v>
      </c>
      <c r="F14" s="23">
        <f>0.025*E14</f>
        <v>837.6875</v>
      </c>
      <c r="G14" s="23">
        <f>'[10]April 2022'!$H$28</f>
        <v>837.6875</v>
      </c>
      <c r="H14" s="25">
        <f t="shared" si="0"/>
        <v>0</v>
      </c>
      <c r="I14" s="180"/>
    </row>
    <row r="15" spans="1:9" ht="20.100000000000001" customHeight="1">
      <c r="A15" s="28">
        <v>10</v>
      </c>
      <c r="B15" s="157" t="s">
        <v>148</v>
      </c>
      <c r="C15" s="161" t="s">
        <v>149</v>
      </c>
      <c r="D15" s="28" t="s">
        <v>122</v>
      </c>
      <c r="E15" s="23">
        <v>32263.200000000001</v>
      </c>
      <c r="F15" s="23"/>
      <c r="G15" s="23"/>
      <c r="H15" s="25">
        <f t="shared" si="0"/>
        <v>0</v>
      </c>
      <c r="I15" s="180"/>
    </row>
    <row r="16" spans="1:9" ht="20.100000000000001" customHeight="1">
      <c r="A16" s="28">
        <v>11</v>
      </c>
      <c r="B16" s="160" t="s">
        <v>557</v>
      </c>
      <c r="C16" s="20" t="s">
        <v>558</v>
      </c>
      <c r="D16" s="24" t="s">
        <v>51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80"/>
    </row>
    <row r="17" spans="1:9" ht="19.5" customHeight="1">
      <c r="A17" s="28">
        <v>12</v>
      </c>
      <c r="B17" s="158" t="s">
        <v>459</v>
      </c>
      <c r="C17" s="20" t="s">
        <v>50</v>
      </c>
      <c r="D17" s="28" t="s">
        <v>51</v>
      </c>
      <c r="E17" s="25">
        <v>27611.23</v>
      </c>
      <c r="F17" s="23">
        <f>0.025*E17</f>
        <v>690.28075000000001</v>
      </c>
      <c r="G17" s="23">
        <f>'[10]April 2022'!$H$27</f>
        <v>668.31625000000008</v>
      </c>
      <c r="H17" s="25">
        <f t="shared" si="0"/>
        <v>21.96449999999993</v>
      </c>
      <c r="I17" s="180"/>
    </row>
    <row r="18" spans="1:9" ht="19.5" customHeight="1">
      <c r="A18" s="28">
        <v>13</v>
      </c>
      <c r="B18" s="158" t="s">
        <v>559</v>
      </c>
      <c r="C18" s="20" t="s">
        <v>560</v>
      </c>
      <c r="D18" s="28" t="s">
        <v>51</v>
      </c>
      <c r="E18" s="25">
        <v>27611.23</v>
      </c>
      <c r="F18" s="23"/>
      <c r="G18" s="23"/>
      <c r="H18" s="25">
        <f t="shared" si="0"/>
        <v>0</v>
      </c>
      <c r="I18" s="180"/>
    </row>
    <row r="19" spans="1:9" ht="20.100000000000001" customHeight="1">
      <c r="A19" s="28">
        <v>14</v>
      </c>
      <c r="B19" s="156" t="s">
        <v>49</v>
      </c>
      <c r="C19" s="20" t="s">
        <v>50</v>
      </c>
      <c r="D19" s="181" t="s">
        <v>51</v>
      </c>
      <c r="E19" s="25">
        <v>27611.23</v>
      </c>
      <c r="F19" s="23"/>
      <c r="G19" s="23"/>
      <c r="H19" s="25">
        <f t="shared" si="0"/>
        <v>0</v>
      </c>
      <c r="I19" s="180"/>
    </row>
    <row r="20" spans="1:9" ht="20.100000000000001" customHeight="1">
      <c r="A20" s="28">
        <v>15</v>
      </c>
      <c r="B20" s="156" t="s">
        <v>55</v>
      </c>
      <c r="C20" s="161" t="s">
        <v>56</v>
      </c>
      <c r="D20" s="181" t="s">
        <v>57</v>
      </c>
      <c r="E20" s="25">
        <v>24741.26</v>
      </c>
      <c r="F20" s="23"/>
      <c r="G20" s="23"/>
      <c r="H20" s="25">
        <f t="shared" si="0"/>
        <v>0</v>
      </c>
      <c r="I20" s="180"/>
    </row>
    <row r="21" spans="1:9" ht="20.100000000000001" customHeight="1">
      <c r="A21" s="28">
        <v>16</v>
      </c>
      <c r="B21" s="157" t="s">
        <v>58</v>
      </c>
      <c r="C21" s="20" t="s">
        <v>59</v>
      </c>
      <c r="D21" s="181" t="s">
        <v>60</v>
      </c>
      <c r="E21" s="25">
        <f>23891.12</f>
        <v>23891.119999999999</v>
      </c>
      <c r="F21" s="25">
        <f>0.025*E21</f>
        <v>597.27800000000002</v>
      </c>
      <c r="G21" s="25">
        <f>'[10]April 2022'!$H$52</f>
        <v>576.87475000000006</v>
      </c>
      <c r="H21" s="25">
        <f t="shared" si="0"/>
        <v>20.403249999999957</v>
      </c>
      <c r="I21" s="180"/>
    </row>
    <row r="22" spans="1:9" ht="20.100000000000001" customHeight="1">
      <c r="A22" s="28">
        <v>17</v>
      </c>
      <c r="B22" s="156" t="s">
        <v>202</v>
      </c>
      <c r="C22" s="161" t="s">
        <v>203</v>
      </c>
      <c r="D22" s="181" t="s">
        <v>199</v>
      </c>
      <c r="E22" s="25">
        <f>22837.82</f>
        <v>22837.82</v>
      </c>
      <c r="F22" s="25">
        <f>0.025*E22</f>
        <v>570.94550000000004</v>
      </c>
      <c r="G22" s="23">
        <f>'[10]April 2022'!$H$45</f>
        <v>538.02200000000005</v>
      </c>
      <c r="H22" s="25">
        <f t="shared" si="0"/>
        <v>32.92349999999999</v>
      </c>
      <c r="I22" s="180"/>
    </row>
    <row r="23" spans="1:9" ht="18.75" customHeight="1">
      <c r="A23" s="28">
        <v>18</v>
      </c>
      <c r="B23" s="156" t="s">
        <v>61</v>
      </c>
      <c r="C23" s="161" t="s">
        <v>62</v>
      </c>
      <c r="D23" s="181" t="s">
        <v>63</v>
      </c>
      <c r="E23" s="25">
        <v>21520.880000000001</v>
      </c>
      <c r="F23" s="23"/>
      <c r="G23" s="23"/>
      <c r="H23" s="25">
        <f t="shared" si="0"/>
        <v>0</v>
      </c>
      <c r="I23" s="180"/>
    </row>
    <row r="24" spans="1:9" ht="18.75" customHeight="1">
      <c r="A24" s="28">
        <v>19</v>
      </c>
      <c r="B24" s="156" t="s">
        <v>200</v>
      </c>
      <c r="C24" s="20" t="s">
        <v>201</v>
      </c>
      <c r="D24" s="181" t="s">
        <v>63</v>
      </c>
      <c r="E24" s="25">
        <v>21520.880000000001</v>
      </c>
      <c r="F24" s="23"/>
      <c r="G24" s="23"/>
      <c r="H24" s="25">
        <f t="shared" si="0"/>
        <v>0</v>
      </c>
      <c r="I24" s="180"/>
    </row>
    <row r="25" spans="1:9" ht="18.75" customHeight="1">
      <c r="A25" s="28">
        <v>20</v>
      </c>
      <c r="B25" s="157" t="s">
        <v>247</v>
      </c>
      <c r="C25" s="20" t="s">
        <v>577</v>
      </c>
      <c r="D25" s="181" t="s">
        <v>411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80"/>
    </row>
    <row r="26" spans="1:9" ht="18.75" customHeight="1">
      <c r="A26" s="28">
        <v>21</v>
      </c>
      <c r="B26" s="157" t="s">
        <v>561</v>
      </c>
      <c r="C26" s="161" t="s">
        <v>83</v>
      </c>
      <c r="D26" s="181" t="s">
        <v>252</v>
      </c>
      <c r="E26" s="25">
        <v>18281.64</v>
      </c>
      <c r="F26" s="25"/>
      <c r="G26" s="25"/>
      <c r="H26" s="25">
        <f t="shared" si="0"/>
        <v>0</v>
      </c>
      <c r="I26" s="180"/>
    </row>
    <row r="27" spans="1:9" ht="18.75" customHeight="1">
      <c r="A27" s="28">
        <v>22</v>
      </c>
      <c r="B27" s="20" t="s">
        <v>67</v>
      </c>
      <c r="C27" s="20" t="s">
        <v>68</v>
      </c>
      <c r="D27" s="28" t="s">
        <v>69</v>
      </c>
      <c r="E27" s="205">
        <v>14736.14</v>
      </c>
      <c r="F27" s="23"/>
      <c r="G27" s="23"/>
      <c r="H27" s="25">
        <f t="shared" si="0"/>
        <v>0</v>
      </c>
      <c r="I27" s="180"/>
    </row>
    <row r="28" spans="1:9" ht="18.75" customHeight="1">
      <c r="A28" s="28">
        <v>23</v>
      </c>
      <c r="B28" s="157" t="s">
        <v>70</v>
      </c>
      <c r="C28" s="161" t="s">
        <v>68</v>
      </c>
      <c r="D28" s="181" t="s">
        <v>69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80"/>
    </row>
    <row r="29" spans="1:9" ht="18.75" customHeight="1">
      <c r="A29" s="28">
        <v>24</v>
      </c>
      <c r="B29" s="156" t="s">
        <v>460</v>
      </c>
      <c r="C29" s="161" t="s">
        <v>461</v>
      </c>
      <c r="D29" s="181" t="s">
        <v>69</v>
      </c>
      <c r="E29" s="25">
        <f t="shared" si="2"/>
        <v>15188.67</v>
      </c>
      <c r="F29" s="23"/>
      <c r="G29" s="23"/>
      <c r="H29" s="25">
        <f t="shared" si="0"/>
        <v>0</v>
      </c>
      <c r="I29" s="180"/>
    </row>
    <row r="30" spans="1:9" ht="18.75" customHeight="1">
      <c r="A30" s="28">
        <v>25</v>
      </c>
      <c r="B30" s="157" t="s">
        <v>71</v>
      </c>
      <c r="C30" s="161" t="s">
        <v>404</v>
      </c>
      <c r="D30" s="181" t="s">
        <v>578</v>
      </c>
      <c r="E30" s="179">
        <v>13492.21</v>
      </c>
      <c r="F30" s="23"/>
      <c r="G30" s="23"/>
      <c r="H30" s="25">
        <f t="shared" si="0"/>
        <v>0</v>
      </c>
      <c r="I30" s="180"/>
    </row>
    <row r="31" spans="1:9" ht="18.75" customHeight="1">
      <c r="A31" s="28">
        <v>26</v>
      </c>
      <c r="B31" s="156" t="s">
        <v>182</v>
      </c>
      <c r="C31" s="112" t="s">
        <v>579</v>
      </c>
      <c r="D31" s="181" t="s">
        <v>76</v>
      </c>
      <c r="E31" s="25">
        <v>13492.21</v>
      </c>
      <c r="F31" s="23"/>
      <c r="G31" s="23"/>
      <c r="H31" s="25">
        <f t="shared" si="0"/>
        <v>0</v>
      </c>
      <c r="I31" s="180"/>
    </row>
    <row r="32" spans="1:9" ht="18.75" customHeight="1">
      <c r="A32" s="28">
        <v>27</v>
      </c>
      <c r="B32" s="157" t="s">
        <v>74</v>
      </c>
      <c r="C32" s="20" t="s">
        <v>75</v>
      </c>
      <c r="D32" s="28" t="s">
        <v>76</v>
      </c>
      <c r="E32" s="25">
        <v>13492.21</v>
      </c>
      <c r="F32" s="23"/>
      <c r="G32" s="23"/>
      <c r="H32" s="25">
        <f t="shared" si="0"/>
        <v>0</v>
      </c>
      <c r="I32" s="180"/>
    </row>
    <row r="33" spans="1:9" ht="18.75" customHeight="1">
      <c r="A33" s="28">
        <v>28</v>
      </c>
      <c r="B33" s="157" t="s">
        <v>77</v>
      </c>
      <c r="C33" s="112" t="s">
        <v>78</v>
      </c>
      <c r="D33" s="181" t="s">
        <v>69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80"/>
    </row>
    <row r="34" spans="1:9" ht="18.75" customHeight="1">
      <c r="A34" s="28">
        <v>29</v>
      </c>
      <c r="B34" s="157" t="s">
        <v>79</v>
      </c>
      <c r="C34" s="20" t="s">
        <v>580</v>
      </c>
      <c r="D34" s="28" t="s">
        <v>81</v>
      </c>
      <c r="E34" s="25">
        <f>12732</f>
        <v>12732</v>
      </c>
      <c r="F34" s="23"/>
      <c r="G34" s="23"/>
      <c r="H34" s="25">
        <f t="shared" si="0"/>
        <v>0</v>
      </c>
      <c r="I34" s="180"/>
    </row>
    <row r="35" spans="1:9" ht="18.75" customHeight="1">
      <c r="A35" s="28">
        <v>30</v>
      </c>
      <c r="B35" s="157" t="s">
        <v>82</v>
      </c>
      <c r="C35" s="161" t="s">
        <v>83</v>
      </c>
      <c r="D35" s="181" t="s">
        <v>81</v>
      </c>
      <c r="E35" s="25">
        <f>12732</f>
        <v>12732</v>
      </c>
      <c r="F35" s="23"/>
      <c r="G35" s="23"/>
      <c r="H35" s="25">
        <f t="shared" si="0"/>
        <v>0</v>
      </c>
      <c r="I35" s="180"/>
    </row>
    <row r="36" spans="1:9" ht="18.75" customHeight="1">
      <c r="A36" s="28">
        <v>31</v>
      </c>
      <c r="B36" s="157" t="s">
        <v>562</v>
      </c>
      <c r="C36" s="161" t="s">
        <v>83</v>
      </c>
      <c r="D36" s="181" t="s">
        <v>81</v>
      </c>
      <c r="E36" s="25">
        <f>12732</f>
        <v>12732</v>
      </c>
      <c r="F36" s="23"/>
      <c r="G36" s="23"/>
      <c r="H36" s="25">
        <f t="shared" si="0"/>
        <v>0</v>
      </c>
      <c r="I36" s="180"/>
    </row>
    <row r="37" spans="1:9" ht="26.25" customHeight="1">
      <c r="A37" s="28"/>
      <c r="B37" s="159" t="s">
        <v>86</v>
      </c>
      <c r="C37" s="29">
        <v>31</v>
      </c>
      <c r="D37" s="181"/>
      <c r="E37" s="183">
        <f t="shared" ref="E37" si="3">SUM(E6:E36)</f>
        <v>919842.32</v>
      </c>
      <c r="F37" s="183">
        <f>SUM(F6:F36)</f>
        <v>6849.3477499999999</v>
      </c>
      <c r="G37" s="183">
        <f t="shared" ref="G37" si="4">SUM(G6:G36)</f>
        <v>6736.665</v>
      </c>
      <c r="H37" s="30">
        <f t="shared" si="0"/>
        <v>112.68274999999994</v>
      </c>
      <c r="I37" s="180"/>
    </row>
    <row r="38" spans="1:9" ht="18.75" customHeight="1">
      <c r="A38" s="28"/>
      <c r="B38" s="123"/>
      <c r="C38" s="20"/>
      <c r="D38" s="181"/>
      <c r="E38" s="183"/>
      <c r="F38" s="183"/>
      <c r="G38" s="183"/>
      <c r="H38" s="25">
        <f t="shared" si="0"/>
        <v>0</v>
      </c>
      <c r="I38" s="180"/>
    </row>
    <row r="39" spans="1:9" ht="18.75" customHeight="1">
      <c r="A39" s="28"/>
      <c r="B39" s="159" t="s">
        <v>87</v>
      </c>
      <c r="C39" s="20"/>
      <c r="D39" s="181"/>
      <c r="E39" s="25"/>
      <c r="F39" s="23"/>
      <c r="G39" s="23"/>
      <c r="H39" s="25">
        <f t="shared" si="0"/>
        <v>0</v>
      </c>
      <c r="I39" s="180"/>
    </row>
    <row r="40" spans="1:9" ht="18.75" customHeight="1">
      <c r="A40" s="28">
        <v>1</v>
      </c>
      <c r="B40" s="157" t="s">
        <v>88</v>
      </c>
      <c r="C40" s="20" t="s">
        <v>89</v>
      </c>
      <c r="D40" s="28" t="s">
        <v>90</v>
      </c>
      <c r="E40" s="25">
        <v>81740.02</v>
      </c>
      <c r="F40" s="23"/>
      <c r="G40" s="23"/>
      <c r="H40" s="25">
        <f t="shared" si="0"/>
        <v>0</v>
      </c>
      <c r="I40" s="180"/>
    </row>
    <row r="41" spans="1:9" ht="18.75" customHeight="1">
      <c r="A41" s="28">
        <v>2</v>
      </c>
      <c r="B41" s="157" t="s">
        <v>91</v>
      </c>
      <c r="C41" s="20" t="s">
        <v>92</v>
      </c>
      <c r="D41" s="28" t="s">
        <v>85</v>
      </c>
      <c r="E41" s="205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94091.96</v>
      </c>
      <c r="F42" s="183">
        <f>SUM(F40:F41)</f>
        <v>0</v>
      </c>
      <c r="G42" s="183">
        <f>SUM(G40:G41)</f>
        <v>0</v>
      </c>
      <c r="H42" s="25">
        <f t="shared" si="0"/>
        <v>0</v>
      </c>
      <c r="I42" s="180"/>
    </row>
    <row r="43" spans="1:9" ht="20.100000000000001" customHeight="1">
      <c r="A43" s="28"/>
      <c r="B43" s="158"/>
      <c r="C43" s="20"/>
      <c r="D43" s="28"/>
      <c r="E43" s="183"/>
      <c r="F43" s="183"/>
      <c r="G43" s="183"/>
      <c r="H43" s="25">
        <f t="shared" si="0"/>
        <v>0</v>
      </c>
      <c r="I43" s="180"/>
    </row>
    <row r="44" spans="1:9" ht="20.100000000000001" customHeight="1">
      <c r="A44" s="28"/>
      <c r="B44" s="185" t="s">
        <v>96</v>
      </c>
      <c r="C44" s="170"/>
      <c r="D44" s="174"/>
      <c r="E44" s="183"/>
      <c r="F44" s="23"/>
      <c r="G44" s="23"/>
      <c r="H44" s="25">
        <f t="shared" si="0"/>
        <v>0</v>
      </c>
      <c r="I44" s="180"/>
    </row>
    <row r="45" spans="1:9" ht="20.100000000000001" customHeight="1">
      <c r="A45" s="28">
        <v>1</v>
      </c>
      <c r="B45" s="156" t="s">
        <v>97</v>
      </c>
      <c r="C45" s="20" t="s">
        <v>98</v>
      </c>
      <c r="D45" s="28" t="s">
        <v>90</v>
      </c>
      <c r="E45" s="25">
        <v>81740.02</v>
      </c>
      <c r="F45" s="23"/>
      <c r="G45" s="23"/>
      <c r="H45" s="25">
        <f t="shared" si="0"/>
        <v>0</v>
      </c>
      <c r="I45" s="180"/>
    </row>
    <row r="46" spans="1:9" ht="20.100000000000001" customHeight="1">
      <c r="A46" s="28">
        <v>2</v>
      </c>
      <c r="B46" s="156" t="s">
        <v>99</v>
      </c>
      <c r="C46" s="20" t="s">
        <v>100</v>
      </c>
      <c r="D46" s="28" t="s">
        <v>45</v>
      </c>
      <c r="E46" s="25">
        <v>33507.5</v>
      </c>
      <c r="F46" s="23"/>
      <c r="G46" s="23"/>
      <c r="H46" s="25">
        <f t="shared" si="0"/>
        <v>0</v>
      </c>
      <c r="I46" s="180"/>
    </row>
    <row r="47" spans="1:9" ht="20.100000000000001" customHeight="1">
      <c r="A47" s="28">
        <v>3</v>
      </c>
      <c r="B47" s="156" t="s">
        <v>101</v>
      </c>
      <c r="C47" s="20" t="s">
        <v>102</v>
      </c>
      <c r="D47" s="28" t="s">
        <v>45</v>
      </c>
      <c r="E47" s="25">
        <v>33507.5</v>
      </c>
      <c r="F47" s="23"/>
      <c r="G47" s="23"/>
      <c r="H47" s="25">
        <f t="shared" si="0"/>
        <v>0</v>
      </c>
      <c r="I47" s="180"/>
    </row>
    <row r="48" spans="1:9" ht="20.100000000000001" customHeight="1">
      <c r="A48" s="28">
        <v>4</v>
      </c>
      <c r="B48" s="156" t="s">
        <v>103</v>
      </c>
      <c r="C48" s="20" t="s">
        <v>102</v>
      </c>
      <c r="D48" s="28" t="s">
        <v>45</v>
      </c>
      <c r="E48" s="25">
        <v>33507.5</v>
      </c>
      <c r="F48" s="23"/>
      <c r="G48" s="23"/>
      <c r="H48" s="25">
        <f t="shared" si="0"/>
        <v>0</v>
      </c>
      <c r="I48" s="180"/>
    </row>
    <row r="49" spans="1:9" ht="20.100000000000001" customHeight="1">
      <c r="A49" s="28">
        <v>5</v>
      </c>
      <c r="B49" s="156" t="s">
        <v>104</v>
      </c>
      <c r="C49" s="20" t="s">
        <v>102</v>
      </c>
      <c r="D49" s="28" t="s">
        <v>105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80"/>
    </row>
    <row r="50" spans="1:9" ht="20.100000000000001" customHeight="1">
      <c r="A50" s="28">
        <v>6</v>
      </c>
      <c r="B50" s="156" t="s">
        <v>106</v>
      </c>
      <c r="C50" s="20" t="s">
        <v>107</v>
      </c>
      <c r="D50" s="28" t="s">
        <v>51</v>
      </c>
      <c r="E50" s="25">
        <v>27611.23</v>
      </c>
      <c r="F50" s="23"/>
      <c r="G50" s="23"/>
      <c r="H50" s="25">
        <f t="shared" si="0"/>
        <v>0</v>
      </c>
      <c r="I50" s="180"/>
    </row>
    <row r="51" spans="1:9" ht="20.100000000000001" customHeight="1">
      <c r="A51" s="28">
        <v>7</v>
      </c>
      <c r="B51" s="158" t="s">
        <v>108</v>
      </c>
      <c r="C51" s="20" t="s">
        <v>109</v>
      </c>
      <c r="D51" s="24" t="s">
        <v>51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80"/>
    </row>
    <row r="52" spans="1:9" ht="20.100000000000001" customHeight="1">
      <c r="A52" s="28">
        <v>8</v>
      </c>
      <c r="B52" s="156" t="s">
        <v>464</v>
      </c>
      <c r="C52" s="20" t="s">
        <v>109</v>
      </c>
      <c r="D52" s="28" t="s">
        <v>134</v>
      </c>
      <c r="E52" s="25">
        <v>26732.65</v>
      </c>
      <c r="F52" s="23"/>
      <c r="G52" s="23"/>
      <c r="H52" s="25">
        <f t="shared" si="0"/>
        <v>0</v>
      </c>
      <c r="I52" s="180"/>
    </row>
    <row r="53" spans="1:9" ht="20.100000000000001" customHeight="1">
      <c r="A53" s="28">
        <v>9</v>
      </c>
      <c r="B53" s="156" t="s">
        <v>110</v>
      </c>
      <c r="C53" s="20" t="s">
        <v>164</v>
      </c>
      <c r="D53" s="28" t="s">
        <v>165</v>
      </c>
      <c r="E53" s="25">
        <v>25523.45</v>
      </c>
      <c r="F53" s="23">
        <f>0.025*E53</f>
        <v>638.08625000000006</v>
      </c>
      <c r="G53" s="23">
        <f>'[10]April 2022'!$H$46</f>
        <v>618.53150000000005</v>
      </c>
      <c r="H53" s="25">
        <f t="shared" si="0"/>
        <v>19.554750000000013</v>
      </c>
      <c r="I53" s="180"/>
    </row>
    <row r="54" spans="1:9" ht="20.100000000000001" customHeight="1">
      <c r="A54" s="28">
        <v>10</v>
      </c>
      <c r="B54" s="156" t="s">
        <v>114</v>
      </c>
      <c r="C54" s="20" t="s">
        <v>113</v>
      </c>
      <c r="D54" s="28" t="s">
        <v>73</v>
      </c>
      <c r="E54" s="205">
        <f>14736.14</f>
        <v>14736.14</v>
      </c>
      <c r="F54" s="23"/>
      <c r="G54" s="23"/>
      <c r="H54" s="25">
        <f t="shared" si="0"/>
        <v>0</v>
      </c>
      <c r="I54" s="180"/>
    </row>
    <row r="55" spans="1:9" ht="20.100000000000001" customHeight="1">
      <c r="A55" s="28">
        <v>11</v>
      </c>
      <c r="B55" s="156" t="s">
        <v>115</v>
      </c>
      <c r="C55" s="20" t="s">
        <v>113</v>
      </c>
      <c r="D55" s="28" t="s">
        <v>73</v>
      </c>
      <c r="E55" s="205">
        <f>14736.14</f>
        <v>14736.14</v>
      </c>
      <c r="F55" s="23"/>
      <c r="G55" s="23"/>
      <c r="H55" s="25">
        <f t="shared" si="0"/>
        <v>0</v>
      </c>
      <c r="I55" s="180"/>
    </row>
    <row r="56" spans="1:9" ht="20.100000000000001" customHeight="1">
      <c r="A56" s="28">
        <v>12</v>
      </c>
      <c r="B56" s="156" t="s">
        <v>116</v>
      </c>
      <c r="C56" s="20" t="s">
        <v>113</v>
      </c>
      <c r="D56" s="28" t="s">
        <v>73</v>
      </c>
      <c r="E56" s="205">
        <f>14736.14</f>
        <v>14736.14</v>
      </c>
      <c r="F56" s="23"/>
      <c r="G56" s="23"/>
      <c r="H56" s="25">
        <f t="shared" si="0"/>
        <v>0</v>
      </c>
      <c r="I56" s="180"/>
    </row>
    <row r="57" spans="1:9" ht="25.5" customHeight="1">
      <c r="A57" s="28"/>
      <c r="B57" s="159" t="s">
        <v>86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80"/>
    </row>
    <row r="58" spans="1:9" ht="20.100000000000001" customHeight="1">
      <c r="A58" s="28"/>
      <c r="B58" s="123"/>
      <c r="C58" s="29"/>
      <c r="D58" s="29"/>
      <c r="E58" s="30"/>
      <c r="F58" s="30"/>
      <c r="G58" s="30"/>
      <c r="H58" s="25">
        <f t="shared" si="0"/>
        <v>0</v>
      </c>
      <c r="I58" s="180"/>
    </row>
    <row r="59" spans="1:9" ht="20.100000000000001" customHeight="1">
      <c r="A59" s="28"/>
      <c r="B59" s="159" t="s">
        <v>117</v>
      </c>
      <c r="C59" s="29"/>
      <c r="D59" s="29"/>
      <c r="E59" s="30"/>
      <c r="F59" s="30"/>
      <c r="G59" s="30"/>
      <c r="H59" s="25">
        <f t="shared" si="0"/>
        <v>0</v>
      </c>
      <c r="I59" s="180"/>
    </row>
    <row r="60" spans="1:9" ht="20.100000000000001" customHeight="1">
      <c r="A60" s="28">
        <v>1</v>
      </c>
      <c r="B60" s="156" t="s">
        <v>118</v>
      </c>
      <c r="C60" s="161" t="s">
        <v>119</v>
      </c>
      <c r="D60" s="181" t="s">
        <v>90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80"/>
    </row>
    <row r="61" spans="1:9" ht="20.100000000000001" customHeight="1">
      <c r="A61" s="28"/>
      <c r="B61" s="159" t="s">
        <v>86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80"/>
    </row>
    <row r="62" spans="1:9" ht="20.100000000000001" customHeight="1">
      <c r="A62" s="28"/>
      <c r="B62" s="159"/>
      <c r="C62" s="29"/>
      <c r="D62" s="29"/>
      <c r="E62" s="30"/>
      <c r="F62" s="30"/>
      <c r="G62" s="30"/>
      <c r="H62" s="25">
        <f t="shared" si="0"/>
        <v>0</v>
      </c>
      <c r="I62" s="180"/>
    </row>
    <row r="63" spans="1:9" ht="20.100000000000001" customHeight="1">
      <c r="A63" s="28"/>
      <c r="B63" s="159" t="s">
        <v>123</v>
      </c>
      <c r="C63" s="29"/>
      <c r="D63" s="29"/>
      <c r="E63" s="30"/>
      <c r="F63" s="30"/>
      <c r="G63" s="30"/>
      <c r="H63" s="25">
        <f t="shared" si="0"/>
        <v>0</v>
      </c>
      <c r="I63" s="180"/>
    </row>
    <row r="64" spans="1:9" ht="20.100000000000001" customHeight="1">
      <c r="A64" s="28">
        <v>1</v>
      </c>
      <c r="B64" s="156" t="s">
        <v>124</v>
      </c>
      <c r="C64" s="112" t="s">
        <v>125</v>
      </c>
      <c r="D64" s="28" t="s">
        <v>90</v>
      </c>
      <c r="E64" s="25">
        <v>81740.02</v>
      </c>
      <c r="F64" s="25"/>
      <c r="G64" s="25"/>
      <c r="H64" s="25">
        <f t="shared" si="0"/>
        <v>0</v>
      </c>
      <c r="I64" s="180"/>
    </row>
    <row r="65" spans="1:9" ht="20.100000000000001" customHeight="1">
      <c r="A65" s="28">
        <v>2</v>
      </c>
      <c r="B65" s="157" t="s">
        <v>126</v>
      </c>
      <c r="C65" s="112" t="s">
        <v>127</v>
      </c>
      <c r="D65" s="181" t="s">
        <v>128</v>
      </c>
      <c r="E65" s="204">
        <v>31018.84</v>
      </c>
      <c r="F65" s="23"/>
      <c r="G65" s="23"/>
      <c r="H65" s="25">
        <f t="shared" si="0"/>
        <v>0</v>
      </c>
      <c r="I65" s="180"/>
    </row>
    <row r="66" spans="1:9" ht="20.100000000000001" customHeight="1">
      <c r="A66" s="28">
        <v>3</v>
      </c>
      <c r="B66" s="156" t="s">
        <v>129</v>
      </c>
      <c r="C66" s="20" t="s">
        <v>131</v>
      </c>
      <c r="D66" s="28" t="s">
        <v>165</v>
      </c>
      <c r="E66" s="25">
        <v>25523.45</v>
      </c>
      <c r="F66" s="25"/>
      <c r="G66" s="25"/>
      <c r="H66" s="25">
        <f t="shared" si="0"/>
        <v>0</v>
      </c>
      <c r="I66" s="180"/>
    </row>
    <row r="67" spans="1:9" ht="20.100000000000001" customHeight="1">
      <c r="A67" s="28">
        <v>4</v>
      </c>
      <c r="B67" s="157" t="s">
        <v>130</v>
      </c>
      <c r="C67" s="112" t="s">
        <v>131</v>
      </c>
      <c r="D67" s="181" t="s">
        <v>57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80"/>
    </row>
    <row r="68" spans="1:9" ht="20.100000000000001" customHeight="1">
      <c r="A68" s="28">
        <v>5</v>
      </c>
      <c r="B68" s="158" t="s">
        <v>132</v>
      </c>
      <c r="C68" s="112" t="s">
        <v>109</v>
      </c>
      <c r="D68" s="181" t="s">
        <v>51</v>
      </c>
      <c r="E68" s="25">
        <v>27611.23</v>
      </c>
      <c r="F68" s="23"/>
      <c r="G68" s="23"/>
      <c r="H68" s="25">
        <f t="shared" si="0"/>
        <v>0</v>
      </c>
      <c r="I68" s="180"/>
    </row>
    <row r="69" spans="1:9" ht="20.100000000000001" customHeight="1">
      <c r="A69" s="28">
        <v>6</v>
      </c>
      <c r="B69" s="156" t="s">
        <v>135</v>
      </c>
      <c r="C69" s="20" t="s">
        <v>113</v>
      </c>
      <c r="D69" s="28" t="s">
        <v>581</v>
      </c>
      <c r="E69" s="25">
        <f>20769.92</f>
        <v>20769.919999999998</v>
      </c>
      <c r="F69" s="23"/>
      <c r="G69" s="23"/>
      <c r="H69" s="25">
        <f t="shared" si="0"/>
        <v>0</v>
      </c>
      <c r="I69" s="180"/>
    </row>
    <row r="70" spans="1:9" ht="20.100000000000001" customHeight="1">
      <c r="A70" s="28">
        <v>7</v>
      </c>
      <c r="B70" s="156" t="s">
        <v>198</v>
      </c>
      <c r="C70" s="112" t="s">
        <v>137</v>
      </c>
      <c r="D70" s="181" t="s">
        <v>199</v>
      </c>
      <c r="E70" s="25">
        <f>22837.82</f>
        <v>22837.82</v>
      </c>
      <c r="F70" s="23">
        <f>0.025*E70</f>
        <v>570.94550000000004</v>
      </c>
      <c r="G70" s="23">
        <f>'[10]April 2022'!$H$41</f>
        <v>538.02200000000005</v>
      </c>
      <c r="H70" s="25">
        <f t="shared" si="0"/>
        <v>32.92349999999999</v>
      </c>
      <c r="I70" s="180"/>
    </row>
    <row r="71" spans="1:9" ht="20.100000000000001" customHeight="1">
      <c r="A71" s="28">
        <v>8</v>
      </c>
      <c r="B71" s="156" t="s">
        <v>136</v>
      </c>
      <c r="C71" s="112" t="s">
        <v>137</v>
      </c>
      <c r="D71" s="181" t="s">
        <v>66</v>
      </c>
      <c r="E71" s="251">
        <v>20749</v>
      </c>
      <c r="F71" s="23"/>
      <c r="G71" s="23"/>
      <c r="H71" s="25">
        <f t="shared" si="0"/>
        <v>0</v>
      </c>
      <c r="I71" s="180"/>
    </row>
    <row r="72" spans="1:9" ht="20.100000000000001" customHeight="1">
      <c r="A72" s="28">
        <v>9</v>
      </c>
      <c r="B72" s="156" t="s">
        <v>138</v>
      </c>
      <c r="C72" s="112" t="s">
        <v>137</v>
      </c>
      <c r="D72" s="181" t="s">
        <v>66</v>
      </c>
      <c r="E72" s="251">
        <v>20749</v>
      </c>
      <c r="F72" s="23"/>
      <c r="G72" s="23"/>
      <c r="H72" s="25">
        <f t="shared" ref="H72:H135" si="6">F72-G72</f>
        <v>0</v>
      </c>
      <c r="I72" s="180"/>
    </row>
    <row r="73" spans="1:9" ht="20.100000000000001" customHeight="1">
      <c r="A73" s="28">
        <v>10</v>
      </c>
      <c r="B73" s="156" t="s">
        <v>139</v>
      </c>
      <c r="C73" s="20" t="s">
        <v>140</v>
      </c>
      <c r="D73" s="28" t="s">
        <v>63</v>
      </c>
      <c r="E73" s="25">
        <v>21520.880000000001</v>
      </c>
      <c r="F73" s="23"/>
      <c r="G73" s="23"/>
      <c r="H73" s="25">
        <f t="shared" si="6"/>
        <v>0</v>
      </c>
      <c r="I73" s="180"/>
    </row>
    <row r="74" spans="1:9" ht="20.100000000000001" customHeight="1">
      <c r="A74" s="28">
        <v>11</v>
      </c>
      <c r="B74" s="156" t="s">
        <v>563</v>
      </c>
      <c r="C74" s="112" t="s">
        <v>113</v>
      </c>
      <c r="D74" s="28" t="s">
        <v>154</v>
      </c>
      <c r="E74" s="25">
        <v>17784.099999999999</v>
      </c>
      <c r="F74" s="23"/>
      <c r="G74" s="23"/>
      <c r="H74" s="25">
        <f t="shared" si="6"/>
        <v>0</v>
      </c>
      <c r="I74" s="180"/>
    </row>
    <row r="75" spans="1:9" ht="20.100000000000001" customHeight="1">
      <c r="A75" s="28">
        <v>12</v>
      </c>
      <c r="B75" s="156" t="s">
        <v>142</v>
      </c>
      <c r="C75" s="112" t="s">
        <v>65</v>
      </c>
      <c r="D75" s="28" t="s">
        <v>69</v>
      </c>
      <c r="E75" s="25">
        <f>15188.67</f>
        <v>15188.67</v>
      </c>
      <c r="F75" s="23"/>
      <c r="G75" s="23"/>
      <c r="H75" s="25">
        <f t="shared" si="6"/>
        <v>0</v>
      </c>
      <c r="I75" s="180"/>
    </row>
    <row r="76" spans="1:9" ht="20.100000000000001" customHeight="1">
      <c r="A76" s="28">
        <v>13</v>
      </c>
      <c r="B76" s="158" t="s">
        <v>64</v>
      </c>
      <c r="C76" s="112" t="s">
        <v>65</v>
      </c>
      <c r="D76" s="28" t="s">
        <v>81</v>
      </c>
      <c r="E76" s="25">
        <f>12732</f>
        <v>12732</v>
      </c>
      <c r="F76" s="23"/>
      <c r="G76" s="23"/>
      <c r="H76" s="25">
        <f t="shared" si="6"/>
        <v>0</v>
      </c>
      <c r="I76" s="180"/>
    </row>
    <row r="77" spans="1:9" ht="20.100000000000001" customHeight="1">
      <c r="A77" s="28"/>
      <c r="B77" s="159" t="s">
        <v>86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80"/>
    </row>
    <row r="78" spans="1:9" ht="20.100000000000001" customHeight="1">
      <c r="A78" s="28"/>
      <c r="B78" s="123"/>
      <c r="C78" s="29"/>
      <c r="D78" s="29"/>
      <c r="E78" s="30"/>
      <c r="F78" s="30"/>
      <c r="G78" s="30"/>
      <c r="H78" s="25">
        <f t="shared" si="6"/>
        <v>0</v>
      </c>
      <c r="I78" s="180"/>
    </row>
    <row r="79" spans="1:9" ht="20.100000000000001" customHeight="1">
      <c r="A79" s="28"/>
      <c r="B79" s="159" t="s">
        <v>143</v>
      </c>
      <c r="C79" s="29"/>
      <c r="D79" s="29"/>
      <c r="E79" s="30"/>
      <c r="F79" s="30"/>
      <c r="G79" s="30"/>
      <c r="H79" s="25">
        <f t="shared" si="6"/>
        <v>0</v>
      </c>
      <c r="I79" s="180"/>
    </row>
    <row r="80" spans="1:9" ht="20.100000000000001" customHeight="1">
      <c r="A80" s="28">
        <v>1</v>
      </c>
      <c r="B80" s="156" t="s">
        <v>144</v>
      </c>
      <c r="C80" s="20" t="s">
        <v>145</v>
      </c>
      <c r="D80" s="28" t="s">
        <v>90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80"/>
    </row>
    <row r="81" spans="1:9" ht="20.100000000000001" customHeight="1">
      <c r="A81" s="28">
        <v>2</v>
      </c>
      <c r="B81" s="158" t="s">
        <v>146</v>
      </c>
      <c r="C81" s="20" t="s">
        <v>147</v>
      </c>
      <c r="D81" s="181" t="s">
        <v>128</v>
      </c>
      <c r="E81" s="252">
        <v>31018.84</v>
      </c>
      <c r="F81" s="23">
        <v>0</v>
      </c>
      <c r="G81" s="23">
        <v>0</v>
      </c>
      <c r="H81" s="25">
        <f t="shared" si="6"/>
        <v>0</v>
      </c>
      <c r="I81" s="180"/>
    </row>
    <row r="82" spans="1:9" ht="20.100000000000001" customHeight="1">
      <c r="A82" s="28">
        <v>3</v>
      </c>
      <c r="B82" s="158" t="s">
        <v>564</v>
      </c>
      <c r="C82" s="20" t="s">
        <v>565</v>
      </c>
      <c r="D82" s="181" t="s">
        <v>128</v>
      </c>
      <c r="E82" s="252">
        <v>31018.84</v>
      </c>
      <c r="F82" s="23">
        <v>0</v>
      </c>
      <c r="G82" s="23">
        <v>0</v>
      </c>
      <c r="H82" s="25">
        <f t="shared" si="6"/>
        <v>0</v>
      </c>
      <c r="I82" s="180"/>
    </row>
    <row r="83" spans="1:9" ht="20.100000000000001" customHeight="1">
      <c r="A83" s="28">
        <v>4</v>
      </c>
      <c r="B83" s="156" t="s">
        <v>150</v>
      </c>
      <c r="C83" s="20" t="s">
        <v>406</v>
      </c>
      <c r="D83" s="181" t="s">
        <v>165</v>
      </c>
      <c r="E83" s="25">
        <v>25523.45</v>
      </c>
      <c r="F83" s="23">
        <f>0.025*E83</f>
        <v>638.08625000000006</v>
      </c>
      <c r="G83" s="23">
        <f>'[10]April 2022'!$H$38</f>
        <v>618.53150000000005</v>
      </c>
      <c r="H83" s="25">
        <f t="shared" si="6"/>
        <v>19.554750000000013</v>
      </c>
      <c r="I83" s="180"/>
    </row>
    <row r="84" spans="1:9" ht="20.100000000000001" customHeight="1">
      <c r="A84" s="28">
        <v>5</v>
      </c>
      <c r="B84" s="156" t="s">
        <v>152</v>
      </c>
      <c r="C84" s="20" t="s">
        <v>153</v>
      </c>
      <c r="D84" s="28" t="s">
        <v>154</v>
      </c>
      <c r="E84" s="25">
        <v>17784.099999999999</v>
      </c>
      <c r="F84" s="23"/>
      <c r="G84" s="23"/>
      <c r="H84" s="25">
        <f t="shared" si="6"/>
        <v>0</v>
      </c>
      <c r="I84" s="180"/>
    </row>
    <row r="85" spans="1:9" ht="20.100000000000001" customHeight="1">
      <c r="A85" s="28"/>
      <c r="B85" s="159" t="s">
        <v>86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80"/>
    </row>
    <row r="86" spans="1:9" ht="20.100000000000001" customHeight="1">
      <c r="A86" s="28"/>
      <c r="B86" s="159"/>
      <c r="C86" s="29"/>
      <c r="D86" s="29"/>
      <c r="E86" s="30"/>
      <c r="F86" s="182"/>
      <c r="G86" s="182"/>
      <c r="H86" s="25">
        <f t="shared" si="6"/>
        <v>0</v>
      </c>
      <c r="I86" s="180"/>
    </row>
    <row r="87" spans="1:9" ht="20.100000000000001" customHeight="1">
      <c r="A87" s="28"/>
      <c r="B87" s="159" t="s">
        <v>158</v>
      </c>
      <c r="C87" s="186"/>
      <c r="D87" s="29"/>
      <c r="E87" s="30"/>
      <c r="F87" s="182"/>
      <c r="G87" s="182"/>
      <c r="H87" s="25">
        <f t="shared" si="6"/>
        <v>0</v>
      </c>
      <c r="I87" s="180"/>
    </row>
    <row r="88" spans="1:9" ht="23.25" customHeight="1">
      <c r="A88" s="28">
        <v>1</v>
      </c>
      <c r="B88" s="156" t="s">
        <v>582</v>
      </c>
      <c r="C88" s="20" t="s">
        <v>583</v>
      </c>
      <c r="D88" s="28" t="s">
        <v>228</v>
      </c>
      <c r="E88" s="25">
        <v>42653.17</v>
      </c>
      <c r="F88" s="23"/>
      <c r="G88" s="23"/>
      <c r="H88" s="25">
        <f t="shared" si="6"/>
        <v>0</v>
      </c>
      <c r="I88" s="180"/>
    </row>
    <row r="89" spans="1:9" ht="20.100000000000001" customHeight="1">
      <c r="A89" s="28">
        <v>2</v>
      </c>
      <c r="B89" s="156" t="s">
        <v>159</v>
      </c>
      <c r="C89" s="20" t="s">
        <v>102</v>
      </c>
      <c r="D89" s="28" t="s">
        <v>45</v>
      </c>
      <c r="E89" s="25">
        <v>33507.5</v>
      </c>
      <c r="F89" s="23"/>
      <c r="G89" s="23"/>
      <c r="H89" s="25">
        <f t="shared" si="6"/>
        <v>0</v>
      </c>
      <c r="I89" s="180"/>
    </row>
    <row r="90" spans="1:9" ht="20.100000000000001" customHeight="1">
      <c r="A90" s="28">
        <v>3</v>
      </c>
      <c r="B90" s="156" t="s">
        <v>160</v>
      </c>
      <c r="C90" s="20" t="s">
        <v>102</v>
      </c>
      <c r="D90" s="28" t="s">
        <v>45</v>
      </c>
      <c r="E90" s="25">
        <v>33507.5</v>
      </c>
      <c r="F90" s="23">
        <f>0.025*E90</f>
        <v>837.6875</v>
      </c>
      <c r="G90" s="23">
        <f>'[10]April 2022'!$H$37</f>
        <v>837.6875</v>
      </c>
      <c r="H90" s="25">
        <f t="shared" si="6"/>
        <v>0</v>
      </c>
      <c r="I90" s="180"/>
    </row>
    <row r="91" spans="1:9" ht="20.100000000000001" customHeight="1">
      <c r="A91" s="28">
        <v>4</v>
      </c>
      <c r="B91" s="158" t="s">
        <v>161</v>
      </c>
      <c r="C91" s="20" t="s">
        <v>109</v>
      </c>
      <c r="D91" s="28" t="s">
        <v>405</v>
      </c>
      <c r="E91" s="25">
        <f>28489.81</f>
        <v>28489.81</v>
      </c>
      <c r="F91" s="23">
        <f>0.025*E91</f>
        <v>712.24525000000006</v>
      </c>
      <c r="G91" s="23">
        <f>'[10]April 2022'!$H$44</f>
        <v>690.28075000000001</v>
      </c>
      <c r="H91" s="25">
        <f t="shared" si="6"/>
        <v>21.964500000000044</v>
      </c>
      <c r="I91" s="180"/>
    </row>
    <row r="92" spans="1:9" ht="20.100000000000001" customHeight="1">
      <c r="A92" s="28">
        <v>5</v>
      </c>
      <c r="B92" s="156" t="s">
        <v>162</v>
      </c>
      <c r="C92" s="20" t="s">
        <v>107</v>
      </c>
      <c r="D92" s="28" t="s">
        <v>51</v>
      </c>
      <c r="E92" s="25">
        <v>27611.23</v>
      </c>
      <c r="F92" s="23"/>
      <c r="G92" s="23"/>
      <c r="H92" s="25">
        <f t="shared" si="6"/>
        <v>0</v>
      </c>
      <c r="I92" s="180"/>
    </row>
    <row r="93" spans="1:9" ht="21.6" customHeight="1">
      <c r="A93" s="28">
        <v>6</v>
      </c>
      <c r="B93" s="156" t="s">
        <v>163</v>
      </c>
      <c r="C93" s="20" t="s">
        <v>164</v>
      </c>
      <c r="D93" s="181" t="s">
        <v>165</v>
      </c>
      <c r="E93" s="25">
        <v>25523.45</v>
      </c>
      <c r="F93" s="23"/>
      <c r="G93" s="23"/>
      <c r="H93" s="25">
        <f t="shared" si="6"/>
        <v>0</v>
      </c>
      <c r="I93" s="180"/>
    </row>
    <row r="94" spans="1:9" ht="21.6" customHeight="1">
      <c r="A94" s="28">
        <v>7</v>
      </c>
      <c r="B94" s="156" t="s">
        <v>166</v>
      </c>
      <c r="C94" s="161" t="s">
        <v>131</v>
      </c>
      <c r="D94" s="181" t="s">
        <v>57</v>
      </c>
      <c r="E94" s="25">
        <v>24741.26</v>
      </c>
      <c r="F94" s="23"/>
      <c r="G94" s="23"/>
      <c r="H94" s="25">
        <f t="shared" si="6"/>
        <v>0</v>
      </c>
      <c r="I94" s="180"/>
    </row>
    <row r="95" spans="1:9" ht="21.6" customHeight="1">
      <c r="A95" s="28">
        <v>8</v>
      </c>
      <c r="B95" s="156" t="s">
        <v>167</v>
      </c>
      <c r="C95" s="161" t="s">
        <v>131</v>
      </c>
      <c r="D95" s="181" t="s">
        <v>57</v>
      </c>
      <c r="E95" s="25">
        <v>24741.26</v>
      </c>
      <c r="F95" s="23"/>
      <c r="G95" s="23"/>
      <c r="H95" s="25">
        <f t="shared" si="6"/>
        <v>0</v>
      </c>
      <c r="I95" s="180"/>
    </row>
    <row r="96" spans="1:9" ht="21.6" customHeight="1">
      <c r="A96" s="28">
        <v>9</v>
      </c>
      <c r="B96" s="156" t="s">
        <v>169</v>
      </c>
      <c r="C96" s="112" t="s">
        <v>137</v>
      </c>
      <c r="D96" s="181" t="s">
        <v>66</v>
      </c>
      <c r="E96" s="251">
        <f>20749</f>
        <v>20749</v>
      </c>
      <c r="F96" s="23"/>
      <c r="G96" s="23"/>
      <c r="H96" s="25">
        <f t="shared" si="6"/>
        <v>0</v>
      </c>
      <c r="I96" s="180"/>
    </row>
    <row r="97" spans="1:9" ht="21.6" customHeight="1">
      <c r="A97" s="28">
        <v>10</v>
      </c>
      <c r="B97" s="156" t="s">
        <v>171</v>
      </c>
      <c r="C97" s="20" t="s">
        <v>172</v>
      </c>
      <c r="D97" s="28" t="s">
        <v>95</v>
      </c>
      <c r="E97" s="251">
        <v>0</v>
      </c>
      <c r="F97" s="23"/>
      <c r="G97" s="23"/>
      <c r="H97" s="25">
        <f t="shared" si="6"/>
        <v>0</v>
      </c>
      <c r="I97" s="180"/>
    </row>
    <row r="98" spans="1:9" ht="21.6" customHeight="1">
      <c r="A98" s="28">
        <v>11</v>
      </c>
      <c r="B98" s="156" t="s">
        <v>173</v>
      </c>
      <c r="C98" s="112" t="s">
        <v>174</v>
      </c>
      <c r="D98" s="181" t="s">
        <v>81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80"/>
    </row>
    <row r="99" spans="1:9" ht="20.100000000000001" customHeight="1">
      <c r="A99" s="28"/>
      <c r="B99" s="159" t="s">
        <v>86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80"/>
    </row>
    <row r="100" spans="1:9" ht="20.100000000000001" customHeight="1">
      <c r="A100" s="28"/>
      <c r="B100" s="123"/>
      <c r="C100" s="29"/>
      <c r="D100" s="29"/>
      <c r="E100" s="30"/>
      <c r="F100" s="30"/>
      <c r="G100" s="30"/>
      <c r="H100" s="25">
        <f t="shared" si="6"/>
        <v>0</v>
      </c>
      <c r="I100" s="180"/>
    </row>
    <row r="101" spans="1:9" ht="20.100000000000001" customHeight="1">
      <c r="A101" s="28"/>
      <c r="B101" s="159" t="s">
        <v>175</v>
      </c>
      <c r="C101" s="29"/>
      <c r="D101" s="29"/>
      <c r="E101" s="30"/>
      <c r="F101" s="30"/>
      <c r="G101" s="30"/>
      <c r="H101" s="25">
        <f t="shared" si="6"/>
        <v>0</v>
      </c>
      <c r="I101" s="180"/>
    </row>
    <row r="102" spans="1:9" ht="20.100000000000001" customHeight="1">
      <c r="A102" s="28">
        <v>1</v>
      </c>
      <c r="B102" s="157" t="s">
        <v>41</v>
      </c>
      <c r="C102" s="28" t="s">
        <v>42</v>
      </c>
      <c r="D102" s="181" t="s">
        <v>36</v>
      </c>
      <c r="E102" s="251">
        <v>41157.69</v>
      </c>
      <c r="F102" s="23"/>
      <c r="G102" s="23"/>
      <c r="H102" s="25">
        <f t="shared" si="6"/>
        <v>0</v>
      </c>
      <c r="I102" s="180"/>
    </row>
    <row r="103" spans="1:9" ht="20.100000000000001" customHeight="1">
      <c r="A103" s="28">
        <v>2</v>
      </c>
      <c r="B103" s="156" t="s">
        <v>46</v>
      </c>
      <c r="C103" s="20" t="s">
        <v>179</v>
      </c>
      <c r="D103" s="28" t="s">
        <v>51</v>
      </c>
      <c r="E103" s="25">
        <v>27611.23</v>
      </c>
      <c r="F103" s="23">
        <f>0.025*E103</f>
        <v>690.28075000000001</v>
      </c>
      <c r="G103" s="23">
        <f>'[10]April 2022'!$H$54</f>
        <v>668.31625000000008</v>
      </c>
      <c r="H103" s="25">
        <f t="shared" si="6"/>
        <v>21.96449999999993</v>
      </c>
      <c r="I103" s="180"/>
    </row>
    <row r="104" spans="1:9" ht="20.100000000000001" customHeight="1">
      <c r="A104" s="28">
        <v>3</v>
      </c>
      <c r="B104" s="157" t="s">
        <v>584</v>
      </c>
      <c r="C104" s="20" t="s">
        <v>585</v>
      </c>
      <c r="D104" s="181" t="s">
        <v>57</v>
      </c>
      <c r="E104" s="25">
        <v>24741.26</v>
      </c>
      <c r="F104" s="23"/>
      <c r="G104" s="23"/>
      <c r="H104" s="25">
        <f t="shared" si="6"/>
        <v>0</v>
      </c>
      <c r="I104" s="180"/>
    </row>
    <row r="105" spans="1:9" ht="20.100000000000001" customHeight="1">
      <c r="A105" s="28">
        <v>4</v>
      </c>
      <c r="B105" s="156" t="s">
        <v>180</v>
      </c>
      <c r="C105" s="20" t="s">
        <v>181</v>
      </c>
      <c r="D105" s="181" t="s">
        <v>63</v>
      </c>
      <c r="E105" s="25">
        <v>21520.880000000001</v>
      </c>
      <c r="F105" s="23"/>
      <c r="G105" s="23"/>
      <c r="H105" s="25">
        <f t="shared" si="6"/>
        <v>0</v>
      </c>
      <c r="I105" s="180"/>
    </row>
    <row r="106" spans="1:9" ht="20.100000000000001" customHeight="1">
      <c r="A106" s="20"/>
      <c r="B106" s="159" t="s">
        <v>86</v>
      </c>
      <c r="C106" s="29">
        <v>4</v>
      </c>
      <c r="D106" s="187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80"/>
    </row>
    <row r="107" spans="1:9" ht="20.100000000000001" customHeight="1">
      <c r="A107" s="20"/>
      <c r="B107" s="123"/>
      <c r="C107" s="29"/>
      <c r="D107" s="187"/>
      <c r="E107" s="30"/>
      <c r="F107" s="30"/>
      <c r="G107" s="30"/>
      <c r="H107" s="25">
        <f t="shared" si="6"/>
        <v>0</v>
      </c>
      <c r="I107" s="180"/>
    </row>
    <row r="108" spans="1:9" ht="20.100000000000001" customHeight="1">
      <c r="A108" s="20"/>
      <c r="B108" s="159" t="s">
        <v>184</v>
      </c>
      <c r="C108" s="20"/>
      <c r="D108" s="20"/>
      <c r="E108" s="20"/>
      <c r="F108" s="20"/>
      <c r="G108" s="20"/>
      <c r="H108" s="25">
        <f t="shared" si="6"/>
        <v>0</v>
      </c>
      <c r="I108" s="180"/>
    </row>
    <row r="109" spans="1:9" ht="20.100000000000001" customHeight="1">
      <c r="A109" s="20">
        <v>1</v>
      </c>
      <c r="B109" s="156" t="s">
        <v>185</v>
      </c>
      <c r="C109" s="161" t="s">
        <v>186</v>
      </c>
      <c r="D109" s="181" t="s">
        <v>90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80"/>
    </row>
    <row r="110" spans="1:9" ht="20.100000000000001" customHeight="1">
      <c r="A110" s="20">
        <v>2</v>
      </c>
      <c r="B110" s="156" t="s">
        <v>187</v>
      </c>
      <c r="C110" s="20" t="s">
        <v>188</v>
      </c>
      <c r="D110" s="24" t="s">
        <v>36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80"/>
    </row>
    <row r="111" spans="1:9" ht="20.100000000000001" customHeight="1">
      <c r="A111" s="20">
        <v>3</v>
      </c>
      <c r="B111" s="156" t="s">
        <v>189</v>
      </c>
      <c r="C111" s="20" t="s">
        <v>190</v>
      </c>
      <c r="D111" s="28" t="s">
        <v>54</v>
      </c>
      <c r="E111" s="25">
        <v>26339.3</v>
      </c>
      <c r="F111" s="23">
        <f>0.025*E111</f>
        <v>658.48250000000007</v>
      </c>
      <c r="G111" s="23">
        <f>'[10]April 2022'!$H$35</f>
        <v>658.48250000000007</v>
      </c>
      <c r="H111" s="25">
        <f t="shared" si="6"/>
        <v>0</v>
      </c>
      <c r="I111" s="180"/>
    </row>
    <row r="112" spans="1:9" ht="20.100000000000001" customHeight="1">
      <c r="A112" s="20">
        <v>4</v>
      </c>
      <c r="B112" s="156" t="s">
        <v>191</v>
      </c>
      <c r="C112" s="20" t="s">
        <v>190</v>
      </c>
      <c r="D112" s="28" t="s">
        <v>54</v>
      </c>
      <c r="E112" s="25">
        <v>26339.3</v>
      </c>
      <c r="F112" s="23"/>
      <c r="G112" s="23"/>
      <c r="H112" s="25">
        <f t="shared" si="6"/>
        <v>0</v>
      </c>
      <c r="I112" s="180"/>
    </row>
    <row r="113" spans="1:9" ht="20.100000000000001" customHeight="1">
      <c r="A113" s="20">
        <v>5</v>
      </c>
      <c r="B113" s="156" t="s">
        <v>192</v>
      </c>
      <c r="C113" s="20" t="s">
        <v>193</v>
      </c>
      <c r="D113" s="181" t="s">
        <v>194</v>
      </c>
      <c r="E113" s="179">
        <f>13872.4</f>
        <v>13872.4</v>
      </c>
      <c r="F113" s="23"/>
      <c r="G113" s="23"/>
      <c r="H113" s="25">
        <f t="shared" si="6"/>
        <v>0</v>
      </c>
      <c r="I113" s="180"/>
    </row>
    <row r="114" spans="1:9" ht="20.100000000000001" customHeight="1">
      <c r="A114" s="20">
        <v>6</v>
      </c>
      <c r="B114" s="157" t="s">
        <v>195</v>
      </c>
      <c r="C114" s="20" t="s">
        <v>193</v>
      </c>
      <c r="D114" s="28" t="s">
        <v>76</v>
      </c>
      <c r="E114" s="25">
        <v>13492.21</v>
      </c>
      <c r="F114" s="23"/>
      <c r="G114" s="23"/>
      <c r="H114" s="25">
        <f t="shared" si="6"/>
        <v>0</v>
      </c>
      <c r="I114" s="180"/>
    </row>
    <row r="115" spans="1:9" ht="20.100000000000001" customHeight="1">
      <c r="A115" s="20">
        <v>7</v>
      </c>
      <c r="B115" s="157" t="s">
        <v>196</v>
      </c>
      <c r="C115" s="20" t="s">
        <v>193</v>
      </c>
      <c r="D115" s="181" t="s">
        <v>81</v>
      </c>
      <c r="E115" s="179">
        <f>12732</f>
        <v>12732</v>
      </c>
      <c r="F115" s="23"/>
      <c r="G115" s="23"/>
      <c r="H115" s="25">
        <f t="shared" si="6"/>
        <v>0</v>
      </c>
      <c r="I115" s="180"/>
    </row>
    <row r="116" spans="1:9" ht="20.100000000000001" customHeight="1">
      <c r="A116" s="20"/>
      <c r="B116" s="159" t="s">
        <v>86</v>
      </c>
      <c r="C116" s="29">
        <v>7</v>
      </c>
      <c r="D116" s="20"/>
      <c r="E116" s="188">
        <f>SUM(E109:E115)</f>
        <v>215672.91999999998</v>
      </c>
      <c r="F116" s="188">
        <f t="shared" ref="F116:G116" si="11">SUM(F109:F115)</f>
        <v>1687.4247500000001</v>
      </c>
      <c r="G116" s="188">
        <f t="shared" si="11"/>
        <v>1687.4247500000001</v>
      </c>
      <c r="H116" s="25">
        <f t="shared" si="6"/>
        <v>0</v>
      </c>
      <c r="I116" s="180"/>
    </row>
    <row r="117" spans="1:9" ht="20.100000000000001" customHeight="1">
      <c r="A117" s="20"/>
      <c r="B117" s="123"/>
      <c r="C117" s="28"/>
      <c r="D117" s="20"/>
      <c r="E117" s="189"/>
      <c r="F117" s="189"/>
      <c r="G117" s="189"/>
      <c r="H117" s="25">
        <f t="shared" si="6"/>
        <v>0</v>
      </c>
      <c r="I117" s="180"/>
    </row>
    <row r="118" spans="1:9" ht="20.100000000000001" customHeight="1">
      <c r="A118" s="20"/>
      <c r="B118" s="159" t="s">
        <v>204</v>
      </c>
      <c r="C118" s="29"/>
      <c r="D118" s="29"/>
      <c r="E118" s="30"/>
      <c r="F118" s="182"/>
      <c r="G118" s="182"/>
      <c r="H118" s="25">
        <f t="shared" si="6"/>
        <v>0</v>
      </c>
      <c r="I118" s="180"/>
    </row>
    <row r="119" spans="1:9" ht="20.100000000000001" customHeight="1">
      <c r="A119" s="20">
        <v>1</v>
      </c>
      <c r="B119" s="156" t="s">
        <v>205</v>
      </c>
      <c r="C119" s="161" t="s">
        <v>206</v>
      </c>
      <c r="D119" s="181" t="s">
        <v>90</v>
      </c>
      <c r="E119" s="25">
        <v>81740.02</v>
      </c>
      <c r="F119" s="23">
        <f>0.025*E119</f>
        <v>2043.5005000000001</v>
      </c>
      <c r="G119" s="23">
        <f>'[10]April 2022'!$H$21</f>
        <v>2043.5005000000001</v>
      </c>
      <c r="H119" s="25">
        <f t="shared" si="6"/>
        <v>0</v>
      </c>
      <c r="I119" s="180"/>
    </row>
    <row r="120" spans="1:9" ht="20.100000000000001" customHeight="1">
      <c r="A120" s="20" t="s">
        <v>586</v>
      </c>
      <c r="B120" s="156" t="s">
        <v>587</v>
      </c>
      <c r="C120" s="161" t="s">
        <v>588</v>
      </c>
      <c r="D120" s="181" t="s">
        <v>228</v>
      </c>
      <c r="E120" s="25">
        <v>42653.17</v>
      </c>
      <c r="F120" s="23"/>
      <c r="G120" s="23"/>
      <c r="H120" s="25">
        <f t="shared" si="6"/>
        <v>0</v>
      </c>
      <c r="I120" s="180"/>
    </row>
    <row r="121" spans="1:9" ht="20.100000000000001" customHeight="1">
      <c r="A121" s="20">
        <v>3</v>
      </c>
      <c r="B121" s="156" t="s">
        <v>207</v>
      </c>
      <c r="C121" s="161" t="s">
        <v>208</v>
      </c>
      <c r="D121" s="181" t="s">
        <v>45</v>
      </c>
      <c r="E121" s="25">
        <v>33507.5</v>
      </c>
      <c r="F121" s="23">
        <f>0.025*E121</f>
        <v>837.6875</v>
      </c>
      <c r="G121" s="23">
        <f>'[10]April 2022'!$H$20</f>
        <v>837.6875</v>
      </c>
      <c r="H121" s="25">
        <f t="shared" si="6"/>
        <v>0</v>
      </c>
      <c r="I121" s="180"/>
    </row>
    <row r="122" spans="1:9" ht="20.100000000000001" customHeight="1">
      <c r="A122" s="20">
        <v>4</v>
      </c>
      <c r="B122" s="158" t="s">
        <v>209</v>
      </c>
      <c r="C122" s="161" t="s">
        <v>208</v>
      </c>
      <c r="D122" s="181" t="s">
        <v>45</v>
      </c>
      <c r="E122" s="25">
        <v>33507.5</v>
      </c>
      <c r="F122" s="23">
        <f>0.025*E122</f>
        <v>837.6875</v>
      </c>
      <c r="G122" s="23">
        <f>'[10]April 2022'!$H$22</f>
        <v>837.6875</v>
      </c>
      <c r="H122" s="25">
        <f t="shared" si="6"/>
        <v>0</v>
      </c>
      <c r="I122" s="180"/>
    </row>
    <row r="123" spans="1:9" ht="20.100000000000001" customHeight="1">
      <c r="A123" s="20">
        <v>5</v>
      </c>
      <c r="B123" s="158" t="s">
        <v>210</v>
      </c>
      <c r="C123" s="161" t="s">
        <v>208</v>
      </c>
      <c r="D123" s="181" t="s">
        <v>48</v>
      </c>
      <c r="E123" s="251">
        <v>31018.84</v>
      </c>
      <c r="F123" s="23"/>
      <c r="G123" s="23"/>
      <c r="H123" s="25">
        <f t="shared" si="6"/>
        <v>0</v>
      </c>
      <c r="I123" s="180"/>
    </row>
    <row r="124" spans="1:9" ht="20.100000000000001" customHeight="1">
      <c r="A124" s="20">
        <v>6</v>
      </c>
      <c r="B124" s="156" t="s">
        <v>211</v>
      </c>
      <c r="C124" s="161" t="s">
        <v>212</v>
      </c>
      <c r="D124" s="181" t="s">
        <v>134</v>
      </c>
      <c r="E124" s="25">
        <v>26732.65</v>
      </c>
      <c r="F124" s="23"/>
      <c r="G124" s="23"/>
      <c r="H124" s="25">
        <f t="shared" si="6"/>
        <v>0</v>
      </c>
      <c r="I124" s="180"/>
    </row>
    <row r="125" spans="1:9" ht="20.100000000000001" customHeight="1">
      <c r="A125" s="20">
        <v>7</v>
      </c>
      <c r="B125" s="156" t="s">
        <v>213</v>
      </c>
      <c r="C125" s="161" t="s">
        <v>214</v>
      </c>
      <c r="D125" s="181" t="s">
        <v>165</v>
      </c>
      <c r="E125" s="25">
        <v>25523.45</v>
      </c>
      <c r="F125" s="23">
        <f>0.025*E125</f>
        <v>638.08625000000006</v>
      </c>
      <c r="G125" s="23">
        <f>'[10]April 2022'!$H$48</f>
        <v>618.53150000000005</v>
      </c>
      <c r="H125" s="25">
        <f t="shared" si="6"/>
        <v>19.554750000000013</v>
      </c>
      <c r="I125" s="180"/>
    </row>
    <row r="126" spans="1:9" ht="20.100000000000001" customHeight="1">
      <c r="A126" s="20">
        <v>8</v>
      </c>
      <c r="B126" s="156" t="s">
        <v>215</v>
      </c>
      <c r="C126" s="161" t="s">
        <v>408</v>
      </c>
      <c r="D126" s="181" t="s">
        <v>165</v>
      </c>
      <c r="E126" s="25">
        <v>25523.45</v>
      </c>
      <c r="F126" s="23">
        <f>0.025*E126</f>
        <v>638.08625000000006</v>
      </c>
      <c r="G126" s="23">
        <f>'[10]April 2022'!$H$24</f>
        <v>618.53150000000005</v>
      </c>
      <c r="H126" s="25">
        <f t="shared" si="6"/>
        <v>19.554750000000013</v>
      </c>
      <c r="I126" s="180"/>
    </row>
    <row r="127" spans="1:9" ht="20.100000000000001" customHeight="1">
      <c r="A127" s="20">
        <v>9</v>
      </c>
      <c r="B127" s="157" t="s">
        <v>589</v>
      </c>
      <c r="C127" s="161" t="s">
        <v>590</v>
      </c>
      <c r="D127" s="181" t="s">
        <v>591</v>
      </c>
      <c r="E127" s="25">
        <v>24741.26</v>
      </c>
      <c r="F127" s="23"/>
      <c r="G127" s="23"/>
      <c r="H127" s="25">
        <f t="shared" si="6"/>
        <v>0</v>
      </c>
      <c r="I127" s="180"/>
    </row>
    <row r="128" spans="1:9" ht="20.100000000000001" customHeight="1">
      <c r="A128" s="20">
        <v>10</v>
      </c>
      <c r="B128" s="156" t="s">
        <v>216</v>
      </c>
      <c r="C128" s="161" t="s">
        <v>217</v>
      </c>
      <c r="D128" s="28" t="s">
        <v>69</v>
      </c>
      <c r="E128" s="25">
        <f>15188.67</f>
        <v>15188.67</v>
      </c>
      <c r="F128" s="23"/>
      <c r="G128" s="23"/>
      <c r="H128" s="25">
        <f t="shared" si="6"/>
        <v>0</v>
      </c>
      <c r="I128" s="180"/>
    </row>
    <row r="129" spans="1:9" ht="20.100000000000001" customHeight="1">
      <c r="A129" s="20">
        <v>11</v>
      </c>
      <c r="B129" s="157" t="s">
        <v>218</v>
      </c>
      <c r="C129" s="161" t="s">
        <v>219</v>
      </c>
      <c r="D129" s="181" t="s">
        <v>81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80"/>
    </row>
    <row r="130" spans="1:9" ht="20.100000000000001" customHeight="1">
      <c r="A130" s="20"/>
      <c r="B130" s="159" t="s">
        <v>86</v>
      </c>
      <c r="C130" s="187" t="s">
        <v>592</v>
      </c>
      <c r="D130" s="181"/>
      <c r="E130" s="30">
        <f t="shared" ref="E130" si="12">SUM(E119:E129)</f>
        <v>352868.51</v>
      </c>
      <c r="F130" s="190">
        <f t="shared" ref="F130:G130" si="13">SUM(F119:F129)</f>
        <v>4995.0480000000007</v>
      </c>
      <c r="G130" s="190">
        <f t="shared" si="13"/>
        <v>4955.9385000000002</v>
      </c>
      <c r="H130" s="30">
        <f t="shared" si="6"/>
        <v>39.10950000000048</v>
      </c>
      <c r="I130" s="180"/>
    </row>
    <row r="131" spans="1:9" ht="20.100000000000001" customHeight="1">
      <c r="A131" s="20"/>
      <c r="B131" s="123"/>
      <c r="C131" s="187"/>
      <c r="D131" s="181"/>
      <c r="E131" s="30"/>
      <c r="F131" s="182"/>
      <c r="G131" s="182"/>
      <c r="H131" s="25">
        <f t="shared" si="6"/>
        <v>0</v>
      </c>
      <c r="I131" s="180"/>
    </row>
    <row r="132" spans="1:9" ht="20.100000000000001" customHeight="1">
      <c r="A132" s="20"/>
      <c r="B132" s="159" t="s">
        <v>223</v>
      </c>
      <c r="C132" s="161"/>
      <c r="D132" s="181"/>
      <c r="E132" s="25"/>
      <c r="F132" s="23"/>
      <c r="G132" s="23"/>
      <c r="H132" s="25">
        <f t="shared" si="6"/>
        <v>0</v>
      </c>
      <c r="I132" s="180"/>
    </row>
    <row r="133" spans="1:9" ht="20.100000000000001" customHeight="1">
      <c r="A133" s="191">
        <v>1</v>
      </c>
      <c r="B133" s="156" t="s">
        <v>224</v>
      </c>
      <c r="C133" s="161" t="s">
        <v>225</v>
      </c>
      <c r="D133" s="181" t="s">
        <v>90</v>
      </c>
      <c r="E133" s="25">
        <v>81740.02</v>
      </c>
      <c r="F133" s="23"/>
      <c r="G133" s="23"/>
      <c r="H133" s="25">
        <f t="shared" si="6"/>
        <v>0</v>
      </c>
      <c r="I133" s="180"/>
    </row>
    <row r="134" spans="1:9" ht="20.100000000000001" customHeight="1">
      <c r="A134" s="191">
        <v>2</v>
      </c>
      <c r="B134" s="156" t="s">
        <v>226</v>
      </c>
      <c r="C134" s="161" t="s">
        <v>227</v>
      </c>
      <c r="D134" s="181" t="s">
        <v>228</v>
      </c>
      <c r="E134" s="25">
        <v>42653.17</v>
      </c>
      <c r="H134" s="25">
        <f t="shared" si="6"/>
        <v>0</v>
      </c>
      <c r="I134" s="180"/>
    </row>
    <row r="135" spans="1:9" ht="20.100000000000001" customHeight="1">
      <c r="A135" s="191">
        <v>3</v>
      </c>
      <c r="B135" s="158" t="s">
        <v>229</v>
      </c>
      <c r="C135" s="20" t="s">
        <v>230</v>
      </c>
      <c r="D135" s="24" t="s">
        <v>36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80"/>
    </row>
    <row r="136" spans="1:9" ht="20.100000000000001" customHeight="1">
      <c r="A136" s="191">
        <v>4</v>
      </c>
      <c r="B136" s="156" t="s">
        <v>231</v>
      </c>
      <c r="C136" s="161" t="s">
        <v>232</v>
      </c>
      <c r="D136" s="181" t="s">
        <v>51</v>
      </c>
      <c r="E136" s="25">
        <v>27611.23</v>
      </c>
      <c r="F136" s="23">
        <f>0.025*E136</f>
        <v>690.28075000000001</v>
      </c>
      <c r="G136" s="23">
        <f>'[10]April 2022'!$H$47</f>
        <v>668.31625000000008</v>
      </c>
      <c r="H136" s="25">
        <f t="shared" ref="H136:H189" si="14">F136-G136</f>
        <v>21.96449999999993</v>
      </c>
      <c r="I136" s="180"/>
    </row>
    <row r="137" spans="1:9" ht="20.100000000000001" customHeight="1">
      <c r="A137" s="191">
        <v>5</v>
      </c>
      <c r="B137" s="156" t="s">
        <v>233</v>
      </c>
      <c r="C137" s="20" t="s">
        <v>234</v>
      </c>
      <c r="D137" s="181" t="s">
        <v>51</v>
      </c>
      <c r="E137" s="25">
        <v>27611.23</v>
      </c>
      <c r="F137" s="23">
        <f>0.025*E137</f>
        <v>690.28075000000001</v>
      </c>
      <c r="G137" s="23">
        <f>'[10]April 2022'!$H$50</f>
        <v>668.31625000000008</v>
      </c>
      <c r="H137" s="25">
        <f t="shared" si="14"/>
        <v>21.96449999999993</v>
      </c>
      <c r="I137" s="180"/>
    </row>
    <row r="138" spans="1:9" ht="20.100000000000001" customHeight="1">
      <c r="A138" s="191">
        <v>6</v>
      </c>
      <c r="B138" s="156" t="s">
        <v>178</v>
      </c>
      <c r="C138" s="20" t="s">
        <v>240</v>
      </c>
      <c r="D138" s="181" t="s">
        <v>165</v>
      </c>
      <c r="E138" s="25">
        <v>25523.45</v>
      </c>
      <c r="F138" s="23"/>
      <c r="G138" s="23"/>
      <c r="H138" s="25">
        <f t="shared" si="14"/>
        <v>0</v>
      </c>
      <c r="I138" s="180"/>
    </row>
    <row r="139" spans="1:9" ht="20.100000000000001" customHeight="1">
      <c r="A139" s="191">
        <v>7</v>
      </c>
      <c r="B139" s="156" t="s">
        <v>236</v>
      </c>
      <c r="C139" s="161" t="s">
        <v>237</v>
      </c>
      <c r="D139" s="181" t="s">
        <v>199</v>
      </c>
      <c r="E139" s="25">
        <f>22837.82</f>
        <v>22837.82</v>
      </c>
      <c r="F139" s="23">
        <f>0.025*E139</f>
        <v>570.94550000000004</v>
      </c>
      <c r="G139" s="23">
        <f>'[10]April 2022'!$H$40</f>
        <v>538.02200000000005</v>
      </c>
      <c r="H139" s="25">
        <f t="shared" si="14"/>
        <v>32.92349999999999</v>
      </c>
      <c r="I139" s="180"/>
    </row>
    <row r="140" spans="1:9" ht="20.100000000000001" customHeight="1">
      <c r="A140" s="191">
        <v>8</v>
      </c>
      <c r="B140" s="156" t="s">
        <v>238</v>
      </c>
      <c r="C140" s="161" t="s">
        <v>237</v>
      </c>
      <c r="D140" s="181" t="s">
        <v>199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80"/>
    </row>
    <row r="141" spans="1:9" ht="20.100000000000001" customHeight="1">
      <c r="A141" s="191">
        <v>9</v>
      </c>
      <c r="B141" s="156" t="s">
        <v>239</v>
      </c>
      <c r="C141" s="20" t="s">
        <v>240</v>
      </c>
      <c r="D141" s="181" t="s">
        <v>199</v>
      </c>
      <c r="E141" s="25">
        <f t="shared" si="15"/>
        <v>22837.82</v>
      </c>
      <c r="F141" s="23"/>
      <c r="G141" s="23"/>
      <c r="H141" s="25">
        <f t="shared" si="14"/>
        <v>0</v>
      </c>
      <c r="I141" s="180"/>
    </row>
    <row r="142" spans="1:9" ht="20.100000000000001" customHeight="1">
      <c r="A142" s="191">
        <v>10</v>
      </c>
      <c r="B142" s="156" t="s">
        <v>241</v>
      </c>
      <c r="C142" s="161" t="s">
        <v>246</v>
      </c>
      <c r="D142" s="181" t="s">
        <v>63</v>
      </c>
      <c r="E142" s="25">
        <v>21520.880000000001</v>
      </c>
      <c r="F142" s="23"/>
      <c r="G142" s="23"/>
      <c r="H142" s="25">
        <f t="shared" si="14"/>
        <v>0</v>
      </c>
      <c r="I142" s="180"/>
    </row>
    <row r="143" spans="1:9" ht="20.100000000000001" customHeight="1">
      <c r="A143" s="191">
        <v>11</v>
      </c>
      <c r="B143" s="156" t="s">
        <v>243</v>
      </c>
      <c r="C143" s="161" t="s">
        <v>410</v>
      </c>
      <c r="D143" s="181" t="s">
        <v>411</v>
      </c>
      <c r="E143" s="179">
        <v>18779.3</v>
      </c>
      <c r="F143" s="23">
        <f>0.025*E143</f>
        <v>469.48250000000002</v>
      </c>
      <c r="G143" s="23">
        <f>'[10]April 2022'!$H$43</f>
        <v>457.041</v>
      </c>
      <c r="H143" s="25">
        <f t="shared" si="14"/>
        <v>12.441500000000019</v>
      </c>
      <c r="I143" s="180"/>
    </row>
    <row r="144" spans="1:9" ht="20.100000000000001" customHeight="1">
      <c r="A144" s="191">
        <v>12</v>
      </c>
      <c r="B144" s="156" t="s">
        <v>245</v>
      </c>
      <c r="C144" s="161" t="s">
        <v>246</v>
      </c>
      <c r="D144" s="181" t="s">
        <v>199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80"/>
    </row>
    <row r="145" spans="1:9" ht="20.100000000000001" customHeight="1">
      <c r="A145" s="191">
        <v>13</v>
      </c>
      <c r="B145" s="156" t="s">
        <v>249</v>
      </c>
      <c r="C145" s="20" t="s">
        <v>250</v>
      </c>
      <c r="D145" s="181" t="s">
        <v>154</v>
      </c>
      <c r="E145" s="179">
        <v>18281.64</v>
      </c>
      <c r="F145" s="23"/>
      <c r="G145" s="23"/>
      <c r="H145" s="25">
        <f t="shared" si="14"/>
        <v>0</v>
      </c>
      <c r="I145" s="180"/>
    </row>
    <row r="146" spans="1:9" ht="20.100000000000001" customHeight="1">
      <c r="A146" s="191">
        <v>14</v>
      </c>
      <c r="B146" s="156" t="s">
        <v>251</v>
      </c>
      <c r="C146" s="20" t="s">
        <v>250</v>
      </c>
      <c r="D146" s="181" t="s">
        <v>252</v>
      </c>
      <c r="E146" s="179">
        <v>18281.64</v>
      </c>
      <c r="F146" s="23">
        <f>0.025*E146</f>
        <v>457.041</v>
      </c>
      <c r="G146" s="23">
        <f>'[10]April 2022'!$H$36</f>
        <v>444.60249999999996</v>
      </c>
      <c r="H146" s="25">
        <f t="shared" si="14"/>
        <v>12.438500000000033</v>
      </c>
      <c r="I146" s="180"/>
    </row>
    <row r="147" spans="1:9" ht="20.100000000000001" customHeight="1">
      <c r="A147" s="191">
        <v>15</v>
      </c>
      <c r="B147" s="156" t="s">
        <v>253</v>
      </c>
      <c r="C147" s="20" t="s">
        <v>250</v>
      </c>
      <c r="D147" s="181" t="s">
        <v>252</v>
      </c>
      <c r="E147" s="179">
        <v>18281.64</v>
      </c>
      <c r="F147" s="23"/>
      <c r="G147" s="23"/>
      <c r="H147" s="25">
        <f t="shared" si="14"/>
        <v>0</v>
      </c>
      <c r="I147" s="180"/>
    </row>
    <row r="148" spans="1:9" ht="20.100000000000001" customHeight="1">
      <c r="A148" s="191">
        <v>16</v>
      </c>
      <c r="B148" s="156" t="s">
        <v>254</v>
      </c>
      <c r="C148" s="161" t="s">
        <v>255</v>
      </c>
      <c r="D148" s="181" t="s">
        <v>95</v>
      </c>
      <c r="E148" s="253">
        <f>17286.33</f>
        <v>17286.330000000002</v>
      </c>
      <c r="F148" s="23"/>
      <c r="G148" s="23"/>
      <c r="H148" s="25">
        <f t="shared" si="14"/>
        <v>0</v>
      </c>
      <c r="I148" s="180"/>
    </row>
    <row r="149" spans="1:9" ht="20.100000000000001" customHeight="1">
      <c r="A149" s="191">
        <v>17</v>
      </c>
      <c r="B149" s="156" t="s">
        <v>256</v>
      </c>
      <c r="C149" s="161" t="s">
        <v>257</v>
      </c>
      <c r="D149" s="28" t="s">
        <v>73</v>
      </c>
      <c r="E149" s="251">
        <f>14736.14</f>
        <v>14736.14</v>
      </c>
      <c r="F149" s="23"/>
      <c r="G149" s="23"/>
      <c r="H149" s="25">
        <f t="shared" si="14"/>
        <v>0</v>
      </c>
      <c r="I149" s="180"/>
    </row>
    <row r="150" spans="1:9" ht="20.100000000000001" customHeight="1">
      <c r="A150" s="191">
        <v>18</v>
      </c>
      <c r="B150" s="156" t="s">
        <v>258</v>
      </c>
      <c r="C150" s="161" t="s">
        <v>259</v>
      </c>
      <c r="D150" s="181" t="s">
        <v>154</v>
      </c>
      <c r="E150" s="179">
        <v>18281.64</v>
      </c>
      <c r="F150" s="23"/>
      <c r="G150" s="23"/>
      <c r="H150" s="25">
        <f t="shared" si="14"/>
        <v>0</v>
      </c>
      <c r="I150" s="180"/>
    </row>
    <row r="151" spans="1:9" ht="20.100000000000001" customHeight="1">
      <c r="A151" s="191">
        <v>19</v>
      </c>
      <c r="B151" s="156" t="s">
        <v>260</v>
      </c>
      <c r="C151" s="161" t="s">
        <v>261</v>
      </c>
      <c r="D151" s="181" t="s">
        <v>69</v>
      </c>
      <c r="E151" s="179">
        <f>15188.67</f>
        <v>15188.67</v>
      </c>
      <c r="F151" s="23"/>
      <c r="G151" s="23"/>
      <c r="H151" s="25">
        <f t="shared" si="14"/>
        <v>0</v>
      </c>
      <c r="I151" s="180"/>
    </row>
    <row r="152" spans="1:9" ht="20.100000000000001" customHeight="1">
      <c r="A152" s="191">
        <v>20</v>
      </c>
      <c r="B152" s="156" t="s">
        <v>262</v>
      </c>
      <c r="C152" s="161" t="s">
        <v>263</v>
      </c>
      <c r="D152" s="181" t="s">
        <v>154</v>
      </c>
      <c r="E152" s="179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80"/>
    </row>
    <row r="153" spans="1:9" ht="20.100000000000001" customHeight="1">
      <c r="A153" s="191">
        <v>21</v>
      </c>
      <c r="B153" s="156" t="s">
        <v>264</v>
      </c>
      <c r="C153" s="161" t="s">
        <v>265</v>
      </c>
      <c r="D153" s="181" t="s">
        <v>69</v>
      </c>
      <c r="E153" s="179">
        <v>15188.67</v>
      </c>
      <c r="F153" s="23"/>
      <c r="G153" s="23"/>
      <c r="H153" s="25">
        <f t="shared" si="14"/>
        <v>0</v>
      </c>
      <c r="I153" s="180"/>
    </row>
    <row r="154" spans="1:9" ht="20.100000000000001" customHeight="1">
      <c r="A154" s="191">
        <v>22</v>
      </c>
      <c r="B154" s="157" t="s">
        <v>266</v>
      </c>
      <c r="C154" s="161" t="s">
        <v>271</v>
      </c>
      <c r="D154" s="181" t="s">
        <v>578</v>
      </c>
      <c r="E154" s="179">
        <v>13492.21</v>
      </c>
      <c r="F154" s="23"/>
      <c r="G154" s="23"/>
      <c r="H154" s="25">
        <f t="shared" si="14"/>
        <v>0</v>
      </c>
      <c r="I154" s="180"/>
    </row>
    <row r="155" spans="1:9" ht="20.100000000000001" customHeight="1">
      <c r="A155" s="191">
        <v>23</v>
      </c>
      <c r="B155" s="157" t="s">
        <v>593</v>
      </c>
      <c r="C155" s="161" t="s">
        <v>269</v>
      </c>
      <c r="D155" s="181" t="s">
        <v>81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80"/>
    </row>
    <row r="156" spans="1:9" ht="20.100000000000001" customHeight="1">
      <c r="A156" s="191">
        <v>24</v>
      </c>
      <c r="B156" s="157" t="s">
        <v>268</v>
      </c>
      <c r="C156" s="161" t="s">
        <v>269</v>
      </c>
      <c r="D156" s="181" t="s">
        <v>85</v>
      </c>
      <c r="E156" s="251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80"/>
    </row>
    <row r="157" spans="1:9" ht="20.100000000000001" customHeight="1">
      <c r="A157" s="191">
        <v>25</v>
      </c>
      <c r="B157" s="157" t="s">
        <v>270</v>
      </c>
      <c r="C157" s="161" t="s">
        <v>271</v>
      </c>
      <c r="D157" s="181" t="s">
        <v>85</v>
      </c>
      <c r="E157" s="251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80"/>
    </row>
    <row r="158" spans="1:9" ht="20.100000000000001" customHeight="1">
      <c r="A158" s="191">
        <v>26</v>
      </c>
      <c r="B158" s="157" t="s">
        <v>272</v>
      </c>
      <c r="C158" s="161" t="s">
        <v>273</v>
      </c>
      <c r="D158" s="181" t="s">
        <v>81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80"/>
    </row>
    <row r="159" spans="1:9" ht="20.100000000000001" customHeight="1">
      <c r="A159" s="191">
        <v>27</v>
      </c>
      <c r="B159" s="157" t="s">
        <v>274</v>
      </c>
      <c r="C159" s="161" t="s">
        <v>275</v>
      </c>
      <c r="D159" s="181" t="s">
        <v>81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80"/>
    </row>
    <row r="160" spans="1:9" ht="20.100000000000001" customHeight="1">
      <c r="A160" s="191">
        <v>28</v>
      </c>
      <c r="B160" s="156" t="s">
        <v>277</v>
      </c>
      <c r="C160" s="161" t="s">
        <v>278</v>
      </c>
      <c r="D160" s="181" t="s">
        <v>279</v>
      </c>
      <c r="E160" s="192">
        <f>10527.6</f>
        <v>10527.6</v>
      </c>
      <c r="F160" s="23">
        <f>0.025*E160</f>
        <v>263.19</v>
      </c>
      <c r="G160" s="23">
        <f>'[10]April 2022'!$H$39</f>
        <v>226.2535</v>
      </c>
      <c r="H160" s="25">
        <f t="shared" si="14"/>
        <v>36.936499999999995</v>
      </c>
      <c r="I160" s="180"/>
    </row>
    <row r="161" spans="1:9" ht="20.100000000000001" customHeight="1">
      <c r="A161" s="191">
        <v>29</v>
      </c>
      <c r="B161" s="156" t="s">
        <v>280</v>
      </c>
      <c r="C161" s="161" t="s">
        <v>278</v>
      </c>
      <c r="D161" s="181" t="s">
        <v>279</v>
      </c>
      <c r="E161" s="192">
        <f t="shared" ref="E161:E165" si="16">10527.6</f>
        <v>10527.6</v>
      </c>
      <c r="F161" s="23"/>
      <c r="G161" s="23"/>
      <c r="H161" s="25">
        <f t="shared" si="14"/>
        <v>0</v>
      </c>
      <c r="I161" s="180"/>
    </row>
    <row r="162" spans="1:9" ht="20.100000000000001" customHeight="1">
      <c r="A162" s="191">
        <v>30</v>
      </c>
      <c r="B162" s="156" t="s">
        <v>281</v>
      </c>
      <c r="C162" s="161" t="s">
        <v>278</v>
      </c>
      <c r="D162" s="181" t="s">
        <v>279</v>
      </c>
      <c r="E162" s="192">
        <f t="shared" si="16"/>
        <v>10527.6</v>
      </c>
      <c r="F162" s="23"/>
      <c r="G162" s="23"/>
      <c r="H162" s="25">
        <f t="shared" si="14"/>
        <v>0</v>
      </c>
      <c r="I162" s="180"/>
    </row>
    <row r="163" spans="1:9" ht="20.100000000000001" customHeight="1">
      <c r="A163" s="191">
        <v>31</v>
      </c>
      <c r="B163" s="156" t="s">
        <v>594</v>
      </c>
      <c r="C163" s="161" t="s">
        <v>278</v>
      </c>
      <c r="D163" s="181" t="s">
        <v>279</v>
      </c>
      <c r="E163" s="192">
        <f t="shared" si="16"/>
        <v>10527.6</v>
      </c>
      <c r="F163" s="23"/>
      <c r="G163" s="23"/>
      <c r="H163" s="25">
        <f t="shared" si="14"/>
        <v>0</v>
      </c>
      <c r="I163" s="180"/>
    </row>
    <row r="164" spans="1:9" ht="20.100000000000001" customHeight="1">
      <c r="A164" s="191">
        <v>32</v>
      </c>
      <c r="B164" s="156" t="s">
        <v>282</v>
      </c>
      <c r="C164" s="161" t="s">
        <v>278</v>
      </c>
      <c r="D164" s="181" t="s">
        <v>279</v>
      </c>
      <c r="E164" s="192">
        <f t="shared" si="16"/>
        <v>10527.6</v>
      </c>
      <c r="F164" s="23">
        <v>263.19</v>
      </c>
      <c r="G164" s="23">
        <f>'[10]April 2022'!$H$51</f>
        <v>226.2535</v>
      </c>
      <c r="H164" s="25">
        <f t="shared" si="14"/>
        <v>36.936499999999995</v>
      </c>
      <c r="I164" s="180"/>
    </row>
    <row r="165" spans="1:9" ht="20.100000000000001" customHeight="1">
      <c r="A165" s="191">
        <v>33</v>
      </c>
      <c r="B165" s="156" t="s">
        <v>283</v>
      </c>
      <c r="C165" s="161" t="s">
        <v>278</v>
      </c>
      <c r="D165" s="181" t="s">
        <v>279</v>
      </c>
      <c r="E165" s="192">
        <f t="shared" si="16"/>
        <v>10527.6</v>
      </c>
      <c r="F165" s="23"/>
      <c r="G165" s="23"/>
      <c r="H165" s="25">
        <f t="shared" si="14"/>
        <v>0</v>
      </c>
      <c r="I165" s="180"/>
    </row>
    <row r="166" spans="1:9" ht="20.100000000000001" customHeight="1">
      <c r="A166" s="191">
        <v>34</v>
      </c>
      <c r="B166" s="156" t="s">
        <v>284</v>
      </c>
      <c r="C166" s="161" t="s">
        <v>278</v>
      </c>
      <c r="D166" s="181" t="s">
        <v>285</v>
      </c>
      <c r="E166" s="25">
        <v>9050.14</v>
      </c>
      <c r="F166" s="23"/>
      <c r="G166" s="23"/>
      <c r="H166" s="25">
        <f t="shared" si="14"/>
        <v>0</v>
      </c>
      <c r="I166" s="180"/>
    </row>
    <row r="167" spans="1:9" ht="20.100000000000001" customHeight="1">
      <c r="A167" s="191">
        <v>35</v>
      </c>
      <c r="B167" s="156" t="s">
        <v>286</v>
      </c>
      <c r="C167" s="161" t="s">
        <v>278</v>
      </c>
      <c r="D167" s="181" t="s">
        <v>285</v>
      </c>
      <c r="E167" s="25">
        <v>9050.14</v>
      </c>
      <c r="F167" s="23"/>
      <c r="G167" s="23"/>
      <c r="H167" s="25">
        <f t="shared" si="14"/>
        <v>0</v>
      </c>
      <c r="I167" s="180"/>
    </row>
    <row r="168" spans="1:9" ht="20.100000000000001" customHeight="1">
      <c r="A168" s="191">
        <v>36</v>
      </c>
      <c r="B168" s="156" t="s">
        <v>569</v>
      </c>
      <c r="C168" s="161" t="s">
        <v>278</v>
      </c>
      <c r="D168" s="181" t="s">
        <v>285</v>
      </c>
      <c r="E168" s="25">
        <v>9050.14</v>
      </c>
      <c r="F168" s="23"/>
      <c r="G168" s="23"/>
      <c r="H168" s="25">
        <f t="shared" si="14"/>
        <v>0</v>
      </c>
      <c r="I168" s="180"/>
    </row>
    <row r="169" spans="1:9" ht="20.100000000000001" customHeight="1">
      <c r="A169" s="191">
        <v>37</v>
      </c>
      <c r="B169" s="158" t="s">
        <v>287</v>
      </c>
      <c r="C169" s="161" t="s">
        <v>278</v>
      </c>
      <c r="D169" s="181" t="s">
        <v>285</v>
      </c>
      <c r="E169" s="25">
        <v>9050.14</v>
      </c>
      <c r="F169" s="23"/>
      <c r="G169" s="23"/>
      <c r="H169" s="25">
        <f t="shared" si="14"/>
        <v>0</v>
      </c>
      <c r="I169" s="180"/>
    </row>
    <row r="170" spans="1:9" ht="20.100000000000001" customHeight="1">
      <c r="A170" s="191">
        <v>38</v>
      </c>
      <c r="B170" s="156" t="s">
        <v>288</v>
      </c>
      <c r="C170" s="161" t="s">
        <v>278</v>
      </c>
      <c r="D170" s="181" t="s">
        <v>285</v>
      </c>
      <c r="E170" s="25">
        <v>9050.14</v>
      </c>
      <c r="F170" s="23"/>
      <c r="G170" s="23"/>
      <c r="H170" s="25">
        <f t="shared" si="14"/>
        <v>0</v>
      </c>
      <c r="I170" s="180"/>
    </row>
    <row r="171" spans="1:9" ht="20.100000000000001" customHeight="1">
      <c r="A171" s="191">
        <v>39</v>
      </c>
      <c r="B171" s="157" t="s">
        <v>289</v>
      </c>
      <c r="C171" s="161" t="s">
        <v>278</v>
      </c>
      <c r="D171" s="181" t="s">
        <v>285</v>
      </c>
      <c r="E171" s="25">
        <v>9050.14</v>
      </c>
      <c r="F171" s="23"/>
      <c r="G171" s="23"/>
      <c r="H171" s="25">
        <f t="shared" si="14"/>
        <v>0</v>
      </c>
      <c r="I171" s="180"/>
    </row>
    <row r="172" spans="1:9" ht="20.100000000000001" customHeight="1">
      <c r="A172" s="191">
        <v>40</v>
      </c>
      <c r="B172" s="157" t="s">
        <v>290</v>
      </c>
      <c r="C172" s="161" t="s">
        <v>278</v>
      </c>
      <c r="D172" s="181" t="s">
        <v>285</v>
      </c>
      <c r="E172" s="25">
        <v>9050.14</v>
      </c>
      <c r="F172" s="23"/>
      <c r="G172" s="23"/>
      <c r="H172" s="25">
        <f t="shared" si="14"/>
        <v>0</v>
      </c>
      <c r="I172" s="180"/>
    </row>
    <row r="173" spans="1:9" ht="20.100000000000001" customHeight="1">
      <c r="A173" s="191">
        <v>41</v>
      </c>
      <c r="B173" s="156" t="s">
        <v>291</v>
      </c>
      <c r="C173" s="161" t="s">
        <v>297</v>
      </c>
      <c r="D173" s="181" t="s">
        <v>397</v>
      </c>
      <c r="E173" s="25">
        <v>5428.12</v>
      </c>
      <c r="F173" s="23"/>
      <c r="G173" s="23"/>
      <c r="H173" s="25">
        <f t="shared" si="14"/>
        <v>0</v>
      </c>
      <c r="I173" s="180"/>
    </row>
    <row r="174" spans="1:9" ht="20.100000000000001" customHeight="1">
      <c r="A174" s="191">
        <v>42</v>
      </c>
      <c r="B174" s="156" t="s">
        <v>294</v>
      </c>
      <c r="C174" s="161" t="s">
        <v>297</v>
      </c>
      <c r="D174" s="181" t="s">
        <v>397</v>
      </c>
      <c r="E174" s="25">
        <v>5428.12</v>
      </c>
      <c r="F174" s="23"/>
      <c r="G174" s="23"/>
      <c r="H174" s="25">
        <f t="shared" si="14"/>
        <v>0</v>
      </c>
      <c r="I174" s="180"/>
    </row>
    <row r="175" spans="1:9" ht="20.100000000000001" customHeight="1">
      <c r="A175" s="191">
        <v>43</v>
      </c>
      <c r="B175" s="157" t="s">
        <v>295</v>
      </c>
      <c r="C175" s="161" t="s">
        <v>297</v>
      </c>
      <c r="D175" s="181" t="s">
        <v>398</v>
      </c>
      <c r="E175" s="25">
        <f>5598.92</f>
        <v>5598.92</v>
      </c>
      <c r="F175" s="23"/>
      <c r="G175" s="23"/>
      <c r="H175" s="25">
        <f t="shared" si="14"/>
        <v>0</v>
      </c>
      <c r="I175" s="180"/>
    </row>
    <row r="176" spans="1:9" ht="20.100000000000001" customHeight="1">
      <c r="A176" s="191">
        <v>44</v>
      </c>
      <c r="B176" s="156" t="s">
        <v>296</v>
      </c>
      <c r="C176" s="161" t="s">
        <v>297</v>
      </c>
      <c r="D176" s="181" t="s">
        <v>298</v>
      </c>
      <c r="E176" s="25">
        <v>5257.44</v>
      </c>
      <c r="F176" s="23"/>
      <c r="G176" s="23"/>
      <c r="H176" s="25">
        <f t="shared" si="14"/>
        <v>0</v>
      </c>
      <c r="I176" s="180"/>
    </row>
    <row r="177" spans="1:9" ht="20.100000000000001" customHeight="1">
      <c r="A177" s="191">
        <v>45</v>
      </c>
      <c r="B177" s="156" t="s">
        <v>299</v>
      </c>
      <c r="C177" s="161" t="s">
        <v>300</v>
      </c>
      <c r="D177" s="181" t="s">
        <v>301</v>
      </c>
      <c r="E177" s="25">
        <v>5086.76</v>
      </c>
      <c r="F177" s="23"/>
      <c r="G177" s="23"/>
      <c r="H177" s="25">
        <f t="shared" si="14"/>
        <v>0</v>
      </c>
      <c r="I177" s="180"/>
    </row>
    <row r="178" spans="1:9" ht="20.100000000000001" customHeight="1">
      <c r="A178" s="191">
        <v>46</v>
      </c>
      <c r="B178" s="156" t="s">
        <v>302</v>
      </c>
      <c r="C178" s="161" t="s">
        <v>300</v>
      </c>
      <c r="D178" s="181" t="s">
        <v>301</v>
      </c>
      <c r="E178" s="25">
        <v>5086.76</v>
      </c>
      <c r="F178" s="23"/>
      <c r="G178" s="23"/>
      <c r="H178" s="25">
        <f t="shared" si="14"/>
        <v>0</v>
      </c>
      <c r="I178" s="180"/>
    </row>
    <row r="179" spans="1:9" ht="20.100000000000001" customHeight="1">
      <c r="A179" s="191">
        <v>47</v>
      </c>
      <c r="B179" s="156" t="s">
        <v>303</v>
      </c>
      <c r="C179" s="161" t="s">
        <v>300</v>
      </c>
      <c r="D179" s="181" t="s">
        <v>301</v>
      </c>
      <c r="E179" s="25">
        <v>5086.76</v>
      </c>
      <c r="F179" s="23"/>
      <c r="G179" s="23"/>
      <c r="H179" s="25">
        <f t="shared" si="14"/>
        <v>0</v>
      </c>
      <c r="I179" s="180"/>
    </row>
    <row r="180" spans="1:9" ht="20.100000000000001" customHeight="1">
      <c r="A180" s="191">
        <v>48</v>
      </c>
      <c r="B180" s="156" t="s">
        <v>304</v>
      </c>
      <c r="C180" s="161" t="s">
        <v>300</v>
      </c>
      <c r="D180" s="181" t="s">
        <v>301</v>
      </c>
      <c r="E180" s="25">
        <v>5086.76</v>
      </c>
      <c r="F180" s="23"/>
      <c r="G180" s="23"/>
      <c r="H180" s="25">
        <f t="shared" si="14"/>
        <v>0</v>
      </c>
      <c r="I180" s="180"/>
    </row>
    <row r="181" spans="1:9" ht="20.100000000000001" customHeight="1">
      <c r="A181" s="191">
        <v>49</v>
      </c>
      <c r="B181" s="156" t="s">
        <v>305</v>
      </c>
      <c r="C181" s="161" t="s">
        <v>300</v>
      </c>
      <c r="D181" s="181" t="s">
        <v>301</v>
      </c>
      <c r="E181" s="25">
        <v>5086.76</v>
      </c>
      <c r="F181" s="23"/>
      <c r="G181" s="23"/>
      <c r="H181" s="25">
        <f t="shared" si="14"/>
        <v>0</v>
      </c>
      <c r="I181" s="180"/>
    </row>
    <row r="182" spans="1:9" ht="20.100000000000001" customHeight="1">
      <c r="A182" s="191">
        <v>50</v>
      </c>
      <c r="B182" s="157" t="s">
        <v>306</v>
      </c>
      <c r="C182" s="161" t="s">
        <v>300</v>
      </c>
      <c r="D182" s="181" t="s">
        <v>301</v>
      </c>
      <c r="E182" s="25">
        <v>5086.76</v>
      </c>
      <c r="F182" s="23"/>
      <c r="G182" s="23"/>
      <c r="H182" s="25">
        <f t="shared" si="14"/>
        <v>0</v>
      </c>
      <c r="I182" s="180"/>
    </row>
    <row r="183" spans="1:9" ht="20.100000000000001" customHeight="1">
      <c r="A183" s="191">
        <v>51</v>
      </c>
      <c r="B183" s="157" t="s">
        <v>307</v>
      </c>
      <c r="C183" s="161" t="s">
        <v>300</v>
      </c>
      <c r="D183" s="181" t="s">
        <v>301</v>
      </c>
      <c r="E183" s="25">
        <v>5086.76</v>
      </c>
      <c r="F183" s="23"/>
      <c r="G183" s="23"/>
      <c r="H183" s="25">
        <f t="shared" si="14"/>
        <v>0</v>
      </c>
      <c r="I183" s="180"/>
    </row>
    <row r="184" spans="1:9" ht="20.100000000000001" customHeight="1">
      <c r="A184" s="191">
        <v>52</v>
      </c>
      <c r="B184" s="156" t="s">
        <v>308</v>
      </c>
      <c r="C184" s="161" t="s">
        <v>297</v>
      </c>
      <c r="D184" s="181" t="s">
        <v>301</v>
      </c>
      <c r="E184" s="25">
        <v>5086.76</v>
      </c>
      <c r="F184" s="23"/>
      <c r="G184" s="23"/>
      <c r="H184" s="25">
        <f t="shared" si="14"/>
        <v>0</v>
      </c>
      <c r="I184" s="180"/>
    </row>
    <row r="185" spans="1:9" ht="20.100000000000001" customHeight="1">
      <c r="A185" s="191">
        <v>53</v>
      </c>
      <c r="B185" s="156" t="s">
        <v>309</v>
      </c>
      <c r="C185" s="161" t="s">
        <v>297</v>
      </c>
      <c r="D185" s="181" t="s">
        <v>301</v>
      </c>
      <c r="E185" s="25">
        <v>5086.76</v>
      </c>
      <c r="F185" s="23"/>
      <c r="G185" s="23"/>
      <c r="H185" s="25">
        <f t="shared" si="14"/>
        <v>0</v>
      </c>
      <c r="I185" s="180"/>
    </row>
    <row r="186" spans="1:9" ht="20.100000000000001" customHeight="1">
      <c r="A186" s="191">
        <v>54</v>
      </c>
      <c r="B186" s="157" t="s">
        <v>310</v>
      </c>
      <c r="C186" s="161" t="s">
        <v>300</v>
      </c>
      <c r="D186" s="181" t="s">
        <v>412</v>
      </c>
      <c r="E186" s="25">
        <f>4689.38</f>
        <v>4689.38</v>
      </c>
      <c r="F186" s="23"/>
      <c r="G186" s="23"/>
      <c r="H186" s="25">
        <f t="shared" si="14"/>
        <v>0</v>
      </c>
      <c r="I186" s="180"/>
    </row>
    <row r="187" spans="1:9" ht="20.100000000000001" customHeight="1">
      <c r="A187" s="191">
        <v>55</v>
      </c>
      <c r="B187" s="157" t="s">
        <v>313</v>
      </c>
      <c r="C187" s="161" t="s">
        <v>300</v>
      </c>
      <c r="D187" s="181" t="s">
        <v>314</v>
      </c>
      <c r="E187" s="179">
        <f>4395.43</f>
        <v>4395.43</v>
      </c>
      <c r="F187" s="23"/>
      <c r="G187" s="23"/>
      <c r="H187" s="25">
        <f t="shared" si="14"/>
        <v>0</v>
      </c>
      <c r="I187" s="180"/>
    </row>
    <row r="188" spans="1:9" ht="20.100000000000001" customHeight="1">
      <c r="A188" s="191"/>
      <c r="B188" s="177" t="s">
        <v>86</v>
      </c>
      <c r="C188" s="193" t="s">
        <v>570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80"/>
    </row>
    <row r="189" spans="1:9" ht="20.100000000000001" customHeight="1">
      <c r="A189" s="20"/>
      <c r="B189" s="194" t="s">
        <v>325</v>
      </c>
      <c r="C189" s="195">
        <f>C37+C42+C57+C61+C77+C85+C99+C106+C116+C130+C188+2</f>
        <v>154</v>
      </c>
      <c r="D189" s="196"/>
      <c r="E189" s="197">
        <v>3773721.59</v>
      </c>
      <c r="F189" s="197">
        <f>F37+F42+F57+F61+F77+F85+F99+F106+F116+F130+F188</f>
        <v>23887.071250000001</v>
      </c>
      <c r="G189" s="197">
        <f>G37+G42+G57+G61+G77+G85+G99+G106+G116+G130+G188</f>
        <v>23429.459500000001</v>
      </c>
      <c r="H189" s="30">
        <f t="shared" si="14"/>
        <v>457.61175000000003</v>
      </c>
      <c r="I189" s="180"/>
    </row>
    <row r="190" spans="1:9" ht="20.100000000000001" customHeight="1">
      <c r="B190" s="198"/>
      <c r="D190" s="199"/>
      <c r="E190" s="199"/>
      <c r="F190" s="200"/>
      <c r="G190" s="200"/>
      <c r="H190" s="201"/>
      <c r="I190" s="202"/>
    </row>
    <row r="191" spans="1:9" ht="65.25" customHeight="1">
      <c r="B191" s="198"/>
      <c r="C191" s="199"/>
      <c r="D191" s="199"/>
      <c r="E191" s="199"/>
      <c r="F191" s="200"/>
      <c r="G191" s="200"/>
      <c r="H191" s="201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80"/>
  <sheetViews>
    <sheetView workbookViewId="0">
      <selection activeCell="F6" sqref="F6"/>
    </sheetView>
  </sheetViews>
  <sheetFormatPr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4" t="s">
        <v>0</v>
      </c>
    </row>
    <row r="2" spans="1:28">
      <c r="A2" s="254" t="s">
        <v>598</v>
      </c>
    </row>
    <row r="3" spans="1:28">
      <c r="A3" s="254" t="s">
        <v>599</v>
      </c>
    </row>
    <row r="4" spans="1:28" ht="90" customHeight="1">
      <c r="A4" s="255" t="s">
        <v>600</v>
      </c>
      <c r="B4" s="255" t="s">
        <v>547</v>
      </c>
      <c r="C4" s="255" t="s">
        <v>601</v>
      </c>
      <c r="D4" s="255" t="s">
        <v>392</v>
      </c>
      <c r="E4" s="255" t="s">
        <v>602</v>
      </c>
      <c r="F4" s="255" t="s">
        <v>603</v>
      </c>
      <c r="G4" s="255" t="s">
        <v>604</v>
      </c>
      <c r="H4" s="255" t="s">
        <v>605</v>
      </c>
      <c r="I4" s="255" t="s">
        <v>606</v>
      </c>
      <c r="J4" s="255"/>
      <c r="K4" s="255"/>
      <c r="L4" s="255"/>
      <c r="M4" s="255" t="s">
        <v>607</v>
      </c>
      <c r="N4" s="255" t="s">
        <v>608</v>
      </c>
      <c r="O4" s="255" t="s">
        <v>609</v>
      </c>
      <c r="P4" s="255" t="s">
        <v>610</v>
      </c>
      <c r="Q4" s="255" t="s">
        <v>611</v>
      </c>
      <c r="R4" s="255" t="s">
        <v>612</v>
      </c>
      <c r="S4" s="255" t="s">
        <v>613</v>
      </c>
      <c r="T4" s="255" t="s">
        <v>614</v>
      </c>
      <c r="U4" s="255" t="s">
        <v>615</v>
      </c>
      <c r="V4" s="255" t="s">
        <v>616</v>
      </c>
      <c r="W4" s="255"/>
      <c r="X4" s="255" t="s">
        <v>617</v>
      </c>
      <c r="Y4" s="255" t="s">
        <v>618</v>
      </c>
      <c r="Z4" s="255" t="s">
        <v>619</v>
      </c>
      <c r="AA4" s="255" t="s">
        <v>620</v>
      </c>
      <c r="AB4" s="255" t="s">
        <v>621</v>
      </c>
    </row>
    <row r="5" spans="1:28">
      <c r="A5">
        <v>1</v>
      </c>
      <c r="B5" s="34" t="s">
        <v>28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456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555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458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176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37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39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43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148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557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459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559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49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55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58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202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61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200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247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561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67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70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460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71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182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74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77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79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82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562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88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91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97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99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101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103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104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106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108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464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110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114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115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116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118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120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124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126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129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130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132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135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198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136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138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139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563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142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64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144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146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564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150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152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582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159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160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161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162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163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166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167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169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171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173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41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46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584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180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185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187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189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191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192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195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196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205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587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207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209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210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211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213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215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589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216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218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224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226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229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231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233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178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236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238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239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241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243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245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249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251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253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254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256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258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260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262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264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266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593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268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270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272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274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277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280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281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594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282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283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284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286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569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287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288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289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290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291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294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295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296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299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302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303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304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305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306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307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308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309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310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313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bottomRight" activeCell="C43" sqref="C4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8"/>
      <c r="C1" s="108"/>
      <c r="D1" s="108"/>
      <c r="E1" s="108"/>
      <c r="L1" s="1" t="s">
        <v>622</v>
      </c>
    </row>
    <row r="2" spans="1:12" ht="5.25" customHeight="1">
      <c r="F2" s="43"/>
      <c r="G2" s="43"/>
    </row>
    <row r="3" spans="1:12" ht="20.100000000000001" customHeight="1">
      <c r="B3" s="393" t="s">
        <v>623</v>
      </c>
      <c r="C3" s="393"/>
      <c r="D3" s="393"/>
      <c r="E3" s="44"/>
      <c r="F3" s="46"/>
      <c r="G3" s="46"/>
    </row>
    <row r="4" spans="1:12" ht="2.25" customHeight="1"/>
    <row r="5" spans="1:12" ht="20.100000000000001" customHeight="1">
      <c r="B5" s="44" t="s">
        <v>2</v>
      </c>
      <c r="C5" s="100"/>
      <c r="D5" s="100"/>
      <c r="E5" s="100"/>
      <c r="F5" s="394"/>
      <c r="G5" s="394"/>
    </row>
    <row r="6" spans="1:12" ht="26.45" customHeight="1">
      <c r="A6" s="32"/>
      <c r="B6" s="107"/>
      <c r="C6" s="107" t="s">
        <v>3</v>
      </c>
      <c r="D6" s="107" t="s">
        <v>624</v>
      </c>
      <c r="E6" s="107"/>
      <c r="F6" s="7"/>
      <c r="G6" s="7"/>
    </row>
    <row r="7" spans="1:12" ht="37.15" customHeight="1">
      <c r="A7" s="32"/>
      <c r="B7" s="21"/>
      <c r="C7" s="107"/>
      <c r="D7" s="107" t="s">
        <v>625</v>
      </c>
      <c r="E7" s="49" t="s">
        <v>626</v>
      </c>
      <c r="F7" s="49" t="s">
        <v>627</v>
      </c>
      <c r="G7" s="2" t="s">
        <v>597</v>
      </c>
    </row>
    <row r="8" spans="1:12" ht="20.100000000000001" customHeight="1">
      <c r="A8" s="21" t="s">
        <v>26</v>
      </c>
      <c r="B8" s="138" t="s">
        <v>27</v>
      </c>
      <c r="C8" s="60"/>
      <c r="D8" s="60"/>
      <c r="E8" s="50" t="s">
        <v>25</v>
      </c>
      <c r="F8" s="50" t="s">
        <v>25</v>
      </c>
      <c r="G8" s="50" t="s">
        <v>25</v>
      </c>
    </row>
    <row r="9" spans="1:12" ht="20.100000000000001" customHeight="1">
      <c r="A9" s="3">
        <v>1</v>
      </c>
      <c r="B9" s="127" t="s">
        <v>28</v>
      </c>
      <c r="C9" s="94" t="s">
        <v>29</v>
      </c>
      <c r="D9" s="94" t="s">
        <v>30</v>
      </c>
      <c r="E9" s="144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7" t="s">
        <v>628</v>
      </c>
      <c r="C10" s="94" t="s">
        <v>629</v>
      </c>
      <c r="D10" s="55" t="s">
        <v>90</v>
      </c>
      <c r="E10" s="145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7" t="s">
        <v>456</v>
      </c>
      <c r="C11" s="32" t="s">
        <v>630</v>
      </c>
      <c r="D11" s="3" t="s">
        <v>36</v>
      </c>
      <c r="E11" s="145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8" t="s">
        <v>555</v>
      </c>
      <c r="C12" s="40" t="s">
        <v>556</v>
      </c>
      <c r="D12" s="62" t="s">
        <v>36</v>
      </c>
      <c r="E12" s="146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7" t="s">
        <v>31</v>
      </c>
      <c r="C13" s="94" t="s">
        <v>32</v>
      </c>
      <c r="D13" s="3" t="s">
        <v>631</v>
      </c>
      <c r="E13" s="145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8" t="s">
        <v>458</v>
      </c>
      <c r="C14" s="32" t="s">
        <v>35</v>
      </c>
      <c r="D14" s="55" t="s">
        <v>128</v>
      </c>
      <c r="E14" s="145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8" t="s">
        <v>176</v>
      </c>
      <c r="C15" s="32" t="s">
        <v>632</v>
      </c>
      <c r="D15" s="37" t="s">
        <v>45</v>
      </c>
      <c r="E15" s="145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9" t="s">
        <v>37</v>
      </c>
      <c r="C16" s="112" t="s">
        <v>127</v>
      </c>
      <c r="D16" s="28" t="s">
        <v>45</v>
      </c>
      <c r="E16" s="147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8" t="s">
        <v>39</v>
      </c>
      <c r="C17" s="32" t="s">
        <v>633</v>
      </c>
      <c r="D17" s="3" t="s">
        <v>45</v>
      </c>
      <c r="E17" s="145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30" t="s">
        <v>43</v>
      </c>
      <c r="C18" s="94" t="s">
        <v>634</v>
      </c>
      <c r="D18" s="55" t="s">
        <v>45</v>
      </c>
      <c r="E18" s="145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9" t="s">
        <v>148</v>
      </c>
      <c r="C19" s="94" t="s">
        <v>149</v>
      </c>
      <c r="D19" s="11" t="s">
        <v>128</v>
      </c>
      <c r="E19" s="148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1" t="s">
        <v>557</v>
      </c>
      <c r="C20" s="40" t="s">
        <v>558</v>
      </c>
      <c r="D20" s="41" t="s">
        <v>134</v>
      </c>
      <c r="E20" s="146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8" t="s">
        <v>459</v>
      </c>
      <c r="C21" s="40" t="s">
        <v>50</v>
      </c>
      <c r="D21" s="3" t="s">
        <v>134</v>
      </c>
      <c r="E21" s="145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8" t="s">
        <v>559</v>
      </c>
      <c r="C22" s="32" t="s">
        <v>560</v>
      </c>
      <c r="D22" s="3" t="s">
        <v>134</v>
      </c>
      <c r="E22" s="145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7" t="s">
        <v>49</v>
      </c>
      <c r="C23" s="40" t="s">
        <v>635</v>
      </c>
      <c r="D23" s="55" t="s">
        <v>54</v>
      </c>
      <c r="E23" s="145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30" t="s">
        <v>150</v>
      </c>
      <c r="C24" s="32" t="s">
        <v>406</v>
      </c>
      <c r="D24" s="55" t="s">
        <v>57</v>
      </c>
      <c r="E24" s="145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7" t="s">
        <v>55</v>
      </c>
      <c r="C25" s="94" t="s">
        <v>56</v>
      </c>
      <c r="D25" s="55" t="s">
        <v>636</v>
      </c>
      <c r="E25" s="145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9" t="s">
        <v>58</v>
      </c>
      <c r="C26" s="32" t="s">
        <v>59</v>
      </c>
      <c r="D26" s="55" t="s">
        <v>637</v>
      </c>
      <c r="E26" s="145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7" t="s">
        <v>202</v>
      </c>
      <c r="C27" s="94" t="s">
        <v>203</v>
      </c>
      <c r="D27" s="55" t="s">
        <v>63</v>
      </c>
      <c r="E27" s="145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7" t="s">
        <v>61</v>
      </c>
      <c r="C28" s="94" t="s">
        <v>638</v>
      </c>
      <c r="D28" s="55" t="s">
        <v>411</v>
      </c>
      <c r="E28" s="145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7" t="s">
        <v>200</v>
      </c>
      <c r="C29" s="32" t="s">
        <v>639</v>
      </c>
      <c r="D29" s="55" t="s">
        <v>411</v>
      </c>
      <c r="E29" s="145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9" t="s">
        <v>247</v>
      </c>
      <c r="C30" s="32" t="s">
        <v>577</v>
      </c>
      <c r="D30" s="55" t="s">
        <v>252</v>
      </c>
      <c r="E30" s="145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9" t="s">
        <v>561</v>
      </c>
      <c r="C31" s="94" t="s">
        <v>83</v>
      </c>
      <c r="D31" s="55" t="s">
        <v>154</v>
      </c>
      <c r="E31" s="145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67</v>
      </c>
      <c r="C32" s="1" t="s">
        <v>68</v>
      </c>
      <c r="D32" s="3" t="s">
        <v>73</v>
      </c>
      <c r="E32" s="145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9" t="s">
        <v>70</v>
      </c>
      <c r="C33" s="94" t="s">
        <v>68</v>
      </c>
      <c r="D33" s="55" t="s">
        <v>578</v>
      </c>
      <c r="E33" s="145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7" t="s">
        <v>460</v>
      </c>
      <c r="C34" s="94" t="s">
        <v>404</v>
      </c>
      <c r="D34" s="55" t="s">
        <v>76</v>
      </c>
      <c r="E34" s="145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9" t="s">
        <v>71</v>
      </c>
      <c r="C35" s="94" t="s">
        <v>404</v>
      </c>
      <c r="D35" s="55" t="s">
        <v>640</v>
      </c>
      <c r="E35" s="145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9" t="s">
        <v>182</v>
      </c>
      <c r="C36" s="112" t="s">
        <v>579</v>
      </c>
      <c r="D36" s="55" t="s">
        <v>641</v>
      </c>
      <c r="E36" s="145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9" t="s">
        <v>74</v>
      </c>
      <c r="C37" s="32" t="s">
        <v>75</v>
      </c>
      <c r="D37" s="3" t="s">
        <v>641</v>
      </c>
      <c r="E37" s="145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20" t="s">
        <v>77</v>
      </c>
      <c r="C38" s="112" t="s">
        <v>78</v>
      </c>
      <c r="D38" s="55" t="s">
        <v>85</v>
      </c>
      <c r="E38" s="145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20" t="s">
        <v>642</v>
      </c>
      <c r="C39" s="112" t="s">
        <v>78</v>
      </c>
      <c r="D39" s="55" t="s">
        <v>85</v>
      </c>
      <c r="E39" s="145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9" t="s">
        <v>79</v>
      </c>
      <c r="C40" s="32" t="s">
        <v>580</v>
      </c>
      <c r="D40" s="3" t="s">
        <v>85</v>
      </c>
      <c r="E40" s="145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9" t="s">
        <v>82</v>
      </c>
      <c r="C41" s="94" t="s">
        <v>83</v>
      </c>
      <c r="D41" s="55" t="s">
        <v>85</v>
      </c>
      <c r="E41" s="145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9" t="s">
        <v>562</v>
      </c>
      <c r="C42" s="94" t="s">
        <v>83</v>
      </c>
      <c r="D42" s="55" t="s">
        <v>85</v>
      </c>
      <c r="E42" s="145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2" t="s">
        <v>86</v>
      </c>
      <c r="C43" s="7">
        <v>33</v>
      </c>
      <c r="D43" s="55"/>
      <c r="E43" s="151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1"/>
      <c r="C44" s="32"/>
      <c r="D44" s="55"/>
      <c r="E44" s="145"/>
      <c r="F44" s="57"/>
      <c r="G44" s="35">
        <f t="shared" si="0"/>
        <v>0</v>
      </c>
    </row>
    <row r="45" spans="1:8" ht="18.75" customHeight="1">
      <c r="A45" s="3"/>
      <c r="B45" s="132" t="s">
        <v>87</v>
      </c>
      <c r="C45" s="32"/>
      <c r="D45" s="55"/>
      <c r="E45" s="145"/>
      <c r="F45" s="51"/>
      <c r="G45" s="35">
        <f t="shared" si="0"/>
        <v>0</v>
      </c>
    </row>
    <row r="46" spans="1:8" ht="18.75" customHeight="1">
      <c r="A46" s="3">
        <v>1</v>
      </c>
      <c r="B46" s="119" t="s">
        <v>88</v>
      </c>
      <c r="C46" s="32" t="s">
        <v>89</v>
      </c>
      <c r="D46" s="3" t="s">
        <v>643</v>
      </c>
      <c r="E46" s="145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9" t="s">
        <v>91</v>
      </c>
      <c r="C47" s="32" t="s">
        <v>92</v>
      </c>
      <c r="D47" s="3" t="s">
        <v>85</v>
      </c>
      <c r="E47" s="145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2"/>
      <c r="C48" s="7">
        <v>2</v>
      </c>
      <c r="D48" s="3"/>
      <c r="E48" s="151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8"/>
      <c r="C49" s="32"/>
      <c r="D49" s="3"/>
      <c r="E49" s="145"/>
      <c r="F49" s="57"/>
      <c r="G49" s="35">
        <f t="shared" si="0"/>
        <v>0</v>
      </c>
    </row>
    <row r="50" spans="1:8" ht="20.100000000000001" customHeight="1">
      <c r="A50" s="3"/>
      <c r="B50" s="133" t="s">
        <v>96</v>
      </c>
      <c r="C50" s="111"/>
      <c r="D50" s="2"/>
      <c r="E50" s="149"/>
      <c r="F50" s="35"/>
      <c r="G50" s="35">
        <f t="shared" si="0"/>
        <v>0</v>
      </c>
    </row>
    <row r="51" spans="1:8" ht="20.100000000000001" customHeight="1">
      <c r="A51" s="3">
        <v>1</v>
      </c>
      <c r="B51" s="127" t="s">
        <v>97</v>
      </c>
      <c r="C51" s="32" t="s">
        <v>98</v>
      </c>
      <c r="D51" s="3" t="s">
        <v>90</v>
      </c>
      <c r="E51" s="145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7" t="s">
        <v>99</v>
      </c>
      <c r="C52" s="32" t="s">
        <v>100</v>
      </c>
      <c r="D52" s="3" t="s">
        <v>45</v>
      </c>
      <c r="E52" s="145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7" t="s">
        <v>101</v>
      </c>
      <c r="C53" s="32" t="s">
        <v>102</v>
      </c>
      <c r="D53" s="3" t="s">
        <v>45</v>
      </c>
      <c r="E53" s="145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7" t="s">
        <v>103</v>
      </c>
      <c r="C54" s="32" t="s">
        <v>102</v>
      </c>
      <c r="D54" s="3" t="s">
        <v>105</v>
      </c>
      <c r="E54" s="145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7" t="s">
        <v>104</v>
      </c>
      <c r="C55" s="32" t="s">
        <v>107</v>
      </c>
      <c r="D55" s="3" t="s">
        <v>405</v>
      </c>
      <c r="E55" s="145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7" t="s">
        <v>106</v>
      </c>
      <c r="C56" s="32" t="s">
        <v>107</v>
      </c>
      <c r="D56" s="3" t="s">
        <v>134</v>
      </c>
      <c r="E56" s="145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4" t="s">
        <v>108</v>
      </c>
      <c r="C57" s="32" t="s">
        <v>109</v>
      </c>
      <c r="D57" s="24" t="s">
        <v>134</v>
      </c>
      <c r="E57" s="147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7" t="s">
        <v>464</v>
      </c>
      <c r="C58" s="32" t="s">
        <v>131</v>
      </c>
      <c r="D58" s="3" t="s">
        <v>165</v>
      </c>
      <c r="E58" s="145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9" t="s">
        <v>110</v>
      </c>
      <c r="C59" s="32" t="s">
        <v>164</v>
      </c>
      <c r="D59" s="28" t="s">
        <v>57</v>
      </c>
      <c r="E59" s="147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9" t="s">
        <v>114</v>
      </c>
      <c r="C60" s="32" t="s">
        <v>113</v>
      </c>
      <c r="D60" s="3" t="s">
        <v>73</v>
      </c>
      <c r="E60" s="145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9" t="s">
        <v>115</v>
      </c>
      <c r="C61" s="32" t="s">
        <v>113</v>
      </c>
      <c r="D61" s="3" t="s">
        <v>73</v>
      </c>
      <c r="E61" s="145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9" t="s">
        <v>116</v>
      </c>
      <c r="C62" s="32" t="s">
        <v>113</v>
      </c>
      <c r="D62" s="3" t="s">
        <v>73</v>
      </c>
      <c r="E62" s="145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5" t="s">
        <v>86</v>
      </c>
      <c r="C63" s="29">
        <v>11</v>
      </c>
      <c r="D63" s="29"/>
      <c r="E63" s="150">
        <f>SUM(E51:E62)</f>
        <v>144709.44</v>
      </c>
      <c r="F63" s="150">
        <f t="shared" ref="F63:G63" si="3">SUM(F51:F62)</f>
        <v>765745.82516129024</v>
      </c>
      <c r="G63" s="150">
        <f t="shared" si="3"/>
        <v>621036.38516129018</v>
      </c>
      <c r="H63" s="72"/>
    </row>
    <row r="64" spans="1:8" ht="20.100000000000001" customHeight="1">
      <c r="A64" s="3"/>
      <c r="B64" s="123"/>
      <c r="C64" s="29"/>
      <c r="D64" s="29"/>
      <c r="E64" s="150"/>
      <c r="F64" s="30"/>
      <c r="G64" s="35">
        <f t="shared" si="0"/>
        <v>0</v>
      </c>
    </row>
    <row r="65" spans="1:8" ht="20.100000000000001" customHeight="1">
      <c r="A65" s="3"/>
      <c r="B65" s="135" t="s">
        <v>117</v>
      </c>
      <c r="C65" s="29"/>
      <c r="D65" s="29"/>
      <c r="E65" s="150"/>
      <c r="F65" s="30"/>
      <c r="G65" s="35">
        <f t="shared" si="0"/>
        <v>0</v>
      </c>
    </row>
    <row r="66" spans="1:8" ht="20.100000000000001" customHeight="1">
      <c r="A66" s="3">
        <v>1</v>
      </c>
      <c r="B66" s="127" t="s">
        <v>118</v>
      </c>
      <c r="C66" s="94" t="s">
        <v>119</v>
      </c>
      <c r="D66" s="55" t="s">
        <v>90</v>
      </c>
      <c r="E66" s="145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9" t="s">
        <v>120</v>
      </c>
      <c r="C67" s="94" t="s">
        <v>121</v>
      </c>
      <c r="D67" s="55" t="s">
        <v>122</v>
      </c>
      <c r="E67" s="145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5" t="s">
        <v>86</v>
      </c>
      <c r="C68" s="29">
        <v>2</v>
      </c>
      <c r="D68" s="29"/>
      <c r="E68" s="150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5"/>
      <c r="C69" s="29"/>
      <c r="D69" s="29"/>
      <c r="E69" s="150"/>
      <c r="F69" s="30"/>
      <c r="G69" s="35">
        <f t="shared" si="0"/>
        <v>0</v>
      </c>
    </row>
    <row r="70" spans="1:8" ht="20.100000000000001" customHeight="1">
      <c r="A70" s="3"/>
      <c r="B70" s="135" t="s">
        <v>644</v>
      </c>
      <c r="C70" s="29"/>
      <c r="D70" s="29"/>
      <c r="E70" s="150"/>
      <c r="F70" s="30"/>
      <c r="G70" s="35">
        <f t="shared" si="0"/>
        <v>0</v>
      </c>
    </row>
    <row r="71" spans="1:8" ht="20.100000000000001" customHeight="1">
      <c r="A71" s="3">
        <v>1</v>
      </c>
      <c r="B71" s="129" t="s">
        <v>124</v>
      </c>
      <c r="C71" s="112" t="s">
        <v>125</v>
      </c>
      <c r="D71" s="28" t="s">
        <v>90</v>
      </c>
      <c r="E71" s="147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20" t="s">
        <v>126</v>
      </c>
      <c r="C72" s="112" t="s">
        <v>127</v>
      </c>
      <c r="D72" s="55" t="s">
        <v>128</v>
      </c>
      <c r="E72" s="145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9" t="s">
        <v>129</v>
      </c>
      <c r="C73" s="32" t="s">
        <v>131</v>
      </c>
      <c r="D73" s="28" t="s">
        <v>57</v>
      </c>
      <c r="E73" s="147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20" t="s">
        <v>130</v>
      </c>
      <c r="C74" s="112" t="s">
        <v>131</v>
      </c>
      <c r="D74" s="55" t="s">
        <v>636</v>
      </c>
      <c r="E74" s="145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8" t="s">
        <v>132</v>
      </c>
      <c r="C75" s="112" t="s">
        <v>109</v>
      </c>
      <c r="D75" s="55" t="s">
        <v>134</v>
      </c>
      <c r="E75" s="145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9" t="s">
        <v>135</v>
      </c>
      <c r="C76" s="20" t="s">
        <v>113</v>
      </c>
      <c r="D76" s="28" t="s">
        <v>645</v>
      </c>
      <c r="E76" s="147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30" t="s">
        <v>198</v>
      </c>
      <c r="C77" s="112" t="s">
        <v>137</v>
      </c>
      <c r="D77" s="55" t="s">
        <v>63</v>
      </c>
      <c r="E77" s="145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7" t="s">
        <v>136</v>
      </c>
      <c r="C78" s="112" t="s">
        <v>137</v>
      </c>
      <c r="D78" s="55" t="s">
        <v>66</v>
      </c>
      <c r="E78" s="145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7" t="s">
        <v>138</v>
      </c>
      <c r="C79" s="112" t="s">
        <v>137</v>
      </c>
      <c r="D79" s="55" t="s">
        <v>66</v>
      </c>
      <c r="E79" s="145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7" t="s">
        <v>139</v>
      </c>
      <c r="C80" s="32" t="s">
        <v>153</v>
      </c>
      <c r="D80" s="3" t="s">
        <v>411</v>
      </c>
      <c r="E80" s="145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9" t="s">
        <v>563</v>
      </c>
      <c r="C81" s="112" t="s">
        <v>113</v>
      </c>
      <c r="D81" s="3" t="s">
        <v>95</v>
      </c>
      <c r="E81" s="145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9" t="s">
        <v>142</v>
      </c>
      <c r="C82" s="112" t="s">
        <v>65</v>
      </c>
      <c r="D82" s="3" t="s">
        <v>73</v>
      </c>
      <c r="E82" s="145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8" t="s">
        <v>64</v>
      </c>
      <c r="C83" s="112" t="s">
        <v>65</v>
      </c>
      <c r="D83" s="3" t="s">
        <v>85</v>
      </c>
      <c r="E83" s="145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5" t="s">
        <v>86</v>
      </c>
      <c r="C84" s="29">
        <v>13</v>
      </c>
      <c r="D84" s="29"/>
      <c r="E84" s="150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4"/>
      <c r="C85" s="29"/>
      <c r="D85" s="29"/>
      <c r="E85" s="150"/>
      <c r="F85" s="30"/>
      <c r="G85" s="35">
        <f t="shared" si="5"/>
        <v>0</v>
      </c>
    </row>
    <row r="86" spans="1:8" ht="20.100000000000001" customHeight="1">
      <c r="A86" s="3"/>
      <c r="B86" s="135" t="s">
        <v>646</v>
      </c>
      <c r="C86" s="29"/>
      <c r="D86" s="29"/>
      <c r="E86" s="150"/>
      <c r="F86" s="30"/>
      <c r="G86" s="35">
        <f t="shared" si="5"/>
        <v>0</v>
      </c>
    </row>
    <row r="87" spans="1:8" ht="20.100000000000001" customHeight="1">
      <c r="A87" s="3">
        <v>1</v>
      </c>
      <c r="B87" s="127" t="s">
        <v>144</v>
      </c>
      <c r="C87" s="32" t="s">
        <v>145</v>
      </c>
      <c r="D87" s="3" t="s">
        <v>90</v>
      </c>
      <c r="E87" s="145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5" t="s">
        <v>146</v>
      </c>
      <c r="C88" s="1" t="s">
        <v>147</v>
      </c>
      <c r="D88" s="55" t="s">
        <v>128</v>
      </c>
      <c r="E88" s="145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5" t="s">
        <v>564</v>
      </c>
      <c r="C89" s="1" t="s">
        <v>565</v>
      </c>
      <c r="D89" s="55" t="s">
        <v>128</v>
      </c>
      <c r="E89" s="145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7" t="s">
        <v>152</v>
      </c>
      <c r="C90" s="32" t="s">
        <v>153</v>
      </c>
      <c r="D90" s="3" t="s">
        <v>95</v>
      </c>
      <c r="E90" s="145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5" t="s">
        <v>86</v>
      </c>
      <c r="C91" s="29">
        <v>4</v>
      </c>
      <c r="D91" s="29"/>
      <c r="E91" s="150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6"/>
      <c r="C92" s="7"/>
      <c r="D92" s="7"/>
      <c r="E92" s="151"/>
      <c r="F92" s="38"/>
      <c r="G92" s="35">
        <f t="shared" si="5"/>
        <v>0</v>
      </c>
    </row>
    <row r="93" spans="1:8" ht="20.100000000000001" customHeight="1">
      <c r="A93" s="3"/>
      <c r="B93" s="136" t="s">
        <v>647</v>
      </c>
      <c r="C93" s="58"/>
      <c r="D93" s="7"/>
      <c r="E93" s="151"/>
      <c r="F93" s="38"/>
      <c r="G93" s="35">
        <f t="shared" si="5"/>
        <v>0</v>
      </c>
    </row>
    <row r="94" spans="1:8" ht="20.100000000000001" customHeight="1">
      <c r="A94" s="3">
        <v>1</v>
      </c>
      <c r="B94" s="127" t="s">
        <v>648</v>
      </c>
      <c r="C94" s="32" t="s">
        <v>583</v>
      </c>
      <c r="D94" s="3" t="s">
        <v>36</v>
      </c>
      <c r="E94" s="145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7" t="s">
        <v>159</v>
      </c>
      <c r="C95" s="32" t="s">
        <v>102</v>
      </c>
      <c r="D95" s="3" t="s">
        <v>45</v>
      </c>
      <c r="E95" s="145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7" t="s">
        <v>160</v>
      </c>
      <c r="C96" s="32" t="s">
        <v>102</v>
      </c>
      <c r="D96" s="3" t="s">
        <v>45</v>
      </c>
      <c r="E96" s="145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8" t="s">
        <v>161</v>
      </c>
      <c r="C97" s="32" t="s">
        <v>109</v>
      </c>
      <c r="D97" s="3" t="s">
        <v>51</v>
      </c>
      <c r="E97" s="145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9" t="s">
        <v>162</v>
      </c>
      <c r="C98" s="32" t="s">
        <v>107</v>
      </c>
      <c r="D98" s="3" t="s">
        <v>134</v>
      </c>
      <c r="E98" s="145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9" t="s">
        <v>649</v>
      </c>
      <c r="C99" s="32" t="s">
        <v>107</v>
      </c>
      <c r="D99" s="3" t="s">
        <v>168</v>
      </c>
      <c r="E99" s="145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30" t="s">
        <v>163</v>
      </c>
      <c r="C100" s="32" t="s">
        <v>164</v>
      </c>
      <c r="D100" s="55" t="s">
        <v>57</v>
      </c>
      <c r="E100" s="145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7" t="s">
        <v>166</v>
      </c>
      <c r="C101" s="94" t="s">
        <v>131</v>
      </c>
      <c r="D101" s="55" t="s">
        <v>636</v>
      </c>
      <c r="E101" s="145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7" t="s">
        <v>167</v>
      </c>
      <c r="C102" s="94" t="s">
        <v>131</v>
      </c>
      <c r="D102" s="55" t="s">
        <v>636</v>
      </c>
      <c r="E102" s="145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7" t="s">
        <v>169</v>
      </c>
      <c r="C103" s="112" t="s">
        <v>137</v>
      </c>
      <c r="D103" s="55" t="s">
        <v>66</v>
      </c>
      <c r="E103" s="145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7" t="s">
        <v>171</v>
      </c>
      <c r="C104" s="32" t="s">
        <v>113</v>
      </c>
      <c r="D104" s="3" t="s">
        <v>73</v>
      </c>
      <c r="E104" s="145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7" t="s">
        <v>173</v>
      </c>
      <c r="C105" s="112" t="s">
        <v>174</v>
      </c>
      <c r="D105" s="55" t="s">
        <v>85</v>
      </c>
      <c r="E105" s="145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2" t="s">
        <v>86</v>
      </c>
      <c r="C106" s="7">
        <v>12</v>
      </c>
      <c r="D106" s="7"/>
      <c r="E106" s="151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1"/>
      <c r="C107" s="7"/>
      <c r="D107" s="7"/>
      <c r="E107" s="151"/>
      <c r="F107" s="38"/>
      <c r="G107" s="35">
        <f t="shared" si="5"/>
        <v>0</v>
      </c>
    </row>
    <row r="108" spans="1:8" ht="20.100000000000001" customHeight="1">
      <c r="A108" s="3"/>
      <c r="B108" s="132" t="s">
        <v>650</v>
      </c>
      <c r="C108" s="7"/>
      <c r="D108" s="7"/>
      <c r="E108" s="151"/>
      <c r="F108" s="38"/>
      <c r="G108" s="35">
        <f t="shared" si="5"/>
        <v>0</v>
      </c>
    </row>
    <row r="109" spans="1:8" ht="20.100000000000001" customHeight="1">
      <c r="A109" s="3">
        <v>1</v>
      </c>
      <c r="B109" s="119" t="s">
        <v>41</v>
      </c>
      <c r="C109" s="3" t="s">
        <v>42</v>
      </c>
      <c r="D109" s="55" t="s">
        <v>36</v>
      </c>
      <c r="E109" s="145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9" t="s">
        <v>46</v>
      </c>
      <c r="C110" s="20" t="s">
        <v>179</v>
      </c>
      <c r="D110" s="28" t="s">
        <v>134</v>
      </c>
      <c r="E110" s="147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20" t="s">
        <v>584</v>
      </c>
      <c r="C111" s="20" t="s">
        <v>585</v>
      </c>
      <c r="D111" s="55" t="s">
        <v>636</v>
      </c>
      <c r="E111" s="145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7" t="s">
        <v>180</v>
      </c>
      <c r="C112" s="32" t="s">
        <v>651</v>
      </c>
      <c r="D112" s="55" t="s">
        <v>652</v>
      </c>
      <c r="E112" s="145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2" t="s">
        <v>86</v>
      </c>
      <c r="C113" s="7">
        <v>4</v>
      </c>
      <c r="D113" s="110"/>
      <c r="E113" s="151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1"/>
      <c r="C114" s="7"/>
      <c r="D114" s="110"/>
      <c r="E114" s="151"/>
      <c r="F114" s="30"/>
      <c r="G114" s="35">
        <f t="shared" si="5"/>
        <v>0</v>
      </c>
    </row>
    <row r="115" spans="1:8" ht="20.100000000000001" customHeight="1">
      <c r="A115" s="32"/>
      <c r="B115" s="132" t="s">
        <v>653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7" t="s">
        <v>185</v>
      </c>
      <c r="C116" s="94" t="s">
        <v>186</v>
      </c>
      <c r="D116" s="55" t="s">
        <v>90</v>
      </c>
      <c r="E116" s="145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7" t="s">
        <v>187</v>
      </c>
      <c r="C117" s="32" t="s">
        <v>188</v>
      </c>
      <c r="D117" s="3" t="s">
        <v>45</v>
      </c>
      <c r="E117" s="145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7" t="s">
        <v>189</v>
      </c>
      <c r="C118" s="32" t="s">
        <v>190</v>
      </c>
      <c r="D118" s="3" t="s">
        <v>54</v>
      </c>
      <c r="E118" s="145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9" t="s">
        <v>191</v>
      </c>
      <c r="C119" s="32" t="s">
        <v>190</v>
      </c>
      <c r="D119" s="28" t="s">
        <v>165</v>
      </c>
      <c r="E119" s="147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7" t="s">
        <v>192</v>
      </c>
      <c r="C120" s="1" t="s">
        <v>193</v>
      </c>
      <c r="D120" s="55" t="s">
        <v>76</v>
      </c>
      <c r="E120" s="145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20" t="s">
        <v>195</v>
      </c>
      <c r="C121" s="1" t="s">
        <v>193</v>
      </c>
      <c r="D121" s="3" t="s">
        <v>641</v>
      </c>
      <c r="E121" s="145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9" t="s">
        <v>196</v>
      </c>
      <c r="C122" s="1" t="s">
        <v>193</v>
      </c>
      <c r="D122" s="55" t="s">
        <v>85</v>
      </c>
      <c r="E122" s="145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2" t="s">
        <v>86</v>
      </c>
      <c r="C123" s="7">
        <v>7</v>
      </c>
      <c r="D123" s="32"/>
      <c r="E123" s="152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1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2" t="s">
        <v>654</v>
      </c>
      <c r="C125" s="7"/>
      <c r="D125" s="7"/>
      <c r="E125" s="151"/>
      <c r="F125" s="38"/>
      <c r="G125" s="35">
        <f t="shared" si="5"/>
        <v>0</v>
      </c>
    </row>
    <row r="126" spans="1:8" ht="20.100000000000001" customHeight="1">
      <c r="A126" s="32">
        <v>1</v>
      </c>
      <c r="B126" s="130" t="s">
        <v>205</v>
      </c>
      <c r="C126" s="94" t="s">
        <v>206</v>
      </c>
      <c r="D126" s="55" t="s">
        <v>90</v>
      </c>
      <c r="E126" s="145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30" t="s">
        <v>587</v>
      </c>
      <c r="C127" s="94" t="s">
        <v>588</v>
      </c>
      <c r="D127" s="55" t="s">
        <v>228</v>
      </c>
      <c r="E127" s="145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30" t="s">
        <v>207</v>
      </c>
      <c r="C128" s="94" t="s">
        <v>208</v>
      </c>
      <c r="D128" s="55" t="s">
        <v>45</v>
      </c>
      <c r="E128" s="145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2" t="s">
        <v>209</v>
      </c>
      <c r="C129" s="94" t="s">
        <v>208</v>
      </c>
      <c r="D129" s="55" t="s">
        <v>45</v>
      </c>
      <c r="E129" s="145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5" t="s">
        <v>210</v>
      </c>
      <c r="C130" s="94" t="s">
        <v>208</v>
      </c>
      <c r="D130" s="55" t="s">
        <v>48</v>
      </c>
      <c r="E130" s="145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30" t="s">
        <v>211</v>
      </c>
      <c r="C131" s="94" t="s">
        <v>590</v>
      </c>
      <c r="D131" s="55" t="s">
        <v>165</v>
      </c>
      <c r="E131" s="145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30" t="s">
        <v>213</v>
      </c>
      <c r="C132" s="94" t="s">
        <v>214</v>
      </c>
      <c r="D132" s="55" t="s">
        <v>57</v>
      </c>
      <c r="E132" s="145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30" t="s">
        <v>215</v>
      </c>
      <c r="C133" s="94" t="s">
        <v>408</v>
      </c>
      <c r="D133" s="55" t="s">
        <v>57</v>
      </c>
      <c r="E133" s="145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9" t="s">
        <v>589</v>
      </c>
      <c r="C134" s="94" t="s">
        <v>590</v>
      </c>
      <c r="D134" s="55" t="s">
        <v>60</v>
      </c>
      <c r="E134" s="145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7" t="s">
        <v>216</v>
      </c>
      <c r="C135" s="94" t="s">
        <v>217</v>
      </c>
      <c r="D135" s="3" t="s">
        <v>73</v>
      </c>
      <c r="E135" s="145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9" t="s">
        <v>218</v>
      </c>
      <c r="C136" s="94" t="s">
        <v>219</v>
      </c>
      <c r="D136" s="55" t="s">
        <v>85</v>
      </c>
      <c r="E136" s="145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2" t="s">
        <v>86</v>
      </c>
      <c r="C137" s="110" t="s">
        <v>592</v>
      </c>
      <c r="D137" s="55"/>
      <c r="E137" s="153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1"/>
      <c r="C138" s="110"/>
      <c r="D138" s="55"/>
      <c r="E138" s="145"/>
      <c r="F138" s="38"/>
      <c r="G138" s="35">
        <f t="shared" si="5"/>
        <v>0</v>
      </c>
    </row>
    <row r="139" spans="1:8" ht="20.100000000000001" customHeight="1">
      <c r="A139" s="32"/>
      <c r="B139" s="132" t="s">
        <v>655</v>
      </c>
      <c r="C139" s="94"/>
      <c r="D139" s="55"/>
      <c r="E139" s="145"/>
      <c r="F139" s="51"/>
      <c r="G139" s="35">
        <f t="shared" si="5"/>
        <v>0</v>
      </c>
    </row>
    <row r="140" spans="1:8" ht="20.100000000000001" customHeight="1">
      <c r="A140" s="141">
        <v>1</v>
      </c>
      <c r="B140" s="130" t="s">
        <v>656</v>
      </c>
      <c r="C140" s="94" t="s">
        <v>657</v>
      </c>
      <c r="D140" s="55" t="s">
        <v>90</v>
      </c>
      <c r="E140" s="145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1">
        <v>2</v>
      </c>
      <c r="B141" s="130" t="s">
        <v>224</v>
      </c>
      <c r="C141" s="94" t="s">
        <v>225</v>
      </c>
      <c r="D141" s="55" t="s">
        <v>90</v>
      </c>
      <c r="E141" s="145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1">
        <v>3</v>
      </c>
      <c r="B142" s="130" t="s">
        <v>226</v>
      </c>
      <c r="C142" s="94" t="s">
        <v>227</v>
      </c>
      <c r="D142" s="55" t="s">
        <v>228</v>
      </c>
      <c r="E142" s="145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1">
        <v>4</v>
      </c>
      <c r="B143" s="134" t="s">
        <v>229</v>
      </c>
      <c r="C143" s="20" t="s">
        <v>658</v>
      </c>
      <c r="D143" s="24" t="s">
        <v>45</v>
      </c>
      <c r="E143" s="147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1">
        <v>5</v>
      </c>
      <c r="B144" s="134" t="s">
        <v>659</v>
      </c>
      <c r="C144" s="20" t="s">
        <v>660</v>
      </c>
      <c r="D144" s="24" t="s">
        <v>45</v>
      </c>
      <c r="E144" s="147">
        <v>15548.33</v>
      </c>
      <c r="F144" s="23"/>
      <c r="G144" s="35">
        <f t="shared" si="12"/>
        <v>-15548.33</v>
      </c>
    </row>
    <row r="145" spans="1:7" ht="20.100000000000001" customHeight="1">
      <c r="A145" s="141">
        <v>6</v>
      </c>
      <c r="B145" s="130" t="s">
        <v>231</v>
      </c>
      <c r="C145" s="94" t="s">
        <v>232</v>
      </c>
      <c r="D145" s="55" t="s">
        <v>134</v>
      </c>
      <c r="E145" s="145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1">
        <v>7</v>
      </c>
      <c r="B146" s="130" t="s">
        <v>233</v>
      </c>
      <c r="C146" s="32" t="s">
        <v>234</v>
      </c>
      <c r="D146" s="55" t="s">
        <v>134</v>
      </c>
      <c r="E146" s="145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1">
        <v>8</v>
      </c>
      <c r="B147" s="130" t="s">
        <v>178</v>
      </c>
      <c r="C147" s="32" t="s">
        <v>240</v>
      </c>
      <c r="D147" s="55" t="s">
        <v>57</v>
      </c>
      <c r="E147" s="145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1">
        <v>9</v>
      </c>
      <c r="B148" s="127" t="s">
        <v>236</v>
      </c>
      <c r="C148" s="94" t="s">
        <v>237</v>
      </c>
      <c r="D148" s="55" t="s">
        <v>63</v>
      </c>
      <c r="E148" s="145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1">
        <v>10</v>
      </c>
      <c r="B149" s="130" t="s">
        <v>238</v>
      </c>
      <c r="C149" s="94" t="s">
        <v>237</v>
      </c>
      <c r="D149" s="55" t="s">
        <v>63</v>
      </c>
      <c r="E149" s="145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1">
        <v>11</v>
      </c>
      <c r="B150" s="127" t="s">
        <v>239</v>
      </c>
      <c r="C150" s="32" t="s">
        <v>240</v>
      </c>
      <c r="D150" s="55" t="s">
        <v>63</v>
      </c>
      <c r="E150" s="145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1">
        <v>12</v>
      </c>
      <c r="B151" s="127" t="s">
        <v>241</v>
      </c>
      <c r="C151" s="32" t="s">
        <v>250</v>
      </c>
      <c r="D151" s="55" t="s">
        <v>411</v>
      </c>
      <c r="E151" s="145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1">
        <v>13</v>
      </c>
      <c r="B152" s="127" t="s">
        <v>243</v>
      </c>
      <c r="C152" s="94" t="s">
        <v>410</v>
      </c>
      <c r="D152" s="55" t="s">
        <v>252</v>
      </c>
      <c r="E152" s="145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1">
        <v>14</v>
      </c>
      <c r="B153" s="127" t="s">
        <v>245</v>
      </c>
      <c r="C153" s="94" t="s">
        <v>269</v>
      </c>
      <c r="D153" s="55" t="s">
        <v>411</v>
      </c>
      <c r="E153" s="145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1">
        <v>15</v>
      </c>
      <c r="B154" s="127" t="s">
        <v>661</v>
      </c>
      <c r="C154" s="32" t="s">
        <v>250</v>
      </c>
      <c r="D154" s="55" t="s">
        <v>154</v>
      </c>
      <c r="E154" s="145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1">
        <v>16</v>
      </c>
      <c r="B155" s="127" t="s">
        <v>662</v>
      </c>
      <c r="C155" s="32" t="s">
        <v>250</v>
      </c>
      <c r="D155" s="55" t="s">
        <v>154</v>
      </c>
      <c r="E155" s="145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1">
        <v>17</v>
      </c>
      <c r="B156" s="127" t="s">
        <v>253</v>
      </c>
      <c r="C156" s="32" t="s">
        <v>250</v>
      </c>
      <c r="D156" s="55" t="s">
        <v>154</v>
      </c>
      <c r="E156" s="145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1">
        <v>18</v>
      </c>
      <c r="B157" s="127" t="s">
        <v>254</v>
      </c>
      <c r="C157" s="94" t="s">
        <v>255</v>
      </c>
      <c r="D157" s="55" t="s">
        <v>95</v>
      </c>
      <c r="E157" s="145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1">
        <v>19</v>
      </c>
      <c r="B158" s="127" t="s">
        <v>256</v>
      </c>
      <c r="C158" s="94" t="s">
        <v>257</v>
      </c>
      <c r="D158" s="3" t="s">
        <v>73</v>
      </c>
      <c r="E158" s="145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1">
        <v>20</v>
      </c>
      <c r="B159" s="127" t="s">
        <v>258</v>
      </c>
      <c r="C159" s="94" t="s">
        <v>269</v>
      </c>
      <c r="D159" s="55" t="s">
        <v>76</v>
      </c>
      <c r="E159" s="145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1">
        <v>21</v>
      </c>
      <c r="B160" s="127" t="s">
        <v>260</v>
      </c>
      <c r="C160" s="94" t="s">
        <v>663</v>
      </c>
      <c r="D160" s="55" t="s">
        <v>76</v>
      </c>
      <c r="E160" s="145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1">
        <v>22</v>
      </c>
      <c r="B161" s="127" t="s">
        <v>262</v>
      </c>
      <c r="C161" s="94" t="s">
        <v>269</v>
      </c>
      <c r="D161" s="55" t="s">
        <v>76</v>
      </c>
      <c r="E161" s="145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1">
        <v>23</v>
      </c>
      <c r="B162" s="127" t="s">
        <v>264</v>
      </c>
      <c r="C162" s="94" t="s">
        <v>265</v>
      </c>
      <c r="D162" s="55" t="s">
        <v>76</v>
      </c>
      <c r="E162" s="145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1">
        <v>24</v>
      </c>
      <c r="B163" s="119" t="s">
        <v>266</v>
      </c>
      <c r="C163" s="94" t="s">
        <v>271</v>
      </c>
      <c r="D163" s="55" t="s">
        <v>640</v>
      </c>
      <c r="E163" s="145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1">
        <v>25</v>
      </c>
      <c r="B164" s="119" t="s">
        <v>593</v>
      </c>
      <c r="C164" s="94" t="s">
        <v>269</v>
      </c>
      <c r="D164" s="55" t="s">
        <v>85</v>
      </c>
      <c r="E164" s="145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1">
        <v>26</v>
      </c>
      <c r="B165" s="119" t="s">
        <v>268</v>
      </c>
      <c r="C165" s="94" t="s">
        <v>269</v>
      </c>
      <c r="D165" s="55" t="s">
        <v>85</v>
      </c>
      <c r="E165" s="145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1">
        <v>27</v>
      </c>
      <c r="B166" s="119" t="s">
        <v>270</v>
      </c>
      <c r="C166" s="94" t="s">
        <v>271</v>
      </c>
      <c r="D166" s="55" t="s">
        <v>85</v>
      </c>
      <c r="E166" s="145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1">
        <v>28</v>
      </c>
      <c r="B167" s="119" t="s">
        <v>272</v>
      </c>
      <c r="C167" s="94" t="s">
        <v>273</v>
      </c>
      <c r="D167" s="55" t="s">
        <v>85</v>
      </c>
      <c r="E167" s="145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1">
        <v>29</v>
      </c>
      <c r="B168" s="119" t="s">
        <v>274</v>
      </c>
      <c r="C168" s="94" t="s">
        <v>275</v>
      </c>
      <c r="D168" s="55" t="s">
        <v>85</v>
      </c>
      <c r="E168" s="145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1">
        <v>30</v>
      </c>
      <c r="B169" s="130" t="s">
        <v>277</v>
      </c>
      <c r="C169" s="94" t="s">
        <v>278</v>
      </c>
      <c r="D169" s="55" t="s">
        <v>285</v>
      </c>
      <c r="E169" s="145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1">
        <v>31</v>
      </c>
      <c r="B170" s="130" t="s">
        <v>280</v>
      </c>
      <c r="C170" s="94" t="s">
        <v>278</v>
      </c>
      <c r="D170" s="55" t="s">
        <v>285</v>
      </c>
      <c r="E170" s="145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1">
        <v>32</v>
      </c>
      <c r="B171" s="130" t="s">
        <v>281</v>
      </c>
      <c r="C171" s="94" t="s">
        <v>278</v>
      </c>
      <c r="D171" s="55" t="s">
        <v>285</v>
      </c>
      <c r="E171" s="145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1">
        <v>33</v>
      </c>
      <c r="B172" s="130" t="s">
        <v>664</v>
      </c>
      <c r="C172" s="94" t="s">
        <v>278</v>
      </c>
      <c r="D172" s="55" t="s">
        <v>285</v>
      </c>
      <c r="E172" s="145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1">
        <v>34</v>
      </c>
      <c r="B173" s="130" t="s">
        <v>594</v>
      </c>
      <c r="C173" s="94" t="s">
        <v>278</v>
      </c>
      <c r="D173" s="55" t="s">
        <v>285</v>
      </c>
      <c r="E173" s="145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1">
        <v>35</v>
      </c>
      <c r="B174" s="130" t="s">
        <v>282</v>
      </c>
      <c r="C174" s="94" t="s">
        <v>278</v>
      </c>
      <c r="D174" s="55" t="s">
        <v>285</v>
      </c>
      <c r="E174" s="145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1">
        <v>36</v>
      </c>
      <c r="B175" s="130" t="s">
        <v>283</v>
      </c>
      <c r="C175" s="94" t="s">
        <v>278</v>
      </c>
      <c r="D175" s="55" t="s">
        <v>285</v>
      </c>
      <c r="E175" s="145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1">
        <v>37</v>
      </c>
      <c r="B176" s="130" t="s">
        <v>284</v>
      </c>
      <c r="C176" s="94" t="s">
        <v>297</v>
      </c>
      <c r="D176" s="55" t="s">
        <v>665</v>
      </c>
      <c r="E176" s="145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1">
        <v>38</v>
      </c>
      <c r="B177" s="130" t="s">
        <v>286</v>
      </c>
      <c r="C177" s="94" t="s">
        <v>297</v>
      </c>
      <c r="D177" s="55" t="s">
        <v>665</v>
      </c>
      <c r="E177" s="145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1">
        <v>39</v>
      </c>
      <c r="B178" s="130" t="s">
        <v>569</v>
      </c>
      <c r="C178" s="94" t="s">
        <v>297</v>
      </c>
      <c r="D178" s="55" t="s">
        <v>665</v>
      </c>
      <c r="E178" s="145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1">
        <v>40</v>
      </c>
      <c r="B179" s="122" t="s">
        <v>287</v>
      </c>
      <c r="C179" s="94" t="s">
        <v>297</v>
      </c>
      <c r="D179" s="55" t="s">
        <v>665</v>
      </c>
      <c r="E179" s="145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1">
        <v>41</v>
      </c>
      <c r="B180" s="127" t="s">
        <v>288</v>
      </c>
      <c r="C180" s="94" t="s">
        <v>297</v>
      </c>
      <c r="D180" s="55" t="s">
        <v>665</v>
      </c>
      <c r="E180" s="145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1">
        <v>42</v>
      </c>
      <c r="B181" s="126" t="s">
        <v>289</v>
      </c>
      <c r="C181" s="94" t="s">
        <v>297</v>
      </c>
      <c r="D181" s="55" t="s">
        <v>665</v>
      </c>
      <c r="E181" s="145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1">
        <v>43</v>
      </c>
      <c r="B182" s="126" t="s">
        <v>290</v>
      </c>
      <c r="C182" s="94" t="s">
        <v>297</v>
      </c>
      <c r="D182" s="55" t="s">
        <v>665</v>
      </c>
      <c r="E182" s="145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1">
        <v>44</v>
      </c>
      <c r="B183" s="127" t="s">
        <v>291</v>
      </c>
      <c r="C183" s="94" t="s">
        <v>297</v>
      </c>
      <c r="D183" s="55" t="s">
        <v>298</v>
      </c>
      <c r="E183" s="145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1">
        <v>45</v>
      </c>
      <c r="B184" s="127" t="s">
        <v>294</v>
      </c>
      <c r="C184" s="94" t="s">
        <v>297</v>
      </c>
      <c r="D184" s="55" t="s">
        <v>298</v>
      </c>
      <c r="E184" s="145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1">
        <v>46</v>
      </c>
      <c r="B185" s="126" t="s">
        <v>295</v>
      </c>
      <c r="C185" s="94" t="s">
        <v>297</v>
      </c>
      <c r="D185" s="55" t="s">
        <v>397</v>
      </c>
      <c r="E185" s="145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1">
        <v>47</v>
      </c>
      <c r="B186" s="127" t="s">
        <v>296</v>
      </c>
      <c r="C186" s="94" t="s">
        <v>297</v>
      </c>
      <c r="D186" s="55" t="s">
        <v>666</v>
      </c>
      <c r="E186" s="145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1">
        <v>48</v>
      </c>
      <c r="B187" s="127" t="s">
        <v>299</v>
      </c>
      <c r="C187" s="94" t="s">
        <v>300</v>
      </c>
      <c r="D187" s="55" t="s">
        <v>667</v>
      </c>
      <c r="E187" s="145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1">
        <v>49</v>
      </c>
      <c r="B188" s="127" t="s">
        <v>302</v>
      </c>
      <c r="C188" s="94" t="s">
        <v>300</v>
      </c>
      <c r="D188" s="55" t="s">
        <v>667</v>
      </c>
      <c r="E188" s="145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1">
        <v>50</v>
      </c>
      <c r="B189" s="127" t="s">
        <v>303</v>
      </c>
      <c r="C189" s="94" t="s">
        <v>300</v>
      </c>
      <c r="D189" s="55" t="s">
        <v>667</v>
      </c>
      <c r="E189" s="145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1">
        <v>51</v>
      </c>
      <c r="B190" s="127" t="s">
        <v>304</v>
      </c>
      <c r="C190" s="94" t="s">
        <v>300</v>
      </c>
      <c r="D190" s="55" t="s">
        <v>667</v>
      </c>
      <c r="E190" s="145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1">
        <v>52</v>
      </c>
      <c r="B191" s="127" t="s">
        <v>305</v>
      </c>
      <c r="C191" s="94" t="s">
        <v>300</v>
      </c>
      <c r="D191" s="55" t="s">
        <v>667</v>
      </c>
      <c r="E191" s="145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1">
        <v>53</v>
      </c>
      <c r="B192" s="126" t="s">
        <v>306</v>
      </c>
      <c r="C192" s="94" t="s">
        <v>300</v>
      </c>
      <c r="D192" s="55" t="s">
        <v>312</v>
      </c>
      <c r="E192" s="145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1">
        <v>54</v>
      </c>
      <c r="B193" s="126" t="s">
        <v>307</v>
      </c>
      <c r="C193" s="94" t="s">
        <v>300</v>
      </c>
      <c r="D193" s="55" t="s">
        <v>312</v>
      </c>
      <c r="E193" s="145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1">
        <v>55</v>
      </c>
      <c r="B194" s="130" t="s">
        <v>308</v>
      </c>
      <c r="C194" s="94" t="s">
        <v>300</v>
      </c>
      <c r="D194" s="55" t="s">
        <v>668</v>
      </c>
      <c r="E194" s="145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1">
        <v>56</v>
      </c>
      <c r="B195" s="130" t="s">
        <v>309</v>
      </c>
      <c r="C195" s="94" t="s">
        <v>300</v>
      </c>
      <c r="D195" s="55" t="s">
        <v>668</v>
      </c>
      <c r="E195" s="145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1">
        <v>57</v>
      </c>
      <c r="B196" s="126" t="s">
        <v>310</v>
      </c>
      <c r="C196" s="94" t="s">
        <v>300</v>
      </c>
      <c r="D196" s="55" t="s">
        <v>668</v>
      </c>
      <c r="E196" s="145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1">
        <v>58</v>
      </c>
      <c r="B197" s="126" t="s">
        <v>313</v>
      </c>
      <c r="C197" s="94" t="s">
        <v>300</v>
      </c>
      <c r="D197" s="55" t="s">
        <v>669</v>
      </c>
      <c r="E197" s="145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1"/>
      <c r="B198" s="60" t="s">
        <v>86</v>
      </c>
      <c r="C198" s="42" t="s">
        <v>670</v>
      </c>
      <c r="D198" s="36"/>
      <c r="E198" s="154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5" t="s">
        <v>325</v>
      </c>
      <c r="C199" s="61">
        <f>C43+C48+C63+C68+C84+C91+C106+C113+C123+C137+C198</f>
        <v>157</v>
      </c>
      <c r="D199" s="103"/>
      <c r="E199" s="153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4"/>
      <c r="C200" s="105"/>
      <c r="D200" s="104"/>
      <c r="E200" s="104"/>
      <c r="F200" s="59"/>
      <c r="G200" s="59"/>
    </row>
    <row r="201" spans="1:8" ht="20.100000000000001" customHeight="1">
      <c r="A201" s="32"/>
      <c r="B201" s="104"/>
      <c r="C201" s="395" t="s">
        <v>671</v>
      </c>
      <c r="D201" s="395"/>
      <c r="E201" s="140"/>
      <c r="F201" s="59"/>
      <c r="G201" s="59"/>
    </row>
    <row r="202" spans="1:8" ht="20.100000000000001" customHeight="1">
      <c r="A202" s="32"/>
      <c r="B202" s="104"/>
      <c r="C202" s="395"/>
      <c r="D202" s="395"/>
      <c r="E202" s="140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194"/>
  <sheetViews>
    <sheetView view="pageBreakPreview" zoomScaleNormal="100" zoomScaleSheetLayoutView="100" workbookViewId="0">
      <pane xSplit="4" ySplit="9" topLeftCell="Q10" activePane="bottomRight" state="frozen"/>
      <selection pane="bottomRight" activeCell="H7" sqref="H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AG1" s="1" t="s">
        <v>622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393" t="s">
        <v>672</v>
      </c>
      <c r="C3" s="393"/>
      <c r="D3" s="393"/>
      <c r="E3" s="393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393" t="s">
        <v>2</v>
      </c>
      <c r="C5" s="393"/>
      <c r="D5" s="100"/>
      <c r="E5" s="100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394"/>
      <c r="V5" s="394"/>
      <c r="W5" s="394"/>
      <c r="X5" s="394"/>
      <c r="Y5" s="394"/>
      <c r="Z5" s="394"/>
      <c r="AA5" s="100"/>
      <c r="AB5" s="100"/>
    </row>
    <row r="6" spans="1:33" ht="35.450000000000003" customHeight="1">
      <c r="A6" s="32"/>
      <c r="B6" s="426"/>
      <c r="C6" s="426"/>
      <c r="D6" s="107" t="s">
        <v>3</v>
      </c>
      <c r="E6" s="107" t="s">
        <v>624</v>
      </c>
      <c r="F6" s="2" t="s">
        <v>673</v>
      </c>
      <c r="G6" s="32"/>
      <c r="H6" s="2"/>
      <c r="I6" s="2"/>
      <c r="J6" s="2"/>
      <c r="K6" s="2"/>
      <c r="L6" s="2"/>
      <c r="M6" s="2" t="s">
        <v>674</v>
      </c>
      <c r="N6" s="2" t="s">
        <v>675</v>
      </c>
      <c r="O6" s="2" t="s">
        <v>676</v>
      </c>
      <c r="P6" s="2" t="s">
        <v>677</v>
      </c>
      <c r="Q6" s="2" t="s">
        <v>678</v>
      </c>
      <c r="R6" s="2" t="s">
        <v>679</v>
      </c>
      <c r="S6" s="2" t="s">
        <v>680</v>
      </c>
      <c r="T6" s="2" t="s">
        <v>681</v>
      </c>
      <c r="U6" s="2" t="s">
        <v>597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427"/>
      <c r="C7" s="427"/>
      <c r="D7" s="107"/>
      <c r="E7" s="107" t="s">
        <v>625</v>
      </c>
      <c r="F7" s="2" t="s">
        <v>682</v>
      </c>
      <c r="G7" s="49" t="s">
        <v>683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15</v>
      </c>
      <c r="S7" s="2" t="s">
        <v>682</v>
      </c>
      <c r="T7" s="49" t="s">
        <v>682</v>
      </c>
      <c r="U7" s="49"/>
      <c r="V7" s="49"/>
      <c r="W7" s="2" t="s">
        <v>575</v>
      </c>
      <c r="X7" s="49" t="s">
        <v>389</v>
      </c>
      <c r="Y7" s="2" t="s">
        <v>597</v>
      </c>
      <c r="Z7" s="2"/>
      <c r="AA7" s="2"/>
      <c r="AB7" s="2"/>
    </row>
    <row r="8" spans="1:33" ht="20.100000000000001" customHeight="1">
      <c r="A8" s="21" t="s">
        <v>26</v>
      </c>
      <c r="B8" s="428" t="s">
        <v>684</v>
      </c>
      <c r="C8" s="428"/>
      <c r="D8" s="60"/>
      <c r="E8" s="60"/>
      <c r="F8" s="50" t="s">
        <v>25</v>
      </c>
      <c r="G8" s="7"/>
      <c r="H8" s="50"/>
      <c r="I8" s="50" t="s">
        <v>25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25</v>
      </c>
      <c r="T8" s="50" t="s">
        <v>25</v>
      </c>
      <c r="U8" s="50" t="s">
        <v>25</v>
      </c>
      <c r="V8" s="50"/>
      <c r="W8" s="50" t="s">
        <v>25</v>
      </c>
      <c r="X8" s="50" t="s">
        <v>25</v>
      </c>
      <c r="Y8" s="50" t="s">
        <v>25</v>
      </c>
      <c r="Z8" s="50"/>
      <c r="AA8" s="50"/>
      <c r="AB8" s="50"/>
    </row>
    <row r="9" spans="1:33" ht="20.100000000000001" customHeight="1">
      <c r="A9" s="3">
        <v>1</v>
      </c>
      <c r="B9" s="398" t="s">
        <v>28</v>
      </c>
      <c r="C9" s="399"/>
      <c r="D9" s="94" t="s">
        <v>29</v>
      </c>
      <c r="E9" s="94" t="s">
        <v>30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398" t="s">
        <v>628</v>
      </c>
      <c r="C10" s="399"/>
      <c r="D10" s="94" t="s">
        <v>629</v>
      </c>
      <c r="E10" s="55" t="s">
        <v>90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412" t="s">
        <v>685</v>
      </c>
      <c r="C11" s="413"/>
      <c r="D11" s="40" t="s">
        <v>686</v>
      </c>
      <c r="E11" s="62" t="s">
        <v>228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398" t="s">
        <v>456</v>
      </c>
      <c r="C12" s="399"/>
      <c r="D12" s="32" t="s">
        <v>630</v>
      </c>
      <c r="E12" s="3" t="s">
        <v>36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412" t="s">
        <v>555</v>
      </c>
      <c r="C13" s="413"/>
      <c r="D13" s="40" t="s">
        <v>556</v>
      </c>
      <c r="E13" s="62" t="s">
        <v>36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398" t="s">
        <v>31</v>
      </c>
      <c r="C14" s="399"/>
      <c r="D14" s="94" t="s">
        <v>32</v>
      </c>
      <c r="E14" s="3" t="s">
        <v>631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412" t="s">
        <v>176</v>
      </c>
      <c r="C15" s="413"/>
      <c r="D15" s="32" t="s">
        <v>632</v>
      </c>
      <c r="E15" s="37" t="s">
        <v>45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410" t="s">
        <v>37</v>
      </c>
      <c r="C16" s="411"/>
      <c r="D16" s="112" t="s">
        <v>127</v>
      </c>
      <c r="E16" s="28" t="s">
        <v>45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412" t="s">
        <v>39</v>
      </c>
      <c r="C17" s="413"/>
      <c r="D17" s="32" t="s">
        <v>633</v>
      </c>
      <c r="E17" s="3" t="s">
        <v>45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405" t="s">
        <v>43</v>
      </c>
      <c r="C18" s="405"/>
      <c r="D18" s="94" t="s">
        <v>634</v>
      </c>
      <c r="E18" s="55" t="s">
        <v>45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7" t="s">
        <v>148</v>
      </c>
      <c r="C19" s="98"/>
      <c r="D19" s="94" t="s">
        <v>149</v>
      </c>
      <c r="E19" s="11" t="s">
        <v>128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412" t="s">
        <v>557</v>
      </c>
      <c r="C20" s="413"/>
      <c r="D20" s="40" t="s">
        <v>558</v>
      </c>
      <c r="E20" s="41" t="s">
        <v>134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412" t="s">
        <v>459</v>
      </c>
      <c r="C21" s="413"/>
      <c r="D21" s="40" t="s">
        <v>50</v>
      </c>
      <c r="E21" s="3" t="s">
        <v>134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412" t="s">
        <v>559</v>
      </c>
      <c r="C22" s="413"/>
      <c r="D22" s="32" t="s">
        <v>560</v>
      </c>
      <c r="E22" s="3" t="s">
        <v>134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398" t="s">
        <v>49</v>
      </c>
      <c r="C23" s="399"/>
      <c r="D23" s="40" t="s">
        <v>635</v>
      </c>
      <c r="E23" s="55" t="s">
        <v>54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412" t="s">
        <v>458</v>
      </c>
      <c r="C24" s="413"/>
      <c r="D24" s="32" t="s">
        <v>687</v>
      </c>
      <c r="E24" s="55" t="s">
        <v>637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398" t="s">
        <v>55</v>
      </c>
      <c r="C25" s="399"/>
      <c r="D25" s="94" t="s">
        <v>56</v>
      </c>
      <c r="E25" s="55" t="s">
        <v>636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398" t="s">
        <v>61</v>
      </c>
      <c r="C26" s="399"/>
      <c r="D26" s="94" t="s">
        <v>638</v>
      </c>
      <c r="E26" s="55" t="s">
        <v>411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398" t="s">
        <v>202</v>
      </c>
      <c r="C27" s="399"/>
      <c r="D27" s="94" t="s">
        <v>203</v>
      </c>
      <c r="E27" s="55" t="s">
        <v>63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7" t="s">
        <v>58</v>
      </c>
      <c r="C28" s="98"/>
      <c r="D28" s="32" t="s">
        <v>59</v>
      </c>
      <c r="E28" s="55" t="s">
        <v>252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7" t="s">
        <v>70</v>
      </c>
      <c r="C29" s="98"/>
      <c r="D29" s="94" t="s">
        <v>68</v>
      </c>
      <c r="E29" s="55" t="s">
        <v>578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7" t="s">
        <v>82</v>
      </c>
      <c r="C30" s="98"/>
      <c r="D30" s="94" t="s">
        <v>83</v>
      </c>
      <c r="E30" s="55" t="s">
        <v>85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7" t="s">
        <v>561</v>
      </c>
      <c r="C31" s="98"/>
      <c r="D31" s="94" t="s">
        <v>83</v>
      </c>
      <c r="E31" s="55" t="s">
        <v>154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405" t="s">
        <v>150</v>
      </c>
      <c r="C32" s="405"/>
      <c r="D32" s="32" t="s">
        <v>406</v>
      </c>
      <c r="E32" s="55" t="s">
        <v>57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398" t="s">
        <v>200</v>
      </c>
      <c r="C33" s="399"/>
      <c r="D33" s="32" t="s">
        <v>639</v>
      </c>
      <c r="E33" s="55" t="s">
        <v>411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7" t="s">
        <v>247</v>
      </c>
      <c r="C34" s="98"/>
      <c r="D34" s="32" t="s">
        <v>577</v>
      </c>
      <c r="E34" s="55" t="s">
        <v>252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398" t="s">
        <v>460</v>
      </c>
      <c r="C35" s="399"/>
      <c r="D35" s="94" t="s">
        <v>404</v>
      </c>
      <c r="E35" s="55" t="s">
        <v>76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7" t="s">
        <v>71</v>
      </c>
      <c r="C36" s="98"/>
      <c r="D36" s="94" t="s">
        <v>404</v>
      </c>
      <c r="E36" s="55" t="s">
        <v>640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410" t="s">
        <v>182</v>
      </c>
      <c r="C37" s="411"/>
      <c r="D37" s="112" t="s">
        <v>579</v>
      </c>
      <c r="E37" s="55" t="s">
        <v>641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5" t="s">
        <v>77</v>
      </c>
      <c r="C38" s="96"/>
      <c r="D38" s="112" t="s">
        <v>78</v>
      </c>
      <c r="E38" s="55" t="s">
        <v>85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408" t="s">
        <v>86</v>
      </c>
      <c r="C39" s="408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9"/>
      <c r="C40" s="99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408" t="s">
        <v>87</v>
      </c>
      <c r="C41" s="408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7" t="s">
        <v>88</v>
      </c>
      <c r="C42" s="98"/>
      <c r="D42" s="32" t="s">
        <v>89</v>
      </c>
      <c r="E42" s="3" t="s">
        <v>643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86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422"/>
      <c r="C44" s="423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424" t="s">
        <v>96</v>
      </c>
      <c r="C45" s="425"/>
      <c r="D45" s="111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398" t="s">
        <v>97</v>
      </c>
      <c r="C46" s="399"/>
      <c r="D46" s="32" t="s">
        <v>98</v>
      </c>
      <c r="E46" s="3" t="s">
        <v>90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398" t="s">
        <v>99</v>
      </c>
      <c r="C47" s="399"/>
      <c r="D47" s="32" t="s">
        <v>100</v>
      </c>
      <c r="E47" s="3" t="s">
        <v>45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398" t="s">
        <v>101</v>
      </c>
      <c r="C48" s="399"/>
      <c r="D48" s="32" t="s">
        <v>102</v>
      </c>
      <c r="E48" s="3" t="s">
        <v>45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398" t="s">
        <v>103</v>
      </c>
      <c r="C49" s="399"/>
      <c r="D49" s="32" t="s">
        <v>102</v>
      </c>
      <c r="E49" s="3" t="s">
        <v>105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398" t="s">
        <v>104</v>
      </c>
      <c r="C50" s="399"/>
      <c r="D50" s="32" t="s">
        <v>107</v>
      </c>
      <c r="E50" s="3" t="s">
        <v>405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398" t="s">
        <v>106</v>
      </c>
      <c r="C51" s="399"/>
      <c r="D51" s="32" t="s">
        <v>107</v>
      </c>
      <c r="E51" s="3" t="s">
        <v>134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406" t="s">
        <v>108</v>
      </c>
      <c r="C52" s="407"/>
      <c r="D52" s="32" t="s">
        <v>109</v>
      </c>
      <c r="E52" s="24" t="s">
        <v>134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398" t="s">
        <v>464</v>
      </c>
      <c r="C53" s="399"/>
      <c r="D53" s="32" t="s">
        <v>131</v>
      </c>
      <c r="E53" s="3" t="s">
        <v>165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420" t="s">
        <v>688</v>
      </c>
      <c r="C54" s="421"/>
      <c r="D54" s="113" t="s">
        <v>109</v>
      </c>
      <c r="E54" s="114" t="s">
        <v>111</v>
      </c>
      <c r="F54" s="115">
        <f>25854.1</f>
        <v>25854.1</v>
      </c>
      <c r="G54" s="115"/>
      <c r="H54" s="115">
        <f t="shared" si="36"/>
        <v>77562.299999999988</v>
      </c>
      <c r="I54" s="115">
        <f t="shared" si="37"/>
        <v>1939.0574999999999</v>
      </c>
      <c r="J54" s="115">
        <v>0</v>
      </c>
      <c r="K54" s="115">
        <f t="shared" si="38"/>
        <v>12927.05</v>
      </c>
      <c r="L54" s="115">
        <f t="shared" si="39"/>
        <v>90489.349999999991</v>
      </c>
      <c r="M54" s="115">
        <f t="shared" si="33"/>
        <v>25854.1</v>
      </c>
      <c r="N54" s="116">
        <v>140000</v>
      </c>
      <c r="O54" s="116"/>
      <c r="P54" s="115">
        <f t="shared" si="34"/>
        <v>2585.41</v>
      </c>
      <c r="Q54" s="115">
        <v>20000</v>
      </c>
      <c r="R54" s="115">
        <v>0</v>
      </c>
      <c r="S54" s="117">
        <f t="shared" si="35"/>
        <v>397211.36749999999</v>
      </c>
      <c r="T54" s="117">
        <v>397211.36749999999</v>
      </c>
      <c r="U54" s="35">
        <f t="shared" si="1"/>
        <v>0</v>
      </c>
      <c r="V54" s="117"/>
      <c r="W54" s="115">
        <v>7709.76</v>
      </c>
      <c r="X54" s="117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410" t="s">
        <v>110</v>
      </c>
      <c r="C55" s="411"/>
      <c r="D55" s="32" t="s">
        <v>164</v>
      </c>
      <c r="E55" s="28" t="s">
        <v>57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414" t="s">
        <v>86</v>
      </c>
      <c r="C56" s="415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9"/>
      <c r="C57" s="109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414" t="s">
        <v>117</v>
      </c>
      <c r="C58" s="415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398" t="s">
        <v>118</v>
      </c>
      <c r="C59" s="399"/>
      <c r="D59" s="94" t="s">
        <v>119</v>
      </c>
      <c r="E59" s="55" t="s">
        <v>90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7" t="s">
        <v>120</v>
      </c>
      <c r="C60" s="98"/>
      <c r="D60" s="94" t="s">
        <v>121</v>
      </c>
      <c r="E60" s="55" t="s">
        <v>122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414" t="s">
        <v>86</v>
      </c>
      <c r="C61" s="415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414"/>
      <c r="C62" s="415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414" t="s">
        <v>644</v>
      </c>
      <c r="C63" s="415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410" t="s">
        <v>124</v>
      </c>
      <c r="C64" s="411"/>
      <c r="D64" s="112" t="s">
        <v>125</v>
      </c>
      <c r="E64" s="28" t="s">
        <v>90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5" t="s">
        <v>126</v>
      </c>
      <c r="C65" s="96"/>
      <c r="D65" s="112" t="s">
        <v>127</v>
      </c>
      <c r="E65" s="55" t="s">
        <v>128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410" t="s">
        <v>689</v>
      </c>
      <c r="C66" s="411"/>
      <c r="D66" s="20" t="s">
        <v>164</v>
      </c>
      <c r="E66" s="28" t="s">
        <v>54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410" t="s">
        <v>129</v>
      </c>
      <c r="C67" s="411"/>
      <c r="D67" s="32" t="s">
        <v>131</v>
      </c>
      <c r="E67" s="28" t="s">
        <v>57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5" t="s">
        <v>690</v>
      </c>
      <c r="C68" s="96"/>
      <c r="D68" s="112" t="s">
        <v>131</v>
      </c>
      <c r="E68" s="55" t="s">
        <v>636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412" t="s">
        <v>132</v>
      </c>
      <c r="C69" s="413"/>
      <c r="D69" s="112" t="s">
        <v>109</v>
      </c>
      <c r="E69" s="55" t="s">
        <v>134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410" t="s">
        <v>135</v>
      </c>
      <c r="C70" s="411"/>
      <c r="D70" s="20" t="s">
        <v>113</v>
      </c>
      <c r="E70" s="28" t="s">
        <v>645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405" t="s">
        <v>198</v>
      </c>
      <c r="C71" s="405"/>
      <c r="D71" s="112" t="s">
        <v>113</v>
      </c>
      <c r="E71" s="55" t="s">
        <v>63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398" t="s">
        <v>139</v>
      </c>
      <c r="C72" s="399"/>
      <c r="D72" s="32" t="s">
        <v>153</v>
      </c>
      <c r="E72" s="3" t="s">
        <v>411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410" t="s">
        <v>563</v>
      </c>
      <c r="C73" s="411"/>
      <c r="D73" s="112" t="s">
        <v>113</v>
      </c>
      <c r="E73" s="3" t="s">
        <v>95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410" t="s">
        <v>142</v>
      </c>
      <c r="C74" s="411"/>
      <c r="D74" s="112" t="s">
        <v>65</v>
      </c>
      <c r="E74" s="3" t="s">
        <v>85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412" t="s">
        <v>64</v>
      </c>
      <c r="C75" s="413"/>
      <c r="D75" s="112" t="s">
        <v>65</v>
      </c>
      <c r="E75" s="3" t="s">
        <v>85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414" t="s">
        <v>86</v>
      </c>
      <c r="C76" s="415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1"/>
      <c r="C77" s="102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414" t="s">
        <v>646</v>
      </c>
      <c r="C78" s="415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398" t="s">
        <v>144</v>
      </c>
      <c r="C79" s="399"/>
      <c r="D79" s="32" t="s">
        <v>145</v>
      </c>
      <c r="E79" s="3" t="s">
        <v>90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146</v>
      </c>
      <c r="D80" s="1" t="s">
        <v>147</v>
      </c>
      <c r="E80" s="55" t="s">
        <v>128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564</v>
      </c>
      <c r="D81" s="1" t="s">
        <v>565</v>
      </c>
      <c r="E81" s="55" t="s">
        <v>128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398" t="s">
        <v>691</v>
      </c>
      <c r="C82" s="399"/>
      <c r="D82" s="32" t="s">
        <v>164</v>
      </c>
      <c r="E82" s="55" t="s">
        <v>57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398" t="s">
        <v>152</v>
      </c>
      <c r="C83" s="399"/>
      <c r="D83" s="32" t="s">
        <v>153</v>
      </c>
      <c r="E83" s="3" t="s">
        <v>95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7" t="s">
        <v>74</v>
      </c>
      <c r="C84" s="98"/>
      <c r="D84" s="32" t="s">
        <v>75</v>
      </c>
      <c r="E84" s="3" t="s">
        <v>641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7" t="s">
        <v>79</v>
      </c>
      <c r="C85" s="98"/>
      <c r="D85" s="32" t="s">
        <v>580</v>
      </c>
      <c r="E85" s="3" t="s">
        <v>85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414" t="s">
        <v>86</v>
      </c>
      <c r="C86" s="415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416"/>
      <c r="C87" s="417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418" t="s">
        <v>647</v>
      </c>
      <c r="C88" s="419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398" t="s">
        <v>648</v>
      </c>
      <c r="C89" s="399"/>
      <c r="D89" s="32" t="s">
        <v>583</v>
      </c>
      <c r="E89" s="3" t="s">
        <v>36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398" t="s">
        <v>159</v>
      </c>
      <c r="C90" s="399"/>
      <c r="D90" s="32" t="s">
        <v>102</v>
      </c>
      <c r="E90" s="3" t="s">
        <v>45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398" t="s">
        <v>160</v>
      </c>
      <c r="C91" s="399"/>
      <c r="D91" s="32" t="s">
        <v>102</v>
      </c>
      <c r="E91" s="3" t="s">
        <v>45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398" t="s">
        <v>692</v>
      </c>
      <c r="C92" s="399"/>
      <c r="D92" s="32" t="s">
        <v>107</v>
      </c>
      <c r="E92" s="3" t="s">
        <v>134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412" t="s">
        <v>161</v>
      </c>
      <c r="C93" s="413"/>
      <c r="D93" s="32" t="s">
        <v>109</v>
      </c>
      <c r="E93" s="3" t="s">
        <v>51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410" t="s">
        <v>162</v>
      </c>
      <c r="C94" s="411"/>
      <c r="D94" s="32" t="s">
        <v>107</v>
      </c>
      <c r="E94" s="3" t="s">
        <v>134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398" t="s">
        <v>693</v>
      </c>
      <c r="C95" s="399"/>
      <c r="D95" s="94" t="s">
        <v>109</v>
      </c>
      <c r="E95" s="55" t="s">
        <v>111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694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405" t="s">
        <v>163</v>
      </c>
      <c r="C96" s="405"/>
      <c r="D96" s="32" t="s">
        <v>164</v>
      </c>
      <c r="E96" s="55" t="s">
        <v>57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398" t="s">
        <v>166</v>
      </c>
      <c r="C97" s="399"/>
      <c r="D97" s="94" t="s">
        <v>131</v>
      </c>
      <c r="E97" s="55" t="s">
        <v>636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398" t="s">
        <v>167</v>
      </c>
      <c r="C98" s="399"/>
      <c r="D98" s="94" t="s">
        <v>131</v>
      </c>
      <c r="E98" s="55" t="s">
        <v>636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408" t="s">
        <v>86</v>
      </c>
      <c r="C99" s="408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9"/>
      <c r="C100" s="99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408" t="s">
        <v>650</v>
      </c>
      <c r="C101" s="408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7" t="s">
        <v>41</v>
      </c>
      <c r="C102" s="98"/>
      <c r="D102" s="3" t="s">
        <v>42</v>
      </c>
      <c r="E102" s="55" t="s">
        <v>36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410" t="s">
        <v>46</v>
      </c>
      <c r="C103" s="411"/>
      <c r="D103" s="20" t="s">
        <v>179</v>
      </c>
      <c r="E103" s="28" t="s">
        <v>134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5" t="s">
        <v>584</v>
      </c>
      <c r="C104" s="96"/>
      <c r="D104" s="20" t="s">
        <v>585</v>
      </c>
      <c r="E104" s="55" t="s">
        <v>636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398" t="s">
        <v>180</v>
      </c>
      <c r="C105" s="399"/>
      <c r="D105" s="32" t="s">
        <v>651</v>
      </c>
      <c r="E105" s="55" t="s">
        <v>652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408" t="s">
        <v>86</v>
      </c>
      <c r="C106" s="408"/>
      <c r="D106" s="7">
        <v>4</v>
      </c>
      <c r="E106" s="110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9"/>
      <c r="C107" s="99"/>
      <c r="D107" s="7"/>
      <c r="E107" s="110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408" t="s">
        <v>653</v>
      </c>
      <c r="C108" s="408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398" t="s">
        <v>185</v>
      </c>
      <c r="C109" s="399"/>
      <c r="D109" s="94" t="s">
        <v>186</v>
      </c>
      <c r="E109" s="55" t="s">
        <v>90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440" t="s">
        <v>187</v>
      </c>
      <c r="C110" s="441"/>
      <c r="D110" s="32" t="s">
        <v>188</v>
      </c>
      <c r="E110" s="3" t="s">
        <v>45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398" t="s">
        <v>189</v>
      </c>
      <c r="C111" s="399"/>
      <c r="D111" s="32" t="s">
        <v>190</v>
      </c>
      <c r="E111" s="3" t="s">
        <v>54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410" t="s">
        <v>191</v>
      </c>
      <c r="C112" s="411"/>
      <c r="D112" s="32" t="s">
        <v>190</v>
      </c>
      <c r="E112" s="28" t="s">
        <v>165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398" t="s">
        <v>192</v>
      </c>
      <c r="C113" s="399"/>
      <c r="D113" s="1" t="s">
        <v>193</v>
      </c>
      <c r="E113" s="55" t="s">
        <v>76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5" t="s">
        <v>195</v>
      </c>
      <c r="C114" s="96"/>
      <c r="D114" s="1" t="s">
        <v>193</v>
      </c>
      <c r="E114" s="3" t="s">
        <v>641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7" t="s">
        <v>196</v>
      </c>
      <c r="C115" s="98"/>
      <c r="D115" s="1" t="s">
        <v>193</v>
      </c>
      <c r="E115" s="55" t="s">
        <v>85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7" t="s">
        <v>695</v>
      </c>
      <c r="C116" s="98"/>
      <c r="D116" s="1" t="s">
        <v>193</v>
      </c>
      <c r="E116" s="55" t="s">
        <v>85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408" t="s">
        <v>86</v>
      </c>
      <c r="C117" s="408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9"/>
      <c r="C118" s="99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408" t="s">
        <v>654</v>
      </c>
      <c r="C119" s="408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405" t="s">
        <v>205</v>
      </c>
      <c r="C120" s="405"/>
      <c r="D120" s="94" t="s">
        <v>206</v>
      </c>
      <c r="E120" s="55" t="s">
        <v>90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405" t="s">
        <v>587</v>
      </c>
      <c r="C121" s="405"/>
      <c r="D121" s="94" t="s">
        <v>588</v>
      </c>
      <c r="E121" s="55" t="s">
        <v>228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405" t="s">
        <v>207</v>
      </c>
      <c r="C122" s="405"/>
      <c r="D122" s="94" t="s">
        <v>208</v>
      </c>
      <c r="E122" s="55" t="s">
        <v>45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409" t="s">
        <v>209</v>
      </c>
      <c r="C123" s="409"/>
      <c r="D123" s="94" t="s">
        <v>208</v>
      </c>
      <c r="E123" s="55" t="s">
        <v>45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210</v>
      </c>
      <c r="D124" s="94" t="s">
        <v>208</v>
      </c>
      <c r="E124" s="55" t="s">
        <v>48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442" t="s">
        <v>211</v>
      </c>
      <c r="C125" s="442"/>
      <c r="D125" s="94" t="s">
        <v>590</v>
      </c>
      <c r="E125" s="55" t="s">
        <v>165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405" t="s">
        <v>213</v>
      </c>
      <c r="C126" s="405"/>
      <c r="D126" s="94" t="s">
        <v>214</v>
      </c>
      <c r="E126" s="55" t="s">
        <v>57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405" t="s">
        <v>215</v>
      </c>
      <c r="C127" s="405"/>
      <c r="D127" s="94" t="s">
        <v>408</v>
      </c>
      <c r="E127" s="55" t="s">
        <v>57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7" t="s">
        <v>589</v>
      </c>
      <c r="C128" s="98"/>
      <c r="D128" s="94" t="s">
        <v>590</v>
      </c>
      <c r="E128" s="55" t="s">
        <v>60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408" t="s">
        <v>86</v>
      </c>
      <c r="C129" s="408"/>
      <c r="D129" s="110" t="s">
        <v>568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9"/>
      <c r="C130" s="99"/>
      <c r="D130" s="110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408" t="s">
        <v>655</v>
      </c>
      <c r="C131" s="408"/>
      <c r="D131" s="94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405" t="s">
        <v>656</v>
      </c>
      <c r="C132" s="405"/>
      <c r="D132" s="94" t="s">
        <v>657</v>
      </c>
      <c r="E132" s="55" t="s">
        <v>90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405" t="s">
        <v>224</v>
      </c>
      <c r="C133" s="405"/>
      <c r="D133" s="94" t="s">
        <v>225</v>
      </c>
      <c r="E133" s="55" t="s">
        <v>90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442" t="s">
        <v>226</v>
      </c>
      <c r="C134" s="442"/>
      <c r="D134" s="94" t="s">
        <v>227</v>
      </c>
      <c r="E134" s="55" t="s">
        <v>228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406" t="s">
        <v>229</v>
      </c>
      <c r="C135" s="407"/>
      <c r="D135" s="20" t="s">
        <v>658</v>
      </c>
      <c r="E135" s="24" t="s">
        <v>45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406" t="s">
        <v>659</v>
      </c>
      <c r="C136" s="407"/>
      <c r="D136" s="20" t="s">
        <v>660</v>
      </c>
      <c r="E136" s="24" t="s">
        <v>45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405" t="s">
        <v>231</v>
      </c>
      <c r="C137" s="405"/>
      <c r="D137" s="94" t="s">
        <v>232</v>
      </c>
      <c r="E137" s="55" t="s">
        <v>134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405" t="s">
        <v>233</v>
      </c>
      <c r="C138" s="405"/>
      <c r="D138" s="32" t="s">
        <v>234</v>
      </c>
      <c r="E138" s="55" t="s">
        <v>134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405" t="s">
        <v>235</v>
      </c>
      <c r="C139" s="405"/>
      <c r="D139" s="32" t="s">
        <v>234</v>
      </c>
      <c r="E139" s="55" t="s">
        <v>134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405" t="s">
        <v>178</v>
      </c>
      <c r="C140" s="405"/>
      <c r="D140" s="32" t="s">
        <v>240</v>
      </c>
      <c r="E140" s="55" t="s">
        <v>57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398" t="s">
        <v>236</v>
      </c>
      <c r="C141" s="399"/>
      <c r="D141" s="94" t="s">
        <v>237</v>
      </c>
      <c r="E141" s="55" t="s">
        <v>63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405" t="s">
        <v>238</v>
      </c>
      <c r="C142" s="405"/>
      <c r="D142" s="94" t="s">
        <v>237</v>
      </c>
      <c r="E142" s="55" t="s">
        <v>63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398" t="s">
        <v>239</v>
      </c>
      <c r="C143" s="399"/>
      <c r="D143" s="32" t="s">
        <v>240</v>
      </c>
      <c r="E143" s="55" t="s">
        <v>63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398" t="s">
        <v>241</v>
      </c>
      <c r="C144" s="399"/>
      <c r="D144" s="32" t="s">
        <v>250</v>
      </c>
      <c r="E144" s="55" t="s">
        <v>411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398" t="s">
        <v>243</v>
      </c>
      <c r="C145" s="399"/>
      <c r="D145" s="94" t="s">
        <v>410</v>
      </c>
      <c r="E145" s="55" t="s">
        <v>252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398" t="s">
        <v>245</v>
      </c>
      <c r="C146" s="399"/>
      <c r="D146" s="94" t="s">
        <v>269</v>
      </c>
      <c r="E146" s="55" t="s">
        <v>411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398" t="s">
        <v>661</v>
      </c>
      <c r="C147" s="399"/>
      <c r="D147" s="32" t="s">
        <v>250</v>
      </c>
      <c r="E147" s="55" t="s">
        <v>154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398" t="s">
        <v>662</v>
      </c>
      <c r="C148" s="399"/>
      <c r="D148" s="32" t="s">
        <v>250</v>
      </c>
      <c r="E148" s="55" t="s">
        <v>154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398" t="s">
        <v>253</v>
      </c>
      <c r="C149" s="399"/>
      <c r="D149" s="32" t="s">
        <v>250</v>
      </c>
      <c r="E149" s="55" t="s">
        <v>154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398" t="s">
        <v>258</v>
      </c>
      <c r="C150" s="399"/>
      <c r="D150" s="94" t="s">
        <v>269</v>
      </c>
      <c r="E150" s="55" t="s">
        <v>76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398" t="s">
        <v>260</v>
      </c>
      <c r="C151" s="399"/>
      <c r="D151" s="94" t="s">
        <v>663</v>
      </c>
      <c r="E151" s="55" t="s">
        <v>76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398" t="s">
        <v>262</v>
      </c>
      <c r="C152" s="399"/>
      <c r="D152" s="94" t="s">
        <v>269</v>
      </c>
      <c r="E152" s="55" t="s">
        <v>76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398" t="s">
        <v>264</v>
      </c>
      <c r="C153" s="399"/>
      <c r="D153" s="94" t="s">
        <v>265</v>
      </c>
      <c r="E153" s="55" t="s">
        <v>76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7" t="s">
        <v>266</v>
      </c>
      <c r="C154" s="98"/>
      <c r="D154" s="94" t="s">
        <v>271</v>
      </c>
      <c r="E154" s="55" t="s">
        <v>640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7" t="s">
        <v>593</v>
      </c>
      <c r="C155" s="98"/>
      <c r="D155" s="94" t="s">
        <v>269</v>
      </c>
      <c r="E155" s="55" t="s">
        <v>85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7" t="s">
        <v>173</v>
      </c>
      <c r="C156" s="98"/>
      <c r="D156" s="94" t="s">
        <v>271</v>
      </c>
      <c r="E156" s="55" t="s">
        <v>85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7" t="s">
        <v>268</v>
      </c>
      <c r="C157" s="98"/>
      <c r="D157" s="94" t="s">
        <v>269</v>
      </c>
      <c r="E157" s="55" t="s">
        <v>85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405" t="s">
        <v>277</v>
      </c>
      <c r="C158" s="405"/>
      <c r="D158" s="94" t="s">
        <v>278</v>
      </c>
      <c r="E158" s="55" t="s">
        <v>285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405" t="s">
        <v>280</v>
      </c>
      <c r="C159" s="405"/>
      <c r="D159" s="94" t="s">
        <v>278</v>
      </c>
      <c r="E159" s="55" t="s">
        <v>285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405" t="s">
        <v>281</v>
      </c>
      <c r="C160" s="405"/>
      <c r="D160" s="94" t="s">
        <v>278</v>
      </c>
      <c r="E160" s="55" t="s">
        <v>285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405" t="s">
        <v>664</v>
      </c>
      <c r="C161" s="405"/>
      <c r="D161" s="94" t="s">
        <v>278</v>
      </c>
      <c r="E161" s="55" t="s">
        <v>285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405" t="s">
        <v>594</v>
      </c>
      <c r="C162" s="405"/>
      <c r="D162" s="94" t="s">
        <v>278</v>
      </c>
      <c r="E162" s="55" t="s">
        <v>285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405" t="s">
        <v>282</v>
      </c>
      <c r="C163" s="405"/>
      <c r="D163" s="94" t="s">
        <v>278</v>
      </c>
      <c r="E163" s="55" t="s">
        <v>285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405" t="s">
        <v>283</v>
      </c>
      <c r="C164" s="405"/>
      <c r="D164" s="94" t="s">
        <v>278</v>
      </c>
      <c r="E164" s="55" t="s">
        <v>285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405" t="s">
        <v>284</v>
      </c>
      <c r="C165" s="405"/>
      <c r="D165" s="94" t="s">
        <v>297</v>
      </c>
      <c r="E165" s="55" t="s">
        <v>665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405" t="s">
        <v>286</v>
      </c>
      <c r="C166" s="405"/>
      <c r="D166" s="94" t="s">
        <v>297</v>
      </c>
      <c r="E166" s="55" t="s">
        <v>665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405" t="s">
        <v>569</v>
      </c>
      <c r="C167" s="405"/>
      <c r="D167" s="94" t="s">
        <v>297</v>
      </c>
      <c r="E167" s="55" t="s">
        <v>665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287</v>
      </c>
      <c r="C168" s="32"/>
      <c r="D168" s="94" t="s">
        <v>297</v>
      </c>
      <c r="E168" s="55" t="s">
        <v>665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398" t="s">
        <v>288</v>
      </c>
      <c r="C169" s="399"/>
      <c r="D169" s="94" t="s">
        <v>297</v>
      </c>
      <c r="E169" s="55" t="s">
        <v>665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4" t="s">
        <v>289</v>
      </c>
      <c r="C170" s="32"/>
      <c r="D170" s="94" t="s">
        <v>297</v>
      </c>
      <c r="E170" s="55" t="s">
        <v>665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4" t="s">
        <v>290</v>
      </c>
      <c r="C171" s="32"/>
      <c r="D171" s="94" t="s">
        <v>297</v>
      </c>
      <c r="E171" s="55" t="s">
        <v>665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398" t="s">
        <v>291</v>
      </c>
      <c r="C172" s="399"/>
      <c r="D172" s="94" t="s">
        <v>297</v>
      </c>
      <c r="E172" s="55" t="s">
        <v>298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398" t="s">
        <v>294</v>
      </c>
      <c r="C173" s="399"/>
      <c r="D173" s="94" t="s">
        <v>297</v>
      </c>
      <c r="E173" s="55" t="s">
        <v>298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4" t="s">
        <v>295</v>
      </c>
      <c r="C174" s="32"/>
      <c r="D174" s="94" t="s">
        <v>297</v>
      </c>
      <c r="E174" s="55" t="s">
        <v>397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398" t="s">
        <v>296</v>
      </c>
      <c r="C175" s="399"/>
      <c r="D175" s="94" t="s">
        <v>297</v>
      </c>
      <c r="E175" s="55" t="s">
        <v>666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398" t="s">
        <v>299</v>
      </c>
      <c r="C176" s="399"/>
      <c r="D176" s="94" t="s">
        <v>300</v>
      </c>
      <c r="E176" s="55" t="s">
        <v>667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398" t="s">
        <v>302</v>
      </c>
      <c r="C177" s="399"/>
      <c r="D177" s="94" t="s">
        <v>300</v>
      </c>
      <c r="E177" s="55" t="s">
        <v>667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398" t="s">
        <v>303</v>
      </c>
      <c r="C178" s="399"/>
      <c r="D178" s="94" t="s">
        <v>300</v>
      </c>
      <c r="E178" s="55" t="s">
        <v>667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398" t="s">
        <v>304</v>
      </c>
      <c r="C179" s="399"/>
      <c r="D179" s="94" t="s">
        <v>300</v>
      </c>
      <c r="E179" s="55" t="s">
        <v>667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398" t="s">
        <v>305</v>
      </c>
      <c r="C180" s="399"/>
      <c r="D180" s="94" t="s">
        <v>300</v>
      </c>
      <c r="E180" s="55" t="s">
        <v>667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400" t="s">
        <v>308</v>
      </c>
      <c r="C181" s="401"/>
      <c r="D181" s="94" t="s">
        <v>300</v>
      </c>
      <c r="E181" s="55" t="s">
        <v>668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402" t="s">
        <v>309</v>
      </c>
      <c r="C182" s="403"/>
      <c r="D182" s="94" t="s">
        <v>300</v>
      </c>
      <c r="E182" s="55" t="s">
        <v>668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6" t="s">
        <v>310</v>
      </c>
      <c r="C183" s="67"/>
      <c r="D183" s="94" t="s">
        <v>300</v>
      </c>
      <c r="E183" s="55" t="s">
        <v>668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6" t="s">
        <v>306</v>
      </c>
      <c r="C184" s="67"/>
      <c r="D184" s="94" t="s">
        <v>300</v>
      </c>
      <c r="E184" s="55" t="s">
        <v>312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6" t="s">
        <v>313</v>
      </c>
      <c r="C185" s="67"/>
      <c r="D185" s="94" t="s">
        <v>300</v>
      </c>
      <c r="E185" s="55" t="s">
        <v>669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6" t="s">
        <v>307</v>
      </c>
      <c r="C186" s="67"/>
      <c r="D186" s="94" t="s">
        <v>300</v>
      </c>
      <c r="E186" s="55" t="s">
        <v>312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86</v>
      </c>
      <c r="D187" s="42" t="s">
        <v>570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404" t="s">
        <v>325</v>
      </c>
      <c r="C188" s="404"/>
      <c r="D188" s="61">
        <f>D39+D43+D56+D61+D76+D86+D99+D106+D117+D129+D187</f>
        <v>148</v>
      </c>
      <c r="E188" s="103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396"/>
      <c r="C189" s="396"/>
      <c r="D189" s="105"/>
      <c r="E189" s="104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396"/>
      <c r="C190" s="396"/>
      <c r="D190" s="395" t="s">
        <v>671</v>
      </c>
      <c r="E190" s="395"/>
      <c r="F190" s="395"/>
      <c r="G190" s="395"/>
      <c r="H190" s="395"/>
      <c r="I190" s="395"/>
      <c r="J190" s="395"/>
      <c r="K190" s="397" t="s">
        <v>696</v>
      </c>
      <c r="L190" s="397"/>
      <c r="M190" s="397"/>
      <c r="N190" s="103"/>
      <c r="O190" s="103"/>
      <c r="P190" s="397" t="s">
        <v>697</v>
      </c>
      <c r="Q190" s="397"/>
      <c r="R190" s="397"/>
      <c r="S190" s="397"/>
      <c r="T190" s="103"/>
      <c r="U190" s="103"/>
      <c r="V190" s="103"/>
      <c r="W190" s="103"/>
      <c r="X190" s="103"/>
      <c r="Y190" s="59"/>
      <c r="Z190" s="59"/>
      <c r="AA190" s="59"/>
      <c r="AB190" s="59"/>
    </row>
    <row r="191" spans="1:28" ht="20.100000000000001" customHeight="1">
      <c r="A191" s="32"/>
      <c r="B191" s="396"/>
      <c r="C191" s="396"/>
      <c r="D191" s="395"/>
      <c r="E191" s="395"/>
      <c r="F191" s="395"/>
      <c r="G191" s="395"/>
      <c r="H191" s="395"/>
      <c r="I191" s="395"/>
      <c r="J191" s="395"/>
      <c r="K191" s="397"/>
      <c r="L191" s="397"/>
      <c r="M191" s="397"/>
      <c r="N191" s="103"/>
      <c r="O191" s="103"/>
      <c r="P191" s="397"/>
      <c r="Q191" s="397"/>
      <c r="R191" s="397"/>
      <c r="S191" s="397"/>
      <c r="T191" s="103"/>
      <c r="U191" s="103"/>
      <c r="V191" s="103"/>
      <c r="W191" s="103"/>
      <c r="X191" s="103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bottomRight" activeCell="L189" sqref="L18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390" t="s">
        <v>0</v>
      </c>
      <c r="B1" s="390"/>
      <c r="C1" s="390"/>
      <c r="D1" s="390"/>
      <c r="E1" s="390"/>
    </row>
    <row r="2" spans="1:7" ht="33.75" customHeight="1">
      <c r="A2" s="165" t="s">
        <v>698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2</v>
      </c>
      <c r="C4" s="171" t="s">
        <v>3</v>
      </c>
      <c r="D4" s="224" t="s">
        <v>4</v>
      </c>
      <c r="E4" s="175" t="s">
        <v>553</v>
      </c>
      <c r="F4" s="175" t="s">
        <v>699</v>
      </c>
      <c r="G4" s="175" t="s">
        <v>700</v>
      </c>
    </row>
    <row r="5" spans="1:7" ht="20.100000000000001" customHeight="1">
      <c r="A5" s="176" t="s">
        <v>26</v>
      </c>
      <c r="B5" s="177" t="s">
        <v>27</v>
      </c>
      <c r="C5" s="225"/>
      <c r="D5" s="177"/>
      <c r="E5" s="178" t="s">
        <v>25</v>
      </c>
      <c r="F5" s="178" t="s">
        <v>25</v>
      </c>
      <c r="G5" s="178" t="s">
        <v>25</v>
      </c>
    </row>
    <row r="6" spans="1:7" ht="20.100000000000001" customHeight="1">
      <c r="A6" s="28">
        <v>1</v>
      </c>
      <c r="B6" s="156" t="s">
        <v>28</v>
      </c>
      <c r="C6" s="226" t="s">
        <v>29</v>
      </c>
      <c r="D6" s="161" t="s">
        <v>30</v>
      </c>
      <c r="E6" s="237">
        <v>2000000</v>
      </c>
      <c r="F6" s="23">
        <v>0</v>
      </c>
      <c r="G6" s="237">
        <v>2000000</v>
      </c>
    </row>
    <row r="7" spans="1:7" ht="20.100000000000001" customHeight="1">
      <c r="A7" s="28">
        <v>2</v>
      </c>
      <c r="B7" s="156" t="s">
        <v>456</v>
      </c>
      <c r="C7" s="227" t="s">
        <v>554</v>
      </c>
      <c r="D7" s="28" t="s">
        <v>228</v>
      </c>
      <c r="E7" s="237">
        <v>700000</v>
      </c>
      <c r="F7" s="23">
        <v>0</v>
      </c>
      <c r="G7" s="237">
        <v>700000</v>
      </c>
    </row>
    <row r="8" spans="1:7" ht="20.100000000000001" customHeight="1">
      <c r="A8" s="28">
        <v>3</v>
      </c>
      <c r="B8" s="158" t="s">
        <v>555</v>
      </c>
      <c r="C8" s="227" t="s">
        <v>556</v>
      </c>
      <c r="D8" s="28" t="s">
        <v>36</v>
      </c>
      <c r="E8" s="237">
        <f>700000/2</f>
        <v>350000</v>
      </c>
      <c r="F8" s="23">
        <v>0</v>
      </c>
      <c r="G8" s="237">
        <f t="shared" ref="G8:G9" si="0">700000/2</f>
        <v>350000</v>
      </c>
    </row>
    <row r="9" spans="1:7" ht="20.100000000000001" customHeight="1">
      <c r="A9" s="28">
        <v>4</v>
      </c>
      <c r="B9" s="156" t="s">
        <v>31</v>
      </c>
      <c r="C9" s="226" t="s">
        <v>32</v>
      </c>
      <c r="D9" s="28" t="s">
        <v>631</v>
      </c>
      <c r="E9" s="237">
        <f>700000/2</f>
        <v>350000</v>
      </c>
      <c r="F9" s="23">
        <v>0</v>
      </c>
      <c r="G9" s="237">
        <f t="shared" si="0"/>
        <v>350000</v>
      </c>
    </row>
    <row r="10" spans="1:7" ht="20.100000000000001" customHeight="1">
      <c r="A10" s="28">
        <v>5</v>
      </c>
      <c r="B10" s="158" t="s">
        <v>458</v>
      </c>
      <c r="C10" s="227" t="s">
        <v>35</v>
      </c>
      <c r="D10" s="181" t="s">
        <v>395</v>
      </c>
      <c r="E10" s="237">
        <v>700000</v>
      </c>
      <c r="F10" s="23">
        <v>0</v>
      </c>
      <c r="G10" s="237">
        <v>700000</v>
      </c>
    </row>
    <row r="11" spans="1:7" ht="20.100000000000001" customHeight="1">
      <c r="A11" s="28">
        <v>6</v>
      </c>
      <c r="B11" s="158" t="s">
        <v>176</v>
      </c>
      <c r="C11" s="227" t="s">
        <v>177</v>
      </c>
      <c r="D11" s="24" t="s">
        <v>395</v>
      </c>
      <c r="E11" s="237">
        <v>700000</v>
      </c>
      <c r="F11" s="23">
        <v>0</v>
      </c>
      <c r="G11" s="237">
        <v>700000</v>
      </c>
    </row>
    <row r="12" spans="1:7" ht="20.100000000000001" customHeight="1">
      <c r="A12" s="28">
        <v>7</v>
      </c>
      <c r="B12" s="156" t="s">
        <v>37</v>
      </c>
      <c r="C12" s="228" t="s">
        <v>38</v>
      </c>
      <c r="D12" s="24" t="s">
        <v>395</v>
      </c>
      <c r="E12" s="237">
        <v>700000</v>
      </c>
      <c r="F12" s="23">
        <v>0</v>
      </c>
      <c r="G12" s="237">
        <v>700000</v>
      </c>
    </row>
    <row r="13" spans="1:7" ht="20.100000000000001" customHeight="1">
      <c r="A13" s="28">
        <v>8</v>
      </c>
      <c r="B13" s="158" t="s">
        <v>39</v>
      </c>
      <c r="C13" s="227" t="s">
        <v>40</v>
      </c>
      <c r="D13" s="24" t="s">
        <v>395</v>
      </c>
      <c r="E13" s="237">
        <v>700000</v>
      </c>
      <c r="F13" s="23">
        <v>0</v>
      </c>
      <c r="G13" s="237">
        <v>700000</v>
      </c>
    </row>
    <row r="14" spans="1:7" ht="20.100000000000001" customHeight="1">
      <c r="A14" s="28">
        <v>9</v>
      </c>
      <c r="B14" s="156" t="s">
        <v>43</v>
      </c>
      <c r="C14" s="226" t="s">
        <v>44</v>
      </c>
      <c r="D14" s="181" t="s">
        <v>45</v>
      </c>
      <c r="E14" s="237">
        <v>700000</v>
      </c>
      <c r="F14" s="23">
        <v>0</v>
      </c>
      <c r="G14" s="237">
        <v>700000</v>
      </c>
    </row>
    <row r="15" spans="1:7" ht="20.100000000000001" customHeight="1">
      <c r="A15" s="28">
        <v>10</v>
      </c>
      <c r="B15" s="157" t="s">
        <v>148</v>
      </c>
      <c r="C15" s="226" t="s">
        <v>149</v>
      </c>
      <c r="D15" s="28" t="s">
        <v>128</v>
      </c>
      <c r="E15" s="237">
        <v>700000</v>
      </c>
      <c r="F15" s="23">
        <v>0</v>
      </c>
      <c r="G15" s="237">
        <v>700000</v>
      </c>
    </row>
    <row r="16" spans="1:7" ht="20.100000000000001" customHeight="1">
      <c r="A16" s="28">
        <v>11</v>
      </c>
      <c r="B16" s="160" t="s">
        <v>557</v>
      </c>
      <c r="C16" s="227" t="s">
        <v>558</v>
      </c>
      <c r="D16" s="24" t="s">
        <v>134</v>
      </c>
      <c r="E16" s="237">
        <v>500000</v>
      </c>
      <c r="F16" s="23">
        <v>0</v>
      </c>
      <c r="G16" s="237">
        <v>500000</v>
      </c>
    </row>
    <row r="17" spans="1:7" ht="19.5" customHeight="1">
      <c r="A17" s="28">
        <v>12</v>
      </c>
      <c r="B17" s="158" t="s">
        <v>459</v>
      </c>
      <c r="C17" s="227" t="s">
        <v>50</v>
      </c>
      <c r="D17" s="28" t="s">
        <v>134</v>
      </c>
      <c r="E17" s="237">
        <v>500000</v>
      </c>
      <c r="F17" s="23">
        <v>0</v>
      </c>
      <c r="G17" s="237">
        <v>500000</v>
      </c>
    </row>
    <row r="18" spans="1:7" ht="19.5" customHeight="1">
      <c r="A18" s="28">
        <v>13</v>
      </c>
      <c r="B18" s="158" t="s">
        <v>559</v>
      </c>
      <c r="C18" s="227" t="s">
        <v>560</v>
      </c>
      <c r="D18" s="28" t="s">
        <v>134</v>
      </c>
      <c r="E18" s="237">
        <v>500000</v>
      </c>
      <c r="F18" s="23">
        <v>0</v>
      </c>
      <c r="G18" s="237">
        <v>500000</v>
      </c>
    </row>
    <row r="19" spans="1:7" ht="20.100000000000001" customHeight="1">
      <c r="A19" s="28">
        <v>14</v>
      </c>
      <c r="B19" s="156" t="s">
        <v>49</v>
      </c>
      <c r="C19" s="227" t="s">
        <v>50</v>
      </c>
      <c r="D19" s="181" t="s">
        <v>134</v>
      </c>
      <c r="E19" s="237">
        <v>500000</v>
      </c>
      <c r="F19" s="23">
        <v>0</v>
      </c>
      <c r="G19" s="237">
        <v>500000</v>
      </c>
    </row>
    <row r="20" spans="1:7" ht="20.100000000000001" customHeight="1">
      <c r="A20" s="28">
        <v>15</v>
      </c>
      <c r="B20" s="156" t="s">
        <v>55</v>
      </c>
      <c r="C20" s="226" t="s">
        <v>56</v>
      </c>
      <c r="D20" s="181" t="s">
        <v>636</v>
      </c>
      <c r="E20" s="237">
        <v>500000</v>
      </c>
      <c r="F20" s="237">
        <v>500000</v>
      </c>
      <c r="G20" s="23">
        <v>0</v>
      </c>
    </row>
    <row r="21" spans="1:7" ht="20.100000000000001" customHeight="1">
      <c r="A21" s="28">
        <v>16</v>
      </c>
      <c r="B21" s="157" t="s">
        <v>58</v>
      </c>
      <c r="C21" s="227" t="s">
        <v>59</v>
      </c>
      <c r="D21" s="181" t="s">
        <v>637</v>
      </c>
      <c r="E21" s="237">
        <v>500000</v>
      </c>
      <c r="F21" s="237">
        <v>500000</v>
      </c>
      <c r="G21" s="23">
        <v>0</v>
      </c>
    </row>
    <row r="22" spans="1:7" ht="20.100000000000001" customHeight="1">
      <c r="A22" s="28">
        <v>17</v>
      </c>
      <c r="B22" s="156" t="s">
        <v>202</v>
      </c>
      <c r="C22" s="226" t="s">
        <v>203</v>
      </c>
      <c r="D22" s="181" t="s">
        <v>63</v>
      </c>
      <c r="E22" s="237">
        <v>400000</v>
      </c>
      <c r="F22" s="237">
        <v>400000</v>
      </c>
      <c r="G22" s="23">
        <v>0</v>
      </c>
    </row>
    <row r="23" spans="1:7" ht="18.75" customHeight="1">
      <c r="A23" s="28">
        <v>18</v>
      </c>
      <c r="B23" s="156" t="s">
        <v>61</v>
      </c>
      <c r="C23" s="226" t="s">
        <v>62</v>
      </c>
      <c r="D23" s="181" t="s">
        <v>66</v>
      </c>
      <c r="E23" s="237">
        <v>400000</v>
      </c>
      <c r="F23" s="237">
        <v>400000</v>
      </c>
      <c r="G23" s="23">
        <v>0</v>
      </c>
    </row>
    <row r="24" spans="1:7" ht="18.75" customHeight="1">
      <c r="A24" s="28">
        <v>19</v>
      </c>
      <c r="B24" s="156" t="s">
        <v>200</v>
      </c>
      <c r="C24" s="227" t="s">
        <v>201</v>
      </c>
      <c r="D24" s="181" t="s">
        <v>66</v>
      </c>
      <c r="E24" s="237">
        <v>400000</v>
      </c>
      <c r="F24" s="237">
        <v>400000</v>
      </c>
      <c r="G24" s="23">
        <v>0</v>
      </c>
    </row>
    <row r="25" spans="1:7" ht="18.75" customHeight="1">
      <c r="A25" s="28">
        <v>20</v>
      </c>
      <c r="B25" s="157" t="s">
        <v>247</v>
      </c>
      <c r="C25" s="227" t="s">
        <v>577</v>
      </c>
      <c r="D25" s="181" t="s">
        <v>252</v>
      </c>
      <c r="E25" s="237">
        <v>300000</v>
      </c>
      <c r="F25" s="237">
        <v>300000</v>
      </c>
      <c r="G25" s="23">
        <v>0</v>
      </c>
    </row>
    <row r="26" spans="1:7" ht="18.75" customHeight="1">
      <c r="A26" s="28">
        <v>21</v>
      </c>
      <c r="B26" s="157" t="s">
        <v>561</v>
      </c>
      <c r="C26" s="226" t="s">
        <v>83</v>
      </c>
      <c r="D26" s="181" t="s">
        <v>154</v>
      </c>
      <c r="E26" s="237">
        <v>300000</v>
      </c>
      <c r="F26" s="237">
        <v>300000</v>
      </c>
      <c r="G26" s="23">
        <v>0</v>
      </c>
    </row>
    <row r="27" spans="1:7" ht="18.75" customHeight="1">
      <c r="A27" s="28">
        <v>22</v>
      </c>
      <c r="B27" s="20" t="s">
        <v>67</v>
      </c>
      <c r="C27" s="227" t="s">
        <v>68</v>
      </c>
      <c r="D27" s="28" t="s">
        <v>73</v>
      </c>
      <c r="E27" s="237">
        <v>300000</v>
      </c>
      <c r="F27" s="237">
        <v>300000</v>
      </c>
      <c r="G27" s="23">
        <v>0</v>
      </c>
    </row>
    <row r="28" spans="1:7" ht="18.75" customHeight="1">
      <c r="A28" s="28">
        <v>23</v>
      </c>
      <c r="B28" s="157" t="s">
        <v>70</v>
      </c>
      <c r="C28" s="226" t="s">
        <v>68</v>
      </c>
      <c r="D28" s="181" t="s">
        <v>73</v>
      </c>
      <c r="E28" s="237">
        <v>300000</v>
      </c>
      <c r="F28" s="237">
        <v>300000</v>
      </c>
      <c r="G28" s="23">
        <v>0</v>
      </c>
    </row>
    <row r="29" spans="1:7" ht="18.75" customHeight="1">
      <c r="A29" s="28">
        <v>24</v>
      </c>
      <c r="B29" s="156" t="s">
        <v>460</v>
      </c>
      <c r="C29" s="226" t="s">
        <v>461</v>
      </c>
      <c r="D29" s="181" t="s">
        <v>73</v>
      </c>
      <c r="E29" s="237">
        <v>300000</v>
      </c>
      <c r="F29" s="237">
        <v>300000</v>
      </c>
      <c r="G29" s="23">
        <v>0</v>
      </c>
    </row>
    <row r="30" spans="1:7" ht="18.75" customHeight="1">
      <c r="A30" s="28">
        <v>25</v>
      </c>
      <c r="B30" s="157" t="s">
        <v>71</v>
      </c>
      <c r="C30" s="226" t="s">
        <v>404</v>
      </c>
      <c r="D30" s="181" t="s">
        <v>640</v>
      </c>
      <c r="E30" s="237">
        <v>300000</v>
      </c>
      <c r="F30" s="237">
        <v>300000</v>
      </c>
      <c r="G30" s="23">
        <v>0</v>
      </c>
    </row>
    <row r="31" spans="1:7" ht="18.75" customHeight="1">
      <c r="A31" s="28">
        <v>26</v>
      </c>
      <c r="B31" s="156" t="s">
        <v>182</v>
      </c>
      <c r="C31" s="228" t="s">
        <v>579</v>
      </c>
      <c r="D31" s="181" t="s">
        <v>641</v>
      </c>
      <c r="E31" s="237">
        <v>300000</v>
      </c>
      <c r="F31" s="237">
        <v>300000</v>
      </c>
      <c r="G31" s="23">
        <v>0</v>
      </c>
    </row>
    <row r="32" spans="1:7" ht="18.75" customHeight="1">
      <c r="A32" s="28">
        <v>27</v>
      </c>
      <c r="B32" s="157" t="s">
        <v>74</v>
      </c>
      <c r="C32" s="227" t="s">
        <v>75</v>
      </c>
      <c r="D32" s="28" t="s">
        <v>641</v>
      </c>
      <c r="E32" s="237">
        <v>300000</v>
      </c>
      <c r="F32" s="237">
        <v>300000</v>
      </c>
      <c r="G32" s="23">
        <v>0</v>
      </c>
    </row>
    <row r="33" spans="1:7" ht="18.75" customHeight="1">
      <c r="A33" s="28">
        <v>28</v>
      </c>
      <c r="B33" s="157" t="s">
        <v>77</v>
      </c>
      <c r="C33" s="228" t="s">
        <v>78</v>
      </c>
      <c r="D33" s="181" t="s">
        <v>73</v>
      </c>
      <c r="E33" s="237">
        <v>300000</v>
      </c>
      <c r="F33" s="237">
        <v>300000</v>
      </c>
      <c r="G33" s="23">
        <v>0</v>
      </c>
    </row>
    <row r="34" spans="1:7" ht="18.75" customHeight="1">
      <c r="A34" s="28">
        <v>29</v>
      </c>
      <c r="B34" s="157" t="s">
        <v>701</v>
      </c>
      <c r="C34" s="228" t="s">
        <v>78</v>
      </c>
      <c r="D34" s="181" t="s">
        <v>85</v>
      </c>
      <c r="E34" s="237">
        <v>300000</v>
      </c>
      <c r="F34" s="237">
        <v>300000</v>
      </c>
      <c r="G34" s="23">
        <v>0</v>
      </c>
    </row>
    <row r="35" spans="1:7" ht="18.75" customHeight="1">
      <c r="A35" s="28">
        <v>30</v>
      </c>
      <c r="B35" s="157" t="s">
        <v>79</v>
      </c>
      <c r="C35" s="227" t="s">
        <v>580</v>
      </c>
      <c r="D35" s="28" t="s">
        <v>85</v>
      </c>
      <c r="E35" s="237">
        <v>300000</v>
      </c>
      <c r="F35" s="237">
        <v>300000</v>
      </c>
      <c r="G35" s="23">
        <v>0</v>
      </c>
    </row>
    <row r="36" spans="1:7" ht="18.75" customHeight="1">
      <c r="A36" s="28">
        <v>31</v>
      </c>
      <c r="B36" s="157" t="s">
        <v>82</v>
      </c>
      <c r="C36" s="226" t="s">
        <v>83</v>
      </c>
      <c r="D36" s="181" t="s">
        <v>85</v>
      </c>
      <c r="E36" s="237">
        <v>300000</v>
      </c>
      <c r="F36" s="237">
        <v>300000</v>
      </c>
      <c r="G36" s="23">
        <v>0</v>
      </c>
    </row>
    <row r="37" spans="1:7" ht="18.75" customHeight="1">
      <c r="A37" s="28">
        <v>32</v>
      </c>
      <c r="B37" s="157" t="s">
        <v>562</v>
      </c>
      <c r="C37" s="226" t="s">
        <v>83</v>
      </c>
      <c r="D37" s="181" t="s">
        <v>85</v>
      </c>
      <c r="E37" s="237">
        <v>300000</v>
      </c>
      <c r="F37" s="237">
        <v>300000</v>
      </c>
      <c r="G37" s="23">
        <v>0</v>
      </c>
    </row>
    <row r="38" spans="1:7" ht="26.25" customHeight="1">
      <c r="A38" s="28"/>
      <c r="B38" s="159" t="s">
        <v>86</v>
      </c>
      <c r="C38" s="229">
        <v>29</v>
      </c>
      <c r="D38" s="181"/>
      <c r="E38" s="238">
        <f>SUM(E6:E37)</f>
        <v>15700000</v>
      </c>
      <c r="F38" s="238">
        <f>SUM(F6:F37)</f>
        <v>6100000</v>
      </c>
      <c r="G38" s="238">
        <f t="shared" ref="G38" si="1">SUM(G6:G37)</f>
        <v>9600000</v>
      </c>
    </row>
    <row r="39" spans="1:7" ht="18.75" customHeight="1">
      <c r="A39" s="28"/>
      <c r="B39" s="123"/>
      <c r="C39" s="227"/>
      <c r="D39" s="181"/>
      <c r="E39" s="238"/>
      <c r="F39" s="237"/>
      <c r="G39" s="238"/>
    </row>
    <row r="40" spans="1:7" ht="18.75" customHeight="1">
      <c r="A40" s="28"/>
      <c r="B40" s="159" t="s">
        <v>87</v>
      </c>
      <c r="C40" s="227"/>
      <c r="D40" s="181"/>
      <c r="E40" s="237"/>
      <c r="F40" s="237"/>
      <c r="G40" s="237"/>
    </row>
    <row r="41" spans="1:7" ht="18.75" customHeight="1">
      <c r="A41" s="28">
        <v>1</v>
      </c>
      <c r="B41" s="157" t="s">
        <v>88</v>
      </c>
      <c r="C41" s="227" t="s">
        <v>89</v>
      </c>
      <c r="D41" s="28" t="s">
        <v>643</v>
      </c>
      <c r="E41" s="237">
        <v>1000000</v>
      </c>
      <c r="F41" s="23">
        <v>0</v>
      </c>
      <c r="G41" s="237">
        <v>1000000</v>
      </c>
    </row>
    <row r="42" spans="1:7" ht="18.75" customHeight="1">
      <c r="A42" s="28">
        <v>2</v>
      </c>
      <c r="B42" s="157" t="s">
        <v>91</v>
      </c>
      <c r="C42" s="227" t="s">
        <v>92</v>
      </c>
      <c r="D42" s="28" t="s">
        <v>85</v>
      </c>
      <c r="E42" s="237">
        <v>300000</v>
      </c>
      <c r="F42" s="237">
        <v>300000</v>
      </c>
      <c r="G42" s="23">
        <v>0</v>
      </c>
    </row>
    <row r="43" spans="1:7" ht="19.5" customHeight="1">
      <c r="A43" s="28"/>
      <c r="B43" s="158"/>
      <c r="C43" s="229">
        <v>2</v>
      </c>
      <c r="D43" s="28"/>
      <c r="E43" s="238">
        <f>SUM(E41:E42)</f>
        <v>1300000</v>
      </c>
      <c r="F43" s="238">
        <f t="shared" ref="F43:G43" si="2">SUM(F41:F42)</f>
        <v>300000</v>
      </c>
      <c r="G43" s="238">
        <f t="shared" si="2"/>
        <v>1000000</v>
      </c>
    </row>
    <row r="44" spans="1:7" ht="20.100000000000001" customHeight="1">
      <c r="A44" s="28"/>
      <c r="B44" s="158"/>
      <c r="C44" s="227"/>
      <c r="D44" s="28"/>
      <c r="E44" s="237"/>
      <c r="F44" s="237"/>
      <c r="G44" s="237"/>
    </row>
    <row r="45" spans="1:7" ht="20.100000000000001" customHeight="1">
      <c r="A45" s="28"/>
      <c r="B45" s="185" t="s">
        <v>96</v>
      </c>
      <c r="C45" s="230"/>
      <c r="D45" s="174"/>
      <c r="E45" s="237"/>
      <c r="F45" s="237"/>
      <c r="G45" s="237"/>
    </row>
    <row r="46" spans="1:7" ht="20.100000000000001" customHeight="1">
      <c r="A46" s="28">
        <v>1</v>
      </c>
      <c r="B46" s="156" t="s">
        <v>97</v>
      </c>
      <c r="C46" s="227" t="s">
        <v>98</v>
      </c>
      <c r="D46" s="28" t="s">
        <v>90</v>
      </c>
      <c r="E46" s="237">
        <v>1000000</v>
      </c>
      <c r="F46" s="23">
        <v>0</v>
      </c>
      <c r="G46" s="237">
        <v>1000000</v>
      </c>
    </row>
    <row r="47" spans="1:7" ht="20.100000000000001" customHeight="1">
      <c r="A47" s="28">
        <v>2</v>
      </c>
      <c r="B47" s="156" t="s">
        <v>99</v>
      </c>
      <c r="C47" s="227" t="s">
        <v>100</v>
      </c>
      <c r="D47" s="28" t="s">
        <v>45</v>
      </c>
      <c r="E47" s="237">
        <v>700000</v>
      </c>
      <c r="F47" s="23">
        <v>0</v>
      </c>
      <c r="G47" s="237">
        <v>700000</v>
      </c>
    </row>
    <row r="48" spans="1:7" ht="20.100000000000001" customHeight="1">
      <c r="A48" s="28">
        <v>3</v>
      </c>
      <c r="B48" s="156" t="s">
        <v>101</v>
      </c>
      <c r="C48" s="227" t="s">
        <v>102</v>
      </c>
      <c r="D48" s="28" t="s">
        <v>45</v>
      </c>
      <c r="E48" s="237">
        <v>700000</v>
      </c>
      <c r="F48" s="23">
        <v>0</v>
      </c>
      <c r="G48" s="237">
        <v>700000</v>
      </c>
    </row>
    <row r="49" spans="1:7" ht="20.100000000000001" customHeight="1">
      <c r="A49" s="28">
        <v>4</v>
      </c>
      <c r="B49" s="156" t="s">
        <v>103</v>
      </c>
      <c r="C49" s="227" t="s">
        <v>102</v>
      </c>
      <c r="D49" s="28" t="s">
        <v>105</v>
      </c>
      <c r="E49" s="237">
        <v>700000</v>
      </c>
      <c r="F49" s="23">
        <v>0</v>
      </c>
      <c r="G49" s="237">
        <v>700000</v>
      </c>
    </row>
    <row r="50" spans="1:7" ht="20.100000000000001" customHeight="1">
      <c r="A50" s="28">
        <v>5</v>
      </c>
      <c r="B50" s="156" t="s">
        <v>104</v>
      </c>
      <c r="C50" s="227" t="s">
        <v>102</v>
      </c>
      <c r="D50" s="28" t="s">
        <v>48</v>
      </c>
      <c r="E50" s="237">
        <v>700000</v>
      </c>
      <c r="F50" s="23">
        <v>0</v>
      </c>
      <c r="G50" s="237">
        <v>700000</v>
      </c>
    </row>
    <row r="51" spans="1:7" ht="20.100000000000001" customHeight="1">
      <c r="A51" s="28">
        <v>6</v>
      </c>
      <c r="B51" s="156" t="s">
        <v>106</v>
      </c>
      <c r="C51" s="227" t="s">
        <v>107</v>
      </c>
      <c r="D51" s="28" t="s">
        <v>134</v>
      </c>
      <c r="E51" s="237">
        <v>500000</v>
      </c>
      <c r="F51" s="23">
        <v>0</v>
      </c>
      <c r="G51" s="237">
        <v>500000</v>
      </c>
    </row>
    <row r="52" spans="1:7" ht="20.100000000000001" customHeight="1">
      <c r="A52" s="28">
        <v>7</v>
      </c>
      <c r="B52" s="158" t="s">
        <v>108</v>
      </c>
      <c r="C52" s="227" t="s">
        <v>109</v>
      </c>
      <c r="D52" s="24" t="s">
        <v>134</v>
      </c>
      <c r="E52" s="237">
        <v>500000</v>
      </c>
      <c r="F52" s="23">
        <v>0</v>
      </c>
      <c r="G52" s="237">
        <v>500000</v>
      </c>
    </row>
    <row r="53" spans="1:7" ht="20.100000000000001" customHeight="1">
      <c r="A53" s="28">
        <v>8</v>
      </c>
      <c r="B53" s="156" t="s">
        <v>464</v>
      </c>
      <c r="C53" s="227" t="s">
        <v>109</v>
      </c>
      <c r="D53" s="28" t="s">
        <v>111</v>
      </c>
      <c r="E53" s="237">
        <v>500000</v>
      </c>
      <c r="F53" s="23">
        <v>0</v>
      </c>
      <c r="G53" s="237">
        <v>500000</v>
      </c>
    </row>
    <row r="54" spans="1:7" ht="20.100000000000001" customHeight="1">
      <c r="A54" s="28">
        <v>9</v>
      </c>
      <c r="B54" s="156" t="s">
        <v>110</v>
      </c>
      <c r="C54" s="227" t="s">
        <v>164</v>
      </c>
      <c r="D54" s="28" t="s">
        <v>57</v>
      </c>
      <c r="E54" s="237">
        <v>500000</v>
      </c>
      <c r="F54" s="237">
        <v>500000</v>
      </c>
      <c r="G54" s="23">
        <v>0</v>
      </c>
    </row>
    <row r="55" spans="1:7" ht="20.100000000000001" customHeight="1">
      <c r="A55" s="28">
        <v>10</v>
      </c>
      <c r="B55" s="156" t="s">
        <v>114</v>
      </c>
      <c r="C55" s="227" t="s">
        <v>113</v>
      </c>
      <c r="D55" s="28" t="s">
        <v>73</v>
      </c>
      <c r="E55" s="237">
        <v>300000</v>
      </c>
      <c r="F55" s="237">
        <v>300000</v>
      </c>
      <c r="G55" s="23">
        <v>0</v>
      </c>
    </row>
    <row r="56" spans="1:7" ht="20.100000000000001" customHeight="1">
      <c r="A56" s="28">
        <v>11</v>
      </c>
      <c r="B56" s="156" t="s">
        <v>115</v>
      </c>
      <c r="C56" s="227" t="s">
        <v>113</v>
      </c>
      <c r="D56" s="28" t="s">
        <v>73</v>
      </c>
      <c r="E56" s="237">
        <v>300000</v>
      </c>
      <c r="F56" s="237">
        <v>300000</v>
      </c>
      <c r="G56" s="23">
        <v>0</v>
      </c>
    </row>
    <row r="57" spans="1:7" ht="20.100000000000001" customHeight="1">
      <c r="A57" s="28">
        <v>12</v>
      </c>
      <c r="B57" s="156" t="s">
        <v>116</v>
      </c>
      <c r="C57" s="227" t="s">
        <v>113</v>
      </c>
      <c r="D57" s="28" t="s">
        <v>73</v>
      </c>
      <c r="E57" s="237">
        <v>300000</v>
      </c>
      <c r="F57" s="237">
        <v>300000</v>
      </c>
      <c r="G57" s="23">
        <v>0</v>
      </c>
    </row>
    <row r="58" spans="1:7" ht="25.5" customHeight="1">
      <c r="A58" s="28"/>
      <c r="B58" s="159" t="s">
        <v>86</v>
      </c>
      <c r="C58" s="229">
        <v>11</v>
      </c>
      <c r="D58" s="29"/>
      <c r="E58" s="239">
        <f>SUM(E46:E57)</f>
        <v>6700000</v>
      </c>
      <c r="F58" s="239">
        <f t="shared" ref="F58:G58" si="3">SUM(F46:F57)</f>
        <v>1400000</v>
      </c>
      <c r="G58" s="239">
        <f t="shared" si="3"/>
        <v>5300000</v>
      </c>
    </row>
    <row r="59" spans="1:7" ht="20.100000000000001" customHeight="1">
      <c r="A59" s="28"/>
      <c r="B59" s="123"/>
      <c r="C59" s="229"/>
      <c r="D59" s="29"/>
      <c r="E59" s="240"/>
      <c r="F59" s="240"/>
      <c r="G59" s="240"/>
    </row>
    <row r="60" spans="1:7" ht="20.100000000000001" customHeight="1">
      <c r="A60" s="28"/>
      <c r="B60" s="159" t="s">
        <v>117</v>
      </c>
      <c r="C60" s="229"/>
      <c r="D60" s="29"/>
      <c r="E60" s="240"/>
      <c r="F60" s="240"/>
      <c r="G60" s="240"/>
    </row>
    <row r="61" spans="1:7" ht="20.100000000000001" customHeight="1">
      <c r="A61" s="28">
        <v>1</v>
      </c>
      <c r="B61" s="156" t="s">
        <v>118</v>
      </c>
      <c r="C61" s="226" t="s">
        <v>119</v>
      </c>
      <c r="D61" s="181" t="s">
        <v>90</v>
      </c>
      <c r="E61" s="237">
        <f>1000000/2</f>
        <v>500000</v>
      </c>
      <c r="F61" s="23">
        <v>0</v>
      </c>
      <c r="G61" s="237">
        <f t="shared" ref="G61" si="4">1000000/2</f>
        <v>500000</v>
      </c>
    </row>
    <row r="62" spans="1:7" ht="20.100000000000001" customHeight="1">
      <c r="A62" s="28"/>
      <c r="B62" s="159" t="s">
        <v>86</v>
      </c>
      <c r="C62" s="229">
        <v>2</v>
      </c>
      <c r="D62" s="29"/>
      <c r="E62" s="239">
        <f>SUM(E61)</f>
        <v>500000</v>
      </c>
      <c r="F62" s="68">
        <f t="shared" ref="F62:G62" si="5">SUM(F61)</f>
        <v>0</v>
      </c>
      <c r="G62" s="239">
        <f t="shared" si="5"/>
        <v>500000</v>
      </c>
    </row>
    <row r="63" spans="1:7" ht="20.100000000000001" customHeight="1">
      <c r="A63" s="28"/>
      <c r="B63" s="159"/>
      <c r="C63" s="229"/>
      <c r="D63" s="29"/>
      <c r="E63" s="240"/>
      <c r="F63" s="240"/>
      <c r="G63" s="240"/>
    </row>
    <row r="64" spans="1:7" ht="20.100000000000001" customHeight="1">
      <c r="A64" s="28"/>
      <c r="B64" s="159" t="s">
        <v>123</v>
      </c>
      <c r="C64" s="229"/>
      <c r="D64" s="29"/>
      <c r="E64" s="240"/>
      <c r="F64" s="240"/>
      <c r="G64" s="240"/>
    </row>
    <row r="65" spans="1:7" ht="20.100000000000001" customHeight="1">
      <c r="A65" s="28">
        <v>1</v>
      </c>
      <c r="B65" s="156" t="s">
        <v>124</v>
      </c>
      <c r="C65" s="228" t="s">
        <v>125</v>
      </c>
      <c r="D65" s="28" t="s">
        <v>90</v>
      </c>
      <c r="E65" s="241">
        <f>1000000/2</f>
        <v>500000</v>
      </c>
      <c r="F65" s="25">
        <v>0</v>
      </c>
      <c r="G65" s="241">
        <f t="shared" ref="G65" si="6">1000000/2</f>
        <v>500000</v>
      </c>
    </row>
    <row r="66" spans="1:7" ht="20.100000000000001" customHeight="1">
      <c r="A66" s="28">
        <v>2</v>
      </c>
      <c r="B66" s="157" t="s">
        <v>126</v>
      </c>
      <c r="C66" s="228" t="s">
        <v>127</v>
      </c>
      <c r="D66" s="181" t="s">
        <v>128</v>
      </c>
      <c r="E66" s="237">
        <f>700000/2</f>
        <v>350000</v>
      </c>
      <c r="F66" s="25">
        <v>0</v>
      </c>
      <c r="G66" s="237">
        <f t="shared" ref="G66" si="7">700000/2</f>
        <v>350000</v>
      </c>
    </row>
    <row r="67" spans="1:7" ht="20.100000000000001" customHeight="1">
      <c r="A67" s="28">
        <v>3</v>
      </c>
      <c r="B67" s="156" t="s">
        <v>129</v>
      </c>
      <c r="C67" s="227" t="s">
        <v>131</v>
      </c>
      <c r="D67" s="28" t="s">
        <v>57</v>
      </c>
      <c r="E67" s="241">
        <v>500000</v>
      </c>
      <c r="F67" s="241">
        <v>500000</v>
      </c>
      <c r="G67" s="25">
        <v>0</v>
      </c>
    </row>
    <row r="68" spans="1:7" ht="20.100000000000001" customHeight="1">
      <c r="A68" s="28">
        <v>4</v>
      </c>
      <c r="B68" s="157" t="s">
        <v>130</v>
      </c>
      <c r="C68" s="228" t="s">
        <v>131</v>
      </c>
      <c r="D68" s="181" t="s">
        <v>636</v>
      </c>
      <c r="E68" s="241">
        <v>500000</v>
      </c>
      <c r="F68" s="241">
        <v>500000</v>
      </c>
      <c r="G68" s="25">
        <v>0</v>
      </c>
    </row>
    <row r="69" spans="1:7" ht="20.100000000000001" customHeight="1">
      <c r="A69" s="28">
        <v>5</v>
      </c>
      <c r="B69" s="158" t="s">
        <v>132</v>
      </c>
      <c r="C69" s="228" t="s">
        <v>109</v>
      </c>
      <c r="D69" s="181" t="s">
        <v>134</v>
      </c>
      <c r="E69" s="241">
        <v>500000</v>
      </c>
      <c r="F69" s="25">
        <v>0</v>
      </c>
      <c r="G69" s="241">
        <v>500000</v>
      </c>
    </row>
    <row r="70" spans="1:7" ht="20.100000000000001" customHeight="1">
      <c r="A70" s="28">
        <v>6</v>
      </c>
      <c r="B70" s="156" t="s">
        <v>135</v>
      </c>
      <c r="C70" s="227" t="s">
        <v>113</v>
      </c>
      <c r="D70" s="28" t="s">
        <v>645</v>
      </c>
      <c r="E70" s="237">
        <v>300000</v>
      </c>
      <c r="F70" s="241">
        <v>300000</v>
      </c>
      <c r="G70" s="25">
        <v>0</v>
      </c>
    </row>
    <row r="71" spans="1:7" ht="20.100000000000001" customHeight="1">
      <c r="A71" s="28">
        <v>7</v>
      </c>
      <c r="B71" s="156" t="s">
        <v>198</v>
      </c>
      <c r="C71" s="228" t="s">
        <v>137</v>
      </c>
      <c r="D71" s="181" t="s">
        <v>63</v>
      </c>
      <c r="E71" s="237">
        <v>400000</v>
      </c>
      <c r="F71" s="241">
        <v>400000</v>
      </c>
      <c r="G71" s="23">
        <v>0</v>
      </c>
    </row>
    <row r="72" spans="1:7" ht="20.100000000000001" customHeight="1">
      <c r="A72" s="28">
        <v>8</v>
      </c>
      <c r="B72" s="156" t="s">
        <v>136</v>
      </c>
      <c r="C72" s="228" t="s">
        <v>137</v>
      </c>
      <c r="D72" s="181" t="s">
        <v>66</v>
      </c>
      <c r="E72" s="237">
        <v>400000</v>
      </c>
      <c r="F72" s="241">
        <v>400000</v>
      </c>
      <c r="G72" s="23">
        <v>0</v>
      </c>
    </row>
    <row r="73" spans="1:7" ht="20.100000000000001" customHeight="1">
      <c r="A73" s="28">
        <v>9</v>
      </c>
      <c r="B73" s="156" t="s">
        <v>138</v>
      </c>
      <c r="C73" s="228" t="s">
        <v>137</v>
      </c>
      <c r="D73" s="181" t="s">
        <v>66</v>
      </c>
      <c r="E73" s="237">
        <v>400000</v>
      </c>
      <c r="F73" s="241">
        <v>400000</v>
      </c>
      <c r="G73" s="23">
        <v>0</v>
      </c>
    </row>
    <row r="74" spans="1:7" ht="20.100000000000001" customHeight="1">
      <c r="A74" s="28">
        <v>10</v>
      </c>
      <c r="B74" s="156" t="s">
        <v>139</v>
      </c>
      <c r="C74" s="227" t="s">
        <v>140</v>
      </c>
      <c r="D74" s="28" t="s">
        <v>66</v>
      </c>
      <c r="E74" s="237">
        <v>400000</v>
      </c>
      <c r="F74" s="241">
        <v>400000</v>
      </c>
      <c r="G74" s="23">
        <v>0</v>
      </c>
    </row>
    <row r="75" spans="1:7" ht="20.100000000000001" customHeight="1">
      <c r="A75" s="28">
        <v>11</v>
      </c>
      <c r="B75" s="156" t="s">
        <v>563</v>
      </c>
      <c r="C75" s="228" t="s">
        <v>113</v>
      </c>
      <c r="D75" s="28" t="s">
        <v>95</v>
      </c>
      <c r="E75" s="237">
        <v>300000</v>
      </c>
      <c r="F75" s="241">
        <v>300000</v>
      </c>
      <c r="G75" s="23">
        <v>0</v>
      </c>
    </row>
    <row r="76" spans="1:7" ht="20.100000000000001" customHeight="1">
      <c r="A76" s="28">
        <v>12</v>
      </c>
      <c r="B76" s="156" t="s">
        <v>142</v>
      </c>
      <c r="C76" s="228" t="s">
        <v>65</v>
      </c>
      <c r="D76" s="28" t="s">
        <v>73</v>
      </c>
      <c r="E76" s="237">
        <v>300000</v>
      </c>
      <c r="F76" s="241">
        <v>300000</v>
      </c>
      <c r="G76" s="23">
        <v>0</v>
      </c>
    </row>
    <row r="77" spans="1:7" ht="20.100000000000001" customHeight="1">
      <c r="A77" s="28">
        <v>13</v>
      </c>
      <c r="B77" s="158" t="s">
        <v>64</v>
      </c>
      <c r="C77" s="228" t="s">
        <v>65</v>
      </c>
      <c r="D77" s="28" t="s">
        <v>85</v>
      </c>
      <c r="E77" s="237">
        <v>300000</v>
      </c>
      <c r="F77" s="237">
        <v>300000</v>
      </c>
      <c r="G77" s="23">
        <v>0</v>
      </c>
    </row>
    <row r="78" spans="1:7" ht="20.100000000000001" customHeight="1">
      <c r="A78" s="28"/>
      <c r="B78" s="159" t="s">
        <v>86</v>
      </c>
      <c r="C78" s="229">
        <v>13</v>
      </c>
      <c r="D78" s="29"/>
      <c r="E78" s="239">
        <f>SUM(E65:E77)</f>
        <v>5150000</v>
      </c>
      <c r="F78" s="239">
        <f t="shared" ref="F78:G78" si="8">SUM(F65:F77)</f>
        <v>3800000</v>
      </c>
      <c r="G78" s="239">
        <f t="shared" si="8"/>
        <v>1350000</v>
      </c>
    </row>
    <row r="79" spans="1:7" ht="20.100000000000001" customHeight="1">
      <c r="A79" s="28"/>
      <c r="B79" s="123"/>
      <c r="C79" s="229"/>
      <c r="D79" s="29"/>
      <c r="E79" s="240"/>
      <c r="F79" s="240"/>
      <c r="G79" s="240"/>
    </row>
    <row r="80" spans="1:7" ht="20.100000000000001" customHeight="1">
      <c r="A80" s="28"/>
      <c r="B80" s="159" t="s">
        <v>143</v>
      </c>
      <c r="C80" s="229"/>
      <c r="D80" s="29"/>
      <c r="E80" s="240"/>
      <c r="F80" s="240"/>
      <c r="G80" s="240"/>
    </row>
    <row r="81" spans="1:7" ht="20.100000000000001" customHeight="1">
      <c r="A81" s="28">
        <v>1</v>
      </c>
      <c r="B81" s="156" t="s">
        <v>144</v>
      </c>
      <c r="C81" s="227" t="s">
        <v>145</v>
      </c>
      <c r="D81" s="28" t="s">
        <v>90</v>
      </c>
      <c r="E81" s="237">
        <v>1000000</v>
      </c>
      <c r="F81" s="23">
        <v>0</v>
      </c>
      <c r="G81" s="237">
        <v>1000000</v>
      </c>
    </row>
    <row r="82" spans="1:7" ht="20.100000000000001" customHeight="1">
      <c r="A82" s="28">
        <v>2</v>
      </c>
      <c r="B82" s="158" t="s">
        <v>146</v>
      </c>
      <c r="C82" s="227" t="s">
        <v>147</v>
      </c>
      <c r="D82" s="181" t="s">
        <v>128</v>
      </c>
      <c r="E82" s="237">
        <v>700000</v>
      </c>
      <c r="F82" s="23">
        <v>0</v>
      </c>
      <c r="G82" s="237">
        <v>700000</v>
      </c>
    </row>
    <row r="83" spans="1:7" ht="20.100000000000001" customHeight="1">
      <c r="A83" s="28">
        <v>3</v>
      </c>
      <c r="B83" s="158" t="s">
        <v>564</v>
      </c>
      <c r="C83" s="227" t="s">
        <v>565</v>
      </c>
      <c r="D83" s="181" t="s">
        <v>128</v>
      </c>
      <c r="E83" s="237">
        <f>700000/2</f>
        <v>350000</v>
      </c>
      <c r="F83" s="23">
        <v>0</v>
      </c>
      <c r="G83" s="237">
        <f t="shared" ref="G83" si="9">700000/2</f>
        <v>350000</v>
      </c>
    </row>
    <row r="84" spans="1:7" ht="20.100000000000001" customHeight="1">
      <c r="A84" s="28">
        <v>4</v>
      </c>
      <c r="B84" s="156" t="s">
        <v>150</v>
      </c>
      <c r="C84" s="227" t="s">
        <v>406</v>
      </c>
      <c r="D84" s="181" t="s">
        <v>57</v>
      </c>
      <c r="E84" s="237">
        <v>500000</v>
      </c>
      <c r="F84" s="237">
        <v>500000</v>
      </c>
      <c r="G84" s="23">
        <v>0</v>
      </c>
    </row>
    <row r="85" spans="1:7" ht="20.100000000000001" customHeight="1">
      <c r="A85" s="28">
        <v>5</v>
      </c>
      <c r="B85" s="156" t="s">
        <v>152</v>
      </c>
      <c r="C85" s="227" t="s">
        <v>153</v>
      </c>
      <c r="D85" s="28" t="s">
        <v>95</v>
      </c>
      <c r="E85" s="237">
        <v>300000</v>
      </c>
      <c r="F85" s="237">
        <v>300000</v>
      </c>
      <c r="G85" s="23">
        <v>0</v>
      </c>
    </row>
    <row r="86" spans="1:7" ht="20.100000000000001" customHeight="1">
      <c r="A86" s="28"/>
      <c r="B86" s="159" t="s">
        <v>86</v>
      </c>
      <c r="C86" s="229">
        <v>5</v>
      </c>
      <c r="D86" s="29"/>
      <c r="E86" s="239">
        <f>SUM(E81:E85)</f>
        <v>2850000</v>
      </c>
      <c r="F86" s="239">
        <f>SUM(F81:F85)</f>
        <v>800000</v>
      </c>
      <c r="G86" s="239">
        <f t="shared" ref="G86" si="10">SUM(G81:G85)</f>
        <v>2050000</v>
      </c>
    </row>
    <row r="87" spans="1:7" ht="20.100000000000001" customHeight="1">
      <c r="A87" s="28"/>
      <c r="B87" s="159"/>
      <c r="C87" s="229"/>
      <c r="D87" s="29"/>
      <c r="E87" s="237"/>
      <c r="F87" s="237"/>
      <c r="G87" s="237"/>
    </row>
    <row r="88" spans="1:7" ht="20.100000000000001" customHeight="1">
      <c r="A88" s="28"/>
      <c r="B88" s="159" t="s">
        <v>158</v>
      </c>
      <c r="C88" s="231"/>
      <c r="D88" s="29"/>
      <c r="E88" s="237"/>
      <c r="F88" s="237"/>
      <c r="G88" s="237"/>
    </row>
    <row r="89" spans="1:7" ht="20.100000000000001" customHeight="1">
      <c r="A89" s="28">
        <v>1</v>
      </c>
      <c r="B89" s="156" t="s">
        <v>648</v>
      </c>
      <c r="C89" s="227" t="s">
        <v>583</v>
      </c>
      <c r="D89" s="28" t="s">
        <v>36</v>
      </c>
      <c r="E89" s="237">
        <v>700000</v>
      </c>
      <c r="F89" s="23">
        <v>0</v>
      </c>
      <c r="G89" s="237">
        <v>700000</v>
      </c>
    </row>
    <row r="90" spans="1:7" ht="20.100000000000001" customHeight="1">
      <c r="A90" s="28">
        <v>2</v>
      </c>
      <c r="B90" s="156" t="s">
        <v>159</v>
      </c>
      <c r="C90" s="227" t="s">
        <v>102</v>
      </c>
      <c r="D90" s="28" t="s">
        <v>45</v>
      </c>
      <c r="E90" s="237">
        <v>700000</v>
      </c>
      <c r="F90" s="23">
        <v>0</v>
      </c>
      <c r="G90" s="237">
        <v>700000</v>
      </c>
    </row>
    <row r="91" spans="1:7" ht="20.100000000000001" customHeight="1">
      <c r="A91" s="28">
        <v>3</v>
      </c>
      <c r="B91" s="156" t="s">
        <v>160</v>
      </c>
      <c r="C91" s="227" t="s">
        <v>102</v>
      </c>
      <c r="D91" s="28" t="s">
        <v>45</v>
      </c>
      <c r="E91" s="237">
        <v>700000</v>
      </c>
      <c r="F91" s="23">
        <v>0</v>
      </c>
      <c r="G91" s="237">
        <v>700000</v>
      </c>
    </row>
    <row r="92" spans="1:7" ht="20.100000000000001" customHeight="1">
      <c r="A92" s="28">
        <v>4</v>
      </c>
      <c r="B92" s="158" t="s">
        <v>161</v>
      </c>
      <c r="C92" s="227" t="s">
        <v>109</v>
      </c>
      <c r="D92" s="28" t="s">
        <v>51</v>
      </c>
      <c r="E92" s="241">
        <v>500000</v>
      </c>
      <c r="F92" s="23">
        <v>0</v>
      </c>
      <c r="G92" s="241">
        <v>500000</v>
      </c>
    </row>
    <row r="93" spans="1:7" ht="20.100000000000001" customHeight="1">
      <c r="A93" s="28">
        <v>5</v>
      </c>
      <c r="B93" s="156" t="s">
        <v>162</v>
      </c>
      <c r="C93" s="227" t="s">
        <v>107</v>
      </c>
      <c r="D93" s="28" t="s">
        <v>134</v>
      </c>
      <c r="E93" s="241">
        <v>500000</v>
      </c>
      <c r="F93" s="23">
        <v>0</v>
      </c>
      <c r="G93" s="241">
        <v>500000</v>
      </c>
    </row>
    <row r="94" spans="1:7" ht="21.6" customHeight="1">
      <c r="A94" s="28">
        <v>6</v>
      </c>
      <c r="B94" s="156" t="s">
        <v>163</v>
      </c>
      <c r="C94" s="227" t="s">
        <v>164</v>
      </c>
      <c r="D94" s="181" t="s">
        <v>57</v>
      </c>
      <c r="E94" s="241">
        <v>500000</v>
      </c>
      <c r="F94" s="237">
        <v>500000</v>
      </c>
      <c r="G94" s="25">
        <v>0</v>
      </c>
    </row>
    <row r="95" spans="1:7" ht="21.6" customHeight="1">
      <c r="A95" s="28">
        <v>7</v>
      </c>
      <c r="B95" s="156" t="s">
        <v>166</v>
      </c>
      <c r="C95" s="226" t="s">
        <v>131</v>
      </c>
      <c r="D95" s="181" t="s">
        <v>636</v>
      </c>
      <c r="E95" s="241">
        <v>500000</v>
      </c>
      <c r="F95" s="237">
        <v>500000</v>
      </c>
      <c r="G95" s="25">
        <v>0</v>
      </c>
    </row>
    <row r="96" spans="1:7" ht="21.6" customHeight="1">
      <c r="A96" s="28">
        <v>8</v>
      </c>
      <c r="B96" s="156" t="s">
        <v>167</v>
      </c>
      <c r="C96" s="226" t="s">
        <v>131</v>
      </c>
      <c r="D96" s="181" t="s">
        <v>636</v>
      </c>
      <c r="E96" s="241">
        <f>500000/2</f>
        <v>250000</v>
      </c>
      <c r="F96" s="241">
        <f>500000/2</f>
        <v>250000</v>
      </c>
      <c r="G96" s="25">
        <v>0</v>
      </c>
    </row>
    <row r="97" spans="1:7" ht="21.6" customHeight="1">
      <c r="A97" s="28">
        <v>9</v>
      </c>
      <c r="B97" s="156" t="s">
        <v>169</v>
      </c>
      <c r="C97" s="228" t="s">
        <v>137</v>
      </c>
      <c r="D97" s="181" t="s">
        <v>66</v>
      </c>
      <c r="E97" s="237">
        <v>400000</v>
      </c>
      <c r="F97" s="237">
        <v>400000</v>
      </c>
      <c r="G97" s="25">
        <v>0</v>
      </c>
    </row>
    <row r="98" spans="1:7" ht="21.6" customHeight="1">
      <c r="A98" s="28">
        <v>10</v>
      </c>
      <c r="B98" s="156" t="s">
        <v>171</v>
      </c>
      <c r="C98" s="227" t="s">
        <v>172</v>
      </c>
      <c r="D98" s="28" t="s">
        <v>95</v>
      </c>
      <c r="E98" s="237">
        <v>300000</v>
      </c>
      <c r="F98" s="237">
        <v>300000</v>
      </c>
      <c r="G98" s="25">
        <v>0</v>
      </c>
    </row>
    <row r="99" spans="1:7" ht="21.6" customHeight="1">
      <c r="A99" s="28">
        <v>11</v>
      </c>
      <c r="B99" s="156" t="s">
        <v>173</v>
      </c>
      <c r="C99" s="228" t="s">
        <v>174</v>
      </c>
      <c r="D99" s="181" t="s">
        <v>85</v>
      </c>
      <c r="E99" s="237">
        <v>300000</v>
      </c>
      <c r="F99" s="237">
        <v>300000</v>
      </c>
      <c r="G99" s="25">
        <v>0</v>
      </c>
    </row>
    <row r="100" spans="1:7" ht="20.100000000000001" customHeight="1">
      <c r="A100" s="28"/>
      <c r="B100" s="159" t="s">
        <v>86</v>
      </c>
      <c r="C100" s="229">
        <v>10</v>
      </c>
      <c r="D100" s="29"/>
      <c r="E100" s="239">
        <f>SUM(E89:E99)</f>
        <v>5350000</v>
      </c>
      <c r="F100" s="239">
        <f t="shared" ref="F100:G100" si="11">SUM(F89:F99)</f>
        <v>2250000</v>
      </c>
      <c r="G100" s="239">
        <f t="shared" si="11"/>
        <v>3100000</v>
      </c>
    </row>
    <row r="101" spans="1:7" ht="20.100000000000001" customHeight="1">
      <c r="A101" s="28"/>
      <c r="B101" s="123"/>
      <c r="C101" s="229"/>
      <c r="D101" s="29"/>
      <c r="E101" s="240"/>
      <c r="F101" s="240"/>
      <c r="G101" s="240"/>
    </row>
    <row r="102" spans="1:7" ht="20.100000000000001" customHeight="1">
      <c r="A102" s="28"/>
      <c r="B102" s="159" t="s">
        <v>702</v>
      </c>
      <c r="C102" s="229"/>
      <c r="D102" s="29"/>
      <c r="E102" s="240"/>
      <c r="F102" s="240"/>
      <c r="G102" s="240"/>
    </row>
    <row r="103" spans="1:7" ht="20.100000000000001" customHeight="1">
      <c r="A103" s="28">
        <v>1</v>
      </c>
      <c r="B103" s="157" t="s">
        <v>41</v>
      </c>
      <c r="C103" s="232" t="s">
        <v>42</v>
      </c>
      <c r="D103" s="181" t="s">
        <v>36</v>
      </c>
      <c r="E103" s="237">
        <v>700000</v>
      </c>
      <c r="F103" s="23">
        <v>0</v>
      </c>
      <c r="G103" s="237">
        <v>700000</v>
      </c>
    </row>
    <row r="104" spans="1:7" ht="20.100000000000001" customHeight="1">
      <c r="A104" s="28">
        <v>2</v>
      </c>
      <c r="B104" s="156" t="s">
        <v>46</v>
      </c>
      <c r="C104" s="227" t="s">
        <v>179</v>
      </c>
      <c r="D104" s="28" t="s">
        <v>134</v>
      </c>
      <c r="E104" s="237">
        <v>500000</v>
      </c>
      <c r="F104" s="23">
        <v>0</v>
      </c>
      <c r="G104" s="237">
        <v>500000</v>
      </c>
    </row>
    <row r="105" spans="1:7" ht="20.100000000000001" customHeight="1">
      <c r="A105" s="28">
        <v>3</v>
      </c>
      <c r="B105" s="157" t="s">
        <v>584</v>
      </c>
      <c r="C105" s="227" t="s">
        <v>585</v>
      </c>
      <c r="D105" s="181" t="s">
        <v>636</v>
      </c>
      <c r="E105" s="237">
        <v>500000</v>
      </c>
      <c r="F105" s="237">
        <v>500000</v>
      </c>
      <c r="G105" s="23">
        <v>0</v>
      </c>
    </row>
    <row r="106" spans="1:7" ht="20.100000000000001" customHeight="1">
      <c r="A106" s="28">
        <v>4</v>
      </c>
      <c r="B106" s="156" t="s">
        <v>180</v>
      </c>
      <c r="C106" s="227" t="s">
        <v>181</v>
      </c>
      <c r="D106" s="181" t="s">
        <v>66</v>
      </c>
      <c r="E106" s="237">
        <v>400000</v>
      </c>
      <c r="F106" s="237">
        <v>400000</v>
      </c>
      <c r="G106" s="23">
        <v>0</v>
      </c>
    </row>
    <row r="107" spans="1:7" ht="20.100000000000001" customHeight="1">
      <c r="A107" s="20"/>
      <c r="B107" s="159" t="s">
        <v>86</v>
      </c>
      <c r="C107" s="229">
        <v>4</v>
      </c>
      <c r="D107" s="187"/>
      <c r="E107" s="239">
        <f>SUM(E103:E106)</f>
        <v>2100000</v>
      </c>
      <c r="F107" s="239">
        <f t="shared" ref="F107:G107" si="12">SUM(F103:F106)</f>
        <v>900000</v>
      </c>
      <c r="G107" s="239">
        <f t="shared" si="12"/>
        <v>1200000</v>
      </c>
    </row>
    <row r="108" spans="1:7" ht="20.100000000000001" customHeight="1">
      <c r="A108" s="20"/>
      <c r="B108" s="123"/>
      <c r="C108" s="229"/>
      <c r="D108" s="187"/>
      <c r="E108" s="240"/>
      <c r="F108" s="240"/>
      <c r="G108" s="240"/>
    </row>
    <row r="109" spans="1:7" ht="20.100000000000001" customHeight="1">
      <c r="A109" s="20"/>
      <c r="B109" s="159" t="s">
        <v>184</v>
      </c>
      <c r="C109" s="227"/>
      <c r="D109" s="20"/>
      <c r="E109" s="242"/>
      <c r="F109" s="242"/>
      <c r="G109" s="242"/>
    </row>
    <row r="110" spans="1:7" ht="20.100000000000001" customHeight="1">
      <c r="A110" s="20">
        <v>1</v>
      </c>
      <c r="B110" s="156" t="s">
        <v>185</v>
      </c>
      <c r="C110" s="226" t="s">
        <v>186</v>
      </c>
      <c r="D110" s="181" t="s">
        <v>90</v>
      </c>
      <c r="E110" s="237">
        <v>1000000</v>
      </c>
      <c r="F110" s="23">
        <v>0</v>
      </c>
      <c r="G110" s="237">
        <v>1000000</v>
      </c>
    </row>
    <row r="111" spans="1:7" ht="20.100000000000001" customHeight="1">
      <c r="A111" s="20">
        <v>2</v>
      </c>
      <c r="B111" s="156" t="s">
        <v>187</v>
      </c>
      <c r="C111" s="227" t="s">
        <v>188</v>
      </c>
      <c r="D111" s="24" t="s">
        <v>395</v>
      </c>
      <c r="E111" s="237">
        <v>700000</v>
      </c>
      <c r="F111" s="23">
        <v>0</v>
      </c>
      <c r="G111" s="237">
        <v>700000</v>
      </c>
    </row>
    <row r="112" spans="1:7" ht="20.100000000000001" customHeight="1">
      <c r="A112" s="20">
        <v>3</v>
      </c>
      <c r="B112" s="156" t="s">
        <v>189</v>
      </c>
      <c r="C112" s="227" t="s">
        <v>190</v>
      </c>
      <c r="D112" s="28" t="s">
        <v>54</v>
      </c>
      <c r="E112" s="237">
        <v>500000</v>
      </c>
      <c r="F112" s="237">
        <v>500000</v>
      </c>
      <c r="G112" s="23">
        <v>0</v>
      </c>
    </row>
    <row r="113" spans="1:7" ht="20.100000000000001" customHeight="1">
      <c r="A113" s="20">
        <v>4</v>
      </c>
      <c r="B113" s="156" t="s">
        <v>191</v>
      </c>
      <c r="C113" s="227" t="s">
        <v>190</v>
      </c>
      <c r="D113" s="28" t="s">
        <v>165</v>
      </c>
      <c r="E113" s="237">
        <v>500000</v>
      </c>
      <c r="F113" s="237">
        <v>500000</v>
      </c>
      <c r="G113" s="23">
        <v>0</v>
      </c>
    </row>
    <row r="114" spans="1:7" ht="20.100000000000001" customHeight="1">
      <c r="A114" s="20">
        <v>5</v>
      </c>
      <c r="B114" s="156" t="s">
        <v>192</v>
      </c>
      <c r="C114" s="227" t="s">
        <v>193</v>
      </c>
      <c r="D114" s="181" t="s">
        <v>76</v>
      </c>
      <c r="E114" s="237">
        <v>300000</v>
      </c>
      <c r="F114" s="237">
        <v>300000</v>
      </c>
      <c r="G114" s="23">
        <v>0</v>
      </c>
    </row>
    <row r="115" spans="1:7" ht="20.100000000000001" customHeight="1">
      <c r="A115" s="20">
        <v>6</v>
      </c>
      <c r="B115" s="157" t="s">
        <v>195</v>
      </c>
      <c r="C115" s="227" t="s">
        <v>193</v>
      </c>
      <c r="D115" s="28" t="s">
        <v>641</v>
      </c>
      <c r="E115" s="237">
        <v>300000</v>
      </c>
      <c r="F115" s="237">
        <v>300000</v>
      </c>
      <c r="G115" s="23">
        <v>0</v>
      </c>
    </row>
    <row r="116" spans="1:7" ht="20.100000000000001" customHeight="1">
      <c r="A116" s="20">
        <v>7</v>
      </c>
      <c r="B116" s="157" t="s">
        <v>196</v>
      </c>
      <c r="C116" s="227" t="s">
        <v>193</v>
      </c>
      <c r="D116" s="181" t="s">
        <v>85</v>
      </c>
      <c r="E116" s="237">
        <v>300000</v>
      </c>
      <c r="F116" s="237">
        <v>300000</v>
      </c>
      <c r="G116" s="23">
        <v>0</v>
      </c>
    </row>
    <row r="117" spans="1:7" ht="20.100000000000001" customHeight="1">
      <c r="A117" s="20"/>
      <c r="B117" s="159" t="s">
        <v>86</v>
      </c>
      <c r="C117" s="229">
        <v>7</v>
      </c>
      <c r="D117" s="20"/>
      <c r="E117" s="243">
        <f>SUM(E110:E116)</f>
        <v>3600000</v>
      </c>
      <c r="F117" s="243">
        <f t="shared" ref="F117:G117" si="13">SUM(F110:F116)</f>
        <v>1900000</v>
      </c>
      <c r="G117" s="243">
        <f t="shared" si="13"/>
        <v>1700000</v>
      </c>
    </row>
    <row r="118" spans="1:7" ht="20.100000000000001" customHeight="1">
      <c r="A118" s="20"/>
      <c r="B118" s="123"/>
      <c r="C118" s="232"/>
      <c r="D118" s="20"/>
      <c r="E118" s="244"/>
      <c r="F118" s="244"/>
      <c r="G118" s="244"/>
    </row>
    <row r="119" spans="1:7" ht="20.100000000000001" customHeight="1">
      <c r="A119" s="20"/>
      <c r="B119" s="159" t="s">
        <v>204</v>
      </c>
      <c r="C119" s="229"/>
      <c r="D119" s="29"/>
      <c r="E119" s="237"/>
      <c r="F119" s="237"/>
      <c r="G119" s="237"/>
    </row>
    <row r="120" spans="1:7" ht="20.100000000000001" customHeight="1">
      <c r="A120" s="20">
        <v>1</v>
      </c>
      <c r="B120" s="156" t="s">
        <v>205</v>
      </c>
      <c r="C120" s="226" t="s">
        <v>206</v>
      </c>
      <c r="D120" s="181" t="s">
        <v>90</v>
      </c>
      <c r="E120" s="237">
        <v>1000000</v>
      </c>
      <c r="F120" s="23">
        <v>0</v>
      </c>
      <c r="G120" s="237">
        <v>1000000</v>
      </c>
    </row>
    <row r="121" spans="1:7" ht="20.100000000000001" customHeight="1">
      <c r="A121" s="20">
        <v>2</v>
      </c>
      <c r="B121" s="156" t="s">
        <v>587</v>
      </c>
      <c r="C121" s="226" t="s">
        <v>588</v>
      </c>
      <c r="D121" s="181" t="s">
        <v>228</v>
      </c>
      <c r="E121" s="237">
        <v>700000</v>
      </c>
      <c r="F121" s="23">
        <v>0</v>
      </c>
      <c r="G121" s="237">
        <v>700000</v>
      </c>
    </row>
    <row r="122" spans="1:7" ht="20.100000000000001" customHeight="1">
      <c r="A122" s="20">
        <v>3</v>
      </c>
      <c r="B122" s="156" t="s">
        <v>207</v>
      </c>
      <c r="C122" s="226" t="s">
        <v>208</v>
      </c>
      <c r="D122" s="181" t="s">
        <v>45</v>
      </c>
      <c r="E122" s="237">
        <v>700000</v>
      </c>
      <c r="F122" s="23">
        <v>0</v>
      </c>
      <c r="G122" s="237">
        <v>700000</v>
      </c>
    </row>
    <row r="123" spans="1:7" ht="20.100000000000001" customHeight="1">
      <c r="A123" s="20">
        <v>4</v>
      </c>
      <c r="B123" s="158" t="s">
        <v>209</v>
      </c>
      <c r="C123" s="226" t="s">
        <v>208</v>
      </c>
      <c r="D123" s="181" t="s">
        <v>45</v>
      </c>
      <c r="E123" s="237">
        <v>700000</v>
      </c>
      <c r="F123" s="23">
        <v>0</v>
      </c>
      <c r="G123" s="237">
        <v>700000</v>
      </c>
    </row>
    <row r="124" spans="1:7" ht="20.100000000000001" customHeight="1">
      <c r="A124" s="20">
        <v>5</v>
      </c>
      <c r="B124" s="158" t="s">
        <v>210</v>
      </c>
      <c r="C124" s="226" t="s">
        <v>208</v>
      </c>
      <c r="D124" s="181" t="s">
        <v>48</v>
      </c>
      <c r="E124" s="237">
        <v>700000</v>
      </c>
      <c r="F124" s="23">
        <v>0</v>
      </c>
      <c r="G124" s="237">
        <v>700000</v>
      </c>
    </row>
    <row r="125" spans="1:7" ht="20.100000000000001" customHeight="1">
      <c r="A125" s="20">
        <v>6</v>
      </c>
      <c r="B125" s="156" t="s">
        <v>211</v>
      </c>
      <c r="C125" s="226" t="s">
        <v>212</v>
      </c>
      <c r="D125" s="181" t="s">
        <v>111</v>
      </c>
      <c r="E125" s="237">
        <v>500000</v>
      </c>
      <c r="F125" s="23">
        <v>0</v>
      </c>
      <c r="G125" s="237">
        <v>500000</v>
      </c>
    </row>
    <row r="126" spans="1:7" ht="20.100000000000001" customHeight="1">
      <c r="A126" s="20">
        <v>7</v>
      </c>
      <c r="B126" s="156" t="s">
        <v>213</v>
      </c>
      <c r="C126" s="226" t="s">
        <v>214</v>
      </c>
      <c r="D126" s="181" t="s">
        <v>57</v>
      </c>
      <c r="E126" s="237">
        <v>500000</v>
      </c>
      <c r="F126" s="237">
        <v>500000</v>
      </c>
      <c r="G126" s="23">
        <v>0</v>
      </c>
    </row>
    <row r="127" spans="1:7" ht="20.100000000000001" customHeight="1">
      <c r="A127" s="20">
        <v>8</v>
      </c>
      <c r="B127" s="156" t="s">
        <v>215</v>
      </c>
      <c r="C127" s="226" t="s">
        <v>408</v>
      </c>
      <c r="D127" s="181" t="s">
        <v>57</v>
      </c>
      <c r="E127" s="237">
        <v>500000</v>
      </c>
      <c r="F127" s="237">
        <v>500000</v>
      </c>
      <c r="G127" s="23">
        <v>0</v>
      </c>
    </row>
    <row r="128" spans="1:7" ht="20.100000000000001" customHeight="1">
      <c r="A128" s="20">
        <v>9</v>
      </c>
      <c r="B128" s="157" t="s">
        <v>589</v>
      </c>
      <c r="C128" s="226" t="s">
        <v>590</v>
      </c>
      <c r="D128" s="181" t="s">
        <v>60</v>
      </c>
      <c r="E128" s="237">
        <v>500000</v>
      </c>
      <c r="F128" s="237">
        <v>500000</v>
      </c>
      <c r="G128" s="23">
        <v>0</v>
      </c>
    </row>
    <row r="129" spans="1:7" ht="20.100000000000001" customHeight="1">
      <c r="A129" s="20">
        <v>10</v>
      </c>
      <c r="B129" s="156" t="s">
        <v>216</v>
      </c>
      <c r="C129" s="226" t="s">
        <v>217</v>
      </c>
      <c r="D129" s="28" t="s">
        <v>73</v>
      </c>
      <c r="E129" s="237">
        <v>300000</v>
      </c>
      <c r="F129" s="237">
        <v>300000</v>
      </c>
      <c r="G129" s="23">
        <v>0</v>
      </c>
    </row>
    <row r="130" spans="1:7" ht="20.100000000000001" customHeight="1">
      <c r="A130" s="20">
        <v>11</v>
      </c>
      <c r="B130" s="157" t="s">
        <v>218</v>
      </c>
      <c r="C130" s="226" t="s">
        <v>219</v>
      </c>
      <c r="D130" s="181" t="s">
        <v>85</v>
      </c>
      <c r="E130" s="237">
        <v>300000</v>
      </c>
      <c r="F130" s="237">
        <v>300000</v>
      </c>
      <c r="G130" s="23">
        <v>0</v>
      </c>
    </row>
    <row r="131" spans="1:7" ht="20.100000000000001" customHeight="1">
      <c r="A131" s="20"/>
      <c r="B131" s="159" t="s">
        <v>86</v>
      </c>
      <c r="C131" s="233" t="s">
        <v>592</v>
      </c>
      <c r="D131" s="181"/>
      <c r="E131" s="245">
        <f>SUM(E120:E130)</f>
        <v>6400000</v>
      </c>
      <c r="F131" s="245">
        <f t="shared" ref="F131:G131" si="14">SUM(F120:F130)</f>
        <v>2100000</v>
      </c>
      <c r="G131" s="245">
        <f t="shared" si="14"/>
        <v>4300000</v>
      </c>
    </row>
    <row r="132" spans="1:7" ht="20.100000000000001" customHeight="1">
      <c r="A132" s="20"/>
      <c r="B132" s="123"/>
      <c r="C132" s="233"/>
      <c r="D132" s="181"/>
      <c r="E132" s="246"/>
      <c r="F132" s="246"/>
      <c r="G132" s="246"/>
    </row>
    <row r="133" spans="1:7" ht="20.100000000000001" customHeight="1">
      <c r="A133" s="20"/>
      <c r="B133" s="159" t="s">
        <v>223</v>
      </c>
      <c r="C133" s="226"/>
      <c r="D133" s="181"/>
      <c r="E133" s="237"/>
      <c r="F133" s="237"/>
      <c r="G133" s="237"/>
    </row>
    <row r="134" spans="1:7" ht="20.100000000000001" customHeight="1">
      <c r="A134" s="191">
        <v>1</v>
      </c>
      <c r="B134" s="156" t="s">
        <v>224</v>
      </c>
      <c r="C134" s="226" t="s">
        <v>703</v>
      </c>
      <c r="D134" s="181" t="s">
        <v>90</v>
      </c>
      <c r="E134" s="237">
        <f>1000000/2</f>
        <v>500000</v>
      </c>
      <c r="F134" s="23">
        <v>0</v>
      </c>
      <c r="G134" s="237">
        <f t="shared" ref="G134" si="15">1000000/2</f>
        <v>500000</v>
      </c>
    </row>
    <row r="135" spans="1:7" ht="20.100000000000001" customHeight="1">
      <c r="A135" s="191">
        <v>2</v>
      </c>
      <c r="B135" s="156" t="s">
        <v>226</v>
      </c>
      <c r="C135" s="226" t="s">
        <v>227</v>
      </c>
      <c r="D135" s="181" t="s">
        <v>228</v>
      </c>
      <c r="E135" s="237">
        <f>700000/2</f>
        <v>350000</v>
      </c>
      <c r="F135" s="23">
        <v>0</v>
      </c>
      <c r="G135" s="237">
        <f t="shared" ref="G135" si="16">700000/2</f>
        <v>350000</v>
      </c>
    </row>
    <row r="136" spans="1:7" ht="20.100000000000001" customHeight="1">
      <c r="A136" s="191">
        <v>3</v>
      </c>
      <c r="B136" s="158" t="s">
        <v>229</v>
      </c>
      <c r="C136" s="227" t="s">
        <v>230</v>
      </c>
      <c r="D136" s="24" t="s">
        <v>395</v>
      </c>
      <c r="E136" s="237">
        <v>700000</v>
      </c>
      <c r="F136" s="23">
        <v>0</v>
      </c>
      <c r="G136" s="237">
        <v>700000</v>
      </c>
    </row>
    <row r="137" spans="1:7" ht="20.100000000000001" customHeight="1">
      <c r="A137" s="191">
        <v>4</v>
      </c>
      <c r="B137" s="156" t="s">
        <v>231</v>
      </c>
      <c r="C137" s="226" t="s">
        <v>232</v>
      </c>
      <c r="D137" s="181" t="s">
        <v>134</v>
      </c>
      <c r="E137" s="237">
        <v>500000</v>
      </c>
      <c r="F137" s="23">
        <v>0</v>
      </c>
      <c r="G137" s="237">
        <v>500000</v>
      </c>
    </row>
    <row r="138" spans="1:7" ht="20.100000000000001" customHeight="1">
      <c r="A138" s="191">
        <v>5</v>
      </c>
      <c r="B138" s="156" t="s">
        <v>233</v>
      </c>
      <c r="C138" s="227" t="s">
        <v>234</v>
      </c>
      <c r="D138" s="181" t="s">
        <v>134</v>
      </c>
      <c r="E138" s="237">
        <v>500000</v>
      </c>
      <c r="F138" s="23">
        <v>0</v>
      </c>
      <c r="G138" s="237">
        <v>500000</v>
      </c>
    </row>
    <row r="139" spans="1:7" ht="20.100000000000001" customHeight="1">
      <c r="A139" s="191">
        <v>6</v>
      </c>
      <c r="B139" s="156" t="s">
        <v>178</v>
      </c>
      <c r="C139" s="227" t="s">
        <v>240</v>
      </c>
      <c r="D139" s="181" t="s">
        <v>57</v>
      </c>
      <c r="E139" s="237">
        <v>500000</v>
      </c>
      <c r="F139" s="237">
        <v>500000</v>
      </c>
      <c r="G139" s="23">
        <v>0</v>
      </c>
    </row>
    <row r="140" spans="1:7" ht="20.100000000000001" customHeight="1">
      <c r="A140" s="191">
        <v>7</v>
      </c>
      <c r="B140" s="156" t="s">
        <v>236</v>
      </c>
      <c r="C140" s="226" t="s">
        <v>237</v>
      </c>
      <c r="D140" s="181" t="s">
        <v>63</v>
      </c>
      <c r="E140" s="237">
        <v>400000</v>
      </c>
      <c r="F140" s="237">
        <v>400000</v>
      </c>
      <c r="G140" s="23">
        <v>0</v>
      </c>
    </row>
    <row r="141" spans="1:7" ht="20.100000000000001" customHeight="1">
      <c r="A141" s="191">
        <v>8</v>
      </c>
      <c r="B141" s="156" t="s">
        <v>238</v>
      </c>
      <c r="C141" s="226" t="s">
        <v>237</v>
      </c>
      <c r="D141" s="181" t="s">
        <v>63</v>
      </c>
      <c r="E141" s="237">
        <v>400000</v>
      </c>
      <c r="F141" s="237">
        <v>400000</v>
      </c>
      <c r="G141" s="23">
        <v>0</v>
      </c>
    </row>
    <row r="142" spans="1:7" ht="20.100000000000001" customHeight="1">
      <c r="A142" s="191">
        <v>9</v>
      </c>
      <c r="B142" s="156" t="s">
        <v>239</v>
      </c>
      <c r="C142" s="227" t="s">
        <v>240</v>
      </c>
      <c r="D142" s="181" t="s">
        <v>63</v>
      </c>
      <c r="E142" s="237">
        <v>400000</v>
      </c>
      <c r="F142" s="237">
        <v>400000</v>
      </c>
      <c r="G142" s="23">
        <v>0</v>
      </c>
    </row>
    <row r="143" spans="1:7" ht="20.100000000000001" customHeight="1">
      <c r="A143" s="191">
        <v>10</v>
      </c>
      <c r="B143" s="156" t="s">
        <v>241</v>
      </c>
      <c r="C143" s="226" t="s">
        <v>246</v>
      </c>
      <c r="D143" s="181" t="s">
        <v>66</v>
      </c>
      <c r="E143" s="237">
        <v>400000</v>
      </c>
      <c r="F143" s="237">
        <v>400000</v>
      </c>
      <c r="G143" s="23">
        <v>0</v>
      </c>
    </row>
    <row r="144" spans="1:7" ht="20.100000000000001" customHeight="1">
      <c r="A144" s="191">
        <v>11</v>
      </c>
      <c r="B144" s="156" t="s">
        <v>243</v>
      </c>
      <c r="C144" s="226" t="s">
        <v>410</v>
      </c>
      <c r="D144" s="181" t="s">
        <v>252</v>
      </c>
      <c r="E144" s="237">
        <v>300000</v>
      </c>
      <c r="F144" s="237">
        <v>300000</v>
      </c>
      <c r="G144" s="23">
        <v>0</v>
      </c>
    </row>
    <row r="145" spans="1:7" ht="20.100000000000001" customHeight="1">
      <c r="A145" s="191">
        <v>12</v>
      </c>
      <c r="B145" s="156" t="s">
        <v>245</v>
      </c>
      <c r="C145" s="226" t="s">
        <v>246</v>
      </c>
      <c r="D145" s="181" t="s">
        <v>66</v>
      </c>
      <c r="E145" s="237">
        <v>400000</v>
      </c>
      <c r="F145" s="237">
        <v>400000</v>
      </c>
      <c r="G145" s="23">
        <v>0</v>
      </c>
    </row>
    <row r="146" spans="1:7" ht="20.100000000000001" customHeight="1">
      <c r="A146" s="191">
        <v>13</v>
      </c>
      <c r="B146" s="156" t="s">
        <v>249</v>
      </c>
      <c r="C146" s="227" t="s">
        <v>250</v>
      </c>
      <c r="D146" s="181" t="s">
        <v>154</v>
      </c>
      <c r="E146" s="237">
        <v>300000</v>
      </c>
      <c r="F146" s="237">
        <v>300000</v>
      </c>
      <c r="G146" s="23">
        <v>0</v>
      </c>
    </row>
    <row r="147" spans="1:7" ht="20.100000000000001" customHeight="1">
      <c r="A147" s="191">
        <v>14</v>
      </c>
      <c r="B147" s="156" t="s">
        <v>251</v>
      </c>
      <c r="C147" s="227" t="s">
        <v>250</v>
      </c>
      <c r="D147" s="181" t="s">
        <v>154</v>
      </c>
      <c r="E147" s="237">
        <v>300000</v>
      </c>
      <c r="F147" s="237">
        <v>300000</v>
      </c>
      <c r="G147" s="23">
        <v>0</v>
      </c>
    </row>
    <row r="148" spans="1:7" ht="20.100000000000001" customHeight="1">
      <c r="A148" s="191">
        <v>15</v>
      </c>
      <c r="B148" s="156" t="s">
        <v>253</v>
      </c>
      <c r="C148" s="227" t="s">
        <v>250</v>
      </c>
      <c r="D148" s="181" t="s">
        <v>154</v>
      </c>
      <c r="E148" s="237">
        <v>300000</v>
      </c>
      <c r="F148" s="237">
        <v>300000</v>
      </c>
      <c r="G148" s="23">
        <v>0</v>
      </c>
    </row>
    <row r="149" spans="1:7" ht="20.100000000000001" customHeight="1">
      <c r="A149" s="191">
        <v>16</v>
      </c>
      <c r="B149" s="156" t="s">
        <v>254</v>
      </c>
      <c r="C149" s="226" t="s">
        <v>255</v>
      </c>
      <c r="D149" s="181" t="s">
        <v>95</v>
      </c>
      <c r="E149" s="237">
        <v>300000</v>
      </c>
      <c r="F149" s="237">
        <v>300000</v>
      </c>
      <c r="G149" s="23">
        <v>0</v>
      </c>
    </row>
    <row r="150" spans="1:7" ht="20.100000000000001" customHeight="1">
      <c r="A150" s="191">
        <v>17</v>
      </c>
      <c r="B150" s="156" t="s">
        <v>256</v>
      </c>
      <c r="C150" s="226" t="s">
        <v>257</v>
      </c>
      <c r="D150" s="28" t="s">
        <v>73</v>
      </c>
      <c r="E150" s="237">
        <v>300000</v>
      </c>
      <c r="F150" s="237">
        <v>300000</v>
      </c>
      <c r="G150" s="23">
        <v>0</v>
      </c>
    </row>
    <row r="151" spans="1:7" ht="20.100000000000001" customHeight="1">
      <c r="A151" s="191">
        <v>18</v>
      </c>
      <c r="B151" s="156" t="s">
        <v>258</v>
      </c>
      <c r="C151" s="226" t="s">
        <v>259</v>
      </c>
      <c r="D151" s="181" t="s">
        <v>95</v>
      </c>
      <c r="E151" s="237">
        <v>300000</v>
      </c>
      <c r="F151" s="237">
        <v>300000</v>
      </c>
      <c r="G151" s="23">
        <v>0</v>
      </c>
    </row>
    <row r="152" spans="1:7" ht="20.100000000000001" customHeight="1">
      <c r="A152" s="191">
        <v>19</v>
      </c>
      <c r="B152" s="156" t="s">
        <v>260</v>
      </c>
      <c r="C152" s="226" t="s">
        <v>261</v>
      </c>
      <c r="D152" s="181" t="s">
        <v>73</v>
      </c>
      <c r="E152" s="237">
        <v>300000</v>
      </c>
      <c r="F152" s="237">
        <v>300000</v>
      </c>
      <c r="G152" s="23">
        <v>0</v>
      </c>
    </row>
    <row r="153" spans="1:7" ht="20.100000000000001" customHeight="1">
      <c r="A153" s="191">
        <v>20</v>
      </c>
      <c r="B153" s="156" t="s">
        <v>262</v>
      </c>
      <c r="C153" s="226" t="s">
        <v>263</v>
      </c>
      <c r="D153" s="181" t="s">
        <v>95</v>
      </c>
      <c r="E153" s="237">
        <v>300000</v>
      </c>
      <c r="F153" s="237">
        <v>300000</v>
      </c>
      <c r="G153" s="23">
        <v>0</v>
      </c>
    </row>
    <row r="154" spans="1:7" ht="20.100000000000001" customHeight="1">
      <c r="A154" s="191">
        <v>21</v>
      </c>
      <c r="B154" s="156" t="s">
        <v>264</v>
      </c>
      <c r="C154" s="226" t="s">
        <v>265</v>
      </c>
      <c r="D154" s="181" t="s">
        <v>73</v>
      </c>
      <c r="E154" s="237">
        <v>300000</v>
      </c>
      <c r="F154" s="237">
        <v>300000</v>
      </c>
      <c r="G154" s="23">
        <v>0</v>
      </c>
    </row>
    <row r="155" spans="1:7" ht="20.100000000000001" customHeight="1">
      <c r="A155" s="191">
        <v>22</v>
      </c>
      <c r="B155" s="157" t="s">
        <v>266</v>
      </c>
      <c r="C155" s="226" t="s">
        <v>271</v>
      </c>
      <c r="D155" s="181" t="s">
        <v>640</v>
      </c>
      <c r="E155" s="237">
        <v>300000</v>
      </c>
      <c r="F155" s="237">
        <v>300000</v>
      </c>
      <c r="G155" s="23">
        <v>0</v>
      </c>
    </row>
    <row r="156" spans="1:7" ht="20.100000000000001" customHeight="1">
      <c r="A156" s="191">
        <v>23</v>
      </c>
      <c r="B156" s="157" t="s">
        <v>593</v>
      </c>
      <c r="C156" s="226" t="s">
        <v>269</v>
      </c>
      <c r="D156" s="181" t="s">
        <v>85</v>
      </c>
      <c r="E156" s="237">
        <v>300000</v>
      </c>
      <c r="F156" s="237">
        <v>300000</v>
      </c>
      <c r="G156" s="23">
        <v>0</v>
      </c>
    </row>
    <row r="157" spans="1:7" ht="20.100000000000001" customHeight="1">
      <c r="A157" s="191">
        <v>24</v>
      </c>
      <c r="B157" s="157" t="s">
        <v>268</v>
      </c>
      <c r="C157" s="226" t="s">
        <v>269</v>
      </c>
      <c r="D157" s="181" t="s">
        <v>85</v>
      </c>
      <c r="E157" s="237">
        <v>300000</v>
      </c>
      <c r="F157" s="237">
        <v>300000</v>
      </c>
      <c r="G157" s="23">
        <v>0</v>
      </c>
    </row>
    <row r="158" spans="1:7" ht="20.100000000000001" customHeight="1">
      <c r="A158" s="191">
        <v>25</v>
      </c>
      <c r="B158" s="157" t="s">
        <v>270</v>
      </c>
      <c r="C158" s="226" t="s">
        <v>271</v>
      </c>
      <c r="D158" s="181" t="s">
        <v>85</v>
      </c>
      <c r="E158" s="237">
        <v>300000</v>
      </c>
      <c r="F158" s="237">
        <v>300000</v>
      </c>
      <c r="G158" s="23">
        <v>0</v>
      </c>
    </row>
    <row r="159" spans="1:7" ht="20.100000000000001" customHeight="1">
      <c r="A159" s="191">
        <v>26</v>
      </c>
      <c r="B159" s="157" t="s">
        <v>272</v>
      </c>
      <c r="C159" s="226" t="s">
        <v>273</v>
      </c>
      <c r="D159" s="181" t="s">
        <v>85</v>
      </c>
      <c r="E159" s="237">
        <v>300000</v>
      </c>
      <c r="F159" s="237">
        <v>300000</v>
      </c>
      <c r="G159" s="23">
        <v>0</v>
      </c>
    </row>
    <row r="160" spans="1:7" ht="20.100000000000001" customHeight="1">
      <c r="A160" s="191">
        <v>27</v>
      </c>
      <c r="B160" s="157" t="s">
        <v>274</v>
      </c>
      <c r="C160" s="226" t="s">
        <v>275</v>
      </c>
      <c r="D160" s="181" t="s">
        <v>85</v>
      </c>
      <c r="E160" s="237">
        <v>300000</v>
      </c>
      <c r="F160" s="237">
        <v>300000</v>
      </c>
      <c r="G160" s="23">
        <v>0</v>
      </c>
    </row>
    <row r="161" spans="1:7" ht="20.100000000000001" customHeight="1">
      <c r="A161" s="191">
        <v>28</v>
      </c>
      <c r="B161" s="156" t="s">
        <v>277</v>
      </c>
      <c r="C161" s="226" t="s">
        <v>278</v>
      </c>
      <c r="D161" s="181" t="s">
        <v>285</v>
      </c>
      <c r="E161" s="237">
        <v>100000</v>
      </c>
      <c r="F161" s="237">
        <v>100000</v>
      </c>
      <c r="G161" s="23">
        <v>0</v>
      </c>
    </row>
    <row r="162" spans="1:7" ht="20.100000000000001" customHeight="1">
      <c r="A162" s="191">
        <v>29</v>
      </c>
      <c r="B162" s="156" t="s">
        <v>280</v>
      </c>
      <c r="C162" s="226" t="s">
        <v>278</v>
      </c>
      <c r="D162" s="181" t="s">
        <v>285</v>
      </c>
      <c r="E162" s="237">
        <v>100000</v>
      </c>
      <c r="F162" s="237">
        <v>100000</v>
      </c>
      <c r="G162" s="23">
        <v>0</v>
      </c>
    </row>
    <row r="163" spans="1:7" ht="20.100000000000001" customHeight="1">
      <c r="A163" s="191">
        <v>30</v>
      </c>
      <c r="B163" s="156" t="s">
        <v>281</v>
      </c>
      <c r="C163" s="226" t="s">
        <v>278</v>
      </c>
      <c r="D163" s="181" t="s">
        <v>285</v>
      </c>
      <c r="E163" s="237">
        <v>100000</v>
      </c>
      <c r="F163" s="237">
        <v>100000</v>
      </c>
      <c r="G163" s="23">
        <v>0</v>
      </c>
    </row>
    <row r="164" spans="1:7" ht="20.100000000000001" customHeight="1">
      <c r="A164" s="191">
        <v>31</v>
      </c>
      <c r="B164" s="156" t="s">
        <v>664</v>
      </c>
      <c r="C164" s="226" t="s">
        <v>278</v>
      </c>
      <c r="D164" s="181" t="s">
        <v>285</v>
      </c>
      <c r="E164" s="237">
        <v>100000</v>
      </c>
      <c r="F164" s="237">
        <v>100000</v>
      </c>
      <c r="G164" s="23">
        <v>0</v>
      </c>
    </row>
    <row r="165" spans="1:7" ht="20.100000000000001" customHeight="1">
      <c r="A165" s="191">
        <v>32</v>
      </c>
      <c r="B165" s="156" t="s">
        <v>594</v>
      </c>
      <c r="C165" s="226" t="s">
        <v>278</v>
      </c>
      <c r="D165" s="181" t="s">
        <v>285</v>
      </c>
      <c r="E165" s="237">
        <v>100000</v>
      </c>
      <c r="F165" s="237">
        <v>100000</v>
      </c>
      <c r="G165" s="23">
        <v>0</v>
      </c>
    </row>
    <row r="166" spans="1:7" ht="20.100000000000001" customHeight="1">
      <c r="A166" s="191">
        <v>33</v>
      </c>
      <c r="B166" s="156" t="s">
        <v>282</v>
      </c>
      <c r="C166" s="226" t="s">
        <v>278</v>
      </c>
      <c r="D166" s="181" t="s">
        <v>285</v>
      </c>
      <c r="E166" s="237">
        <v>100000</v>
      </c>
      <c r="F166" s="237">
        <v>100000</v>
      </c>
      <c r="G166" s="23">
        <v>0</v>
      </c>
    </row>
    <row r="167" spans="1:7" ht="20.100000000000001" customHeight="1">
      <c r="A167" s="191">
        <v>34</v>
      </c>
      <c r="B167" s="156" t="s">
        <v>283</v>
      </c>
      <c r="C167" s="226" t="s">
        <v>278</v>
      </c>
      <c r="D167" s="181" t="s">
        <v>285</v>
      </c>
      <c r="E167" s="237">
        <v>100000</v>
      </c>
      <c r="F167" s="237">
        <v>100000</v>
      </c>
      <c r="G167" s="23">
        <v>0</v>
      </c>
    </row>
    <row r="168" spans="1:7" ht="20.100000000000001" customHeight="1">
      <c r="A168" s="191">
        <v>35</v>
      </c>
      <c r="B168" s="156" t="s">
        <v>284</v>
      </c>
      <c r="C168" s="226" t="s">
        <v>278</v>
      </c>
      <c r="D168" s="181" t="s">
        <v>293</v>
      </c>
      <c r="E168" s="237">
        <v>100000</v>
      </c>
      <c r="F168" s="237">
        <v>100000</v>
      </c>
      <c r="G168" s="23">
        <v>0</v>
      </c>
    </row>
    <row r="169" spans="1:7" ht="20.100000000000001" customHeight="1">
      <c r="A169" s="191">
        <v>36</v>
      </c>
      <c r="B169" s="156" t="s">
        <v>286</v>
      </c>
      <c r="C169" s="226" t="s">
        <v>278</v>
      </c>
      <c r="D169" s="181" t="s">
        <v>293</v>
      </c>
      <c r="E169" s="237">
        <v>100000</v>
      </c>
      <c r="F169" s="237">
        <v>100000</v>
      </c>
      <c r="G169" s="23">
        <v>0</v>
      </c>
    </row>
    <row r="170" spans="1:7" ht="20.100000000000001" customHeight="1">
      <c r="A170" s="191">
        <v>37</v>
      </c>
      <c r="B170" s="156" t="s">
        <v>569</v>
      </c>
      <c r="C170" s="226" t="s">
        <v>278</v>
      </c>
      <c r="D170" s="181" t="s">
        <v>293</v>
      </c>
      <c r="E170" s="237">
        <v>100000</v>
      </c>
      <c r="F170" s="237">
        <v>100000</v>
      </c>
      <c r="G170" s="23">
        <v>0</v>
      </c>
    </row>
    <row r="171" spans="1:7" ht="20.100000000000001" customHeight="1">
      <c r="A171" s="191">
        <v>38</v>
      </c>
      <c r="B171" s="158" t="s">
        <v>287</v>
      </c>
      <c r="C171" s="226" t="s">
        <v>278</v>
      </c>
      <c r="D171" s="181" t="s">
        <v>293</v>
      </c>
      <c r="E171" s="237">
        <v>100000</v>
      </c>
      <c r="F171" s="237">
        <v>100000</v>
      </c>
      <c r="G171" s="23">
        <v>0</v>
      </c>
    </row>
    <row r="172" spans="1:7" ht="20.100000000000001" customHeight="1">
      <c r="A172" s="191">
        <v>39</v>
      </c>
      <c r="B172" s="156" t="s">
        <v>288</v>
      </c>
      <c r="C172" s="226" t="s">
        <v>278</v>
      </c>
      <c r="D172" s="181" t="s">
        <v>293</v>
      </c>
      <c r="E172" s="237">
        <v>100000</v>
      </c>
      <c r="F172" s="237">
        <v>100000</v>
      </c>
      <c r="G172" s="23">
        <v>0</v>
      </c>
    </row>
    <row r="173" spans="1:7" ht="20.100000000000001" customHeight="1">
      <c r="A173" s="191">
        <v>40</v>
      </c>
      <c r="B173" s="157" t="s">
        <v>289</v>
      </c>
      <c r="C173" s="226" t="s">
        <v>278</v>
      </c>
      <c r="D173" s="181" t="s">
        <v>293</v>
      </c>
      <c r="E173" s="237">
        <v>100000</v>
      </c>
      <c r="F173" s="237">
        <v>100000</v>
      </c>
      <c r="G173" s="23">
        <v>0</v>
      </c>
    </row>
    <row r="174" spans="1:7" ht="20.100000000000001" customHeight="1">
      <c r="A174" s="191">
        <v>41</v>
      </c>
      <c r="B174" s="157" t="s">
        <v>290</v>
      </c>
      <c r="C174" s="226" t="s">
        <v>278</v>
      </c>
      <c r="D174" s="181" t="s">
        <v>293</v>
      </c>
      <c r="E174" s="237">
        <v>100000</v>
      </c>
      <c r="F174" s="237">
        <v>100000</v>
      </c>
      <c r="G174" s="23">
        <v>0</v>
      </c>
    </row>
    <row r="175" spans="1:7" ht="20.100000000000001" customHeight="1">
      <c r="A175" s="191">
        <v>42</v>
      </c>
      <c r="B175" s="156" t="s">
        <v>291</v>
      </c>
      <c r="C175" s="226" t="s">
        <v>297</v>
      </c>
      <c r="D175" s="181" t="s">
        <v>298</v>
      </c>
      <c r="E175" s="237">
        <v>100000</v>
      </c>
      <c r="F175" s="237">
        <v>100000</v>
      </c>
      <c r="G175" s="23">
        <v>0</v>
      </c>
    </row>
    <row r="176" spans="1:7" ht="20.100000000000001" customHeight="1">
      <c r="A176" s="191">
        <v>43</v>
      </c>
      <c r="B176" s="156" t="s">
        <v>294</v>
      </c>
      <c r="C176" s="226" t="s">
        <v>297</v>
      </c>
      <c r="D176" s="181" t="s">
        <v>298</v>
      </c>
      <c r="E176" s="237">
        <v>100000</v>
      </c>
      <c r="F176" s="237">
        <v>100000</v>
      </c>
      <c r="G176" s="23">
        <v>0</v>
      </c>
    </row>
    <row r="177" spans="1:7" ht="20.100000000000001" customHeight="1">
      <c r="A177" s="191">
        <v>44</v>
      </c>
      <c r="B177" s="157" t="s">
        <v>295</v>
      </c>
      <c r="C177" s="226" t="s">
        <v>297</v>
      </c>
      <c r="D177" s="181" t="s">
        <v>397</v>
      </c>
      <c r="E177" s="237">
        <v>100000</v>
      </c>
      <c r="F177" s="237">
        <v>100000</v>
      </c>
      <c r="G177" s="23">
        <v>0</v>
      </c>
    </row>
    <row r="178" spans="1:7" ht="20.100000000000001" customHeight="1">
      <c r="A178" s="191">
        <v>45</v>
      </c>
      <c r="B178" s="156" t="s">
        <v>296</v>
      </c>
      <c r="C178" s="226" t="s">
        <v>297</v>
      </c>
      <c r="D178" s="181" t="s">
        <v>666</v>
      </c>
      <c r="E178" s="237">
        <v>100000</v>
      </c>
      <c r="F178" s="237">
        <v>100000</v>
      </c>
      <c r="G178" s="23">
        <v>0</v>
      </c>
    </row>
    <row r="179" spans="1:7" ht="20.100000000000001" customHeight="1">
      <c r="A179" s="191">
        <v>46</v>
      </c>
      <c r="B179" s="156" t="s">
        <v>299</v>
      </c>
      <c r="C179" s="226" t="s">
        <v>300</v>
      </c>
      <c r="D179" s="181" t="s">
        <v>667</v>
      </c>
      <c r="E179" s="237">
        <v>100000</v>
      </c>
      <c r="F179" s="237">
        <v>100000</v>
      </c>
      <c r="G179" s="23">
        <v>0</v>
      </c>
    </row>
    <row r="180" spans="1:7" ht="20.100000000000001" customHeight="1">
      <c r="A180" s="191">
        <v>47</v>
      </c>
      <c r="B180" s="156" t="s">
        <v>302</v>
      </c>
      <c r="C180" s="226" t="s">
        <v>300</v>
      </c>
      <c r="D180" s="181" t="s">
        <v>667</v>
      </c>
      <c r="E180" s="237">
        <v>100000</v>
      </c>
      <c r="F180" s="237">
        <v>100000</v>
      </c>
      <c r="G180" s="23">
        <v>0</v>
      </c>
    </row>
    <row r="181" spans="1:7" ht="20.100000000000001" customHeight="1">
      <c r="A181" s="191">
        <v>48</v>
      </c>
      <c r="B181" s="156" t="s">
        <v>303</v>
      </c>
      <c r="C181" s="226" t="s">
        <v>300</v>
      </c>
      <c r="D181" s="181" t="s">
        <v>667</v>
      </c>
      <c r="E181" s="237">
        <v>100000</v>
      </c>
      <c r="F181" s="237">
        <v>100000</v>
      </c>
      <c r="G181" s="23">
        <v>0</v>
      </c>
    </row>
    <row r="182" spans="1:7" ht="20.100000000000001" customHeight="1">
      <c r="A182" s="191">
        <v>49</v>
      </c>
      <c r="B182" s="156" t="s">
        <v>304</v>
      </c>
      <c r="C182" s="226" t="s">
        <v>300</v>
      </c>
      <c r="D182" s="181" t="s">
        <v>667</v>
      </c>
      <c r="E182" s="237">
        <v>100000</v>
      </c>
      <c r="F182" s="237">
        <v>100000</v>
      </c>
      <c r="G182" s="23">
        <v>0</v>
      </c>
    </row>
    <row r="183" spans="1:7" ht="20.100000000000001" customHeight="1">
      <c r="A183" s="191">
        <v>50</v>
      </c>
      <c r="B183" s="156" t="s">
        <v>305</v>
      </c>
      <c r="C183" s="226" t="s">
        <v>300</v>
      </c>
      <c r="D183" s="181" t="s">
        <v>667</v>
      </c>
      <c r="E183" s="237">
        <v>100000</v>
      </c>
      <c r="F183" s="237">
        <v>100000</v>
      </c>
      <c r="G183" s="23">
        <v>0</v>
      </c>
    </row>
    <row r="184" spans="1:7" ht="20.100000000000001" customHeight="1">
      <c r="A184" s="191">
        <v>51</v>
      </c>
      <c r="B184" s="157" t="s">
        <v>306</v>
      </c>
      <c r="C184" s="226" t="s">
        <v>300</v>
      </c>
      <c r="D184" s="181" t="s">
        <v>312</v>
      </c>
      <c r="E184" s="237">
        <v>100000</v>
      </c>
      <c r="F184" s="237">
        <v>100000</v>
      </c>
      <c r="G184" s="23">
        <v>0</v>
      </c>
    </row>
    <row r="185" spans="1:7" ht="20.100000000000001" customHeight="1">
      <c r="A185" s="191">
        <v>52</v>
      </c>
      <c r="B185" s="157" t="s">
        <v>307</v>
      </c>
      <c r="C185" s="226" t="s">
        <v>300</v>
      </c>
      <c r="D185" s="181" t="s">
        <v>312</v>
      </c>
      <c r="E185" s="237">
        <v>100000</v>
      </c>
      <c r="F185" s="237">
        <v>100000</v>
      </c>
      <c r="G185" s="23">
        <v>0</v>
      </c>
    </row>
    <row r="186" spans="1:7" ht="20.100000000000001" customHeight="1">
      <c r="A186" s="191">
        <v>53</v>
      </c>
      <c r="B186" s="156" t="s">
        <v>308</v>
      </c>
      <c r="C186" s="226" t="s">
        <v>297</v>
      </c>
      <c r="D186" s="181" t="s">
        <v>312</v>
      </c>
      <c r="E186" s="237">
        <v>100000</v>
      </c>
      <c r="F186" s="237">
        <v>100000</v>
      </c>
      <c r="G186" s="23">
        <v>0</v>
      </c>
    </row>
    <row r="187" spans="1:7" ht="20.100000000000001" customHeight="1">
      <c r="A187" s="191">
        <v>54</v>
      </c>
      <c r="B187" s="156" t="s">
        <v>309</v>
      </c>
      <c r="C187" s="226" t="s">
        <v>297</v>
      </c>
      <c r="D187" s="181" t="s">
        <v>312</v>
      </c>
      <c r="E187" s="237">
        <v>100000</v>
      </c>
      <c r="F187" s="237">
        <v>100000</v>
      </c>
      <c r="G187" s="23">
        <v>0</v>
      </c>
    </row>
    <row r="188" spans="1:7" ht="20.100000000000001" customHeight="1">
      <c r="A188" s="191">
        <v>55</v>
      </c>
      <c r="B188" s="157" t="s">
        <v>310</v>
      </c>
      <c r="C188" s="226" t="s">
        <v>300</v>
      </c>
      <c r="D188" s="181" t="s">
        <v>668</v>
      </c>
      <c r="E188" s="237">
        <v>100000</v>
      </c>
      <c r="F188" s="237">
        <v>100000</v>
      </c>
      <c r="G188" s="23">
        <v>0</v>
      </c>
    </row>
    <row r="189" spans="1:7" ht="20.100000000000001" customHeight="1">
      <c r="A189" s="191">
        <v>56</v>
      </c>
      <c r="B189" s="157" t="s">
        <v>313</v>
      </c>
      <c r="C189" s="226" t="s">
        <v>300</v>
      </c>
      <c r="D189" s="181" t="s">
        <v>669</v>
      </c>
      <c r="E189" s="237">
        <v>100000</v>
      </c>
      <c r="F189" s="237">
        <v>100000</v>
      </c>
      <c r="G189" s="23">
        <v>0</v>
      </c>
    </row>
    <row r="190" spans="1:7" ht="20.100000000000001" customHeight="1">
      <c r="A190" s="191"/>
      <c r="B190" s="177" t="s">
        <v>86</v>
      </c>
      <c r="C190" s="234" t="s">
        <v>704</v>
      </c>
      <c r="D190" s="22"/>
      <c r="E190" s="239">
        <f>SUM(E134:E189)</f>
        <v>12750000</v>
      </c>
      <c r="F190" s="239">
        <f t="shared" ref="F190:G190" si="17">SUM(F134:F189)</f>
        <v>10200000</v>
      </c>
      <c r="G190" s="239">
        <f t="shared" si="17"/>
        <v>2550000</v>
      </c>
    </row>
    <row r="191" spans="1:7" ht="20.100000000000001" customHeight="1">
      <c r="A191" s="20"/>
      <c r="B191" s="194" t="s">
        <v>325</v>
      </c>
      <c r="C191" s="235">
        <f>C38+C43+C58+C62+C78+C86+C100+C107+C117+C131+C190+2</f>
        <v>152</v>
      </c>
      <c r="D191" s="196"/>
      <c r="E191" s="247">
        <f>E190+E131+E117+E107+E100+E86+E78+E62+E58+E43+E38</f>
        <v>62400000</v>
      </c>
      <c r="F191" s="247">
        <f>F190+F131+F117+F107+F100+F86+F78+F62+F58+F43+F38</f>
        <v>29750000</v>
      </c>
      <c r="G191" s="247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48"/>
      <c r="F192" s="249"/>
      <c r="G192" s="249"/>
    </row>
    <row r="193" spans="2:5" ht="28.5" customHeight="1">
      <c r="B193" s="198"/>
      <c r="C193" s="198"/>
      <c r="D193" s="199"/>
      <c r="E193" s="25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bottomRight" activeCell="K15" sqref="K1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390" t="s">
        <v>0</v>
      </c>
      <c r="B1" s="390"/>
      <c r="C1" s="390"/>
      <c r="D1" s="390"/>
      <c r="E1" s="390"/>
    </row>
    <row r="2" spans="1:7" ht="33.75" customHeight="1">
      <c r="A2" s="165" t="s">
        <v>698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2</v>
      </c>
      <c r="C4" s="171" t="s">
        <v>3</v>
      </c>
      <c r="D4" s="224" t="s">
        <v>4</v>
      </c>
      <c r="E4" s="175" t="s">
        <v>553</v>
      </c>
      <c r="F4" s="175" t="s">
        <v>699</v>
      </c>
      <c r="G4" s="175" t="s">
        <v>700</v>
      </c>
    </row>
    <row r="5" spans="1:7" ht="20.100000000000001" customHeight="1">
      <c r="A5" s="176" t="s">
        <v>26</v>
      </c>
      <c r="B5" s="177" t="s">
        <v>27</v>
      </c>
      <c r="C5" s="225"/>
      <c r="D5" s="177"/>
      <c r="E5" s="178" t="s">
        <v>25</v>
      </c>
      <c r="F5" s="178" t="s">
        <v>25</v>
      </c>
      <c r="G5" s="178" t="s">
        <v>25</v>
      </c>
    </row>
    <row r="6" spans="1:7" ht="20.100000000000001" customHeight="1">
      <c r="A6" s="28">
        <v>1</v>
      </c>
      <c r="B6" s="156" t="s">
        <v>28</v>
      </c>
      <c r="C6" s="226" t="s">
        <v>29</v>
      </c>
      <c r="D6" s="161" t="s">
        <v>30</v>
      </c>
      <c r="E6" s="237">
        <v>2000000</v>
      </c>
      <c r="F6" s="23">
        <v>0</v>
      </c>
      <c r="G6" s="237">
        <v>2000000</v>
      </c>
    </row>
    <row r="7" spans="1:7" ht="20.100000000000001" customHeight="1">
      <c r="A7" s="28">
        <v>2</v>
      </c>
      <c r="B7" s="156" t="s">
        <v>456</v>
      </c>
      <c r="C7" s="227" t="s">
        <v>554</v>
      </c>
      <c r="D7" s="28" t="s">
        <v>228</v>
      </c>
      <c r="E7" s="237">
        <v>700000</v>
      </c>
      <c r="F7" s="23">
        <v>0</v>
      </c>
      <c r="G7" s="237">
        <v>700000</v>
      </c>
    </row>
    <row r="8" spans="1:7" ht="20.100000000000001" customHeight="1">
      <c r="A8" s="28">
        <v>3</v>
      </c>
      <c r="B8" s="158" t="s">
        <v>555</v>
      </c>
      <c r="C8" s="227" t="s">
        <v>556</v>
      </c>
      <c r="D8" s="28" t="s">
        <v>36</v>
      </c>
      <c r="E8" s="237">
        <f>700000/2</f>
        <v>350000</v>
      </c>
      <c r="F8" s="23">
        <v>0</v>
      </c>
      <c r="G8" s="237">
        <f t="shared" ref="G8:G9" si="0">700000/2</f>
        <v>350000</v>
      </c>
    </row>
    <row r="9" spans="1:7" ht="20.100000000000001" customHeight="1">
      <c r="A9" s="28">
        <v>4</v>
      </c>
      <c r="B9" s="156" t="s">
        <v>31</v>
      </c>
      <c r="C9" s="226" t="s">
        <v>32</v>
      </c>
      <c r="D9" s="28" t="s">
        <v>631</v>
      </c>
      <c r="E9" s="237">
        <f>700000/2</f>
        <v>350000</v>
      </c>
      <c r="F9" s="23">
        <v>0</v>
      </c>
      <c r="G9" s="237">
        <f t="shared" si="0"/>
        <v>350000</v>
      </c>
    </row>
    <row r="10" spans="1:7" ht="20.100000000000001" customHeight="1">
      <c r="A10" s="28">
        <v>5</v>
      </c>
      <c r="B10" s="158" t="s">
        <v>458</v>
      </c>
      <c r="C10" s="227" t="s">
        <v>35</v>
      </c>
      <c r="D10" s="181" t="s">
        <v>395</v>
      </c>
      <c r="E10" s="237">
        <v>700000</v>
      </c>
      <c r="F10" s="23">
        <v>0</v>
      </c>
      <c r="G10" s="237">
        <v>700000</v>
      </c>
    </row>
    <row r="11" spans="1:7" ht="20.100000000000001" customHeight="1">
      <c r="A11" s="28">
        <v>6</v>
      </c>
      <c r="B11" s="158" t="s">
        <v>176</v>
      </c>
      <c r="C11" s="227" t="s">
        <v>177</v>
      </c>
      <c r="D11" s="24" t="s">
        <v>395</v>
      </c>
      <c r="E11" s="237">
        <v>700000</v>
      </c>
      <c r="F11" s="23">
        <v>0</v>
      </c>
      <c r="G11" s="237">
        <v>700000</v>
      </c>
    </row>
    <row r="12" spans="1:7" ht="20.100000000000001" customHeight="1">
      <c r="A12" s="28">
        <v>7</v>
      </c>
      <c r="B12" s="156" t="s">
        <v>37</v>
      </c>
      <c r="C12" s="228" t="s">
        <v>38</v>
      </c>
      <c r="D12" s="24" t="s">
        <v>395</v>
      </c>
      <c r="E12" s="237">
        <v>700000</v>
      </c>
      <c r="F12" s="23">
        <v>0</v>
      </c>
      <c r="G12" s="237">
        <v>700000</v>
      </c>
    </row>
    <row r="13" spans="1:7" ht="20.100000000000001" customHeight="1">
      <c r="A13" s="28">
        <v>8</v>
      </c>
      <c r="B13" s="158" t="s">
        <v>39</v>
      </c>
      <c r="C13" s="227" t="s">
        <v>40</v>
      </c>
      <c r="D13" s="24" t="s">
        <v>395</v>
      </c>
      <c r="E13" s="237">
        <v>700000</v>
      </c>
      <c r="F13" s="23">
        <v>0</v>
      </c>
      <c r="G13" s="237">
        <v>700000</v>
      </c>
    </row>
    <row r="14" spans="1:7" ht="20.100000000000001" customHeight="1">
      <c r="A14" s="28">
        <v>9</v>
      </c>
      <c r="B14" s="156" t="s">
        <v>43</v>
      </c>
      <c r="C14" s="226" t="s">
        <v>44</v>
      </c>
      <c r="D14" s="181" t="s">
        <v>45</v>
      </c>
      <c r="E14" s="237">
        <v>700000</v>
      </c>
      <c r="F14" s="23">
        <v>0</v>
      </c>
      <c r="G14" s="237">
        <v>700000</v>
      </c>
    </row>
    <row r="15" spans="1:7" ht="20.100000000000001" customHeight="1">
      <c r="A15" s="28">
        <v>10</v>
      </c>
      <c r="B15" s="157" t="s">
        <v>148</v>
      </c>
      <c r="C15" s="226" t="s">
        <v>149</v>
      </c>
      <c r="D15" s="28" t="s">
        <v>128</v>
      </c>
      <c r="E15" s="237">
        <v>700000</v>
      </c>
      <c r="F15" s="23">
        <v>0</v>
      </c>
      <c r="G15" s="237">
        <v>700000</v>
      </c>
    </row>
    <row r="16" spans="1:7" ht="20.100000000000001" customHeight="1">
      <c r="A16" s="28">
        <v>11</v>
      </c>
      <c r="B16" s="160" t="s">
        <v>557</v>
      </c>
      <c r="C16" s="227" t="s">
        <v>558</v>
      </c>
      <c r="D16" s="24" t="s">
        <v>134</v>
      </c>
      <c r="E16" s="237">
        <v>500000</v>
      </c>
      <c r="F16" s="23">
        <v>0</v>
      </c>
      <c r="G16" s="237">
        <v>500000</v>
      </c>
    </row>
    <row r="17" spans="1:7" ht="19.5" customHeight="1">
      <c r="A17" s="28">
        <v>12</v>
      </c>
      <c r="B17" s="158" t="s">
        <v>459</v>
      </c>
      <c r="C17" s="227" t="s">
        <v>50</v>
      </c>
      <c r="D17" s="28" t="s">
        <v>134</v>
      </c>
      <c r="E17" s="237">
        <v>500000</v>
      </c>
      <c r="F17" s="23">
        <v>0</v>
      </c>
      <c r="G17" s="237">
        <v>500000</v>
      </c>
    </row>
    <row r="18" spans="1:7" ht="19.5" customHeight="1">
      <c r="A18" s="28">
        <v>13</v>
      </c>
      <c r="B18" s="158" t="s">
        <v>559</v>
      </c>
      <c r="C18" s="227" t="s">
        <v>560</v>
      </c>
      <c r="D18" s="28" t="s">
        <v>134</v>
      </c>
      <c r="E18" s="237">
        <v>500000</v>
      </c>
      <c r="F18" s="23">
        <v>0</v>
      </c>
      <c r="G18" s="237">
        <v>500000</v>
      </c>
    </row>
    <row r="19" spans="1:7" ht="20.100000000000001" customHeight="1">
      <c r="A19" s="28">
        <v>14</v>
      </c>
      <c r="B19" s="156" t="s">
        <v>49</v>
      </c>
      <c r="C19" s="227" t="s">
        <v>50</v>
      </c>
      <c r="D19" s="181" t="s">
        <v>134</v>
      </c>
      <c r="E19" s="237">
        <v>500000</v>
      </c>
      <c r="F19" s="23">
        <v>0</v>
      </c>
      <c r="G19" s="237">
        <v>500000</v>
      </c>
    </row>
    <row r="20" spans="1:7" ht="20.100000000000001" customHeight="1">
      <c r="A20" s="28">
        <v>15</v>
      </c>
      <c r="B20" s="156" t="s">
        <v>55</v>
      </c>
      <c r="C20" s="226" t="s">
        <v>56</v>
      </c>
      <c r="D20" s="181" t="s">
        <v>636</v>
      </c>
      <c r="E20" s="237">
        <v>500000</v>
      </c>
      <c r="F20" s="237">
        <v>500000</v>
      </c>
      <c r="G20" s="23">
        <v>0</v>
      </c>
    </row>
    <row r="21" spans="1:7" ht="20.100000000000001" customHeight="1">
      <c r="A21" s="28">
        <v>16</v>
      </c>
      <c r="B21" s="157" t="s">
        <v>58</v>
      </c>
      <c r="C21" s="227" t="s">
        <v>59</v>
      </c>
      <c r="D21" s="181" t="s">
        <v>637</v>
      </c>
      <c r="E21" s="237">
        <v>500000</v>
      </c>
      <c r="F21" s="237">
        <v>500000</v>
      </c>
      <c r="G21" s="23">
        <v>0</v>
      </c>
    </row>
    <row r="22" spans="1:7" ht="20.100000000000001" customHeight="1">
      <c r="A22" s="28">
        <v>17</v>
      </c>
      <c r="B22" s="156" t="s">
        <v>202</v>
      </c>
      <c r="C22" s="226" t="s">
        <v>203</v>
      </c>
      <c r="D22" s="181" t="s">
        <v>63</v>
      </c>
      <c r="E22" s="237">
        <v>400000</v>
      </c>
      <c r="F22" s="237">
        <v>400000</v>
      </c>
      <c r="G22" s="23">
        <v>0</v>
      </c>
    </row>
    <row r="23" spans="1:7" ht="18.75" customHeight="1">
      <c r="A23" s="28">
        <v>18</v>
      </c>
      <c r="B23" s="156" t="s">
        <v>61</v>
      </c>
      <c r="C23" s="226" t="s">
        <v>62</v>
      </c>
      <c r="D23" s="181" t="s">
        <v>66</v>
      </c>
      <c r="E23" s="237">
        <v>400000</v>
      </c>
      <c r="F23" s="237">
        <v>400000</v>
      </c>
      <c r="G23" s="23">
        <v>0</v>
      </c>
    </row>
    <row r="24" spans="1:7" ht="18.75" customHeight="1">
      <c r="A24" s="28">
        <v>19</v>
      </c>
      <c r="B24" s="156" t="s">
        <v>200</v>
      </c>
      <c r="C24" s="227" t="s">
        <v>201</v>
      </c>
      <c r="D24" s="181" t="s">
        <v>66</v>
      </c>
      <c r="E24" s="237">
        <v>400000</v>
      </c>
      <c r="F24" s="237">
        <v>400000</v>
      </c>
      <c r="G24" s="23">
        <v>0</v>
      </c>
    </row>
    <row r="25" spans="1:7" ht="18.75" customHeight="1">
      <c r="A25" s="28">
        <v>20</v>
      </c>
      <c r="B25" s="157" t="s">
        <v>247</v>
      </c>
      <c r="C25" s="227" t="s">
        <v>577</v>
      </c>
      <c r="D25" s="181" t="s">
        <v>252</v>
      </c>
      <c r="E25" s="237">
        <v>300000</v>
      </c>
      <c r="F25" s="237">
        <v>300000</v>
      </c>
      <c r="G25" s="23">
        <v>0</v>
      </c>
    </row>
    <row r="26" spans="1:7" ht="18.75" customHeight="1">
      <c r="A26" s="28">
        <v>21</v>
      </c>
      <c r="B26" s="157" t="s">
        <v>561</v>
      </c>
      <c r="C26" s="226" t="s">
        <v>83</v>
      </c>
      <c r="D26" s="181" t="s">
        <v>154</v>
      </c>
      <c r="E26" s="237">
        <v>300000</v>
      </c>
      <c r="F26" s="237">
        <v>300000</v>
      </c>
      <c r="G26" s="23">
        <v>0</v>
      </c>
    </row>
    <row r="27" spans="1:7" ht="18.75" customHeight="1">
      <c r="A27" s="28">
        <v>22</v>
      </c>
      <c r="B27" s="20" t="s">
        <v>67</v>
      </c>
      <c r="C27" s="227" t="s">
        <v>68</v>
      </c>
      <c r="D27" s="28" t="s">
        <v>73</v>
      </c>
      <c r="E27" s="237">
        <v>300000</v>
      </c>
      <c r="F27" s="237">
        <v>300000</v>
      </c>
      <c r="G27" s="23">
        <v>0</v>
      </c>
    </row>
    <row r="28" spans="1:7" ht="18.75" customHeight="1">
      <c r="A28" s="28">
        <v>23</v>
      </c>
      <c r="B28" s="157" t="s">
        <v>70</v>
      </c>
      <c r="C28" s="226" t="s">
        <v>68</v>
      </c>
      <c r="D28" s="181" t="s">
        <v>73</v>
      </c>
      <c r="E28" s="237">
        <v>300000</v>
      </c>
      <c r="F28" s="237">
        <v>300000</v>
      </c>
      <c r="G28" s="23">
        <v>0</v>
      </c>
    </row>
    <row r="29" spans="1:7" ht="18.75" customHeight="1">
      <c r="A29" s="28">
        <v>24</v>
      </c>
      <c r="B29" s="156" t="s">
        <v>460</v>
      </c>
      <c r="C29" s="226" t="s">
        <v>461</v>
      </c>
      <c r="D29" s="181" t="s">
        <v>73</v>
      </c>
      <c r="E29" s="237">
        <v>300000</v>
      </c>
      <c r="F29" s="237">
        <v>300000</v>
      </c>
      <c r="G29" s="23">
        <v>0</v>
      </c>
    </row>
    <row r="30" spans="1:7" ht="18.75" customHeight="1">
      <c r="A30" s="28">
        <v>25</v>
      </c>
      <c r="B30" s="157" t="s">
        <v>71</v>
      </c>
      <c r="C30" s="226" t="s">
        <v>404</v>
      </c>
      <c r="D30" s="181" t="s">
        <v>640</v>
      </c>
      <c r="E30" s="237">
        <v>300000</v>
      </c>
      <c r="F30" s="237">
        <v>300000</v>
      </c>
      <c r="G30" s="23">
        <v>0</v>
      </c>
    </row>
    <row r="31" spans="1:7" ht="18.75" customHeight="1">
      <c r="A31" s="28">
        <v>26</v>
      </c>
      <c r="B31" s="156" t="s">
        <v>182</v>
      </c>
      <c r="C31" s="228" t="s">
        <v>579</v>
      </c>
      <c r="D31" s="181" t="s">
        <v>641</v>
      </c>
      <c r="E31" s="237">
        <v>300000</v>
      </c>
      <c r="F31" s="237">
        <v>300000</v>
      </c>
      <c r="G31" s="23">
        <v>0</v>
      </c>
    </row>
    <row r="32" spans="1:7" ht="18.75" customHeight="1">
      <c r="A32" s="28">
        <v>27</v>
      </c>
      <c r="B32" s="157" t="s">
        <v>74</v>
      </c>
      <c r="C32" s="227" t="s">
        <v>75</v>
      </c>
      <c r="D32" s="28" t="s">
        <v>641</v>
      </c>
      <c r="E32" s="237">
        <v>300000</v>
      </c>
      <c r="F32" s="237">
        <v>300000</v>
      </c>
      <c r="G32" s="23">
        <v>0</v>
      </c>
    </row>
    <row r="33" spans="1:7" ht="18.75" customHeight="1">
      <c r="A33" s="28">
        <v>28</v>
      </c>
      <c r="B33" s="157" t="s">
        <v>77</v>
      </c>
      <c r="C33" s="228" t="s">
        <v>78</v>
      </c>
      <c r="D33" s="181" t="s">
        <v>73</v>
      </c>
      <c r="E33" s="237">
        <v>300000</v>
      </c>
      <c r="F33" s="237">
        <v>300000</v>
      </c>
      <c r="G33" s="23">
        <v>0</v>
      </c>
    </row>
    <row r="34" spans="1:7" ht="18.75" customHeight="1">
      <c r="A34" s="28">
        <v>29</v>
      </c>
      <c r="B34" s="157" t="s">
        <v>701</v>
      </c>
      <c r="C34" s="228" t="s">
        <v>78</v>
      </c>
      <c r="D34" s="181" t="s">
        <v>85</v>
      </c>
      <c r="E34" s="237">
        <v>300000</v>
      </c>
      <c r="F34" s="237">
        <v>300000</v>
      </c>
      <c r="G34" s="23">
        <v>0</v>
      </c>
    </row>
    <row r="35" spans="1:7" ht="18.75" customHeight="1">
      <c r="A35" s="28">
        <v>30</v>
      </c>
      <c r="B35" s="157" t="s">
        <v>79</v>
      </c>
      <c r="C35" s="227" t="s">
        <v>580</v>
      </c>
      <c r="D35" s="28" t="s">
        <v>85</v>
      </c>
      <c r="E35" s="237">
        <v>300000</v>
      </c>
      <c r="F35" s="237">
        <v>300000</v>
      </c>
      <c r="G35" s="23">
        <v>0</v>
      </c>
    </row>
    <row r="36" spans="1:7" ht="18.75" customHeight="1">
      <c r="A36" s="28">
        <v>31</v>
      </c>
      <c r="B36" s="157" t="s">
        <v>82</v>
      </c>
      <c r="C36" s="226" t="s">
        <v>83</v>
      </c>
      <c r="D36" s="181" t="s">
        <v>85</v>
      </c>
      <c r="E36" s="237">
        <v>300000</v>
      </c>
      <c r="F36" s="237">
        <v>300000</v>
      </c>
      <c r="G36" s="23">
        <v>0</v>
      </c>
    </row>
    <row r="37" spans="1:7" ht="18.75" customHeight="1">
      <c r="A37" s="28">
        <v>32</v>
      </c>
      <c r="B37" s="157" t="s">
        <v>562</v>
      </c>
      <c r="C37" s="226" t="s">
        <v>83</v>
      </c>
      <c r="D37" s="181" t="s">
        <v>85</v>
      </c>
      <c r="E37" s="237">
        <v>300000</v>
      </c>
      <c r="F37" s="237">
        <v>300000</v>
      </c>
      <c r="G37" s="23">
        <v>0</v>
      </c>
    </row>
    <row r="38" spans="1:7" ht="26.25" customHeight="1">
      <c r="A38" s="28"/>
      <c r="B38" s="159" t="s">
        <v>86</v>
      </c>
      <c r="C38" s="229">
        <v>29</v>
      </c>
      <c r="D38" s="181"/>
      <c r="E38" s="238">
        <f>SUM(E6:E37)</f>
        <v>15700000</v>
      </c>
      <c r="F38" s="238">
        <f>SUM(F6:F37)</f>
        <v>6100000</v>
      </c>
      <c r="G38" s="238">
        <f t="shared" ref="G38" si="1">SUM(G6:G37)</f>
        <v>9600000</v>
      </c>
    </row>
    <row r="39" spans="1:7" ht="18.75" customHeight="1">
      <c r="A39" s="28"/>
      <c r="B39" s="123"/>
      <c r="C39" s="227"/>
      <c r="D39" s="181"/>
      <c r="E39" s="238"/>
      <c r="F39" s="237"/>
      <c r="G39" s="238"/>
    </row>
    <row r="40" spans="1:7" ht="18.75" customHeight="1">
      <c r="A40" s="28"/>
      <c r="B40" s="159" t="s">
        <v>87</v>
      </c>
      <c r="C40" s="227"/>
      <c r="D40" s="181"/>
      <c r="E40" s="237"/>
      <c r="F40" s="237"/>
      <c r="G40" s="237"/>
    </row>
    <row r="41" spans="1:7" ht="18.75" customHeight="1">
      <c r="A41" s="28">
        <v>1</v>
      </c>
      <c r="B41" s="157" t="s">
        <v>88</v>
      </c>
      <c r="C41" s="227" t="s">
        <v>89</v>
      </c>
      <c r="D41" s="28" t="s">
        <v>643</v>
      </c>
      <c r="E41" s="237">
        <v>1000000</v>
      </c>
      <c r="F41" s="23">
        <v>0</v>
      </c>
      <c r="G41" s="237">
        <v>1000000</v>
      </c>
    </row>
    <row r="42" spans="1:7" ht="18.75" customHeight="1">
      <c r="A42" s="28">
        <v>2</v>
      </c>
      <c r="B42" s="157" t="s">
        <v>91</v>
      </c>
      <c r="C42" s="227" t="s">
        <v>92</v>
      </c>
      <c r="D42" s="28" t="s">
        <v>85</v>
      </c>
      <c r="E42" s="237">
        <v>300000</v>
      </c>
      <c r="F42" s="237">
        <v>300000</v>
      </c>
      <c r="G42" s="23">
        <v>0</v>
      </c>
    </row>
    <row r="43" spans="1:7" ht="19.5" customHeight="1">
      <c r="A43" s="28"/>
      <c r="B43" s="158"/>
      <c r="C43" s="229">
        <v>2</v>
      </c>
      <c r="D43" s="28"/>
      <c r="E43" s="238">
        <f>SUM(E41:E42)</f>
        <v>1300000</v>
      </c>
      <c r="F43" s="238">
        <f t="shared" ref="F43:G43" si="2">SUM(F41:F42)</f>
        <v>300000</v>
      </c>
      <c r="G43" s="238">
        <f t="shared" si="2"/>
        <v>1000000</v>
      </c>
    </row>
    <row r="44" spans="1:7" ht="20.100000000000001" customHeight="1">
      <c r="A44" s="28"/>
      <c r="B44" s="158"/>
      <c r="C44" s="227"/>
      <c r="D44" s="28"/>
      <c r="E44" s="237"/>
      <c r="F44" s="237"/>
      <c r="G44" s="237"/>
    </row>
    <row r="45" spans="1:7" ht="20.100000000000001" customHeight="1">
      <c r="A45" s="28"/>
      <c r="B45" s="185" t="s">
        <v>96</v>
      </c>
      <c r="C45" s="230"/>
      <c r="D45" s="174"/>
      <c r="E45" s="237"/>
      <c r="F45" s="237"/>
      <c r="G45" s="237"/>
    </row>
    <row r="46" spans="1:7" ht="20.100000000000001" customHeight="1">
      <c r="A46" s="28">
        <v>1</v>
      </c>
      <c r="B46" s="156" t="s">
        <v>97</v>
      </c>
      <c r="C46" s="227" t="s">
        <v>98</v>
      </c>
      <c r="D46" s="28" t="s">
        <v>90</v>
      </c>
      <c r="E46" s="237">
        <v>1000000</v>
      </c>
      <c r="F46" s="23">
        <v>0</v>
      </c>
      <c r="G46" s="237">
        <v>1000000</v>
      </c>
    </row>
    <row r="47" spans="1:7" ht="20.100000000000001" customHeight="1">
      <c r="A47" s="28">
        <v>2</v>
      </c>
      <c r="B47" s="156" t="s">
        <v>99</v>
      </c>
      <c r="C47" s="227" t="s">
        <v>100</v>
      </c>
      <c r="D47" s="28" t="s">
        <v>45</v>
      </c>
      <c r="E47" s="237">
        <v>700000</v>
      </c>
      <c r="F47" s="23">
        <v>0</v>
      </c>
      <c r="G47" s="237">
        <v>700000</v>
      </c>
    </row>
    <row r="48" spans="1:7" ht="20.100000000000001" customHeight="1">
      <c r="A48" s="28">
        <v>3</v>
      </c>
      <c r="B48" s="156" t="s">
        <v>101</v>
      </c>
      <c r="C48" s="227" t="s">
        <v>102</v>
      </c>
      <c r="D48" s="28" t="s">
        <v>45</v>
      </c>
      <c r="E48" s="237">
        <v>700000</v>
      </c>
      <c r="F48" s="23">
        <v>0</v>
      </c>
      <c r="G48" s="237">
        <v>700000</v>
      </c>
    </row>
    <row r="49" spans="1:7" ht="20.100000000000001" customHeight="1">
      <c r="A49" s="28">
        <v>4</v>
      </c>
      <c r="B49" s="156" t="s">
        <v>103</v>
      </c>
      <c r="C49" s="227" t="s">
        <v>102</v>
      </c>
      <c r="D49" s="28" t="s">
        <v>105</v>
      </c>
      <c r="E49" s="237">
        <v>700000</v>
      </c>
      <c r="F49" s="23">
        <v>0</v>
      </c>
      <c r="G49" s="237">
        <v>700000</v>
      </c>
    </row>
    <row r="50" spans="1:7" ht="20.100000000000001" customHeight="1">
      <c r="A50" s="28">
        <v>5</v>
      </c>
      <c r="B50" s="156" t="s">
        <v>104</v>
      </c>
      <c r="C50" s="227" t="s">
        <v>102</v>
      </c>
      <c r="D50" s="28" t="s">
        <v>48</v>
      </c>
      <c r="E50" s="237">
        <v>700000</v>
      </c>
      <c r="F50" s="23">
        <v>0</v>
      </c>
      <c r="G50" s="237">
        <v>700000</v>
      </c>
    </row>
    <row r="51" spans="1:7" ht="20.100000000000001" customHeight="1">
      <c r="A51" s="28">
        <v>6</v>
      </c>
      <c r="B51" s="156" t="s">
        <v>106</v>
      </c>
      <c r="C51" s="227" t="s">
        <v>107</v>
      </c>
      <c r="D51" s="28" t="s">
        <v>134</v>
      </c>
      <c r="E51" s="237">
        <v>500000</v>
      </c>
      <c r="F51" s="23">
        <v>0</v>
      </c>
      <c r="G51" s="237">
        <v>500000</v>
      </c>
    </row>
    <row r="52" spans="1:7" ht="20.100000000000001" customHeight="1">
      <c r="A52" s="28">
        <v>7</v>
      </c>
      <c r="B52" s="158" t="s">
        <v>108</v>
      </c>
      <c r="C52" s="227" t="s">
        <v>109</v>
      </c>
      <c r="D52" s="24" t="s">
        <v>134</v>
      </c>
      <c r="E52" s="237">
        <v>500000</v>
      </c>
      <c r="F52" s="23">
        <v>0</v>
      </c>
      <c r="G52" s="237">
        <v>500000</v>
      </c>
    </row>
    <row r="53" spans="1:7" ht="20.100000000000001" customHeight="1">
      <c r="A53" s="28">
        <v>8</v>
      </c>
      <c r="B53" s="156" t="s">
        <v>464</v>
      </c>
      <c r="C53" s="227" t="s">
        <v>109</v>
      </c>
      <c r="D53" s="28" t="s">
        <v>111</v>
      </c>
      <c r="E53" s="237">
        <v>500000</v>
      </c>
      <c r="F53" s="23">
        <v>0</v>
      </c>
      <c r="G53" s="237">
        <v>500000</v>
      </c>
    </row>
    <row r="54" spans="1:7" ht="20.100000000000001" customHeight="1">
      <c r="A54" s="28">
        <v>9</v>
      </c>
      <c r="B54" s="156" t="s">
        <v>110</v>
      </c>
      <c r="C54" s="227" t="s">
        <v>164</v>
      </c>
      <c r="D54" s="28" t="s">
        <v>57</v>
      </c>
      <c r="E54" s="237">
        <v>500000</v>
      </c>
      <c r="F54" s="237">
        <v>500000</v>
      </c>
      <c r="G54" s="23">
        <v>0</v>
      </c>
    </row>
    <row r="55" spans="1:7" ht="20.100000000000001" customHeight="1">
      <c r="A55" s="28">
        <v>10</v>
      </c>
      <c r="B55" s="156" t="s">
        <v>114</v>
      </c>
      <c r="C55" s="227" t="s">
        <v>113</v>
      </c>
      <c r="D55" s="28" t="s">
        <v>73</v>
      </c>
      <c r="E55" s="237">
        <v>300000</v>
      </c>
      <c r="F55" s="237">
        <v>300000</v>
      </c>
      <c r="G55" s="23">
        <v>0</v>
      </c>
    </row>
    <row r="56" spans="1:7" ht="20.100000000000001" customHeight="1">
      <c r="A56" s="28">
        <v>11</v>
      </c>
      <c r="B56" s="156" t="s">
        <v>115</v>
      </c>
      <c r="C56" s="227" t="s">
        <v>113</v>
      </c>
      <c r="D56" s="28" t="s">
        <v>73</v>
      </c>
      <c r="E56" s="237">
        <v>300000</v>
      </c>
      <c r="F56" s="237">
        <v>300000</v>
      </c>
      <c r="G56" s="23">
        <v>0</v>
      </c>
    </row>
    <row r="57" spans="1:7" ht="20.100000000000001" customHeight="1">
      <c r="A57" s="28">
        <v>12</v>
      </c>
      <c r="B57" s="156" t="s">
        <v>116</v>
      </c>
      <c r="C57" s="227" t="s">
        <v>113</v>
      </c>
      <c r="D57" s="28" t="s">
        <v>73</v>
      </c>
      <c r="E57" s="237">
        <v>300000</v>
      </c>
      <c r="F57" s="237">
        <v>300000</v>
      </c>
      <c r="G57" s="23">
        <v>0</v>
      </c>
    </row>
    <row r="58" spans="1:7" ht="25.5" customHeight="1">
      <c r="A58" s="28"/>
      <c r="B58" s="159" t="s">
        <v>86</v>
      </c>
      <c r="C58" s="229">
        <v>11</v>
      </c>
      <c r="D58" s="29"/>
      <c r="E58" s="239">
        <f>SUM(E46:E57)</f>
        <v>6700000</v>
      </c>
      <c r="F58" s="239">
        <f t="shared" ref="F58:G58" si="3">SUM(F46:F57)</f>
        <v>1400000</v>
      </c>
      <c r="G58" s="239">
        <f t="shared" si="3"/>
        <v>5300000</v>
      </c>
    </row>
    <row r="59" spans="1:7" ht="20.100000000000001" customHeight="1">
      <c r="A59" s="28"/>
      <c r="B59" s="123"/>
      <c r="C59" s="229"/>
      <c r="D59" s="29"/>
      <c r="E59" s="240"/>
      <c r="F59" s="240"/>
      <c r="G59" s="240"/>
    </row>
    <row r="60" spans="1:7" ht="20.100000000000001" customHeight="1">
      <c r="A60" s="28"/>
      <c r="B60" s="159" t="s">
        <v>117</v>
      </c>
      <c r="C60" s="229"/>
      <c r="D60" s="29"/>
      <c r="E60" s="240"/>
      <c r="F60" s="240"/>
      <c r="G60" s="240"/>
    </row>
    <row r="61" spans="1:7" ht="20.100000000000001" customHeight="1">
      <c r="A61" s="28">
        <v>1</v>
      </c>
      <c r="B61" s="156" t="s">
        <v>118</v>
      </c>
      <c r="C61" s="226" t="s">
        <v>119</v>
      </c>
      <c r="D61" s="181" t="s">
        <v>90</v>
      </c>
      <c r="E61" s="237">
        <f>1000000/2</f>
        <v>500000</v>
      </c>
      <c r="F61" s="23">
        <v>0</v>
      </c>
      <c r="G61" s="237">
        <f t="shared" ref="G61" si="4">1000000/2</f>
        <v>500000</v>
      </c>
    </row>
    <row r="62" spans="1:7" ht="20.100000000000001" customHeight="1">
      <c r="A62" s="28"/>
      <c r="B62" s="159" t="s">
        <v>86</v>
      </c>
      <c r="C62" s="229">
        <v>2</v>
      </c>
      <c r="D62" s="29"/>
      <c r="E62" s="239">
        <f>SUM(E61)</f>
        <v>500000</v>
      </c>
      <c r="F62" s="68">
        <f t="shared" ref="F62:G62" si="5">SUM(F61)</f>
        <v>0</v>
      </c>
      <c r="G62" s="239">
        <f t="shared" si="5"/>
        <v>500000</v>
      </c>
    </row>
    <row r="63" spans="1:7" ht="20.100000000000001" customHeight="1">
      <c r="A63" s="28"/>
      <c r="B63" s="159"/>
      <c r="C63" s="229"/>
      <c r="D63" s="29"/>
      <c r="E63" s="240"/>
      <c r="F63" s="240"/>
      <c r="G63" s="240"/>
    </row>
    <row r="64" spans="1:7" ht="20.100000000000001" customHeight="1">
      <c r="A64" s="28"/>
      <c r="B64" s="159" t="s">
        <v>123</v>
      </c>
      <c r="C64" s="229"/>
      <c r="D64" s="29"/>
      <c r="E64" s="240"/>
      <c r="F64" s="240"/>
      <c r="G64" s="240"/>
    </row>
    <row r="65" spans="1:7" ht="20.100000000000001" customHeight="1">
      <c r="A65" s="28">
        <v>1</v>
      </c>
      <c r="B65" s="156" t="s">
        <v>124</v>
      </c>
      <c r="C65" s="228" t="s">
        <v>125</v>
      </c>
      <c r="D65" s="28" t="s">
        <v>90</v>
      </c>
      <c r="E65" s="241">
        <f>1000000/2</f>
        <v>500000</v>
      </c>
      <c r="F65" s="25">
        <v>0</v>
      </c>
      <c r="G65" s="241">
        <f t="shared" ref="G65" si="6">1000000/2</f>
        <v>500000</v>
      </c>
    </row>
    <row r="66" spans="1:7" ht="20.100000000000001" customHeight="1">
      <c r="A66" s="28">
        <v>2</v>
      </c>
      <c r="B66" s="157" t="s">
        <v>126</v>
      </c>
      <c r="C66" s="228" t="s">
        <v>127</v>
      </c>
      <c r="D66" s="181" t="s">
        <v>128</v>
      </c>
      <c r="E66" s="237">
        <f>700000/2</f>
        <v>350000</v>
      </c>
      <c r="F66" s="25">
        <v>0</v>
      </c>
      <c r="G66" s="237">
        <f t="shared" ref="G66" si="7">700000/2</f>
        <v>350000</v>
      </c>
    </row>
    <row r="67" spans="1:7" ht="20.100000000000001" customHeight="1">
      <c r="A67" s="28">
        <v>3</v>
      </c>
      <c r="B67" s="156" t="s">
        <v>129</v>
      </c>
      <c r="C67" s="227" t="s">
        <v>131</v>
      </c>
      <c r="D67" s="28" t="s">
        <v>57</v>
      </c>
      <c r="E67" s="241">
        <v>500000</v>
      </c>
      <c r="F67" s="241">
        <v>500000</v>
      </c>
      <c r="G67" s="25">
        <v>0</v>
      </c>
    </row>
    <row r="68" spans="1:7" ht="20.100000000000001" customHeight="1">
      <c r="A68" s="28">
        <v>4</v>
      </c>
      <c r="B68" s="157" t="s">
        <v>130</v>
      </c>
      <c r="C68" s="228" t="s">
        <v>131</v>
      </c>
      <c r="D68" s="181" t="s">
        <v>636</v>
      </c>
      <c r="E68" s="241">
        <v>500000</v>
      </c>
      <c r="F68" s="241">
        <v>500000</v>
      </c>
      <c r="G68" s="25">
        <v>0</v>
      </c>
    </row>
    <row r="69" spans="1:7" ht="20.100000000000001" customHeight="1">
      <c r="A69" s="28">
        <v>5</v>
      </c>
      <c r="B69" s="158" t="s">
        <v>132</v>
      </c>
      <c r="C69" s="228" t="s">
        <v>109</v>
      </c>
      <c r="D69" s="181" t="s">
        <v>134</v>
      </c>
      <c r="E69" s="241">
        <v>500000</v>
      </c>
      <c r="F69" s="25">
        <v>0</v>
      </c>
      <c r="G69" s="241">
        <v>500000</v>
      </c>
    </row>
    <row r="70" spans="1:7" ht="20.100000000000001" customHeight="1">
      <c r="A70" s="28">
        <v>6</v>
      </c>
      <c r="B70" s="156" t="s">
        <v>135</v>
      </c>
      <c r="C70" s="227" t="s">
        <v>113</v>
      </c>
      <c r="D70" s="28" t="s">
        <v>645</v>
      </c>
      <c r="E70" s="237">
        <v>300000</v>
      </c>
      <c r="F70" s="241">
        <v>300000</v>
      </c>
      <c r="G70" s="25">
        <v>0</v>
      </c>
    </row>
    <row r="71" spans="1:7" ht="20.100000000000001" customHeight="1">
      <c r="A71" s="28">
        <v>7</v>
      </c>
      <c r="B71" s="156" t="s">
        <v>198</v>
      </c>
      <c r="C71" s="228" t="s">
        <v>137</v>
      </c>
      <c r="D71" s="181" t="s">
        <v>63</v>
      </c>
      <c r="E71" s="237">
        <v>400000</v>
      </c>
      <c r="F71" s="241">
        <v>400000</v>
      </c>
      <c r="G71" s="23">
        <v>0</v>
      </c>
    </row>
    <row r="72" spans="1:7" ht="20.100000000000001" customHeight="1">
      <c r="A72" s="28">
        <v>8</v>
      </c>
      <c r="B72" s="156" t="s">
        <v>136</v>
      </c>
      <c r="C72" s="228" t="s">
        <v>137</v>
      </c>
      <c r="D72" s="181" t="s">
        <v>66</v>
      </c>
      <c r="E72" s="237">
        <v>400000</v>
      </c>
      <c r="F72" s="241">
        <v>400000</v>
      </c>
      <c r="G72" s="23">
        <v>0</v>
      </c>
    </row>
    <row r="73" spans="1:7" ht="20.100000000000001" customHeight="1">
      <c r="A73" s="28">
        <v>9</v>
      </c>
      <c r="B73" s="156" t="s">
        <v>138</v>
      </c>
      <c r="C73" s="228" t="s">
        <v>137</v>
      </c>
      <c r="D73" s="181" t="s">
        <v>66</v>
      </c>
      <c r="E73" s="237">
        <v>400000</v>
      </c>
      <c r="F73" s="241">
        <v>400000</v>
      </c>
      <c r="G73" s="23">
        <v>0</v>
      </c>
    </row>
    <row r="74" spans="1:7" ht="20.100000000000001" customHeight="1">
      <c r="A74" s="28">
        <v>10</v>
      </c>
      <c r="B74" s="156" t="s">
        <v>139</v>
      </c>
      <c r="C74" s="227" t="s">
        <v>140</v>
      </c>
      <c r="D74" s="28" t="s">
        <v>66</v>
      </c>
      <c r="E74" s="237">
        <v>400000</v>
      </c>
      <c r="F74" s="241">
        <v>400000</v>
      </c>
      <c r="G74" s="23">
        <v>0</v>
      </c>
    </row>
    <row r="75" spans="1:7" ht="20.100000000000001" customHeight="1">
      <c r="A75" s="28">
        <v>11</v>
      </c>
      <c r="B75" s="156" t="s">
        <v>563</v>
      </c>
      <c r="C75" s="228" t="s">
        <v>113</v>
      </c>
      <c r="D75" s="28" t="s">
        <v>95</v>
      </c>
      <c r="E75" s="237">
        <v>300000</v>
      </c>
      <c r="F75" s="241">
        <v>300000</v>
      </c>
      <c r="G75" s="23">
        <v>0</v>
      </c>
    </row>
    <row r="76" spans="1:7" ht="20.100000000000001" customHeight="1">
      <c r="A76" s="28">
        <v>12</v>
      </c>
      <c r="B76" s="156" t="s">
        <v>142</v>
      </c>
      <c r="C76" s="228" t="s">
        <v>65</v>
      </c>
      <c r="D76" s="28" t="s">
        <v>73</v>
      </c>
      <c r="E76" s="237">
        <v>300000</v>
      </c>
      <c r="F76" s="241">
        <v>300000</v>
      </c>
      <c r="G76" s="23">
        <v>0</v>
      </c>
    </row>
    <row r="77" spans="1:7" ht="20.100000000000001" customHeight="1">
      <c r="A77" s="28">
        <v>13</v>
      </c>
      <c r="B77" s="158" t="s">
        <v>64</v>
      </c>
      <c r="C77" s="228" t="s">
        <v>65</v>
      </c>
      <c r="D77" s="28" t="s">
        <v>85</v>
      </c>
      <c r="E77" s="237">
        <v>300000</v>
      </c>
      <c r="F77" s="237">
        <v>300000</v>
      </c>
      <c r="G77" s="23">
        <v>0</v>
      </c>
    </row>
    <row r="78" spans="1:7" ht="20.100000000000001" customHeight="1">
      <c r="A78" s="28"/>
      <c r="B78" s="159" t="s">
        <v>86</v>
      </c>
      <c r="C78" s="229">
        <v>13</v>
      </c>
      <c r="D78" s="29"/>
      <c r="E78" s="239">
        <f>SUM(E65:E77)</f>
        <v>5150000</v>
      </c>
      <c r="F78" s="239">
        <f t="shared" ref="F78:G78" si="8">SUM(F65:F77)</f>
        <v>3800000</v>
      </c>
      <c r="G78" s="239">
        <f t="shared" si="8"/>
        <v>1350000</v>
      </c>
    </row>
    <row r="79" spans="1:7" ht="20.100000000000001" customHeight="1">
      <c r="A79" s="28"/>
      <c r="B79" s="123"/>
      <c r="C79" s="229"/>
      <c r="D79" s="29"/>
      <c r="E79" s="240"/>
      <c r="F79" s="240"/>
      <c r="G79" s="240"/>
    </row>
    <row r="80" spans="1:7" ht="20.100000000000001" customHeight="1">
      <c r="A80" s="28"/>
      <c r="B80" s="159" t="s">
        <v>143</v>
      </c>
      <c r="C80" s="229"/>
      <c r="D80" s="29"/>
      <c r="E80" s="240"/>
      <c r="F80" s="240"/>
      <c r="G80" s="240"/>
    </row>
    <row r="81" spans="1:7" ht="20.100000000000001" customHeight="1">
      <c r="A81" s="28">
        <v>1</v>
      </c>
      <c r="B81" s="156" t="s">
        <v>144</v>
      </c>
      <c r="C81" s="227" t="s">
        <v>145</v>
      </c>
      <c r="D81" s="28" t="s">
        <v>90</v>
      </c>
      <c r="E81" s="237">
        <v>1000000</v>
      </c>
      <c r="F81" s="23">
        <v>0</v>
      </c>
      <c r="G81" s="237">
        <v>1000000</v>
      </c>
    </row>
    <row r="82" spans="1:7" ht="20.100000000000001" customHeight="1">
      <c r="A82" s="28">
        <v>2</v>
      </c>
      <c r="B82" s="158" t="s">
        <v>146</v>
      </c>
      <c r="C82" s="227" t="s">
        <v>147</v>
      </c>
      <c r="D82" s="181" t="s">
        <v>128</v>
      </c>
      <c r="E82" s="237">
        <v>700000</v>
      </c>
      <c r="F82" s="23">
        <v>0</v>
      </c>
      <c r="G82" s="237">
        <v>700000</v>
      </c>
    </row>
    <row r="83" spans="1:7" ht="20.100000000000001" customHeight="1">
      <c r="A83" s="28">
        <v>3</v>
      </c>
      <c r="B83" s="158" t="s">
        <v>564</v>
      </c>
      <c r="C83" s="227" t="s">
        <v>565</v>
      </c>
      <c r="D83" s="181" t="s">
        <v>128</v>
      </c>
      <c r="E83" s="237">
        <f>700000/2</f>
        <v>350000</v>
      </c>
      <c r="F83" s="23">
        <v>0</v>
      </c>
      <c r="G83" s="237">
        <f t="shared" ref="G83" si="9">700000/2</f>
        <v>350000</v>
      </c>
    </row>
    <row r="84" spans="1:7" ht="20.100000000000001" customHeight="1">
      <c r="A84" s="28">
        <v>4</v>
      </c>
      <c r="B84" s="156" t="s">
        <v>150</v>
      </c>
      <c r="C84" s="227" t="s">
        <v>406</v>
      </c>
      <c r="D84" s="181" t="s">
        <v>57</v>
      </c>
      <c r="E84" s="237">
        <v>500000</v>
      </c>
      <c r="F84" s="237">
        <v>500000</v>
      </c>
      <c r="G84" s="23">
        <v>0</v>
      </c>
    </row>
    <row r="85" spans="1:7" ht="20.100000000000001" customHeight="1">
      <c r="A85" s="28">
        <v>5</v>
      </c>
      <c r="B85" s="156" t="s">
        <v>152</v>
      </c>
      <c r="C85" s="227" t="s">
        <v>153</v>
      </c>
      <c r="D85" s="28" t="s">
        <v>95</v>
      </c>
      <c r="E85" s="237">
        <v>300000</v>
      </c>
      <c r="F85" s="237">
        <v>300000</v>
      </c>
      <c r="G85" s="23">
        <v>0</v>
      </c>
    </row>
    <row r="86" spans="1:7" ht="20.100000000000001" customHeight="1">
      <c r="A86" s="28"/>
      <c r="B86" s="159" t="s">
        <v>86</v>
      </c>
      <c r="C86" s="229">
        <v>5</v>
      </c>
      <c r="D86" s="29"/>
      <c r="E86" s="239">
        <f>SUM(E81:E85)</f>
        <v>2850000</v>
      </c>
      <c r="F86" s="239">
        <f>SUM(F81:F85)</f>
        <v>800000</v>
      </c>
      <c r="G86" s="239">
        <f t="shared" ref="G86" si="10">SUM(G81:G85)</f>
        <v>2050000</v>
      </c>
    </row>
    <row r="87" spans="1:7" ht="20.100000000000001" customHeight="1">
      <c r="A87" s="28"/>
      <c r="B87" s="159"/>
      <c r="C87" s="229"/>
      <c r="D87" s="29"/>
      <c r="E87" s="237"/>
      <c r="F87" s="237"/>
      <c r="G87" s="237"/>
    </row>
    <row r="88" spans="1:7" ht="20.100000000000001" customHeight="1">
      <c r="A88" s="28"/>
      <c r="B88" s="159" t="s">
        <v>158</v>
      </c>
      <c r="C88" s="231"/>
      <c r="D88" s="29"/>
      <c r="E88" s="237"/>
      <c r="F88" s="237"/>
      <c r="G88" s="237"/>
    </row>
    <row r="89" spans="1:7" ht="20.100000000000001" customHeight="1">
      <c r="A89" s="28">
        <v>1</v>
      </c>
      <c r="B89" s="156" t="s">
        <v>648</v>
      </c>
      <c r="C89" s="227" t="s">
        <v>583</v>
      </c>
      <c r="D89" s="28" t="s">
        <v>36</v>
      </c>
      <c r="E89" s="237">
        <v>700000</v>
      </c>
      <c r="F89" s="23">
        <v>0</v>
      </c>
      <c r="G89" s="237">
        <v>700000</v>
      </c>
    </row>
    <row r="90" spans="1:7" ht="20.100000000000001" customHeight="1">
      <c r="A90" s="28">
        <v>2</v>
      </c>
      <c r="B90" s="156" t="s">
        <v>159</v>
      </c>
      <c r="C90" s="227" t="s">
        <v>102</v>
      </c>
      <c r="D90" s="28" t="s">
        <v>45</v>
      </c>
      <c r="E90" s="237">
        <v>700000</v>
      </c>
      <c r="F90" s="23">
        <v>0</v>
      </c>
      <c r="G90" s="237">
        <v>700000</v>
      </c>
    </row>
    <row r="91" spans="1:7" ht="20.100000000000001" customHeight="1">
      <c r="A91" s="28">
        <v>3</v>
      </c>
      <c r="B91" s="156" t="s">
        <v>160</v>
      </c>
      <c r="C91" s="227" t="s">
        <v>102</v>
      </c>
      <c r="D91" s="28" t="s">
        <v>45</v>
      </c>
      <c r="E91" s="237">
        <v>700000</v>
      </c>
      <c r="F91" s="23">
        <v>0</v>
      </c>
      <c r="G91" s="237">
        <v>700000</v>
      </c>
    </row>
    <row r="92" spans="1:7" ht="20.100000000000001" customHeight="1">
      <c r="A92" s="28">
        <v>4</v>
      </c>
      <c r="B92" s="158" t="s">
        <v>161</v>
      </c>
      <c r="C92" s="227" t="s">
        <v>109</v>
      </c>
      <c r="D92" s="28" t="s">
        <v>51</v>
      </c>
      <c r="E92" s="241">
        <v>500000</v>
      </c>
      <c r="F92" s="23">
        <v>0</v>
      </c>
      <c r="G92" s="241">
        <v>500000</v>
      </c>
    </row>
    <row r="93" spans="1:7" ht="20.100000000000001" customHeight="1">
      <c r="A93" s="28">
        <v>5</v>
      </c>
      <c r="B93" s="156" t="s">
        <v>162</v>
      </c>
      <c r="C93" s="227" t="s">
        <v>107</v>
      </c>
      <c r="D93" s="28" t="s">
        <v>134</v>
      </c>
      <c r="E93" s="241">
        <v>500000</v>
      </c>
      <c r="F93" s="23">
        <v>0</v>
      </c>
      <c r="G93" s="241">
        <v>500000</v>
      </c>
    </row>
    <row r="94" spans="1:7" ht="21.6" customHeight="1">
      <c r="A94" s="28">
        <v>6</v>
      </c>
      <c r="B94" s="156" t="s">
        <v>163</v>
      </c>
      <c r="C94" s="227" t="s">
        <v>164</v>
      </c>
      <c r="D94" s="181" t="s">
        <v>57</v>
      </c>
      <c r="E94" s="241">
        <v>500000</v>
      </c>
      <c r="F94" s="237">
        <v>500000</v>
      </c>
      <c r="G94" s="25">
        <v>0</v>
      </c>
    </row>
    <row r="95" spans="1:7" ht="21.6" customHeight="1">
      <c r="A95" s="28">
        <v>7</v>
      </c>
      <c r="B95" s="156" t="s">
        <v>166</v>
      </c>
      <c r="C95" s="226" t="s">
        <v>131</v>
      </c>
      <c r="D95" s="181" t="s">
        <v>636</v>
      </c>
      <c r="E95" s="241">
        <v>500000</v>
      </c>
      <c r="F95" s="237">
        <v>500000</v>
      </c>
      <c r="G95" s="25">
        <v>0</v>
      </c>
    </row>
    <row r="96" spans="1:7" ht="21.6" customHeight="1">
      <c r="A96" s="28">
        <v>8</v>
      </c>
      <c r="B96" s="156" t="s">
        <v>167</v>
      </c>
      <c r="C96" s="226" t="s">
        <v>131</v>
      </c>
      <c r="D96" s="181" t="s">
        <v>636</v>
      </c>
      <c r="E96" s="241">
        <f>500000/2</f>
        <v>250000</v>
      </c>
      <c r="F96" s="241">
        <f>500000/2</f>
        <v>250000</v>
      </c>
      <c r="G96" s="25">
        <v>0</v>
      </c>
    </row>
    <row r="97" spans="1:7" ht="21.6" customHeight="1">
      <c r="A97" s="28">
        <v>9</v>
      </c>
      <c r="B97" s="156" t="s">
        <v>169</v>
      </c>
      <c r="C97" s="228" t="s">
        <v>137</v>
      </c>
      <c r="D97" s="181" t="s">
        <v>66</v>
      </c>
      <c r="E97" s="237">
        <v>400000</v>
      </c>
      <c r="F97" s="237">
        <v>400000</v>
      </c>
      <c r="G97" s="25">
        <v>0</v>
      </c>
    </row>
    <row r="98" spans="1:7" ht="21.6" customHeight="1">
      <c r="A98" s="28">
        <v>10</v>
      </c>
      <c r="B98" s="156" t="s">
        <v>171</v>
      </c>
      <c r="C98" s="227" t="s">
        <v>172</v>
      </c>
      <c r="D98" s="28" t="s">
        <v>95</v>
      </c>
      <c r="E98" s="237">
        <v>300000</v>
      </c>
      <c r="F98" s="237">
        <v>300000</v>
      </c>
      <c r="G98" s="25">
        <v>0</v>
      </c>
    </row>
    <row r="99" spans="1:7" ht="21.6" customHeight="1">
      <c r="A99" s="28">
        <v>11</v>
      </c>
      <c r="B99" s="156" t="s">
        <v>173</v>
      </c>
      <c r="C99" s="228" t="s">
        <v>174</v>
      </c>
      <c r="D99" s="181" t="s">
        <v>85</v>
      </c>
      <c r="E99" s="237">
        <v>300000</v>
      </c>
      <c r="F99" s="237">
        <v>300000</v>
      </c>
      <c r="G99" s="25">
        <v>0</v>
      </c>
    </row>
    <row r="100" spans="1:7" ht="20.100000000000001" customHeight="1">
      <c r="A100" s="28"/>
      <c r="B100" s="159" t="s">
        <v>86</v>
      </c>
      <c r="C100" s="229">
        <v>10</v>
      </c>
      <c r="D100" s="29"/>
      <c r="E100" s="239">
        <f>SUM(E89:E99)</f>
        <v>5350000</v>
      </c>
      <c r="F100" s="239">
        <f t="shared" ref="F100:G100" si="11">SUM(F89:F99)</f>
        <v>2250000</v>
      </c>
      <c r="G100" s="239">
        <f t="shared" si="11"/>
        <v>3100000</v>
      </c>
    </row>
    <row r="101" spans="1:7" ht="20.100000000000001" customHeight="1">
      <c r="A101" s="28"/>
      <c r="B101" s="123"/>
      <c r="C101" s="229"/>
      <c r="D101" s="29"/>
      <c r="E101" s="240"/>
      <c r="F101" s="240"/>
      <c r="G101" s="240"/>
    </row>
    <row r="102" spans="1:7" ht="20.100000000000001" customHeight="1">
      <c r="A102" s="28"/>
      <c r="B102" s="159" t="s">
        <v>702</v>
      </c>
      <c r="C102" s="229"/>
      <c r="D102" s="29"/>
      <c r="E102" s="240"/>
      <c r="F102" s="240"/>
      <c r="G102" s="240"/>
    </row>
    <row r="103" spans="1:7" ht="20.100000000000001" customHeight="1">
      <c r="A103" s="28">
        <v>1</v>
      </c>
      <c r="B103" s="157" t="s">
        <v>41</v>
      </c>
      <c r="C103" s="232" t="s">
        <v>42</v>
      </c>
      <c r="D103" s="181" t="s">
        <v>36</v>
      </c>
      <c r="E103" s="237">
        <v>700000</v>
      </c>
      <c r="F103" s="23">
        <v>0</v>
      </c>
      <c r="G103" s="237">
        <v>700000</v>
      </c>
    </row>
    <row r="104" spans="1:7" ht="20.100000000000001" customHeight="1">
      <c r="A104" s="28">
        <v>2</v>
      </c>
      <c r="B104" s="156" t="s">
        <v>46</v>
      </c>
      <c r="C104" s="227" t="s">
        <v>179</v>
      </c>
      <c r="D104" s="28" t="s">
        <v>134</v>
      </c>
      <c r="E104" s="237">
        <v>500000</v>
      </c>
      <c r="F104" s="23">
        <v>0</v>
      </c>
      <c r="G104" s="237">
        <v>500000</v>
      </c>
    </row>
    <row r="105" spans="1:7" ht="20.100000000000001" customHeight="1">
      <c r="A105" s="28">
        <v>3</v>
      </c>
      <c r="B105" s="157" t="s">
        <v>584</v>
      </c>
      <c r="C105" s="227" t="s">
        <v>585</v>
      </c>
      <c r="D105" s="181" t="s">
        <v>636</v>
      </c>
      <c r="E105" s="237">
        <v>500000</v>
      </c>
      <c r="F105" s="237">
        <v>500000</v>
      </c>
      <c r="G105" s="23">
        <v>0</v>
      </c>
    </row>
    <row r="106" spans="1:7" ht="20.100000000000001" customHeight="1">
      <c r="A106" s="28">
        <v>4</v>
      </c>
      <c r="B106" s="156" t="s">
        <v>180</v>
      </c>
      <c r="C106" s="227" t="s">
        <v>181</v>
      </c>
      <c r="D106" s="181" t="s">
        <v>66</v>
      </c>
      <c r="E106" s="237">
        <v>400000</v>
      </c>
      <c r="F106" s="237">
        <v>400000</v>
      </c>
      <c r="G106" s="23">
        <v>0</v>
      </c>
    </row>
    <row r="107" spans="1:7" ht="20.100000000000001" customHeight="1">
      <c r="A107" s="20"/>
      <c r="B107" s="159" t="s">
        <v>86</v>
      </c>
      <c r="C107" s="229">
        <v>4</v>
      </c>
      <c r="D107" s="187"/>
      <c r="E107" s="239">
        <f>SUM(E103:E106)</f>
        <v>2100000</v>
      </c>
      <c r="F107" s="239">
        <f t="shared" ref="F107:G107" si="12">SUM(F103:F106)</f>
        <v>900000</v>
      </c>
      <c r="G107" s="239">
        <f t="shared" si="12"/>
        <v>1200000</v>
      </c>
    </row>
    <row r="108" spans="1:7" ht="20.100000000000001" customHeight="1">
      <c r="A108" s="20"/>
      <c r="B108" s="123"/>
      <c r="C108" s="229"/>
      <c r="D108" s="187"/>
      <c r="E108" s="240"/>
      <c r="F108" s="240"/>
      <c r="G108" s="240"/>
    </row>
    <row r="109" spans="1:7" ht="20.100000000000001" customHeight="1">
      <c r="A109" s="20"/>
      <c r="B109" s="159" t="s">
        <v>184</v>
      </c>
      <c r="C109" s="227"/>
      <c r="D109" s="20"/>
      <c r="E109" s="242"/>
      <c r="F109" s="242"/>
      <c r="G109" s="242"/>
    </row>
    <row r="110" spans="1:7" ht="20.100000000000001" customHeight="1">
      <c r="A110" s="20">
        <v>1</v>
      </c>
      <c r="B110" s="156" t="s">
        <v>185</v>
      </c>
      <c r="C110" s="226" t="s">
        <v>186</v>
      </c>
      <c r="D110" s="181" t="s">
        <v>90</v>
      </c>
      <c r="E110" s="237">
        <v>1000000</v>
      </c>
      <c r="F110" s="23">
        <v>0</v>
      </c>
      <c r="G110" s="237">
        <v>1000000</v>
      </c>
    </row>
    <row r="111" spans="1:7" ht="20.100000000000001" customHeight="1">
      <c r="A111" s="20">
        <v>2</v>
      </c>
      <c r="B111" s="156" t="s">
        <v>187</v>
      </c>
      <c r="C111" s="227" t="s">
        <v>188</v>
      </c>
      <c r="D111" s="24" t="s">
        <v>395</v>
      </c>
      <c r="E111" s="237">
        <v>700000</v>
      </c>
      <c r="F111" s="23">
        <v>0</v>
      </c>
      <c r="G111" s="237">
        <v>700000</v>
      </c>
    </row>
    <row r="112" spans="1:7" ht="20.100000000000001" customHeight="1">
      <c r="A112" s="20">
        <v>3</v>
      </c>
      <c r="B112" s="156" t="s">
        <v>189</v>
      </c>
      <c r="C112" s="227" t="s">
        <v>190</v>
      </c>
      <c r="D112" s="28" t="s">
        <v>54</v>
      </c>
      <c r="E112" s="237">
        <v>500000</v>
      </c>
      <c r="F112" s="237">
        <v>500000</v>
      </c>
      <c r="G112" s="23">
        <v>0</v>
      </c>
    </row>
    <row r="113" spans="1:7" ht="20.100000000000001" customHeight="1">
      <c r="A113" s="20">
        <v>4</v>
      </c>
      <c r="B113" s="156" t="s">
        <v>191</v>
      </c>
      <c r="C113" s="227" t="s">
        <v>190</v>
      </c>
      <c r="D113" s="28" t="s">
        <v>165</v>
      </c>
      <c r="E113" s="237">
        <v>500000</v>
      </c>
      <c r="F113" s="237">
        <v>500000</v>
      </c>
      <c r="G113" s="23">
        <v>0</v>
      </c>
    </row>
    <row r="114" spans="1:7" ht="20.100000000000001" customHeight="1">
      <c r="A114" s="20">
        <v>5</v>
      </c>
      <c r="B114" s="156" t="s">
        <v>192</v>
      </c>
      <c r="C114" s="227" t="s">
        <v>193</v>
      </c>
      <c r="D114" s="181" t="s">
        <v>76</v>
      </c>
      <c r="E114" s="237">
        <v>300000</v>
      </c>
      <c r="F114" s="237">
        <v>300000</v>
      </c>
      <c r="G114" s="23">
        <v>0</v>
      </c>
    </row>
    <row r="115" spans="1:7" ht="20.100000000000001" customHeight="1">
      <c r="A115" s="20">
        <v>6</v>
      </c>
      <c r="B115" s="157" t="s">
        <v>195</v>
      </c>
      <c r="C115" s="227" t="s">
        <v>193</v>
      </c>
      <c r="D115" s="28" t="s">
        <v>641</v>
      </c>
      <c r="E115" s="237">
        <v>300000</v>
      </c>
      <c r="F115" s="237">
        <v>300000</v>
      </c>
      <c r="G115" s="23">
        <v>0</v>
      </c>
    </row>
    <row r="116" spans="1:7" ht="20.100000000000001" customHeight="1">
      <c r="A116" s="20">
        <v>7</v>
      </c>
      <c r="B116" s="157" t="s">
        <v>196</v>
      </c>
      <c r="C116" s="227" t="s">
        <v>193</v>
      </c>
      <c r="D116" s="181" t="s">
        <v>85</v>
      </c>
      <c r="E116" s="237">
        <v>300000</v>
      </c>
      <c r="F116" s="237">
        <v>300000</v>
      </c>
      <c r="G116" s="23">
        <v>0</v>
      </c>
    </row>
    <row r="117" spans="1:7" ht="20.100000000000001" customHeight="1">
      <c r="A117" s="20"/>
      <c r="B117" s="159" t="s">
        <v>86</v>
      </c>
      <c r="C117" s="229">
        <v>7</v>
      </c>
      <c r="D117" s="20"/>
      <c r="E117" s="243">
        <f>SUM(E110:E116)</f>
        <v>3600000</v>
      </c>
      <c r="F117" s="243">
        <f t="shared" ref="F117:G117" si="13">SUM(F110:F116)</f>
        <v>1900000</v>
      </c>
      <c r="G117" s="243">
        <f t="shared" si="13"/>
        <v>1700000</v>
      </c>
    </row>
    <row r="118" spans="1:7" ht="20.100000000000001" customHeight="1">
      <c r="A118" s="20"/>
      <c r="B118" s="123"/>
      <c r="C118" s="232"/>
      <c r="D118" s="20"/>
      <c r="E118" s="244"/>
      <c r="F118" s="244"/>
      <c r="G118" s="244"/>
    </row>
    <row r="119" spans="1:7" ht="20.100000000000001" customHeight="1">
      <c r="A119" s="20"/>
      <c r="B119" s="159" t="s">
        <v>204</v>
      </c>
      <c r="C119" s="229"/>
      <c r="D119" s="29"/>
      <c r="E119" s="237"/>
      <c r="F119" s="237"/>
      <c r="G119" s="237"/>
    </row>
    <row r="120" spans="1:7" ht="20.100000000000001" customHeight="1">
      <c r="A120" s="20">
        <v>1</v>
      </c>
      <c r="B120" s="156" t="s">
        <v>205</v>
      </c>
      <c r="C120" s="226" t="s">
        <v>206</v>
      </c>
      <c r="D120" s="181" t="s">
        <v>90</v>
      </c>
      <c r="E120" s="237">
        <v>1000000</v>
      </c>
      <c r="F120" s="23">
        <v>0</v>
      </c>
      <c r="G120" s="237">
        <v>1000000</v>
      </c>
    </row>
    <row r="121" spans="1:7" ht="20.100000000000001" customHeight="1">
      <c r="A121" s="20">
        <v>2</v>
      </c>
      <c r="B121" s="156" t="s">
        <v>587</v>
      </c>
      <c r="C121" s="226" t="s">
        <v>588</v>
      </c>
      <c r="D121" s="181" t="s">
        <v>228</v>
      </c>
      <c r="E121" s="237">
        <v>700000</v>
      </c>
      <c r="F121" s="23">
        <v>0</v>
      </c>
      <c r="G121" s="237">
        <v>700000</v>
      </c>
    </row>
    <row r="122" spans="1:7" ht="20.100000000000001" customHeight="1">
      <c r="A122" s="20">
        <v>3</v>
      </c>
      <c r="B122" s="156" t="s">
        <v>207</v>
      </c>
      <c r="C122" s="226" t="s">
        <v>208</v>
      </c>
      <c r="D122" s="181" t="s">
        <v>45</v>
      </c>
      <c r="E122" s="237">
        <v>700000</v>
      </c>
      <c r="F122" s="23">
        <v>0</v>
      </c>
      <c r="G122" s="237">
        <v>700000</v>
      </c>
    </row>
    <row r="123" spans="1:7" ht="20.100000000000001" customHeight="1">
      <c r="A123" s="20">
        <v>4</v>
      </c>
      <c r="B123" s="158" t="s">
        <v>209</v>
      </c>
      <c r="C123" s="226" t="s">
        <v>208</v>
      </c>
      <c r="D123" s="181" t="s">
        <v>45</v>
      </c>
      <c r="E123" s="237">
        <v>700000</v>
      </c>
      <c r="F123" s="23">
        <v>0</v>
      </c>
      <c r="G123" s="237">
        <v>700000</v>
      </c>
    </row>
    <row r="124" spans="1:7" ht="20.100000000000001" customHeight="1">
      <c r="A124" s="20">
        <v>5</v>
      </c>
      <c r="B124" s="158" t="s">
        <v>210</v>
      </c>
      <c r="C124" s="226" t="s">
        <v>208</v>
      </c>
      <c r="D124" s="181" t="s">
        <v>48</v>
      </c>
      <c r="E124" s="237">
        <v>700000</v>
      </c>
      <c r="F124" s="23">
        <v>0</v>
      </c>
      <c r="G124" s="237">
        <v>700000</v>
      </c>
    </row>
    <row r="125" spans="1:7" ht="20.100000000000001" customHeight="1">
      <c r="A125" s="20">
        <v>6</v>
      </c>
      <c r="B125" s="156" t="s">
        <v>211</v>
      </c>
      <c r="C125" s="226" t="s">
        <v>212</v>
      </c>
      <c r="D125" s="181" t="s">
        <v>111</v>
      </c>
      <c r="E125" s="237">
        <v>500000</v>
      </c>
      <c r="F125" s="23">
        <v>0</v>
      </c>
      <c r="G125" s="237">
        <v>500000</v>
      </c>
    </row>
    <row r="126" spans="1:7" ht="20.100000000000001" customHeight="1">
      <c r="A126" s="20">
        <v>7</v>
      </c>
      <c r="B126" s="156" t="s">
        <v>213</v>
      </c>
      <c r="C126" s="226" t="s">
        <v>214</v>
      </c>
      <c r="D126" s="181" t="s">
        <v>57</v>
      </c>
      <c r="E126" s="237">
        <v>500000</v>
      </c>
      <c r="F126" s="237">
        <v>500000</v>
      </c>
      <c r="G126" s="23">
        <v>0</v>
      </c>
    </row>
    <row r="127" spans="1:7" ht="20.100000000000001" customHeight="1">
      <c r="A127" s="20">
        <v>8</v>
      </c>
      <c r="B127" s="156" t="s">
        <v>215</v>
      </c>
      <c r="C127" s="226" t="s">
        <v>408</v>
      </c>
      <c r="D127" s="181" t="s">
        <v>57</v>
      </c>
      <c r="E127" s="237">
        <v>500000</v>
      </c>
      <c r="F127" s="237">
        <v>500000</v>
      </c>
      <c r="G127" s="23">
        <v>0</v>
      </c>
    </row>
    <row r="128" spans="1:7" ht="20.100000000000001" customHeight="1">
      <c r="A128" s="20">
        <v>9</v>
      </c>
      <c r="B128" s="157" t="s">
        <v>589</v>
      </c>
      <c r="C128" s="226" t="s">
        <v>590</v>
      </c>
      <c r="D128" s="181" t="s">
        <v>60</v>
      </c>
      <c r="E128" s="237">
        <v>500000</v>
      </c>
      <c r="F128" s="237">
        <v>500000</v>
      </c>
      <c r="G128" s="23">
        <v>0</v>
      </c>
    </row>
    <row r="129" spans="1:7" ht="20.100000000000001" customHeight="1">
      <c r="A129" s="20">
        <v>10</v>
      </c>
      <c r="B129" s="156" t="s">
        <v>216</v>
      </c>
      <c r="C129" s="226" t="s">
        <v>217</v>
      </c>
      <c r="D129" s="28" t="s">
        <v>73</v>
      </c>
      <c r="E129" s="237">
        <v>300000</v>
      </c>
      <c r="F129" s="237">
        <v>300000</v>
      </c>
      <c r="G129" s="23">
        <v>0</v>
      </c>
    </row>
    <row r="130" spans="1:7" ht="20.100000000000001" customHeight="1">
      <c r="A130" s="20">
        <v>11</v>
      </c>
      <c r="B130" s="157" t="s">
        <v>218</v>
      </c>
      <c r="C130" s="226" t="s">
        <v>219</v>
      </c>
      <c r="D130" s="181" t="s">
        <v>85</v>
      </c>
      <c r="E130" s="237">
        <v>300000</v>
      </c>
      <c r="F130" s="237">
        <v>300000</v>
      </c>
      <c r="G130" s="23">
        <v>0</v>
      </c>
    </row>
    <row r="131" spans="1:7" ht="20.100000000000001" customHeight="1">
      <c r="A131" s="20"/>
      <c r="B131" s="159" t="s">
        <v>86</v>
      </c>
      <c r="C131" s="233" t="s">
        <v>592</v>
      </c>
      <c r="D131" s="181"/>
      <c r="E131" s="245">
        <f>SUM(E120:E130)</f>
        <v>6400000</v>
      </c>
      <c r="F131" s="245">
        <f t="shared" ref="F131:G131" si="14">SUM(F120:F130)</f>
        <v>2100000</v>
      </c>
      <c r="G131" s="245">
        <f t="shared" si="14"/>
        <v>4300000</v>
      </c>
    </row>
    <row r="132" spans="1:7" ht="20.100000000000001" customHeight="1">
      <c r="A132" s="20"/>
      <c r="B132" s="123"/>
      <c r="C132" s="233"/>
      <c r="D132" s="181"/>
      <c r="E132" s="246"/>
      <c r="F132" s="246"/>
      <c r="G132" s="246"/>
    </row>
    <row r="133" spans="1:7" ht="20.100000000000001" customHeight="1">
      <c r="A133" s="20"/>
      <c r="B133" s="159" t="s">
        <v>223</v>
      </c>
      <c r="C133" s="226"/>
      <c r="D133" s="181"/>
      <c r="E133" s="237"/>
      <c r="F133" s="237"/>
      <c r="G133" s="237"/>
    </row>
    <row r="134" spans="1:7" ht="20.100000000000001" customHeight="1">
      <c r="A134" s="191">
        <v>1</v>
      </c>
      <c r="B134" s="156" t="s">
        <v>224</v>
      </c>
      <c r="C134" s="226" t="s">
        <v>703</v>
      </c>
      <c r="D134" s="181" t="s">
        <v>90</v>
      </c>
      <c r="E134" s="237">
        <f>1000000/2</f>
        <v>500000</v>
      </c>
      <c r="F134" s="23">
        <v>0</v>
      </c>
      <c r="G134" s="237">
        <f t="shared" ref="G134" si="15">1000000/2</f>
        <v>500000</v>
      </c>
    </row>
    <row r="135" spans="1:7" ht="20.100000000000001" customHeight="1">
      <c r="A135" s="191">
        <v>2</v>
      </c>
      <c r="B135" s="156" t="s">
        <v>226</v>
      </c>
      <c r="C135" s="226" t="s">
        <v>227</v>
      </c>
      <c r="D135" s="181" t="s">
        <v>228</v>
      </c>
      <c r="E135" s="237">
        <f>700000/2</f>
        <v>350000</v>
      </c>
      <c r="F135" s="23">
        <v>0</v>
      </c>
      <c r="G135" s="237">
        <f t="shared" ref="G135" si="16">700000/2</f>
        <v>350000</v>
      </c>
    </row>
    <row r="136" spans="1:7" ht="20.100000000000001" customHeight="1">
      <c r="A136" s="191">
        <v>3</v>
      </c>
      <c r="B136" s="158" t="s">
        <v>229</v>
      </c>
      <c r="C136" s="227" t="s">
        <v>230</v>
      </c>
      <c r="D136" s="24" t="s">
        <v>395</v>
      </c>
      <c r="E136" s="237">
        <v>700000</v>
      </c>
      <c r="F136" s="23">
        <v>0</v>
      </c>
      <c r="G136" s="237">
        <v>700000</v>
      </c>
    </row>
    <row r="137" spans="1:7" ht="20.100000000000001" customHeight="1">
      <c r="A137" s="191">
        <v>4</v>
      </c>
      <c r="B137" s="156" t="s">
        <v>231</v>
      </c>
      <c r="C137" s="226" t="s">
        <v>232</v>
      </c>
      <c r="D137" s="181" t="s">
        <v>134</v>
      </c>
      <c r="E137" s="237">
        <v>500000</v>
      </c>
      <c r="F137" s="23">
        <v>0</v>
      </c>
      <c r="G137" s="237">
        <v>500000</v>
      </c>
    </row>
    <row r="138" spans="1:7" ht="20.100000000000001" customHeight="1">
      <c r="A138" s="191">
        <v>5</v>
      </c>
      <c r="B138" s="156" t="s">
        <v>233</v>
      </c>
      <c r="C138" s="227" t="s">
        <v>234</v>
      </c>
      <c r="D138" s="181" t="s">
        <v>134</v>
      </c>
      <c r="E138" s="237">
        <v>500000</v>
      </c>
      <c r="F138" s="23">
        <v>0</v>
      </c>
      <c r="G138" s="237">
        <v>500000</v>
      </c>
    </row>
    <row r="139" spans="1:7" ht="20.100000000000001" customHeight="1">
      <c r="A139" s="191">
        <v>6</v>
      </c>
      <c r="B139" s="156" t="s">
        <v>178</v>
      </c>
      <c r="C139" s="227" t="s">
        <v>240</v>
      </c>
      <c r="D139" s="181" t="s">
        <v>57</v>
      </c>
      <c r="E139" s="237">
        <v>500000</v>
      </c>
      <c r="F139" s="237">
        <v>500000</v>
      </c>
      <c r="G139" s="23">
        <v>0</v>
      </c>
    </row>
    <row r="140" spans="1:7" ht="20.100000000000001" customHeight="1">
      <c r="A140" s="191">
        <v>7</v>
      </c>
      <c r="B140" s="156" t="s">
        <v>236</v>
      </c>
      <c r="C140" s="226" t="s">
        <v>237</v>
      </c>
      <c r="D140" s="181" t="s">
        <v>63</v>
      </c>
      <c r="E140" s="237">
        <v>400000</v>
      </c>
      <c r="F140" s="237">
        <v>400000</v>
      </c>
      <c r="G140" s="23">
        <v>0</v>
      </c>
    </row>
    <row r="141" spans="1:7" ht="20.100000000000001" customHeight="1">
      <c r="A141" s="191">
        <v>8</v>
      </c>
      <c r="B141" s="156" t="s">
        <v>238</v>
      </c>
      <c r="C141" s="226" t="s">
        <v>237</v>
      </c>
      <c r="D141" s="181" t="s">
        <v>63</v>
      </c>
      <c r="E141" s="237">
        <v>400000</v>
      </c>
      <c r="F141" s="237">
        <v>400000</v>
      </c>
      <c r="G141" s="23">
        <v>0</v>
      </c>
    </row>
    <row r="142" spans="1:7" ht="20.100000000000001" customHeight="1">
      <c r="A142" s="191">
        <v>9</v>
      </c>
      <c r="B142" s="156" t="s">
        <v>239</v>
      </c>
      <c r="C142" s="227" t="s">
        <v>240</v>
      </c>
      <c r="D142" s="181" t="s">
        <v>63</v>
      </c>
      <c r="E142" s="237">
        <v>400000</v>
      </c>
      <c r="F142" s="237">
        <v>400000</v>
      </c>
      <c r="G142" s="23">
        <v>0</v>
      </c>
    </row>
    <row r="143" spans="1:7" ht="20.100000000000001" customHeight="1">
      <c r="A143" s="191">
        <v>10</v>
      </c>
      <c r="B143" s="156" t="s">
        <v>241</v>
      </c>
      <c r="C143" s="226" t="s">
        <v>246</v>
      </c>
      <c r="D143" s="181" t="s">
        <v>66</v>
      </c>
      <c r="E143" s="237">
        <v>400000</v>
      </c>
      <c r="F143" s="237">
        <v>400000</v>
      </c>
      <c r="G143" s="23">
        <v>0</v>
      </c>
    </row>
    <row r="144" spans="1:7" ht="20.100000000000001" customHeight="1">
      <c r="A144" s="191">
        <v>11</v>
      </c>
      <c r="B144" s="156" t="s">
        <v>243</v>
      </c>
      <c r="C144" s="226" t="s">
        <v>410</v>
      </c>
      <c r="D144" s="181" t="s">
        <v>252</v>
      </c>
      <c r="E144" s="237">
        <v>300000</v>
      </c>
      <c r="F144" s="237">
        <v>300000</v>
      </c>
      <c r="G144" s="23">
        <v>0</v>
      </c>
    </row>
    <row r="145" spans="1:7" ht="20.100000000000001" customHeight="1">
      <c r="A145" s="191">
        <v>12</v>
      </c>
      <c r="B145" s="156" t="s">
        <v>245</v>
      </c>
      <c r="C145" s="226" t="s">
        <v>246</v>
      </c>
      <c r="D145" s="181" t="s">
        <v>66</v>
      </c>
      <c r="E145" s="237">
        <v>400000</v>
      </c>
      <c r="F145" s="237">
        <v>400000</v>
      </c>
      <c r="G145" s="23">
        <v>0</v>
      </c>
    </row>
    <row r="146" spans="1:7" ht="20.100000000000001" customHeight="1">
      <c r="A146" s="191">
        <v>13</v>
      </c>
      <c r="B146" s="156" t="s">
        <v>249</v>
      </c>
      <c r="C146" s="227" t="s">
        <v>250</v>
      </c>
      <c r="D146" s="181" t="s">
        <v>154</v>
      </c>
      <c r="E146" s="237">
        <v>300000</v>
      </c>
      <c r="F146" s="237">
        <v>300000</v>
      </c>
      <c r="G146" s="23">
        <v>0</v>
      </c>
    </row>
    <row r="147" spans="1:7" ht="20.100000000000001" customHeight="1">
      <c r="A147" s="191">
        <v>14</v>
      </c>
      <c r="B147" s="156" t="s">
        <v>251</v>
      </c>
      <c r="C147" s="227" t="s">
        <v>250</v>
      </c>
      <c r="D147" s="181" t="s">
        <v>154</v>
      </c>
      <c r="E147" s="237">
        <v>300000</v>
      </c>
      <c r="F147" s="237">
        <v>300000</v>
      </c>
      <c r="G147" s="23">
        <v>0</v>
      </c>
    </row>
    <row r="148" spans="1:7" ht="20.100000000000001" customHeight="1">
      <c r="A148" s="191">
        <v>15</v>
      </c>
      <c r="B148" s="156" t="s">
        <v>253</v>
      </c>
      <c r="C148" s="227" t="s">
        <v>250</v>
      </c>
      <c r="D148" s="181" t="s">
        <v>154</v>
      </c>
      <c r="E148" s="237">
        <v>300000</v>
      </c>
      <c r="F148" s="237">
        <v>300000</v>
      </c>
      <c r="G148" s="23">
        <v>0</v>
      </c>
    </row>
    <row r="149" spans="1:7" ht="20.100000000000001" customHeight="1">
      <c r="A149" s="191">
        <v>16</v>
      </c>
      <c r="B149" s="156" t="s">
        <v>254</v>
      </c>
      <c r="C149" s="226" t="s">
        <v>255</v>
      </c>
      <c r="D149" s="181" t="s">
        <v>95</v>
      </c>
      <c r="E149" s="237">
        <v>300000</v>
      </c>
      <c r="F149" s="237">
        <v>300000</v>
      </c>
      <c r="G149" s="23">
        <v>0</v>
      </c>
    </row>
    <row r="150" spans="1:7" ht="20.100000000000001" customHeight="1">
      <c r="A150" s="191">
        <v>17</v>
      </c>
      <c r="B150" s="156" t="s">
        <v>256</v>
      </c>
      <c r="C150" s="226" t="s">
        <v>257</v>
      </c>
      <c r="D150" s="28" t="s">
        <v>73</v>
      </c>
      <c r="E150" s="237">
        <v>300000</v>
      </c>
      <c r="F150" s="237">
        <v>300000</v>
      </c>
      <c r="G150" s="23">
        <v>0</v>
      </c>
    </row>
    <row r="151" spans="1:7" ht="20.100000000000001" customHeight="1">
      <c r="A151" s="191">
        <v>18</v>
      </c>
      <c r="B151" s="156" t="s">
        <v>258</v>
      </c>
      <c r="C151" s="226" t="s">
        <v>259</v>
      </c>
      <c r="D151" s="181" t="s">
        <v>95</v>
      </c>
      <c r="E151" s="237">
        <v>300000</v>
      </c>
      <c r="F151" s="237">
        <v>300000</v>
      </c>
      <c r="G151" s="23">
        <v>0</v>
      </c>
    </row>
    <row r="152" spans="1:7" ht="20.100000000000001" customHeight="1">
      <c r="A152" s="191">
        <v>19</v>
      </c>
      <c r="B152" s="156" t="s">
        <v>260</v>
      </c>
      <c r="C152" s="226" t="s">
        <v>261</v>
      </c>
      <c r="D152" s="181" t="s">
        <v>73</v>
      </c>
      <c r="E152" s="237">
        <v>300000</v>
      </c>
      <c r="F152" s="237">
        <v>300000</v>
      </c>
      <c r="G152" s="23">
        <v>0</v>
      </c>
    </row>
    <row r="153" spans="1:7" ht="20.100000000000001" customHeight="1">
      <c r="A153" s="191">
        <v>20</v>
      </c>
      <c r="B153" s="156" t="s">
        <v>262</v>
      </c>
      <c r="C153" s="226" t="s">
        <v>263</v>
      </c>
      <c r="D153" s="181" t="s">
        <v>95</v>
      </c>
      <c r="E153" s="237">
        <v>300000</v>
      </c>
      <c r="F153" s="237">
        <v>300000</v>
      </c>
      <c r="G153" s="23">
        <v>0</v>
      </c>
    </row>
    <row r="154" spans="1:7" ht="20.100000000000001" customHeight="1">
      <c r="A154" s="191">
        <v>21</v>
      </c>
      <c r="B154" s="156" t="s">
        <v>264</v>
      </c>
      <c r="C154" s="226" t="s">
        <v>265</v>
      </c>
      <c r="D154" s="181" t="s">
        <v>73</v>
      </c>
      <c r="E154" s="237">
        <v>300000</v>
      </c>
      <c r="F154" s="237">
        <v>300000</v>
      </c>
      <c r="G154" s="23">
        <v>0</v>
      </c>
    </row>
    <row r="155" spans="1:7" ht="20.100000000000001" customHeight="1">
      <c r="A155" s="191">
        <v>22</v>
      </c>
      <c r="B155" s="157" t="s">
        <v>266</v>
      </c>
      <c r="C155" s="226" t="s">
        <v>271</v>
      </c>
      <c r="D155" s="181" t="s">
        <v>640</v>
      </c>
      <c r="E155" s="237">
        <v>300000</v>
      </c>
      <c r="F155" s="237">
        <v>300000</v>
      </c>
      <c r="G155" s="23">
        <v>0</v>
      </c>
    </row>
    <row r="156" spans="1:7" ht="20.100000000000001" customHeight="1">
      <c r="A156" s="191">
        <v>23</v>
      </c>
      <c r="B156" s="157" t="s">
        <v>593</v>
      </c>
      <c r="C156" s="226" t="s">
        <v>269</v>
      </c>
      <c r="D156" s="181" t="s">
        <v>85</v>
      </c>
      <c r="E156" s="237">
        <v>300000</v>
      </c>
      <c r="F156" s="237">
        <v>300000</v>
      </c>
      <c r="G156" s="23">
        <v>0</v>
      </c>
    </row>
    <row r="157" spans="1:7" ht="20.100000000000001" customHeight="1">
      <c r="A157" s="191">
        <v>24</v>
      </c>
      <c r="B157" s="157" t="s">
        <v>268</v>
      </c>
      <c r="C157" s="226" t="s">
        <v>269</v>
      </c>
      <c r="D157" s="181" t="s">
        <v>85</v>
      </c>
      <c r="E157" s="237">
        <v>300000</v>
      </c>
      <c r="F157" s="237">
        <v>300000</v>
      </c>
      <c r="G157" s="23">
        <v>0</v>
      </c>
    </row>
    <row r="158" spans="1:7" ht="20.100000000000001" customHeight="1">
      <c r="A158" s="191">
        <v>25</v>
      </c>
      <c r="B158" s="157" t="s">
        <v>270</v>
      </c>
      <c r="C158" s="226" t="s">
        <v>271</v>
      </c>
      <c r="D158" s="181" t="s">
        <v>85</v>
      </c>
      <c r="E158" s="237">
        <v>300000</v>
      </c>
      <c r="F158" s="237">
        <v>300000</v>
      </c>
      <c r="G158" s="23">
        <v>0</v>
      </c>
    </row>
    <row r="159" spans="1:7" ht="20.100000000000001" customHeight="1">
      <c r="A159" s="191">
        <v>26</v>
      </c>
      <c r="B159" s="157" t="s">
        <v>272</v>
      </c>
      <c r="C159" s="226" t="s">
        <v>273</v>
      </c>
      <c r="D159" s="181" t="s">
        <v>85</v>
      </c>
      <c r="E159" s="237">
        <v>300000</v>
      </c>
      <c r="F159" s="237">
        <v>300000</v>
      </c>
      <c r="G159" s="23">
        <v>0</v>
      </c>
    </row>
    <row r="160" spans="1:7" ht="20.100000000000001" customHeight="1">
      <c r="A160" s="191">
        <v>27</v>
      </c>
      <c r="B160" s="157" t="s">
        <v>274</v>
      </c>
      <c r="C160" s="226" t="s">
        <v>275</v>
      </c>
      <c r="D160" s="181" t="s">
        <v>85</v>
      </c>
      <c r="E160" s="237">
        <v>300000</v>
      </c>
      <c r="F160" s="237">
        <v>300000</v>
      </c>
      <c r="G160" s="23">
        <v>0</v>
      </c>
    </row>
    <row r="161" spans="1:7" ht="20.100000000000001" customHeight="1">
      <c r="A161" s="191">
        <v>28</v>
      </c>
      <c r="B161" s="156" t="s">
        <v>277</v>
      </c>
      <c r="C161" s="226" t="s">
        <v>278</v>
      </c>
      <c r="D161" s="181" t="s">
        <v>285</v>
      </c>
      <c r="E161" s="237">
        <v>100000</v>
      </c>
      <c r="F161" s="237">
        <v>100000</v>
      </c>
      <c r="G161" s="23">
        <v>0</v>
      </c>
    </row>
    <row r="162" spans="1:7" ht="20.100000000000001" customHeight="1">
      <c r="A162" s="191">
        <v>29</v>
      </c>
      <c r="B162" s="156" t="s">
        <v>280</v>
      </c>
      <c r="C162" s="226" t="s">
        <v>278</v>
      </c>
      <c r="D162" s="181" t="s">
        <v>285</v>
      </c>
      <c r="E162" s="237">
        <v>100000</v>
      </c>
      <c r="F162" s="237">
        <v>100000</v>
      </c>
      <c r="G162" s="23">
        <v>0</v>
      </c>
    </row>
    <row r="163" spans="1:7" ht="20.100000000000001" customHeight="1">
      <c r="A163" s="191">
        <v>30</v>
      </c>
      <c r="B163" s="156" t="s">
        <v>281</v>
      </c>
      <c r="C163" s="226" t="s">
        <v>278</v>
      </c>
      <c r="D163" s="181" t="s">
        <v>285</v>
      </c>
      <c r="E163" s="237">
        <v>100000</v>
      </c>
      <c r="F163" s="237">
        <v>100000</v>
      </c>
      <c r="G163" s="23">
        <v>0</v>
      </c>
    </row>
    <row r="164" spans="1:7" ht="20.100000000000001" customHeight="1">
      <c r="A164" s="191">
        <v>31</v>
      </c>
      <c r="B164" s="156" t="s">
        <v>664</v>
      </c>
      <c r="C164" s="226" t="s">
        <v>278</v>
      </c>
      <c r="D164" s="181" t="s">
        <v>285</v>
      </c>
      <c r="E164" s="237">
        <v>100000</v>
      </c>
      <c r="F164" s="237">
        <v>100000</v>
      </c>
      <c r="G164" s="23">
        <v>0</v>
      </c>
    </row>
    <row r="165" spans="1:7" ht="20.100000000000001" customHeight="1">
      <c r="A165" s="191">
        <v>32</v>
      </c>
      <c r="B165" s="156" t="s">
        <v>594</v>
      </c>
      <c r="C165" s="226" t="s">
        <v>278</v>
      </c>
      <c r="D165" s="181" t="s">
        <v>285</v>
      </c>
      <c r="E165" s="237">
        <v>100000</v>
      </c>
      <c r="F165" s="237">
        <v>100000</v>
      </c>
      <c r="G165" s="23">
        <v>0</v>
      </c>
    </row>
    <row r="166" spans="1:7" ht="20.100000000000001" customHeight="1">
      <c r="A166" s="191">
        <v>33</v>
      </c>
      <c r="B166" s="156" t="s">
        <v>282</v>
      </c>
      <c r="C166" s="226" t="s">
        <v>278</v>
      </c>
      <c r="D166" s="181" t="s">
        <v>285</v>
      </c>
      <c r="E166" s="237">
        <v>100000</v>
      </c>
      <c r="F166" s="237">
        <v>100000</v>
      </c>
      <c r="G166" s="23">
        <v>0</v>
      </c>
    </row>
    <row r="167" spans="1:7" ht="20.100000000000001" customHeight="1">
      <c r="A167" s="191">
        <v>34</v>
      </c>
      <c r="B167" s="156" t="s">
        <v>283</v>
      </c>
      <c r="C167" s="226" t="s">
        <v>278</v>
      </c>
      <c r="D167" s="181" t="s">
        <v>285</v>
      </c>
      <c r="E167" s="237">
        <v>100000</v>
      </c>
      <c r="F167" s="237">
        <v>100000</v>
      </c>
      <c r="G167" s="23">
        <v>0</v>
      </c>
    </row>
    <row r="168" spans="1:7" ht="20.100000000000001" customHeight="1">
      <c r="A168" s="191">
        <v>35</v>
      </c>
      <c r="B168" s="156" t="s">
        <v>284</v>
      </c>
      <c r="C168" s="226" t="s">
        <v>278</v>
      </c>
      <c r="D168" s="181" t="s">
        <v>293</v>
      </c>
      <c r="E168" s="237">
        <v>100000</v>
      </c>
      <c r="F168" s="237">
        <v>100000</v>
      </c>
      <c r="G168" s="23">
        <v>0</v>
      </c>
    </row>
    <row r="169" spans="1:7" ht="20.100000000000001" customHeight="1">
      <c r="A169" s="191">
        <v>36</v>
      </c>
      <c r="B169" s="156" t="s">
        <v>286</v>
      </c>
      <c r="C169" s="226" t="s">
        <v>278</v>
      </c>
      <c r="D169" s="181" t="s">
        <v>293</v>
      </c>
      <c r="E169" s="237">
        <v>100000</v>
      </c>
      <c r="F169" s="237">
        <v>100000</v>
      </c>
      <c r="G169" s="23">
        <v>0</v>
      </c>
    </row>
    <row r="170" spans="1:7" ht="20.100000000000001" customHeight="1">
      <c r="A170" s="191">
        <v>37</v>
      </c>
      <c r="B170" s="156" t="s">
        <v>569</v>
      </c>
      <c r="C170" s="226" t="s">
        <v>278</v>
      </c>
      <c r="D170" s="181" t="s">
        <v>293</v>
      </c>
      <c r="E170" s="237">
        <v>100000</v>
      </c>
      <c r="F170" s="237">
        <v>100000</v>
      </c>
      <c r="G170" s="23">
        <v>0</v>
      </c>
    </row>
    <row r="171" spans="1:7" ht="20.100000000000001" customHeight="1">
      <c r="A171" s="191">
        <v>38</v>
      </c>
      <c r="B171" s="158" t="s">
        <v>287</v>
      </c>
      <c r="C171" s="226" t="s">
        <v>278</v>
      </c>
      <c r="D171" s="181" t="s">
        <v>293</v>
      </c>
      <c r="E171" s="237">
        <v>100000</v>
      </c>
      <c r="F171" s="237">
        <v>100000</v>
      </c>
      <c r="G171" s="23">
        <v>0</v>
      </c>
    </row>
    <row r="172" spans="1:7" ht="20.100000000000001" customHeight="1">
      <c r="A172" s="191">
        <v>39</v>
      </c>
      <c r="B172" s="156" t="s">
        <v>288</v>
      </c>
      <c r="C172" s="226" t="s">
        <v>278</v>
      </c>
      <c r="D172" s="181" t="s">
        <v>293</v>
      </c>
      <c r="E172" s="237">
        <v>100000</v>
      </c>
      <c r="F172" s="237">
        <v>100000</v>
      </c>
      <c r="G172" s="23">
        <v>0</v>
      </c>
    </row>
    <row r="173" spans="1:7" ht="20.100000000000001" customHeight="1">
      <c r="A173" s="191">
        <v>40</v>
      </c>
      <c r="B173" s="157" t="s">
        <v>289</v>
      </c>
      <c r="C173" s="226" t="s">
        <v>278</v>
      </c>
      <c r="D173" s="181" t="s">
        <v>293</v>
      </c>
      <c r="E173" s="237">
        <v>100000</v>
      </c>
      <c r="F173" s="237">
        <v>100000</v>
      </c>
      <c r="G173" s="23">
        <v>0</v>
      </c>
    </row>
    <row r="174" spans="1:7" ht="20.100000000000001" customHeight="1">
      <c r="A174" s="191">
        <v>41</v>
      </c>
      <c r="B174" s="157" t="s">
        <v>290</v>
      </c>
      <c r="C174" s="226" t="s">
        <v>278</v>
      </c>
      <c r="D174" s="181" t="s">
        <v>293</v>
      </c>
      <c r="E174" s="237">
        <v>100000</v>
      </c>
      <c r="F174" s="237">
        <v>100000</v>
      </c>
      <c r="G174" s="23">
        <v>0</v>
      </c>
    </row>
    <row r="175" spans="1:7" ht="20.100000000000001" customHeight="1">
      <c r="A175" s="191">
        <v>42</v>
      </c>
      <c r="B175" s="156" t="s">
        <v>291</v>
      </c>
      <c r="C175" s="226" t="s">
        <v>297</v>
      </c>
      <c r="D175" s="181" t="s">
        <v>298</v>
      </c>
      <c r="E175" s="237">
        <v>100000</v>
      </c>
      <c r="F175" s="237">
        <v>100000</v>
      </c>
      <c r="G175" s="23">
        <v>0</v>
      </c>
    </row>
    <row r="176" spans="1:7" ht="20.100000000000001" customHeight="1">
      <c r="A176" s="191">
        <v>43</v>
      </c>
      <c r="B176" s="156" t="s">
        <v>294</v>
      </c>
      <c r="C176" s="226" t="s">
        <v>297</v>
      </c>
      <c r="D176" s="181" t="s">
        <v>298</v>
      </c>
      <c r="E176" s="237">
        <v>100000</v>
      </c>
      <c r="F176" s="237">
        <v>100000</v>
      </c>
      <c r="G176" s="23">
        <v>0</v>
      </c>
    </row>
    <row r="177" spans="1:7" ht="20.100000000000001" customHeight="1">
      <c r="A177" s="191">
        <v>44</v>
      </c>
      <c r="B177" s="157" t="s">
        <v>295</v>
      </c>
      <c r="C177" s="226" t="s">
        <v>297</v>
      </c>
      <c r="D177" s="181" t="s">
        <v>397</v>
      </c>
      <c r="E177" s="237">
        <v>100000</v>
      </c>
      <c r="F177" s="237">
        <v>100000</v>
      </c>
      <c r="G177" s="23">
        <v>0</v>
      </c>
    </row>
    <row r="178" spans="1:7" ht="20.100000000000001" customHeight="1">
      <c r="A178" s="191">
        <v>45</v>
      </c>
      <c r="B178" s="156" t="s">
        <v>296</v>
      </c>
      <c r="C178" s="226" t="s">
        <v>297</v>
      </c>
      <c r="D178" s="181" t="s">
        <v>666</v>
      </c>
      <c r="E178" s="237">
        <v>100000</v>
      </c>
      <c r="F178" s="237">
        <v>100000</v>
      </c>
      <c r="G178" s="23">
        <v>0</v>
      </c>
    </row>
    <row r="179" spans="1:7" ht="20.100000000000001" customHeight="1">
      <c r="A179" s="191">
        <v>46</v>
      </c>
      <c r="B179" s="156" t="s">
        <v>299</v>
      </c>
      <c r="C179" s="226" t="s">
        <v>300</v>
      </c>
      <c r="D179" s="181" t="s">
        <v>667</v>
      </c>
      <c r="E179" s="237">
        <v>100000</v>
      </c>
      <c r="F179" s="237">
        <v>100000</v>
      </c>
      <c r="G179" s="23">
        <v>0</v>
      </c>
    </row>
    <row r="180" spans="1:7" ht="20.100000000000001" customHeight="1">
      <c r="A180" s="191">
        <v>47</v>
      </c>
      <c r="B180" s="156" t="s">
        <v>302</v>
      </c>
      <c r="C180" s="226" t="s">
        <v>300</v>
      </c>
      <c r="D180" s="181" t="s">
        <v>667</v>
      </c>
      <c r="E180" s="237">
        <v>100000</v>
      </c>
      <c r="F180" s="237">
        <v>100000</v>
      </c>
      <c r="G180" s="23">
        <v>0</v>
      </c>
    </row>
    <row r="181" spans="1:7" ht="20.100000000000001" customHeight="1">
      <c r="A181" s="191">
        <v>48</v>
      </c>
      <c r="B181" s="156" t="s">
        <v>303</v>
      </c>
      <c r="C181" s="226" t="s">
        <v>300</v>
      </c>
      <c r="D181" s="181" t="s">
        <v>667</v>
      </c>
      <c r="E181" s="237">
        <v>100000</v>
      </c>
      <c r="F181" s="237">
        <v>100000</v>
      </c>
      <c r="G181" s="23">
        <v>0</v>
      </c>
    </row>
    <row r="182" spans="1:7" ht="20.100000000000001" customHeight="1">
      <c r="A182" s="191">
        <v>49</v>
      </c>
      <c r="B182" s="156" t="s">
        <v>304</v>
      </c>
      <c r="C182" s="226" t="s">
        <v>300</v>
      </c>
      <c r="D182" s="181" t="s">
        <v>667</v>
      </c>
      <c r="E182" s="237">
        <v>100000</v>
      </c>
      <c r="F182" s="237">
        <v>100000</v>
      </c>
      <c r="G182" s="23">
        <v>0</v>
      </c>
    </row>
    <row r="183" spans="1:7" ht="20.100000000000001" customHeight="1">
      <c r="A183" s="191">
        <v>50</v>
      </c>
      <c r="B183" s="156" t="s">
        <v>305</v>
      </c>
      <c r="C183" s="226" t="s">
        <v>300</v>
      </c>
      <c r="D183" s="181" t="s">
        <v>667</v>
      </c>
      <c r="E183" s="237">
        <v>100000</v>
      </c>
      <c r="F183" s="237">
        <v>100000</v>
      </c>
      <c r="G183" s="23">
        <v>0</v>
      </c>
    </row>
    <row r="184" spans="1:7" ht="20.100000000000001" customHeight="1">
      <c r="A184" s="191">
        <v>51</v>
      </c>
      <c r="B184" s="157" t="s">
        <v>306</v>
      </c>
      <c r="C184" s="226" t="s">
        <v>300</v>
      </c>
      <c r="D184" s="181" t="s">
        <v>312</v>
      </c>
      <c r="E184" s="237">
        <v>100000</v>
      </c>
      <c r="F184" s="237">
        <v>100000</v>
      </c>
      <c r="G184" s="23">
        <v>0</v>
      </c>
    </row>
    <row r="185" spans="1:7" ht="20.100000000000001" customHeight="1">
      <c r="A185" s="191">
        <v>52</v>
      </c>
      <c r="B185" s="157" t="s">
        <v>307</v>
      </c>
      <c r="C185" s="226" t="s">
        <v>300</v>
      </c>
      <c r="D185" s="181" t="s">
        <v>312</v>
      </c>
      <c r="E185" s="237">
        <v>100000</v>
      </c>
      <c r="F185" s="237">
        <v>100000</v>
      </c>
      <c r="G185" s="23">
        <v>0</v>
      </c>
    </row>
    <row r="186" spans="1:7" ht="20.100000000000001" customHeight="1">
      <c r="A186" s="191">
        <v>53</v>
      </c>
      <c r="B186" s="156" t="s">
        <v>308</v>
      </c>
      <c r="C186" s="226" t="s">
        <v>297</v>
      </c>
      <c r="D186" s="181" t="s">
        <v>312</v>
      </c>
      <c r="E186" s="237">
        <v>100000</v>
      </c>
      <c r="F186" s="237">
        <v>100000</v>
      </c>
      <c r="G186" s="23">
        <v>0</v>
      </c>
    </row>
    <row r="187" spans="1:7" ht="20.100000000000001" customHeight="1">
      <c r="A187" s="191">
        <v>54</v>
      </c>
      <c r="B187" s="156" t="s">
        <v>309</v>
      </c>
      <c r="C187" s="226" t="s">
        <v>297</v>
      </c>
      <c r="D187" s="181" t="s">
        <v>312</v>
      </c>
      <c r="E187" s="237">
        <v>100000</v>
      </c>
      <c r="F187" s="237">
        <v>100000</v>
      </c>
      <c r="G187" s="23">
        <v>0</v>
      </c>
    </row>
    <row r="188" spans="1:7" ht="20.100000000000001" customHeight="1">
      <c r="A188" s="191">
        <v>55</v>
      </c>
      <c r="B188" s="157" t="s">
        <v>310</v>
      </c>
      <c r="C188" s="226" t="s">
        <v>300</v>
      </c>
      <c r="D188" s="181" t="s">
        <v>668</v>
      </c>
      <c r="E188" s="237">
        <v>100000</v>
      </c>
      <c r="F188" s="237">
        <v>100000</v>
      </c>
      <c r="G188" s="23">
        <v>0</v>
      </c>
    </row>
    <row r="189" spans="1:7" ht="20.100000000000001" customHeight="1">
      <c r="A189" s="191">
        <v>56</v>
      </c>
      <c r="B189" s="157" t="s">
        <v>313</v>
      </c>
      <c r="C189" s="226" t="s">
        <v>300</v>
      </c>
      <c r="D189" s="181" t="s">
        <v>669</v>
      </c>
      <c r="E189" s="237">
        <v>100000</v>
      </c>
      <c r="F189" s="237">
        <v>100000</v>
      </c>
      <c r="G189" s="23">
        <v>0</v>
      </c>
    </row>
    <row r="190" spans="1:7" ht="20.100000000000001" customHeight="1">
      <c r="A190" s="191"/>
      <c r="B190" s="177" t="s">
        <v>86</v>
      </c>
      <c r="C190" s="234" t="s">
        <v>704</v>
      </c>
      <c r="D190" s="22"/>
      <c r="E190" s="239">
        <f>SUM(E134:E189)</f>
        <v>12750000</v>
      </c>
      <c r="F190" s="239">
        <f t="shared" ref="F190:G190" si="17">SUM(F134:F189)</f>
        <v>10200000</v>
      </c>
      <c r="G190" s="239">
        <f t="shared" si="17"/>
        <v>2550000</v>
      </c>
    </row>
    <row r="191" spans="1:7" ht="20.100000000000001" customHeight="1">
      <c r="A191" s="20"/>
      <c r="B191" s="194" t="s">
        <v>325</v>
      </c>
      <c r="C191" s="235">
        <f>C38+C43+C58+C62+C78+C86+C100+C107+C117+C131+C190+2</f>
        <v>152</v>
      </c>
      <c r="D191" s="196"/>
      <c r="E191" s="247">
        <f>E190+E131+E117+E107+E100+E86+E78+E62+E58+E43+E38</f>
        <v>62400000</v>
      </c>
      <c r="F191" s="247">
        <f>F190+F131+F117+F107+F100+F86+F78+F62+F58+F43+F38</f>
        <v>29750000</v>
      </c>
      <c r="G191" s="247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48"/>
      <c r="F192" s="249"/>
      <c r="G192" s="249"/>
    </row>
    <row r="193" spans="2:5" ht="28.5" customHeight="1">
      <c r="B193" s="198"/>
      <c r="C193" s="198"/>
      <c r="D193" s="199"/>
      <c r="E193" s="25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430" t="s">
        <v>705</v>
      </c>
      <c r="B1" s="430"/>
      <c r="C1" s="430"/>
      <c r="D1" s="430"/>
      <c r="E1" s="430"/>
      <c r="F1" s="430"/>
    </row>
    <row r="2" spans="1:6" ht="18.75">
      <c r="A2" s="431" t="s">
        <v>706</v>
      </c>
      <c r="B2" s="431"/>
      <c r="C2" s="431"/>
      <c r="D2" s="431"/>
      <c r="E2" s="431"/>
      <c r="F2" s="431"/>
    </row>
    <row r="3" spans="1:6" ht="18.75">
      <c r="A3" s="409"/>
      <c r="B3" s="409"/>
      <c r="C3" s="409"/>
      <c r="D3" s="3" t="s">
        <v>707</v>
      </c>
      <c r="E3" s="3" t="s">
        <v>708</v>
      </c>
      <c r="F3" s="11"/>
    </row>
    <row r="4" spans="1:6" ht="18.75">
      <c r="A4" s="409" t="s">
        <v>709</v>
      </c>
      <c r="B4" s="409"/>
      <c r="C4" s="409"/>
      <c r="D4" s="12">
        <f>E4*12</f>
        <v>948475.67999999993</v>
      </c>
      <c r="E4" s="12">
        <f>SUMMARY!F3</f>
        <v>79039.64</v>
      </c>
      <c r="F4" s="1"/>
    </row>
    <row r="5" spans="1:6" ht="18.75">
      <c r="A5" s="409" t="s">
        <v>710</v>
      </c>
      <c r="B5" s="409"/>
      <c r="C5" s="409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409" t="s">
        <v>711</v>
      </c>
      <c r="B6" s="409"/>
      <c r="C6" s="409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409" t="s">
        <v>712</v>
      </c>
      <c r="B7" s="409"/>
      <c r="C7" s="409"/>
      <c r="D7" s="12">
        <f t="shared" si="0"/>
        <v>962932.56</v>
      </c>
      <c r="E7" s="12">
        <f>SUMMARY!J3</f>
        <v>80244.38</v>
      </c>
      <c r="F7" s="1"/>
    </row>
    <row r="8" spans="1:6" ht="18.75">
      <c r="A8" s="409" t="s">
        <v>713</v>
      </c>
      <c r="B8" s="409"/>
      <c r="C8" s="409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409" t="s">
        <v>714</v>
      </c>
      <c r="B9" s="409"/>
      <c r="C9" s="409"/>
      <c r="D9" s="12">
        <f t="shared" si="0"/>
        <v>3319664.88</v>
      </c>
      <c r="E9" s="12">
        <f>SUMMARY!L3</f>
        <v>276638.74</v>
      </c>
      <c r="F9" s="1"/>
    </row>
    <row r="10" spans="1:6" ht="18.75">
      <c r="A10" s="412" t="s">
        <v>715</v>
      </c>
      <c r="B10" s="429"/>
      <c r="C10" s="413"/>
      <c r="D10" s="12">
        <f>E10*12</f>
        <v>0</v>
      </c>
      <c r="E10" s="12"/>
      <c r="F10" s="1"/>
    </row>
    <row r="11" spans="1:6" ht="18.75">
      <c r="A11" s="409" t="s">
        <v>716</v>
      </c>
      <c r="B11" s="409"/>
      <c r="C11" s="409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409" t="s">
        <v>717</v>
      </c>
      <c r="B12" s="409"/>
      <c r="C12" s="409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409" t="s">
        <v>718</v>
      </c>
      <c r="B13" s="409"/>
      <c r="C13" s="409"/>
      <c r="D13" s="12">
        <f t="shared" si="0"/>
        <v>240000</v>
      </c>
      <c r="E13" s="12">
        <f>SUMMARY!P3</f>
        <v>20000</v>
      </c>
      <c r="F13" s="1"/>
    </row>
    <row r="14" spans="1:6" ht="18.75">
      <c r="A14" s="426" t="s">
        <v>16</v>
      </c>
      <c r="B14" s="426"/>
      <c r="C14" s="426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432" t="s">
        <v>719</v>
      </c>
      <c r="B1" s="432"/>
      <c r="C1" s="432"/>
      <c r="D1" s="432"/>
      <c r="E1" s="432"/>
      <c r="F1" s="432"/>
    </row>
    <row r="2" spans="1:6" ht="18.75">
      <c r="A2" s="431" t="s">
        <v>720</v>
      </c>
      <c r="B2" s="431"/>
      <c r="C2" s="431"/>
      <c r="D2" s="431"/>
      <c r="E2" s="431"/>
      <c r="F2" s="431"/>
    </row>
    <row r="3" spans="1:6" ht="18.75">
      <c r="A3" s="409"/>
      <c r="B3" s="409"/>
      <c r="C3" s="409"/>
      <c r="D3" s="3" t="s">
        <v>707</v>
      </c>
      <c r="E3" s="3" t="s">
        <v>708</v>
      </c>
      <c r="F3" s="11"/>
    </row>
    <row r="4" spans="1:6" ht="18.75">
      <c r="A4" s="409" t="s">
        <v>709</v>
      </c>
      <c r="B4" s="409"/>
      <c r="C4" s="409"/>
      <c r="D4" s="12" t="e">
        <f>E4*12</f>
        <v>#REF!</v>
      </c>
      <c r="E4" s="12" t="e">
        <f>'NOVEMBER 2023'!#REF!</f>
        <v>#REF!</v>
      </c>
      <c r="F4" s="1"/>
    </row>
    <row r="5" spans="1:6" ht="18.75">
      <c r="A5" s="409" t="s">
        <v>710</v>
      </c>
      <c r="B5" s="409"/>
      <c r="C5" s="409"/>
      <c r="D5" s="12" t="e">
        <f t="shared" ref="D5:D13" si="0">E5*12</f>
        <v>#REF!</v>
      </c>
      <c r="E5" s="12" t="e">
        <f>'NOVEMBER 2023'!#REF!</f>
        <v>#REF!</v>
      </c>
      <c r="F5" s="1"/>
    </row>
    <row r="6" spans="1:6" ht="18.75">
      <c r="A6" s="409" t="s">
        <v>711</v>
      </c>
      <c r="B6" s="409"/>
      <c r="C6" s="409"/>
      <c r="D6" s="12" t="e">
        <f t="shared" si="0"/>
        <v>#REF!</v>
      </c>
      <c r="E6" s="12" t="e">
        <f>'NOVEMBER 2023'!#REF!</f>
        <v>#REF!</v>
      </c>
      <c r="F6" s="1"/>
    </row>
    <row r="7" spans="1:6" ht="18.75">
      <c r="A7" s="409" t="s">
        <v>712</v>
      </c>
      <c r="B7" s="409"/>
      <c r="C7" s="409"/>
      <c r="D7" s="12" t="e">
        <f t="shared" si="0"/>
        <v>#REF!</v>
      </c>
      <c r="E7" s="12" t="e">
        <f>'NOVEMBER 2023'!#REF!</f>
        <v>#REF!</v>
      </c>
      <c r="F7" s="1"/>
    </row>
    <row r="8" spans="1:6" ht="18.75">
      <c r="A8" s="409" t="s">
        <v>713</v>
      </c>
      <c r="B8" s="409"/>
      <c r="C8" s="409"/>
      <c r="D8" s="12" t="e">
        <f t="shared" si="0"/>
        <v>#REF!</v>
      </c>
      <c r="E8" s="12" t="e">
        <f>'NOVEMBER 2023'!#REF!</f>
        <v>#REF!</v>
      </c>
      <c r="F8" s="1"/>
    </row>
    <row r="9" spans="1:6" ht="18.75">
      <c r="A9" s="409" t="s">
        <v>714</v>
      </c>
      <c r="B9" s="409"/>
      <c r="C9" s="409"/>
      <c r="D9" s="12" t="e">
        <f t="shared" si="0"/>
        <v>#REF!</v>
      </c>
      <c r="E9" s="12" t="e">
        <f>'NOVEMBER 2023'!#REF!</f>
        <v>#REF!</v>
      </c>
      <c r="F9" s="1"/>
    </row>
    <row r="10" spans="1:6" ht="18.75">
      <c r="A10" s="409" t="s">
        <v>716</v>
      </c>
      <c r="B10" s="409"/>
      <c r="C10" s="409"/>
      <c r="D10" s="12" t="e">
        <f t="shared" si="0"/>
        <v>#REF!</v>
      </c>
      <c r="E10" s="12" t="e">
        <f>'NOVEMBER 2023'!#REF!</f>
        <v>#REF!</v>
      </c>
      <c r="F10" s="1"/>
    </row>
    <row r="11" spans="1:6" ht="18.75">
      <c r="A11" s="412" t="s">
        <v>721</v>
      </c>
      <c r="B11" s="429"/>
      <c r="C11" s="413"/>
      <c r="D11" s="12">
        <f t="shared" si="0"/>
        <v>1200000</v>
      </c>
      <c r="E11" s="12">
        <v>100000</v>
      </c>
      <c r="F11" s="1"/>
    </row>
    <row r="12" spans="1:6" ht="18.75">
      <c r="A12" s="409" t="s">
        <v>717</v>
      </c>
      <c r="B12" s="409"/>
      <c r="C12" s="409"/>
      <c r="D12" s="12" t="e">
        <f t="shared" si="0"/>
        <v>#REF!</v>
      </c>
      <c r="E12" s="12" t="e">
        <f>'NOVEMBER 2023'!#REF!</f>
        <v>#REF!</v>
      </c>
      <c r="F12" s="1"/>
    </row>
    <row r="13" spans="1:6" ht="18.75">
      <c r="A13" s="409" t="s">
        <v>718</v>
      </c>
      <c r="B13" s="409"/>
      <c r="C13" s="409"/>
      <c r="D13" s="12" t="e">
        <f t="shared" si="0"/>
        <v>#REF!</v>
      </c>
      <c r="E13" s="12" t="e">
        <f>'NOVEMBER 2023'!#REF!</f>
        <v>#REF!</v>
      </c>
      <c r="F13" s="1"/>
    </row>
    <row r="14" spans="1:6" ht="18.75">
      <c r="A14" s="426" t="s">
        <v>16</v>
      </c>
      <c r="B14" s="426"/>
      <c r="C14" s="426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432" t="s">
        <v>722</v>
      </c>
      <c r="B1" s="432"/>
      <c r="C1" s="432"/>
      <c r="D1" s="432"/>
      <c r="E1" s="432"/>
      <c r="F1" s="432"/>
    </row>
    <row r="2" spans="1:6" ht="18.75">
      <c r="A2" s="431" t="s">
        <v>723</v>
      </c>
      <c r="B2" s="431"/>
      <c r="C2" s="431"/>
      <c r="D2" s="431"/>
      <c r="E2" s="431"/>
      <c r="F2" s="431"/>
    </row>
    <row r="3" spans="1:6" ht="18.75">
      <c r="A3" s="409"/>
      <c r="B3" s="409"/>
      <c r="C3" s="409"/>
      <c r="D3" s="3" t="s">
        <v>707</v>
      </c>
      <c r="E3" s="3" t="s">
        <v>708</v>
      </c>
      <c r="F3" s="11"/>
    </row>
    <row r="4" spans="1:6" ht="18.75">
      <c r="A4" s="409" t="s">
        <v>709</v>
      </c>
      <c r="B4" s="409"/>
      <c r="C4" s="409"/>
      <c r="D4" s="12">
        <f>E4*12</f>
        <v>493892.28</v>
      </c>
      <c r="E4" s="12">
        <f>'NOVEMBER 2023'!E97</f>
        <v>41157.69</v>
      </c>
      <c r="F4" s="1"/>
    </row>
    <row r="5" spans="1:6" ht="18.75">
      <c r="A5" s="409" t="s">
        <v>710</v>
      </c>
      <c r="B5" s="409"/>
      <c r="C5" s="409"/>
      <c r="D5" s="12">
        <f t="shared" ref="D5:D14" si="0">E5*12</f>
        <v>1481676.84</v>
      </c>
      <c r="E5" s="12">
        <f>'NOVEMBER 2023'!G97</f>
        <v>123473.07</v>
      </c>
      <c r="F5" s="1"/>
    </row>
    <row r="6" spans="1:6" ht="18.75">
      <c r="A6" s="409" t="s">
        <v>711</v>
      </c>
      <c r="B6" s="409"/>
      <c r="C6" s="409"/>
      <c r="D6" s="12">
        <f t="shared" si="0"/>
        <v>37041.921000000002</v>
      </c>
      <c r="E6" s="12">
        <f>'NOVEMBER 2023'!H97</f>
        <v>3086.8267500000002</v>
      </c>
      <c r="F6" s="1"/>
    </row>
    <row r="7" spans="1:6" ht="18.75">
      <c r="A7" s="409" t="s">
        <v>712</v>
      </c>
      <c r="B7" s="409"/>
      <c r="C7" s="409"/>
      <c r="D7" s="12">
        <f t="shared" si="0"/>
        <v>481466.28</v>
      </c>
      <c r="E7" s="12">
        <f>'NOVEMBER 2023'!I97</f>
        <v>40122.19</v>
      </c>
      <c r="F7" s="1"/>
    </row>
    <row r="8" spans="1:6" ht="18.75">
      <c r="A8" s="409" t="s">
        <v>713</v>
      </c>
      <c r="B8" s="409"/>
      <c r="C8" s="409"/>
      <c r="D8" s="12">
        <f t="shared" si="0"/>
        <v>246946.14</v>
      </c>
      <c r="E8" s="12">
        <f>'NOVEMBER 2023'!J97</f>
        <v>20578.845000000001</v>
      </c>
      <c r="F8" s="1"/>
    </row>
    <row r="9" spans="1:6" ht="18.75">
      <c r="A9" s="409" t="s">
        <v>714</v>
      </c>
      <c r="B9" s="409"/>
      <c r="C9" s="409"/>
      <c r="D9" s="12">
        <f t="shared" si="0"/>
        <v>1728622.98</v>
      </c>
      <c r="E9" s="12">
        <f>'NOVEMBER 2023'!K97</f>
        <v>144051.91500000001</v>
      </c>
      <c r="F9" s="1"/>
    </row>
    <row r="10" spans="1:6" ht="18.75">
      <c r="A10" s="409" t="s">
        <v>716</v>
      </c>
      <c r="B10" s="409"/>
      <c r="C10" s="409"/>
      <c r="D10" s="12">
        <f t="shared" si="0"/>
        <v>493892.28</v>
      </c>
      <c r="E10" s="12">
        <f>'NOVEMBER 2023'!L97</f>
        <v>41157.69</v>
      </c>
      <c r="F10" s="1"/>
    </row>
    <row r="11" spans="1:6" ht="18.75">
      <c r="A11" s="412" t="s">
        <v>715</v>
      </c>
      <c r="B11" s="429"/>
      <c r="C11" s="413"/>
      <c r="D11" s="12">
        <f t="shared" si="0"/>
        <v>0</v>
      </c>
      <c r="E11" s="12">
        <v>0</v>
      </c>
      <c r="F11" s="1"/>
    </row>
    <row r="12" spans="1:6" ht="18.75">
      <c r="A12" s="409" t="s">
        <v>717</v>
      </c>
      <c r="B12" s="409"/>
      <c r="C12" s="409"/>
      <c r="D12" s="12">
        <f t="shared" si="0"/>
        <v>49389.228000000003</v>
      </c>
      <c r="E12" s="12">
        <f>'NOVEMBER 2023'!O97</f>
        <v>4115.7690000000002</v>
      </c>
      <c r="F12" s="1"/>
    </row>
    <row r="13" spans="1:6" ht="18.75">
      <c r="A13" s="409" t="s">
        <v>718</v>
      </c>
      <c r="B13" s="409"/>
      <c r="C13" s="409"/>
      <c r="D13" s="12">
        <f t="shared" si="0"/>
        <v>240000</v>
      </c>
      <c r="E13" s="12">
        <v>20000</v>
      </c>
      <c r="F13" s="1"/>
    </row>
    <row r="14" spans="1:6" ht="18.75">
      <c r="A14" s="426" t="s">
        <v>16</v>
      </c>
      <c r="B14" s="426"/>
      <c r="C14" s="426"/>
      <c r="D14" s="13">
        <f t="shared" si="0"/>
        <v>5252927.949</v>
      </c>
      <c r="E14" s="13">
        <f>SUM(E4:E13)</f>
        <v>437743.99575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432" t="s">
        <v>724</v>
      </c>
      <c r="B1" s="432"/>
      <c r="C1" s="432"/>
      <c r="D1" s="432"/>
      <c r="E1" s="432"/>
      <c r="F1" s="432"/>
    </row>
    <row r="2" spans="1:6" ht="18.75">
      <c r="A2" s="431" t="s">
        <v>725</v>
      </c>
      <c r="B2" s="431"/>
      <c r="C2" s="431"/>
      <c r="D2" s="431"/>
      <c r="E2" s="431"/>
      <c r="F2" s="431"/>
    </row>
    <row r="3" spans="1:6" ht="18.75">
      <c r="A3" s="409"/>
      <c r="B3" s="409"/>
      <c r="C3" s="409"/>
      <c r="D3" s="3" t="s">
        <v>707</v>
      </c>
      <c r="E3" s="3" t="s">
        <v>708</v>
      </c>
      <c r="F3" s="11"/>
    </row>
    <row r="4" spans="1:6" ht="18.75">
      <c r="A4" s="409" t="s">
        <v>709</v>
      </c>
      <c r="B4" s="409"/>
      <c r="C4" s="409"/>
      <c r="D4" s="12" t="e">
        <f>E4*12</f>
        <v>#REF!</v>
      </c>
      <c r="E4" s="12" t="e">
        <f>'NOVEMBER 2023'!#REF!</f>
        <v>#REF!</v>
      </c>
      <c r="F4" s="1"/>
    </row>
    <row r="5" spans="1:6" ht="18.75">
      <c r="A5" s="409" t="s">
        <v>710</v>
      </c>
      <c r="B5" s="409"/>
      <c r="C5" s="409"/>
      <c r="D5" s="12" t="e">
        <f t="shared" ref="D5:D14" si="0">E5*12</f>
        <v>#REF!</v>
      </c>
      <c r="E5" s="12" t="e">
        <f>'NOVEMBER 2023'!#REF!</f>
        <v>#REF!</v>
      </c>
      <c r="F5" s="1"/>
    </row>
    <row r="6" spans="1:6" ht="18.75">
      <c r="A6" s="409" t="s">
        <v>711</v>
      </c>
      <c r="B6" s="409"/>
      <c r="C6" s="409"/>
      <c r="D6" s="12" t="e">
        <f t="shared" si="0"/>
        <v>#REF!</v>
      </c>
      <c r="E6" s="12" t="e">
        <f>'NOVEMBER 2023'!#REF!</f>
        <v>#REF!</v>
      </c>
      <c r="F6" s="1"/>
    </row>
    <row r="7" spans="1:6" ht="18.75">
      <c r="A7" s="409" t="s">
        <v>712</v>
      </c>
      <c r="B7" s="409"/>
      <c r="C7" s="409"/>
      <c r="D7" s="12">
        <f t="shared" si="0"/>
        <v>0</v>
      </c>
      <c r="E7" s="12">
        <f>SUMMARY!J6</f>
        <v>0</v>
      </c>
      <c r="F7" s="1"/>
    </row>
    <row r="8" spans="1:6" ht="18.75">
      <c r="A8" s="409" t="s">
        <v>713</v>
      </c>
      <c r="B8" s="409"/>
      <c r="C8" s="409"/>
      <c r="D8" s="12" t="e">
        <f t="shared" si="0"/>
        <v>#REF!</v>
      </c>
      <c r="E8" s="12" t="e">
        <f>'NOVEMBER 2023'!#REF!</f>
        <v>#REF!</v>
      </c>
      <c r="F8" s="1"/>
    </row>
    <row r="9" spans="1:6" ht="18.75">
      <c r="A9" s="409" t="s">
        <v>714</v>
      </c>
      <c r="B9" s="409"/>
      <c r="C9" s="409"/>
      <c r="D9" s="12" t="e">
        <f t="shared" si="0"/>
        <v>#REF!</v>
      </c>
      <c r="E9" s="12" t="e">
        <f>'NOVEMBER 2023'!#REF!</f>
        <v>#REF!</v>
      </c>
      <c r="F9" s="1"/>
    </row>
    <row r="10" spans="1:6" ht="18.75">
      <c r="A10" s="409" t="s">
        <v>716</v>
      </c>
      <c r="B10" s="409"/>
      <c r="C10" s="409"/>
      <c r="D10" s="12" t="e">
        <f t="shared" si="0"/>
        <v>#REF!</v>
      </c>
      <c r="E10" s="12" t="e">
        <f>'NOVEMBER 2023'!#REF!</f>
        <v>#REF!</v>
      </c>
      <c r="F10" s="1"/>
    </row>
    <row r="11" spans="1:6" ht="18.75">
      <c r="A11" s="412" t="s">
        <v>715</v>
      </c>
      <c r="B11" s="429"/>
      <c r="C11" s="413"/>
      <c r="D11" s="12">
        <f t="shared" si="0"/>
        <v>0</v>
      </c>
      <c r="E11" s="12">
        <v>0</v>
      </c>
      <c r="F11" s="1"/>
    </row>
    <row r="12" spans="1:6" ht="18.75">
      <c r="A12" s="409" t="s">
        <v>717</v>
      </c>
      <c r="B12" s="409"/>
      <c r="C12" s="409"/>
      <c r="D12" s="12" t="e">
        <f t="shared" si="0"/>
        <v>#REF!</v>
      </c>
      <c r="E12" s="12" t="e">
        <f>'NOVEMBER 2023'!#REF!</f>
        <v>#REF!</v>
      </c>
      <c r="F12" s="1"/>
    </row>
    <row r="13" spans="1:6" ht="18.75">
      <c r="A13" s="409" t="s">
        <v>718</v>
      </c>
      <c r="B13" s="409"/>
      <c r="C13" s="409"/>
      <c r="D13" s="12" t="e">
        <f t="shared" si="0"/>
        <v>#REF!</v>
      </c>
      <c r="E13" s="12" t="e">
        <f>'NOVEMBER 2023'!#REF!</f>
        <v>#REF!</v>
      </c>
      <c r="F13" s="1"/>
    </row>
    <row r="14" spans="1:6" ht="18.75">
      <c r="A14" s="426" t="s">
        <v>16</v>
      </c>
      <c r="B14" s="426"/>
      <c r="C14" s="426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432"/>
      <c r="B1" s="432"/>
      <c r="C1" s="432"/>
      <c r="D1" s="432"/>
      <c r="E1" s="432"/>
      <c r="F1" s="432"/>
    </row>
    <row r="2" spans="1:6" ht="18.75">
      <c r="A2" s="431"/>
      <c r="B2" s="431"/>
      <c r="C2" s="431"/>
      <c r="D2" s="431"/>
      <c r="E2" s="431"/>
      <c r="F2" s="431"/>
    </row>
    <row r="3" spans="1:6" ht="18.75">
      <c r="A3" s="409"/>
      <c r="B3" s="409"/>
      <c r="C3" s="409"/>
      <c r="D3" s="3" t="s">
        <v>707</v>
      </c>
      <c r="E3" s="3" t="s">
        <v>708</v>
      </c>
      <c r="F3" s="11"/>
    </row>
    <row r="4" spans="1:6" ht="18.75">
      <c r="A4" s="409" t="s">
        <v>709</v>
      </c>
      <c r="B4" s="409"/>
      <c r="C4" s="409"/>
      <c r="D4" s="12">
        <f>E4*12</f>
        <v>255527.52</v>
      </c>
      <c r="E4" s="12">
        <f>SUMMARY!F7</f>
        <v>21293.96</v>
      </c>
      <c r="F4" s="1"/>
    </row>
    <row r="5" spans="1:6" ht="18.75">
      <c r="A5" s="409" t="s">
        <v>710</v>
      </c>
      <c r="B5" s="409"/>
      <c r="C5" s="409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409" t="s">
        <v>711</v>
      </c>
      <c r="B6" s="409"/>
      <c r="C6" s="409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409" t="s">
        <v>712</v>
      </c>
      <c r="B7" s="409"/>
      <c r="C7" s="409"/>
      <c r="D7" s="12">
        <f t="shared" si="0"/>
        <v>0</v>
      </c>
      <c r="E7" s="12">
        <f>SUMMARY!J6</f>
        <v>0</v>
      </c>
      <c r="F7" s="1"/>
    </row>
    <row r="8" spans="1:6" ht="18.75">
      <c r="A8" s="409" t="s">
        <v>713</v>
      </c>
      <c r="B8" s="409"/>
      <c r="C8" s="409"/>
      <c r="D8" s="12">
        <f t="shared" si="0"/>
        <v>127763.76</v>
      </c>
      <c r="E8" s="12">
        <f>SUMMARY!K7</f>
        <v>10646.98</v>
      </c>
      <c r="F8" s="1"/>
    </row>
    <row r="9" spans="1:6" ht="18.75">
      <c r="A9" s="409" t="s">
        <v>714</v>
      </c>
      <c r="B9" s="409"/>
      <c r="C9" s="409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409" t="s">
        <v>716</v>
      </c>
      <c r="B10" s="409"/>
      <c r="C10" s="409"/>
      <c r="D10" s="12">
        <f t="shared" si="0"/>
        <v>255527.52</v>
      </c>
      <c r="E10" s="12">
        <f>SUMMARY!N7</f>
        <v>21293.96</v>
      </c>
      <c r="F10" s="1"/>
    </row>
    <row r="11" spans="1:6" ht="18.75">
      <c r="A11" s="409" t="s">
        <v>717</v>
      </c>
      <c r="B11" s="409"/>
      <c r="C11" s="409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409" t="s">
        <v>718</v>
      </c>
      <c r="B12" s="409"/>
      <c r="C12" s="409"/>
      <c r="D12" s="12">
        <f t="shared" si="0"/>
        <v>120000</v>
      </c>
      <c r="E12" s="12">
        <f>SUMMARY!P7</f>
        <v>10000</v>
      </c>
      <c r="F12" s="1"/>
    </row>
    <row r="13" spans="1:6" ht="18.75">
      <c r="A13" s="426" t="s">
        <v>16</v>
      </c>
      <c r="B13" s="426"/>
      <c r="C13" s="426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432" t="s">
        <v>726</v>
      </c>
      <c r="B1" s="432"/>
      <c r="C1" s="432"/>
      <c r="D1" s="432"/>
      <c r="E1" s="432"/>
      <c r="F1" s="432"/>
    </row>
    <row r="2" spans="1:6" ht="18.75">
      <c r="A2" s="431" t="s">
        <v>727</v>
      </c>
      <c r="B2" s="431"/>
      <c r="C2" s="431"/>
      <c r="D2" s="431"/>
      <c r="E2" s="431"/>
      <c r="F2" s="431"/>
    </row>
    <row r="3" spans="1:6" ht="18.75">
      <c r="A3" s="409"/>
      <c r="B3" s="409"/>
      <c r="C3" s="409"/>
      <c r="D3" s="3" t="s">
        <v>707</v>
      </c>
      <c r="E3" s="3" t="s">
        <v>708</v>
      </c>
      <c r="F3" s="11"/>
    </row>
    <row r="4" spans="1:6" ht="18.75">
      <c r="A4" s="409" t="s">
        <v>709</v>
      </c>
      <c r="B4" s="409"/>
      <c r="C4" s="409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409" t="s">
        <v>710</v>
      </c>
      <c r="B5" s="409"/>
      <c r="C5" s="409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409" t="s">
        <v>711</v>
      </c>
      <c r="B6" s="409"/>
      <c r="C6" s="409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409" t="s">
        <v>712</v>
      </c>
      <c r="B7" s="409"/>
      <c r="C7" s="409"/>
      <c r="D7" s="12">
        <f t="shared" si="0"/>
        <v>0</v>
      </c>
      <c r="E7" s="12">
        <f>SUMMARY!J6</f>
        <v>0</v>
      </c>
      <c r="F7" s="1"/>
    </row>
    <row r="8" spans="1:6" ht="18.75">
      <c r="A8" s="409" t="s">
        <v>713</v>
      </c>
      <c r="B8" s="409"/>
      <c r="C8" s="409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409" t="s">
        <v>714</v>
      </c>
      <c r="B9" s="409"/>
      <c r="C9" s="409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409" t="s">
        <v>716</v>
      </c>
      <c r="B10" s="409"/>
      <c r="C10" s="409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412" t="s">
        <v>715</v>
      </c>
      <c r="B11" s="429"/>
      <c r="C11" s="413"/>
      <c r="D11" s="12">
        <f t="shared" si="0"/>
        <v>480000</v>
      </c>
      <c r="E11" s="12">
        <v>40000</v>
      </c>
      <c r="F11" s="1"/>
    </row>
    <row r="12" spans="1:6" ht="18.75">
      <c r="A12" s="409" t="s">
        <v>717</v>
      </c>
      <c r="B12" s="409"/>
      <c r="C12" s="409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409" t="s">
        <v>718</v>
      </c>
      <c r="B13" s="409"/>
      <c r="C13" s="409"/>
      <c r="D13" s="12">
        <f t="shared" si="0"/>
        <v>120000</v>
      </c>
      <c r="E13" s="12">
        <f>SUMMARY!P7</f>
        <v>10000</v>
      </c>
      <c r="F13" s="1"/>
    </row>
    <row r="14" spans="1:6" ht="18.75">
      <c r="A14" s="426" t="s">
        <v>16</v>
      </c>
      <c r="B14" s="426"/>
      <c r="C14" s="426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432" t="s">
        <v>728</v>
      </c>
      <c r="B1" s="432"/>
      <c r="C1" s="432"/>
      <c r="D1" s="432"/>
      <c r="E1" s="432"/>
      <c r="F1" s="432"/>
    </row>
    <row r="2" spans="1:6" ht="18.75">
      <c r="A2" s="431" t="s">
        <v>729</v>
      </c>
      <c r="B2" s="431"/>
      <c r="C2" s="431"/>
      <c r="D2" s="431"/>
      <c r="E2" s="431"/>
      <c r="F2" s="431"/>
    </row>
    <row r="3" spans="1:6" ht="18.75">
      <c r="A3" s="409"/>
      <c r="B3" s="409"/>
      <c r="C3" s="409"/>
      <c r="D3" s="3" t="s">
        <v>707</v>
      </c>
      <c r="E3" s="3" t="s">
        <v>708</v>
      </c>
      <c r="F3" s="11"/>
    </row>
    <row r="4" spans="1:6" ht="18.75">
      <c r="A4" s="409" t="s">
        <v>709</v>
      </c>
      <c r="B4" s="409"/>
      <c r="C4" s="409"/>
      <c r="D4" s="12">
        <f>E4*12</f>
        <v>176833.68</v>
      </c>
      <c r="E4" s="12">
        <f>SUMMARY!F9</f>
        <v>14736.14</v>
      </c>
      <c r="F4" s="1"/>
    </row>
    <row r="5" spans="1:6" ht="18.75">
      <c r="A5" s="409" t="s">
        <v>710</v>
      </c>
      <c r="B5" s="409"/>
      <c r="C5" s="409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409" t="s">
        <v>711</v>
      </c>
      <c r="B6" s="409"/>
      <c r="C6" s="409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409" t="s">
        <v>712</v>
      </c>
      <c r="B7" s="409"/>
      <c r="C7" s="409"/>
      <c r="D7" s="12">
        <f t="shared" si="0"/>
        <v>0</v>
      </c>
      <c r="E7" s="12">
        <f>SUMMARY!J6</f>
        <v>0</v>
      </c>
      <c r="F7" s="1"/>
    </row>
    <row r="8" spans="1:6" ht="18.75">
      <c r="A8" s="409" t="s">
        <v>713</v>
      </c>
      <c r="B8" s="409"/>
      <c r="C8" s="409"/>
      <c r="D8" s="12">
        <f t="shared" si="0"/>
        <v>88416.84</v>
      </c>
      <c r="E8" s="12">
        <f>SUMMARY!K9</f>
        <v>7368.07</v>
      </c>
      <c r="F8" s="1"/>
    </row>
    <row r="9" spans="1:6" ht="18.75">
      <c r="A9" s="409" t="s">
        <v>714</v>
      </c>
      <c r="B9" s="409"/>
      <c r="C9" s="409"/>
      <c r="D9" s="12">
        <f t="shared" si="0"/>
        <v>618917.88</v>
      </c>
      <c r="E9" s="12">
        <f>SUMMARY!L9</f>
        <v>51576.49</v>
      </c>
      <c r="F9" s="1"/>
    </row>
    <row r="10" spans="1:6" ht="18.75">
      <c r="A10" s="409" t="s">
        <v>716</v>
      </c>
      <c r="B10" s="409"/>
      <c r="C10" s="409"/>
      <c r="D10" s="12">
        <f t="shared" si="0"/>
        <v>176833.68</v>
      </c>
      <c r="E10" s="12">
        <f>SUMMARY!N9</f>
        <v>14736.14</v>
      </c>
      <c r="F10" s="1"/>
    </row>
    <row r="11" spans="1:6" ht="18.75">
      <c r="A11" s="412" t="s">
        <v>730</v>
      </c>
      <c r="B11" s="429"/>
      <c r="C11" s="413"/>
      <c r="D11" s="12">
        <f t="shared" si="0"/>
        <v>480000</v>
      </c>
      <c r="E11" s="12">
        <v>40000</v>
      </c>
      <c r="F11" s="1"/>
    </row>
    <row r="12" spans="1:6" ht="18.75">
      <c r="A12" s="409" t="s">
        <v>717</v>
      </c>
      <c r="B12" s="409"/>
      <c r="C12" s="409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409" t="s">
        <v>718</v>
      </c>
      <c r="B13" s="409"/>
      <c r="C13" s="409"/>
      <c r="D13" s="12">
        <f t="shared" si="0"/>
        <v>120000</v>
      </c>
      <c r="E13" s="12">
        <f>SUMMARY!P7</f>
        <v>10000</v>
      </c>
      <c r="F13" s="1"/>
    </row>
    <row r="14" spans="1:6" ht="18.75">
      <c r="A14" s="426" t="s">
        <v>16</v>
      </c>
      <c r="B14" s="426"/>
      <c r="C14" s="426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432" t="s">
        <v>731</v>
      </c>
      <c r="B1" s="432"/>
      <c r="C1" s="432"/>
      <c r="D1" s="432"/>
      <c r="E1" s="432"/>
      <c r="F1" s="432"/>
    </row>
    <row r="2" spans="1:6" ht="18.75">
      <c r="A2" s="431"/>
      <c r="B2" s="431"/>
      <c r="C2" s="431"/>
      <c r="D2" s="431"/>
      <c r="E2" s="431"/>
      <c r="F2" s="431"/>
    </row>
    <row r="3" spans="1:6" ht="18.75">
      <c r="A3" s="409"/>
      <c r="B3" s="409"/>
      <c r="C3" s="409"/>
      <c r="D3" s="3" t="s">
        <v>707</v>
      </c>
      <c r="E3" s="3" t="s">
        <v>708</v>
      </c>
      <c r="F3" s="11"/>
    </row>
    <row r="4" spans="1:6" ht="18.75">
      <c r="A4" s="409" t="s">
        <v>709</v>
      </c>
      <c r="B4" s="409"/>
      <c r="C4" s="409"/>
      <c r="D4" s="12">
        <f>E4*12</f>
        <v>310249.19999999995</v>
      </c>
      <c r="E4" s="12">
        <f>'NOVEMBER 2023'!E76</f>
        <v>25854.1</v>
      </c>
      <c r="F4" s="1"/>
    </row>
    <row r="5" spans="1:6" ht="18.75">
      <c r="A5" s="409" t="s">
        <v>710</v>
      </c>
      <c r="B5" s="409"/>
      <c r="C5" s="409"/>
      <c r="D5" s="12" t="e">
        <f t="shared" ref="D5:D12" si="0">E5*12</f>
        <v>#REF!</v>
      </c>
      <c r="E5" s="12" t="e">
        <f>'NOVEMBER 2023'!#REF!</f>
        <v>#REF!</v>
      </c>
      <c r="F5" s="1"/>
    </row>
    <row r="6" spans="1:6" ht="18.75">
      <c r="A6" s="409" t="s">
        <v>711</v>
      </c>
      <c r="B6" s="409"/>
      <c r="C6" s="409"/>
      <c r="D6" s="12" t="e">
        <f t="shared" si="0"/>
        <v>#REF!</v>
      </c>
      <c r="E6" s="12" t="e">
        <f>'NOVEMBER 2023'!#REF!</f>
        <v>#REF!</v>
      </c>
      <c r="F6" s="1"/>
    </row>
    <row r="7" spans="1:6" ht="18.75">
      <c r="A7" s="409" t="s">
        <v>713</v>
      </c>
      <c r="B7" s="409"/>
      <c r="C7" s="409"/>
      <c r="D7" s="12">
        <f t="shared" si="0"/>
        <v>160395.90000000002</v>
      </c>
      <c r="E7" s="12">
        <f>'NOVEMBER 2023'!J124</f>
        <v>13366.325000000001</v>
      </c>
      <c r="F7" s="1"/>
    </row>
    <row r="8" spans="1:6" ht="18.75">
      <c r="A8" s="409" t="s">
        <v>714</v>
      </c>
      <c r="B8" s="409"/>
      <c r="C8" s="409"/>
      <c r="D8" s="12" t="e">
        <f t="shared" si="0"/>
        <v>#REF!</v>
      </c>
      <c r="E8" s="12" t="e">
        <f>'NOVEMBER 2023'!#REF!</f>
        <v>#REF!</v>
      </c>
      <c r="F8" s="1"/>
    </row>
    <row r="9" spans="1:6" ht="18.75">
      <c r="A9" s="409" t="s">
        <v>716</v>
      </c>
      <c r="B9" s="409"/>
      <c r="C9" s="409"/>
      <c r="D9" s="12">
        <f t="shared" si="0"/>
        <v>320791.80000000005</v>
      </c>
      <c r="E9" s="12">
        <f>'NOVEMBER 2023'!L124</f>
        <v>26732.65</v>
      </c>
      <c r="F9" s="1"/>
    </row>
    <row r="10" spans="1:6" ht="18.75">
      <c r="A10" s="409" t="s">
        <v>717</v>
      </c>
      <c r="B10" s="409"/>
      <c r="C10" s="409"/>
      <c r="D10" s="12" t="e">
        <f t="shared" si="0"/>
        <v>#REF!</v>
      </c>
      <c r="E10" s="12" t="e">
        <f>'NOVEMBER 2023'!#REF!</f>
        <v>#REF!</v>
      </c>
      <c r="F10" s="1"/>
    </row>
    <row r="11" spans="1:6" ht="18.75">
      <c r="A11" s="409" t="s">
        <v>718</v>
      </c>
      <c r="B11" s="409"/>
      <c r="C11" s="409"/>
      <c r="D11" s="12">
        <f t="shared" si="0"/>
        <v>240000</v>
      </c>
      <c r="E11" s="12">
        <f>'NOVEMBER 2023'!P124</f>
        <v>20000</v>
      </c>
      <c r="F11" s="1"/>
    </row>
    <row r="12" spans="1:6" ht="18.75">
      <c r="A12" s="426" t="s">
        <v>16</v>
      </c>
      <c r="B12" s="426"/>
      <c r="C12" s="426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673</v>
      </c>
      <c r="G1" s="2" t="s">
        <v>732</v>
      </c>
      <c r="H1" s="2"/>
      <c r="I1" s="2"/>
      <c r="J1" s="2"/>
      <c r="K1" s="2"/>
      <c r="L1" s="2"/>
      <c r="M1" s="2" t="s">
        <v>733</v>
      </c>
      <c r="N1" s="2" t="s">
        <v>674</v>
      </c>
      <c r="O1" s="2" t="s">
        <v>675</v>
      </c>
      <c r="P1" s="2" t="s">
        <v>677</v>
      </c>
      <c r="Q1" s="2" t="s">
        <v>678</v>
      </c>
      <c r="R1" s="2" t="s">
        <v>679</v>
      </c>
      <c r="S1" s="2" t="s">
        <v>734</v>
      </c>
      <c r="T1" s="7"/>
      <c r="U1" s="6" t="s">
        <v>735</v>
      </c>
      <c r="V1" s="5" t="s">
        <v>736</v>
      </c>
    </row>
    <row r="2" spans="1:22" ht="18.75">
      <c r="F2" s="2" t="s">
        <v>682</v>
      </c>
      <c r="G2" s="2" t="s">
        <v>737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738</v>
      </c>
      <c r="N2" s="2" t="s">
        <v>12</v>
      </c>
      <c r="O2" s="2" t="s">
        <v>13</v>
      </c>
      <c r="P2" s="2" t="s">
        <v>14</v>
      </c>
      <c r="Q2" s="2" t="s">
        <v>14</v>
      </c>
      <c r="R2" s="2" t="s">
        <v>15</v>
      </c>
      <c r="S2" s="2" t="s">
        <v>682</v>
      </c>
      <c r="T2" s="2" t="s">
        <v>21</v>
      </c>
      <c r="U2" s="6"/>
      <c r="V2" s="5"/>
    </row>
    <row r="3" spans="1:22" ht="18.75">
      <c r="A3" s="433" t="s">
        <v>739</v>
      </c>
      <c r="B3" s="434"/>
      <c r="C3" s="435"/>
      <c r="D3" s="14"/>
      <c r="E3" s="14" t="s">
        <v>740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433" t="s">
        <v>741</v>
      </c>
      <c r="B4" s="434"/>
      <c r="C4" s="435"/>
      <c r="D4" s="14"/>
      <c r="E4" s="14" t="s">
        <v>742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436" t="s">
        <v>107</v>
      </c>
      <c r="B5" s="437"/>
      <c r="C5" s="438"/>
      <c r="D5" s="16"/>
      <c r="E5" s="19" t="s">
        <v>168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433" t="s">
        <v>164</v>
      </c>
      <c r="B6" s="434"/>
      <c r="C6" s="435"/>
      <c r="D6" s="14"/>
      <c r="E6" s="14" t="s">
        <v>743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433" t="s">
        <v>744</v>
      </c>
      <c r="B7" s="434"/>
      <c r="C7" s="435"/>
      <c r="D7" s="14"/>
      <c r="E7" s="14" t="s">
        <v>745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433" t="s">
        <v>113</v>
      </c>
      <c r="B8" s="434"/>
      <c r="C8" s="435"/>
      <c r="D8" s="14"/>
      <c r="E8" s="14" t="s">
        <v>746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433" t="s">
        <v>747</v>
      </c>
      <c r="B9" s="434"/>
      <c r="C9" s="435"/>
      <c r="D9" s="14"/>
      <c r="E9" s="14" t="s">
        <v>748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433"/>
      <c r="B10" s="434"/>
      <c r="C10" s="435"/>
      <c r="D10" s="14"/>
      <c r="E10" s="14" t="s">
        <v>749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432" t="s">
        <v>750</v>
      </c>
      <c r="B1" s="432"/>
      <c r="C1" s="432"/>
      <c r="D1" s="432"/>
      <c r="E1" s="432"/>
      <c r="F1" s="432"/>
    </row>
    <row r="2" spans="1:6" ht="18.75">
      <c r="A2" s="431" t="s">
        <v>751</v>
      </c>
      <c r="B2" s="431"/>
      <c r="C2" s="431"/>
      <c r="D2" s="431"/>
      <c r="E2" s="431"/>
      <c r="F2" s="431"/>
    </row>
    <row r="3" spans="1:6" ht="18.75">
      <c r="A3" s="409"/>
      <c r="B3" s="409"/>
      <c r="C3" s="409"/>
      <c r="D3" s="3" t="s">
        <v>707</v>
      </c>
      <c r="E3" s="3" t="s">
        <v>708</v>
      </c>
      <c r="F3" s="11"/>
    </row>
    <row r="4" spans="1:6" ht="18.75">
      <c r="A4" s="409" t="s">
        <v>709</v>
      </c>
      <c r="B4" s="409"/>
      <c r="C4" s="409"/>
      <c r="D4" s="12">
        <f>E4*12</f>
        <v>299709.72000000003</v>
      </c>
      <c r="E4" s="12">
        <f>SUMMARY!F5</f>
        <v>24975.81</v>
      </c>
      <c r="F4" s="1"/>
    </row>
    <row r="5" spans="1:6" ht="18.75">
      <c r="A5" s="409" t="s">
        <v>710</v>
      </c>
      <c r="B5" s="409"/>
      <c r="C5" s="409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409" t="s">
        <v>711</v>
      </c>
      <c r="B6" s="409"/>
      <c r="C6" s="409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409" t="s">
        <v>712</v>
      </c>
      <c r="B7" s="409"/>
      <c r="C7" s="409"/>
      <c r="D7" s="12">
        <f t="shared" si="0"/>
        <v>0</v>
      </c>
      <c r="E7" s="12">
        <f>SUMMARY!J6</f>
        <v>0</v>
      </c>
      <c r="F7" s="1"/>
    </row>
    <row r="8" spans="1:6" ht="18.75">
      <c r="A8" s="409" t="s">
        <v>713</v>
      </c>
      <c r="B8" s="409"/>
      <c r="C8" s="409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409" t="s">
        <v>714</v>
      </c>
      <c r="B9" s="409"/>
      <c r="C9" s="409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409" t="s">
        <v>716</v>
      </c>
      <c r="B10" s="409"/>
      <c r="C10" s="409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412" t="s">
        <v>715</v>
      </c>
      <c r="B11" s="429"/>
      <c r="C11" s="413"/>
      <c r="D11" s="12">
        <f t="shared" si="0"/>
        <v>0</v>
      </c>
      <c r="E11" s="12">
        <v>0</v>
      </c>
      <c r="F11" s="1"/>
    </row>
    <row r="12" spans="1:6" ht="18.75">
      <c r="A12" s="409" t="s">
        <v>717</v>
      </c>
      <c r="B12" s="409"/>
      <c r="C12" s="409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409" t="s">
        <v>718</v>
      </c>
      <c r="B13" s="409"/>
      <c r="C13" s="409"/>
      <c r="D13" s="12">
        <f t="shared" si="0"/>
        <v>240000</v>
      </c>
      <c r="E13" s="12">
        <f>SUMMARY!Q5</f>
        <v>20000</v>
      </c>
      <c r="F13" s="1"/>
    </row>
    <row r="14" spans="1:6" ht="18.75">
      <c r="A14" s="426" t="s">
        <v>16</v>
      </c>
      <c r="B14" s="426"/>
      <c r="C14" s="426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431" t="s">
        <v>752</v>
      </c>
      <c r="B1" s="431"/>
      <c r="C1" s="431"/>
    </row>
    <row r="2" spans="1:3" ht="18.75">
      <c r="A2" s="431" t="s">
        <v>723</v>
      </c>
      <c r="B2" s="431"/>
      <c r="C2" s="431"/>
    </row>
    <row r="3" spans="1:3" ht="18.75">
      <c r="A3" s="21"/>
      <c r="B3" s="21" t="s">
        <v>707</v>
      </c>
      <c r="C3" s="21" t="s">
        <v>708</v>
      </c>
    </row>
    <row r="4" spans="1:3" ht="18.75">
      <c r="A4" s="32" t="s">
        <v>709</v>
      </c>
      <c r="B4" s="26">
        <f>C4*12</f>
        <v>475947</v>
      </c>
      <c r="C4" s="26">
        <v>39662.25</v>
      </c>
    </row>
    <row r="5" spans="1:3" ht="18.75">
      <c r="A5" s="32" t="s">
        <v>710</v>
      </c>
      <c r="B5" s="26">
        <f t="shared" ref="B5:B13" si="0">C5*12</f>
        <v>1427841</v>
      </c>
      <c r="C5" s="26">
        <v>118986.75</v>
      </c>
    </row>
    <row r="6" spans="1:3" ht="18.75">
      <c r="A6" s="32" t="s">
        <v>711</v>
      </c>
      <c r="B6" s="26">
        <f t="shared" si="0"/>
        <v>35696.04</v>
      </c>
      <c r="C6" s="26">
        <v>2974.67</v>
      </c>
    </row>
    <row r="7" spans="1:3" ht="18.75">
      <c r="A7" s="32" t="s">
        <v>712</v>
      </c>
      <c r="B7" s="26" t="e">
        <f t="shared" si="0"/>
        <v>#REF!</v>
      </c>
      <c r="C7" s="26" t="e">
        <f>'NOVEMBER 2023'!#REF!</f>
        <v>#REF!</v>
      </c>
    </row>
    <row r="8" spans="1:3" ht="18.75">
      <c r="A8" s="32" t="s">
        <v>713</v>
      </c>
      <c r="B8" s="26">
        <f t="shared" si="0"/>
        <v>237973.56</v>
      </c>
      <c r="C8" s="26">
        <v>19831.13</v>
      </c>
    </row>
    <row r="9" spans="1:3" ht="18.75">
      <c r="A9" s="32" t="s">
        <v>714</v>
      </c>
      <c r="B9" s="26">
        <f t="shared" si="0"/>
        <v>1665814.56</v>
      </c>
      <c r="C9" s="26">
        <v>138817.88</v>
      </c>
    </row>
    <row r="10" spans="1:3" ht="18.75">
      <c r="A10" s="32" t="s">
        <v>716</v>
      </c>
      <c r="B10" s="26">
        <f t="shared" si="0"/>
        <v>475947</v>
      </c>
      <c r="C10" s="26">
        <v>39662.25</v>
      </c>
    </row>
    <row r="11" spans="1:3" ht="18.75">
      <c r="A11" s="32" t="s">
        <v>715</v>
      </c>
      <c r="B11" s="26">
        <f t="shared" si="0"/>
        <v>0</v>
      </c>
      <c r="C11" s="26">
        <v>0</v>
      </c>
    </row>
    <row r="12" spans="1:3" ht="18.75">
      <c r="A12" s="32" t="s">
        <v>717</v>
      </c>
      <c r="B12" s="26">
        <f t="shared" si="0"/>
        <v>47594.76</v>
      </c>
      <c r="C12" s="26">
        <v>3966.23</v>
      </c>
    </row>
    <row r="13" spans="1:3" ht="18.75">
      <c r="A13" s="32" t="s">
        <v>718</v>
      </c>
      <c r="B13" s="26" t="e">
        <f t="shared" si="0"/>
        <v>#REF!</v>
      </c>
      <c r="C13" s="26" t="e">
        <f>'NOVEMBER 2023'!#REF!</f>
        <v>#REF!</v>
      </c>
    </row>
    <row r="14" spans="1:3" ht="18.75">
      <c r="A14" s="21" t="s">
        <v>16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D60"/>
  <sheetViews>
    <sheetView topLeftCell="A33" workbookViewId="0">
      <selection activeCell="J46" sqref="J46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5</v>
      </c>
      <c r="C2" s="76"/>
      <c r="D2" s="76"/>
    </row>
    <row r="3" spans="1:4" ht="15">
      <c r="A3" s="76" t="s">
        <v>26</v>
      </c>
      <c r="B3" s="76" t="s">
        <v>4</v>
      </c>
      <c r="C3" s="76" t="s">
        <v>753</v>
      </c>
      <c r="D3" s="77" t="s">
        <v>25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7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7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7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bottomRight" activeCell="C6" sqref="C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64" customWidth="1"/>
    <col min="2" max="2" width="42.42578125" style="164" customWidth="1"/>
    <col min="3" max="3" width="40.42578125" style="164" customWidth="1"/>
    <col min="4" max="4" width="11.5703125" style="164" customWidth="1"/>
    <col min="5" max="5" width="21.7109375" style="164" customWidth="1"/>
    <col min="6" max="16384" width="9.140625" style="164"/>
  </cols>
  <sheetData>
    <row r="1" spans="1:5" ht="27" customHeight="1">
      <c r="A1" s="443" t="s">
        <v>0</v>
      </c>
      <c r="B1" s="443"/>
      <c r="C1" s="443"/>
      <c r="D1" s="443"/>
    </row>
    <row r="2" spans="1:5" ht="33.75" customHeight="1">
      <c r="A2" s="391" t="s">
        <v>754</v>
      </c>
      <c r="B2" s="391"/>
      <c r="C2" s="391"/>
      <c r="D2" s="391"/>
    </row>
    <row r="3" spans="1:5" ht="9.75" customHeight="1"/>
    <row r="4" spans="1:5" ht="33" customHeight="1">
      <c r="A4" s="20"/>
      <c r="B4" s="170" t="s">
        <v>2</v>
      </c>
      <c r="C4" s="171" t="s">
        <v>3</v>
      </c>
      <c r="D4" s="172" t="s">
        <v>4</v>
      </c>
    </row>
    <row r="5" spans="1:5" ht="17.25" customHeight="1">
      <c r="C5" s="177"/>
      <c r="D5" s="177"/>
    </row>
    <row r="6" spans="1:5" ht="20.100000000000001" customHeight="1">
      <c r="A6" s="176" t="s">
        <v>26</v>
      </c>
      <c r="B6" s="177" t="s">
        <v>27</v>
      </c>
      <c r="C6" s="177"/>
      <c r="D6" s="177"/>
    </row>
    <row r="7" spans="1:5" ht="20.100000000000001" customHeight="1">
      <c r="A7" s="28">
        <v>1</v>
      </c>
      <c r="B7" s="156" t="s">
        <v>28</v>
      </c>
      <c r="C7" s="161" t="s">
        <v>29</v>
      </c>
      <c r="D7" s="161" t="s">
        <v>30</v>
      </c>
      <c r="E7" s="180"/>
    </row>
    <row r="8" spans="1:5" ht="20.100000000000001" customHeight="1">
      <c r="A8" s="28">
        <v>2</v>
      </c>
      <c r="B8" s="156" t="s">
        <v>456</v>
      </c>
      <c r="C8" s="20" t="s">
        <v>457</v>
      </c>
      <c r="D8" s="28" t="s">
        <v>228</v>
      </c>
      <c r="E8" s="180"/>
    </row>
    <row r="9" spans="1:5" ht="20.100000000000001" customHeight="1">
      <c r="A9" s="28">
        <v>3</v>
      </c>
      <c r="B9" s="156" t="s">
        <v>31</v>
      </c>
      <c r="C9" s="161" t="s">
        <v>32</v>
      </c>
      <c r="D9" s="28" t="s">
        <v>33</v>
      </c>
      <c r="E9" s="180"/>
    </row>
    <row r="10" spans="1:5" ht="20.100000000000001" customHeight="1">
      <c r="A10" s="28">
        <v>4</v>
      </c>
      <c r="B10" s="158" t="s">
        <v>458</v>
      </c>
      <c r="C10" s="20" t="s">
        <v>35</v>
      </c>
      <c r="D10" s="181" t="s">
        <v>36</v>
      </c>
      <c r="E10" s="180"/>
    </row>
    <row r="11" spans="1:5" ht="20.100000000000001" customHeight="1">
      <c r="A11" s="28">
        <v>5</v>
      </c>
      <c r="B11" s="158" t="s">
        <v>176</v>
      </c>
      <c r="C11" s="20" t="s">
        <v>177</v>
      </c>
      <c r="D11" s="24" t="s">
        <v>36</v>
      </c>
      <c r="E11" s="180"/>
    </row>
    <row r="12" spans="1:5" ht="20.100000000000001" customHeight="1">
      <c r="A12" s="28">
        <v>6</v>
      </c>
      <c r="B12" s="156" t="s">
        <v>37</v>
      </c>
      <c r="C12" s="112" t="s">
        <v>38</v>
      </c>
      <c r="D12" s="24" t="s">
        <v>36</v>
      </c>
      <c r="E12" s="180"/>
    </row>
    <row r="13" spans="1:5" ht="20.100000000000001" customHeight="1">
      <c r="A13" s="28">
        <v>7</v>
      </c>
      <c r="B13" s="158" t="s">
        <v>39</v>
      </c>
      <c r="C13" s="20" t="s">
        <v>40</v>
      </c>
      <c r="D13" s="24" t="s">
        <v>36</v>
      </c>
      <c r="E13" s="180"/>
    </row>
    <row r="14" spans="1:5" ht="20.100000000000001" customHeight="1">
      <c r="A14" s="28">
        <v>8</v>
      </c>
      <c r="B14" s="156" t="s">
        <v>43</v>
      </c>
      <c r="C14" s="161" t="s">
        <v>44</v>
      </c>
      <c r="D14" s="181" t="s">
        <v>45</v>
      </c>
      <c r="E14" s="180"/>
    </row>
    <row r="15" spans="1:5" ht="20.100000000000001" customHeight="1">
      <c r="A15" s="28">
        <v>9</v>
      </c>
      <c r="B15" s="157" t="s">
        <v>148</v>
      </c>
      <c r="C15" s="161" t="s">
        <v>149</v>
      </c>
      <c r="D15" s="28" t="s">
        <v>122</v>
      </c>
      <c r="E15" s="180"/>
    </row>
    <row r="16" spans="1:5" ht="20.100000000000001" customHeight="1">
      <c r="A16" s="28">
        <v>10</v>
      </c>
      <c r="B16" s="160" t="s">
        <v>557</v>
      </c>
      <c r="C16" s="20" t="s">
        <v>558</v>
      </c>
      <c r="D16" s="24" t="s">
        <v>51</v>
      </c>
      <c r="E16" s="180"/>
    </row>
    <row r="17" spans="1:5" ht="19.5" customHeight="1">
      <c r="A17" s="28">
        <v>11</v>
      </c>
      <c r="B17" s="158" t="s">
        <v>459</v>
      </c>
      <c r="C17" s="20" t="s">
        <v>50</v>
      </c>
      <c r="D17" s="28" t="s">
        <v>51</v>
      </c>
      <c r="E17" s="180"/>
    </row>
    <row r="18" spans="1:5" ht="19.5" customHeight="1">
      <c r="A18" s="28">
        <v>12</v>
      </c>
      <c r="B18" s="158" t="s">
        <v>559</v>
      </c>
      <c r="C18" s="20" t="s">
        <v>560</v>
      </c>
      <c r="D18" s="28" t="s">
        <v>51</v>
      </c>
      <c r="E18" s="180"/>
    </row>
    <row r="19" spans="1:5" ht="20.100000000000001" customHeight="1">
      <c r="A19" s="28">
        <v>13</v>
      </c>
      <c r="B19" s="156" t="s">
        <v>49</v>
      </c>
      <c r="C19" s="20" t="s">
        <v>50</v>
      </c>
      <c r="D19" s="181" t="s">
        <v>51</v>
      </c>
      <c r="E19" s="180"/>
    </row>
    <row r="20" spans="1:5" ht="20.100000000000001" customHeight="1">
      <c r="A20" s="28">
        <v>14</v>
      </c>
      <c r="B20" s="156" t="s">
        <v>55</v>
      </c>
      <c r="C20" s="161" t="s">
        <v>56</v>
      </c>
      <c r="D20" s="181" t="s">
        <v>57</v>
      </c>
      <c r="E20" s="180"/>
    </row>
    <row r="21" spans="1:5" ht="20.100000000000001" customHeight="1">
      <c r="A21" s="28">
        <v>15</v>
      </c>
      <c r="B21" s="157" t="s">
        <v>58</v>
      </c>
      <c r="C21" s="20" t="s">
        <v>59</v>
      </c>
      <c r="D21" s="181" t="s">
        <v>60</v>
      </c>
      <c r="E21" s="180"/>
    </row>
    <row r="22" spans="1:5" ht="20.100000000000001" customHeight="1">
      <c r="A22" s="28">
        <v>16</v>
      </c>
      <c r="B22" s="156" t="s">
        <v>202</v>
      </c>
      <c r="C22" s="161" t="s">
        <v>203</v>
      </c>
      <c r="D22" s="181" t="s">
        <v>199</v>
      </c>
      <c r="E22" s="180"/>
    </row>
    <row r="23" spans="1:5" ht="18.75" customHeight="1">
      <c r="A23" s="28">
        <v>17</v>
      </c>
      <c r="B23" s="156" t="s">
        <v>61</v>
      </c>
      <c r="C23" s="161" t="s">
        <v>62</v>
      </c>
      <c r="D23" s="181" t="s">
        <v>63</v>
      </c>
      <c r="E23" s="180"/>
    </row>
    <row r="24" spans="1:5" ht="18.75" customHeight="1">
      <c r="A24" s="28">
        <v>18</v>
      </c>
      <c r="B24" s="157" t="s">
        <v>561</v>
      </c>
      <c r="C24" s="161" t="s">
        <v>83</v>
      </c>
      <c r="D24" s="181" t="s">
        <v>252</v>
      </c>
      <c r="E24" s="180"/>
    </row>
    <row r="25" spans="1:5" ht="18.75" customHeight="1">
      <c r="A25" s="28">
        <v>19</v>
      </c>
      <c r="B25" s="20" t="s">
        <v>67</v>
      </c>
      <c r="C25" s="20" t="s">
        <v>68</v>
      </c>
      <c r="D25" s="28" t="s">
        <v>69</v>
      </c>
      <c r="E25" s="180"/>
    </row>
    <row r="26" spans="1:5" ht="18.75" customHeight="1">
      <c r="A26" s="28">
        <v>20</v>
      </c>
      <c r="B26" s="157" t="s">
        <v>70</v>
      </c>
      <c r="C26" s="161" t="s">
        <v>68</v>
      </c>
      <c r="D26" s="181" t="s">
        <v>69</v>
      </c>
      <c r="E26" s="180"/>
    </row>
    <row r="27" spans="1:5" ht="18.75" customHeight="1">
      <c r="A27" s="28">
        <v>21</v>
      </c>
      <c r="B27" s="156" t="s">
        <v>460</v>
      </c>
      <c r="C27" s="161" t="s">
        <v>461</v>
      </c>
      <c r="D27" s="181" t="s">
        <v>69</v>
      </c>
      <c r="E27" s="180"/>
    </row>
    <row r="28" spans="1:5" ht="18.75" customHeight="1">
      <c r="A28" s="28">
        <v>22</v>
      </c>
      <c r="B28" s="157" t="s">
        <v>71</v>
      </c>
      <c r="C28" s="161" t="s">
        <v>404</v>
      </c>
      <c r="D28" s="181" t="s">
        <v>76</v>
      </c>
      <c r="E28" s="180"/>
    </row>
    <row r="29" spans="1:5" ht="18.75" customHeight="1">
      <c r="A29" s="28">
        <v>23</v>
      </c>
      <c r="B29" s="157" t="s">
        <v>74</v>
      </c>
      <c r="C29" s="20" t="s">
        <v>75</v>
      </c>
      <c r="D29" s="28" t="s">
        <v>76</v>
      </c>
      <c r="E29" s="180"/>
    </row>
    <row r="30" spans="1:5" ht="18.75" customHeight="1">
      <c r="A30" s="28">
        <v>24</v>
      </c>
      <c r="B30" s="157" t="s">
        <v>77</v>
      </c>
      <c r="C30" s="112" t="s">
        <v>78</v>
      </c>
      <c r="D30" s="181" t="s">
        <v>69</v>
      </c>
      <c r="E30" s="180"/>
    </row>
    <row r="31" spans="1:5" ht="18.75" customHeight="1">
      <c r="A31" s="28">
        <v>25</v>
      </c>
      <c r="B31" s="157" t="s">
        <v>79</v>
      </c>
      <c r="C31" s="20" t="s">
        <v>80</v>
      </c>
      <c r="D31" s="28" t="s">
        <v>81</v>
      </c>
      <c r="E31" s="180"/>
    </row>
    <row r="32" spans="1:5" ht="18.75" customHeight="1">
      <c r="A32" s="28">
        <v>26</v>
      </c>
      <c r="B32" s="157" t="s">
        <v>82</v>
      </c>
      <c r="C32" s="161" t="s">
        <v>83</v>
      </c>
      <c r="D32" s="181" t="s">
        <v>81</v>
      </c>
      <c r="E32" s="180"/>
    </row>
    <row r="33" spans="1:5" ht="18.75" customHeight="1">
      <c r="A33" s="28">
        <v>27</v>
      </c>
      <c r="B33" s="157" t="s">
        <v>562</v>
      </c>
      <c r="C33" s="161" t="s">
        <v>83</v>
      </c>
      <c r="D33" s="181" t="s">
        <v>81</v>
      </c>
      <c r="E33" s="180"/>
    </row>
    <row r="34" spans="1:5" ht="18.75" customHeight="1">
      <c r="A34" s="28">
        <v>28</v>
      </c>
      <c r="B34" s="157" t="s">
        <v>220</v>
      </c>
      <c r="C34" s="161" t="s">
        <v>221</v>
      </c>
      <c r="D34" s="181" t="s">
        <v>85</v>
      </c>
      <c r="E34" s="180"/>
    </row>
    <row r="35" spans="1:5" ht="20.25" customHeight="1">
      <c r="A35" s="28"/>
      <c r="B35" s="159" t="s">
        <v>86</v>
      </c>
      <c r="C35" s="29">
        <v>28</v>
      </c>
      <c r="D35" s="181"/>
      <c r="E35" s="180"/>
    </row>
    <row r="36" spans="1:5" ht="18.75" customHeight="1">
      <c r="A36" s="28"/>
      <c r="B36" s="123"/>
      <c r="C36" s="20"/>
      <c r="D36" s="181"/>
      <c r="E36" s="180"/>
    </row>
    <row r="37" spans="1:5" ht="18.75" customHeight="1">
      <c r="A37" s="28"/>
      <c r="B37" s="159" t="s">
        <v>87</v>
      </c>
      <c r="C37" s="20"/>
      <c r="D37" s="181"/>
      <c r="E37" s="180"/>
    </row>
    <row r="38" spans="1:5" ht="18.75" customHeight="1">
      <c r="A38" s="28">
        <v>1</v>
      </c>
      <c r="B38" s="157" t="s">
        <v>88</v>
      </c>
      <c r="C38" s="20" t="s">
        <v>89</v>
      </c>
      <c r="D38" s="28" t="s">
        <v>90</v>
      </c>
      <c r="E38" s="180"/>
    </row>
    <row r="39" spans="1:5" ht="18.75" customHeight="1">
      <c r="A39" s="28">
        <v>2</v>
      </c>
      <c r="B39" s="157" t="s">
        <v>91</v>
      </c>
      <c r="C39" s="20" t="s">
        <v>92</v>
      </c>
      <c r="D39" s="28" t="s">
        <v>85</v>
      </c>
      <c r="E39" s="180"/>
    </row>
    <row r="40" spans="1:5" ht="19.5" customHeight="1">
      <c r="A40" s="28"/>
      <c r="B40" s="158"/>
      <c r="C40" s="29">
        <v>2</v>
      </c>
      <c r="D40" s="28"/>
      <c r="E40" s="180"/>
    </row>
    <row r="41" spans="1:5" ht="20.100000000000001" customHeight="1">
      <c r="A41" s="28"/>
      <c r="B41" s="158"/>
      <c r="C41" s="20"/>
      <c r="D41" s="28"/>
      <c r="E41" s="180"/>
    </row>
    <row r="42" spans="1:5" ht="20.100000000000001" customHeight="1">
      <c r="A42" s="28"/>
      <c r="B42" s="185" t="s">
        <v>96</v>
      </c>
      <c r="C42" s="170"/>
      <c r="D42" s="174"/>
      <c r="E42" s="180"/>
    </row>
    <row r="43" spans="1:5" ht="20.100000000000001" customHeight="1">
      <c r="A43" s="28">
        <v>1</v>
      </c>
      <c r="B43" s="156" t="s">
        <v>97</v>
      </c>
      <c r="C43" s="20" t="s">
        <v>98</v>
      </c>
      <c r="D43" s="28" t="s">
        <v>90</v>
      </c>
      <c r="E43" s="180"/>
    </row>
    <row r="44" spans="1:5" ht="20.100000000000001" customHeight="1">
      <c r="A44" s="28">
        <v>2</v>
      </c>
      <c r="B44" s="156" t="s">
        <v>99</v>
      </c>
      <c r="C44" s="20" t="s">
        <v>100</v>
      </c>
      <c r="D44" s="28" t="s">
        <v>45</v>
      </c>
      <c r="E44" s="180"/>
    </row>
    <row r="45" spans="1:5" ht="20.100000000000001" customHeight="1">
      <c r="A45" s="28">
        <v>3</v>
      </c>
      <c r="B45" s="156" t="s">
        <v>101</v>
      </c>
      <c r="C45" s="20" t="s">
        <v>102</v>
      </c>
      <c r="D45" s="28" t="s">
        <v>45</v>
      </c>
      <c r="E45" s="180"/>
    </row>
    <row r="46" spans="1:5" ht="20.100000000000001" customHeight="1">
      <c r="A46" s="28">
        <v>4</v>
      </c>
      <c r="B46" s="156" t="s">
        <v>103</v>
      </c>
      <c r="C46" s="20" t="s">
        <v>102</v>
      </c>
      <c r="D46" s="28" t="s">
        <v>45</v>
      </c>
      <c r="E46" s="180"/>
    </row>
    <row r="47" spans="1:5" ht="20.100000000000001" customHeight="1">
      <c r="A47" s="28">
        <v>5</v>
      </c>
      <c r="B47" s="156" t="s">
        <v>104</v>
      </c>
      <c r="C47" s="20" t="s">
        <v>102</v>
      </c>
      <c r="D47" s="28" t="s">
        <v>105</v>
      </c>
      <c r="E47" s="180"/>
    </row>
    <row r="48" spans="1:5" ht="20.100000000000001" customHeight="1">
      <c r="A48" s="28">
        <v>6</v>
      </c>
      <c r="B48" s="156" t="s">
        <v>106</v>
      </c>
      <c r="C48" s="20" t="s">
        <v>107</v>
      </c>
      <c r="D48" s="28" t="s">
        <v>51</v>
      </c>
      <c r="E48" s="180"/>
    </row>
    <row r="49" spans="1:5" ht="20.100000000000001" customHeight="1">
      <c r="A49" s="28">
        <v>7</v>
      </c>
      <c r="B49" s="158" t="s">
        <v>108</v>
      </c>
      <c r="C49" s="20" t="s">
        <v>109</v>
      </c>
      <c r="D49" s="24" t="s">
        <v>51</v>
      </c>
      <c r="E49" s="180"/>
    </row>
    <row r="50" spans="1:5" ht="20.100000000000001" customHeight="1">
      <c r="A50" s="28">
        <v>8</v>
      </c>
      <c r="B50" s="156" t="s">
        <v>464</v>
      </c>
      <c r="C50" s="20" t="s">
        <v>109</v>
      </c>
      <c r="D50" s="28" t="s">
        <v>134</v>
      </c>
      <c r="E50" s="180"/>
    </row>
    <row r="51" spans="1:5" ht="20.100000000000001" customHeight="1">
      <c r="A51" s="28">
        <v>9</v>
      </c>
      <c r="B51" s="156" t="s">
        <v>110</v>
      </c>
      <c r="C51" s="20" t="s">
        <v>164</v>
      </c>
      <c r="D51" s="28" t="s">
        <v>165</v>
      </c>
      <c r="E51" s="180"/>
    </row>
    <row r="52" spans="1:5" ht="20.100000000000001" customHeight="1">
      <c r="A52" s="28">
        <v>10</v>
      </c>
      <c r="B52" s="156" t="s">
        <v>114</v>
      </c>
      <c r="C52" s="20" t="s">
        <v>113</v>
      </c>
      <c r="D52" s="28" t="s">
        <v>73</v>
      </c>
      <c r="E52" s="180"/>
    </row>
    <row r="53" spans="1:5" ht="20.100000000000001" customHeight="1">
      <c r="A53" s="28">
        <v>11</v>
      </c>
      <c r="B53" s="156" t="s">
        <v>115</v>
      </c>
      <c r="C53" s="20" t="s">
        <v>113</v>
      </c>
      <c r="D53" s="28" t="s">
        <v>73</v>
      </c>
      <c r="E53" s="180"/>
    </row>
    <row r="54" spans="1:5" ht="20.100000000000001" customHeight="1">
      <c r="A54" s="28">
        <v>12</v>
      </c>
      <c r="B54" s="156" t="s">
        <v>116</v>
      </c>
      <c r="C54" s="20" t="s">
        <v>113</v>
      </c>
      <c r="D54" s="28" t="s">
        <v>73</v>
      </c>
      <c r="E54" s="180"/>
    </row>
    <row r="55" spans="1:5" ht="25.5" customHeight="1">
      <c r="A55" s="28"/>
      <c r="B55" s="159" t="s">
        <v>86</v>
      </c>
      <c r="C55" s="29">
        <v>12</v>
      </c>
      <c r="D55" s="29"/>
      <c r="E55" s="180"/>
    </row>
    <row r="56" spans="1:5" ht="20.100000000000001" customHeight="1">
      <c r="A56" s="28"/>
      <c r="B56" s="123"/>
      <c r="C56" s="29"/>
      <c r="D56" s="29"/>
      <c r="E56" s="180"/>
    </row>
    <row r="57" spans="1:5" ht="20.100000000000001" customHeight="1">
      <c r="A57" s="28"/>
      <c r="B57" s="159" t="s">
        <v>117</v>
      </c>
      <c r="C57" s="29"/>
      <c r="D57" s="29"/>
      <c r="E57" s="180"/>
    </row>
    <row r="58" spans="1:5" ht="20.100000000000001" customHeight="1">
      <c r="A58" s="28">
        <v>1</v>
      </c>
      <c r="B58" s="156" t="s">
        <v>118</v>
      </c>
      <c r="C58" s="161" t="s">
        <v>119</v>
      </c>
      <c r="D58" s="181" t="s">
        <v>90</v>
      </c>
      <c r="E58" s="180"/>
    </row>
    <row r="59" spans="1:5" ht="20.100000000000001" customHeight="1">
      <c r="A59" s="28">
        <v>2</v>
      </c>
      <c r="B59" s="156" t="s">
        <v>120</v>
      </c>
      <c r="C59" s="161" t="s">
        <v>121</v>
      </c>
      <c r="D59" s="181" t="s">
        <v>122</v>
      </c>
      <c r="E59" s="180"/>
    </row>
    <row r="60" spans="1:5" ht="20.100000000000001" customHeight="1">
      <c r="A60" s="28"/>
      <c r="B60" s="159" t="s">
        <v>86</v>
      </c>
      <c r="C60" s="29">
        <v>2</v>
      </c>
      <c r="D60" s="29"/>
      <c r="E60" s="180"/>
    </row>
    <row r="61" spans="1:5" ht="20.100000000000001" customHeight="1">
      <c r="A61" s="28"/>
      <c r="B61" s="159"/>
      <c r="C61" s="29"/>
      <c r="D61" s="29"/>
      <c r="E61" s="180"/>
    </row>
    <row r="62" spans="1:5" ht="20.100000000000001" customHeight="1">
      <c r="A62" s="28"/>
      <c r="B62" s="159" t="s">
        <v>123</v>
      </c>
      <c r="C62" s="29"/>
      <c r="D62" s="29"/>
      <c r="E62" s="180"/>
    </row>
    <row r="63" spans="1:5" ht="20.100000000000001" customHeight="1">
      <c r="A63" s="28">
        <v>1</v>
      </c>
      <c r="B63" s="156" t="s">
        <v>124</v>
      </c>
      <c r="C63" s="112" t="s">
        <v>125</v>
      </c>
      <c r="D63" s="28" t="s">
        <v>90</v>
      </c>
      <c r="E63" s="180"/>
    </row>
    <row r="64" spans="1:5" ht="20.100000000000001" customHeight="1">
      <c r="A64" s="28">
        <v>2</v>
      </c>
      <c r="B64" s="157" t="s">
        <v>126</v>
      </c>
      <c r="C64" s="112" t="s">
        <v>127</v>
      </c>
      <c r="D64" s="181" t="s">
        <v>128</v>
      </c>
      <c r="E64" s="180"/>
    </row>
    <row r="65" spans="1:5" ht="20.100000000000001" customHeight="1">
      <c r="A65" s="28">
        <v>3</v>
      </c>
      <c r="B65" s="156" t="s">
        <v>129</v>
      </c>
      <c r="C65" s="20" t="s">
        <v>131</v>
      </c>
      <c r="D65" s="28" t="s">
        <v>165</v>
      </c>
      <c r="E65" s="180"/>
    </row>
    <row r="66" spans="1:5" ht="20.100000000000001" customHeight="1">
      <c r="A66" s="28">
        <v>4</v>
      </c>
      <c r="B66" s="157" t="s">
        <v>130</v>
      </c>
      <c r="C66" s="112" t="s">
        <v>131</v>
      </c>
      <c r="D66" s="181" t="s">
        <v>57</v>
      </c>
      <c r="E66" s="180"/>
    </row>
    <row r="67" spans="1:5" ht="20.100000000000001" customHeight="1">
      <c r="A67" s="28">
        <v>5</v>
      </c>
      <c r="B67" s="158" t="s">
        <v>132</v>
      </c>
      <c r="C67" s="112" t="s">
        <v>109</v>
      </c>
      <c r="D67" s="181" t="s">
        <v>51</v>
      </c>
      <c r="E67" s="180"/>
    </row>
    <row r="68" spans="1:5" ht="20.100000000000001" customHeight="1">
      <c r="A68" s="28">
        <v>6</v>
      </c>
      <c r="B68" s="158" t="s">
        <v>133</v>
      </c>
      <c r="C68" s="112" t="s">
        <v>109</v>
      </c>
      <c r="D68" s="181" t="s">
        <v>134</v>
      </c>
      <c r="E68" s="180"/>
    </row>
    <row r="69" spans="1:5" ht="20.100000000000001" customHeight="1">
      <c r="A69" s="28">
        <v>7</v>
      </c>
      <c r="B69" s="156" t="s">
        <v>135</v>
      </c>
      <c r="C69" s="20" t="s">
        <v>113</v>
      </c>
      <c r="D69" s="28" t="s">
        <v>66</v>
      </c>
      <c r="E69" s="180"/>
    </row>
    <row r="70" spans="1:5" ht="20.100000000000001" customHeight="1">
      <c r="A70" s="28">
        <v>8</v>
      </c>
      <c r="B70" s="156" t="s">
        <v>136</v>
      </c>
      <c r="C70" s="112" t="s">
        <v>137</v>
      </c>
      <c r="D70" s="181" t="s">
        <v>66</v>
      </c>
      <c r="E70" s="180"/>
    </row>
    <row r="71" spans="1:5" ht="20.100000000000001" customHeight="1">
      <c r="A71" s="28">
        <v>9</v>
      </c>
      <c r="B71" s="156" t="s">
        <v>138</v>
      </c>
      <c r="C71" s="112" t="s">
        <v>137</v>
      </c>
      <c r="D71" s="181" t="s">
        <v>66</v>
      </c>
      <c r="E71" s="180"/>
    </row>
    <row r="72" spans="1:5" ht="20.100000000000001" customHeight="1">
      <c r="A72" s="28">
        <v>10</v>
      </c>
      <c r="B72" s="156" t="s">
        <v>139</v>
      </c>
      <c r="C72" s="20" t="s">
        <v>140</v>
      </c>
      <c r="D72" s="28" t="s">
        <v>63</v>
      </c>
      <c r="E72" s="180"/>
    </row>
    <row r="73" spans="1:5" ht="20.100000000000001" customHeight="1">
      <c r="A73" s="28">
        <v>11</v>
      </c>
      <c r="B73" s="156" t="s">
        <v>563</v>
      </c>
      <c r="C73" s="112" t="s">
        <v>113</v>
      </c>
      <c r="D73" s="28" t="s">
        <v>154</v>
      </c>
      <c r="E73" s="180"/>
    </row>
    <row r="74" spans="1:5" ht="20.100000000000001" customHeight="1">
      <c r="A74" s="28">
        <v>12</v>
      </c>
      <c r="B74" s="156" t="s">
        <v>142</v>
      </c>
      <c r="C74" s="112" t="s">
        <v>65</v>
      </c>
      <c r="D74" s="28" t="s">
        <v>69</v>
      </c>
      <c r="E74" s="180"/>
    </row>
    <row r="75" spans="1:5" ht="20.100000000000001" customHeight="1">
      <c r="A75" s="28">
        <v>13</v>
      </c>
      <c r="B75" s="158" t="s">
        <v>64</v>
      </c>
      <c r="C75" s="112" t="s">
        <v>65</v>
      </c>
      <c r="D75" s="28" t="s">
        <v>81</v>
      </c>
      <c r="E75" s="180"/>
    </row>
    <row r="76" spans="1:5" ht="20.100000000000001" customHeight="1">
      <c r="A76" s="28"/>
      <c r="B76" s="159" t="s">
        <v>86</v>
      </c>
      <c r="C76" s="29">
        <v>13</v>
      </c>
      <c r="D76" s="29"/>
      <c r="E76" s="180"/>
    </row>
    <row r="77" spans="1:5" ht="20.100000000000001" customHeight="1">
      <c r="A77" s="28"/>
      <c r="B77" s="123"/>
      <c r="C77" s="29"/>
      <c r="D77" s="29"/>
      <c r="E77" s="180"/>
    </row>
    <row r="78" spans="1:5" ht="20.100000000000001" customHeight="1">
      <c r="A78" s="28"/>
      <c r="B78" s="159" t="s">
        <v>143</v>
      </c>
      <c r="C78" s="29"/>
      <c r="D78" s="29"/>
      <c r="E78" s="180"/>
    </row>
    <row r="79" spans="1:5" ht="20.100000000000001" customHeight="1">
      <c r="A79" s="28">
        <v>1</v>
      </c>
      <c r="B79" s="156" t="s">
        <v>144</v>
      </c>
      <c r="C79" s="20" t="s">
        <v>145</v>
      </c>
      <c r="D79" s="28" t="s">
        <v>90</v>
      </c>
      <c r="E79" s="180"/>
    </row>
    <row r="80" spans="1:5" ht="20.100000000000001" customHeight="1">
      <c r="A80" s="28">
        <v>2</v>
      </c>
      <c r="B80" s="158" t="s">
        <v>146</v>
      </c>
      <c r="C80" s="20" t="s">
        <v>147</v>
      </c>
      <c r="D80" s="181" t="s">
        <v>128</v>
      </c>
      <c r="E80" s="180"/>
    </row>
    <row r="81" spans="1:5" ht="20.100000000000001" customHeight="1">
      <c r="A81" s="28">
        <v>3</v>
      </c>
      <c r="B81" s="158" t="s">
        <v>564</v>
      </c>
      <c r="C81" s="20" t="s">
        <v>565</v>
      </c>
      <c r="D81" s="181" t="s">
        <v>128</v>
      </c>
      <c r="E81" s="180"/>
    </row>
    <row r="82" spans="1:5" ht="20.100000000000001" customHeight="1">
      <c r="A82" s="28">
        <v>4</v>
      </c>
      <c r="B82" s="156" t="s">
        <v>150</v>
      </c>
      <c r="C82" s="20" t="s">
        <v>406</v>
      </c>
      <c r="D82" s="181" t="s">
        <v>165</v>
      </c>
      <c r="E82" s="180"/>
    </row>
    <row r="83" spans="1:5" ht="20.100000000000001" customHeight="1">
      <c r="A83" s="28">
        <v>5</v>
      </c>
      <c r="B83" s="156" t="s">
        <v>152</v>
      </c>
      <c r="C83" s="20" t="s">
        <v>153</v>
      </c>
      <c r="D83" s="28" t="s">
        <v>154</v>
      </c>
      <c r="E83" s="180"/>
    </row>
    <row r="84" spans="1:5" ht="20.100000000000001" customHeight="1">
      <c r="A84" s="28"/>
      <c r="B84" s="159" t="s">
        <v>86</v>
      </c>
      <c r="C84" s="29">
        <v>5</v>
      </c>
      <c r="D84" s="29"/>
      <c r="E84" s="180"/>
    </row>
    <row r="85" spans="1:5" ht="20.100000000000001" customHeight="1">
      <c r="A85" s="28"/>
      <c r="B85" s="159"/>
      <c r="C85" s="29"/>
      <c r="D85" s="29"/>
      <c r="E85" s="180"/>
    </row>
    <row r="86" spans="1:5" ht="20.100000000000001" customHeight="1">
      <c r="A86" s="28"/>
      <c r="B86" s="159" t="s">
        <v>158</v>
      </c>
      <c r="C86" s="186"/>
      <c r="D86" s="29"/>
      <c r="E86" s="180"/>
    </row>
    <row r="87" spans="1:5" ht="20.100000000000001" customHeight="1">
      <c r="A87" s="28">
        <v>1</v>
      </c>
      <c r="B87" s="156" t="s">
        <v>159</v>
      </c>
      <c r="C87" s="20" t="s">
        <v>102</v>
      </c>
      <c r="D87" s="28" t="s">
        <v>45</v>
      </c>
      <c r="E87" s="180"/>
    </row>
    <row r="88" spans="1:5" ht="20.100000000000001" customHeight="1">
      <c r="A88" s="28">
        <v>2</v>
      </c>
      <c r="B88" s="156" t="s">
        <v>160</v>
      </c>
      <c r="C88" s="20" t="s">
        <v>102</v>
      </c>
      <c r="D88" s="28" t="s">
        <v>45</v>
      </c>
      <c r="E88" s="180"/>
    </row>
    <row r="89" spans="1:5" ht="20.100000000000001" customHeight="1">
      <c r="A89" s="28">
        <v>3</v>
      </c>
      <c r="B89" s="158" t="s">
        <v>161</v>
      </c>
      <c r="C89" s="20" t="s">
        <v>109</v>
      </c>
      <c r="D89" s="28" t="s">
        <v>405</v>
      </c>
      <c r="E89" s="180"/>
    </row>
    <row r="90" spans="1:5" ht="20.100000000000001" customHeight="1">
      <c r="A90" s="28">
        <v>4</v>
      </c>
      <c r="B90" s="156" t="s">
        <v>162</v>
      </c>
      <c r="C90" s="20" t="s">
        <v>107</v>
      </c>
      <c r="D90" s="28" t="s">
        <v>51</v>
      </c>
      <c r="E90" s="180"/>
    </row>
    <row r="91" spans="1:5" ht="21.6" customHeight="1">
      <c r="A91" s="28">
        <v>5</v>
      </c>
      <c r="B91" s="156" t="s">
        <v>163</v>
      </c>
      <c r="C91" s="20" t="s">
        <v>164</v>
      </c>
      <c r="D91" s="181" t="s">
        <v>165</v>
      </c>
      <c r="E91" s="180"/>
    </row>
    <row r="92" spans="1:5" ht="21.6" customHeight="1">
      <c r="A92" s="28">
        <v>6</v>
      </c>
      <c r="B92" s="156" t="s">
        <v>166</v>
      </c>
      <c r="C92" s="161" t="s">
        <v>131</v>
      </c>
      <c r="D92" s="181" t="s">
        <v>57</v>
      </c>
      <c r="E92" s="180"/>
    </row>
    <row r="93" spans="1:5" ht="21.6" customHeight="1">
      <c r="A93" s="28">
        <v>7</v>
      </c>
      <c r="B93" s="156" t="s">
        <v>167</v>
      </c>
      <c r="C93" s="161" t="s">
        <v>131</v>
      </c>
      <c r="D93" s="181" t="s">
        <v>57</v>
      </c>
      <c r="E93" s="180"/>
    </row>
    <row r="94" spans="1:5" ht="21.6" customHeight="1">
      <c r="A94" s="28">
        <v>8</v>
      </c>
      <c r="B94" s="156" t="s">
        <v>169</v>
      </c>
      <c r="C94" s="112" t="s">
        <v>137</v>
      </c>
      <c r="D94" s="181" t="s">
        <v>66</v>
      </c>
      <c r="E94" s="180"/>
    </row>
    <row r="95" spans="1:5" ht="21.6" customHeight="1">
      <c r="A95" s="28">
        <v>9</v>
      </c>
      <c r="B95" s="156" t="s">
        <v>171</v>
      </c>
      <c r="C95" s="20" t="s">
        <v>172</v>
      </c>
      <c r="D95" s="28" t="s">
        <v>95</v>
      </c>
      <c r="E95" s="180"/>
    </row>
    <row r="96" spans="1:5" ht="21.6" customHeight="1">
      <c r="A96" s="28">
        <v>10</v>
      </c>
      <c r="B96" s="156" t="s">
        <v>173</v>
      </c>
      <c r="C96" s="112" t="s">
        <v>174</v>
      </c>
      <c r="D96" s="181" t="s">
        <v>81</v>
      </c>
      <c r="E96" s="180"/>
    </row>
    <row r="97" spans="1:5" ht="20.100000000000001" customHeight="1">
      <c r="A97" s="28"/>
      <c r="B97" s="159" t="s">
        <v>86</v>
      </c>
      <c r="C97" s="29">
        <v>10</v>
      </c>
      <c r="D97" s="29"/>
      <c r="E97" s="180"/>
    </row>
    <row r="98" spans="1:5" ht="20.100000000000001" customHeight="1">
      <c r="A98" s="28"/>
      <c r="B98" s="123"/>
      <c r="C98" s="29"/>
      <c r="D98" s="29"/>
      <c r="E98" s="180"/>
    </row>
    <row r="99" spans="1:5" ht="20.100000000000001" customHeight="1">
      <c r="A99" s="28"/>
      <c r="B99" s="159" t="s">
        <v>175</v>
      </c>
      <c r="C99" s="29"/>
      <c r="D99" s="29"/>
      <c r="E99" s="180"/>
    </row>
    <row r="100" spans="1:5" ht="20.100000000000001" customHeight="1">
      <c r="A100" s="28">
        <v>1</v>
      </c>
      <c r="B100" s="157" t="s">
        <v>41</v>
      </c>
      <c r="C100" s="28" t="s">
        <v>42</v>
      </c>
      <c r="D100" s="181" t="s">
        <v>36</v>
      </c>
      <c r="E100" s="180"/>
    </row>
    <row r="101" spans="1:5" ht="20.100000000000001" customHeight="1">
      <c r="A101" s="28">
        <v>2</v>
      </c>
      <c r="B101" s="156" t="s">
        <v>46</v>
      </c>
      <c r="C101" s="20" t="s">
        <v>179</v>
      </c>
      <c r="D101" s="28" t="s">
        <v>51</v>
      </c>
      <c r="E101" s="180"/>
    </row>
    <row r="102" spans="1:5" ht="20.100000000000001" customHeight="1">
      <c r="A102" s="28">
        <v>3</v>
      </c>
      <c r="B102" s="156" t="s">
        <v>180</v>
      </c>
      <c r="C102" s="20" t="s">
        <v>181</v>
      </c>
      <c r="D102" s="181" t="s">
        <v>63</v>
      </c>
      <c r="E102" s="180"/>
    </row>
    <row r="103" spans="1:5" ht="20.100000000000001" customHeight="1">
      <c r="A103" s="28">
        <v>4</v>
      </c>
      <c r="B103" s="156" t="s">
        <v>182</v>
      </c>
      <c r="C103" s="20" t="s">
        <v>407</v>
      </c>
      <c r="D103" s="181" t="s">
        <v>76</v>
      </c>
      <c r="E103" s="180"/>
    </row>
    <row r="104" spans="1:5" ht="20.100000000000001" customHeight="1">
      <c r="A104" s="20"/>
      <c r="B104" s="159" t="s">
        <v>86</v>
      </c>
      <c r="C104" s="29">
        <v>4</v>
      </c>
      <c r="D104" s="187"/>
      <c r="E104" s="180"/>
    </row>
    <row r="105" spans="1:5" ht="20.100000000000001" customHeight="1">
      <c r="A105" s="20"/>
      <c r="B105" s="123"/>
      <c r="C105" s="29"/>
      <c r="D105" s="187"/>
      <c r="E105" s="180"/>
    </row>
    <row r="106" spans="1:5" ht="20.100000000000001" customHeight="1">
      <c r="A106" s="20"/>
      <c r="B106" s="159" t="s">
        <v>184</v>
      </c>
      <c r="C106" s="20"/>
      <c r="D106" s="20"/>
      <c r="E106" s="180"/>
    </row>
    <row r="107" spans="1:5" ht="20.100000000000001" customHeight="1">
      <c r="A107" s="20">
        <v>1</v>
      </c>
      <c r="B107" s="156" t="s">
        <v>185</v>
      </c>
      <c r="C107" s="161" t="s">
        <v>186</v>
      </c>
      <c r="D107" s="181" t="s">
        <v>90</v>
      </c>
      <c r="E107" s="180"/>
    </row>
    <row r="108" spans="1:5" ht="20.100000000000001" customHeight="1">
      <c r="A108" s="20">
        <v>2</v>
      </c>
      <c r="B108" s="156" t="s">
        <v>187</v>
      </c>
      <c r="C108" s="20" t="s">
        <v>188</v>
      </c>
      <c r="D108" s="24" t="s">
        <v>36</v>
      </c>
      <c r="E108" s="180"/>
    </row>
    <row r="109" spans="1:5" ht="20.100000000000001" customHeight="1">
      <c r="A109" s="20">
        <v>3</v>
      </c>
      <c r="B109" s="156" t="s">
        <v>189</v>
      </c>
      <c r="C109" s="20" t="s">
        <v>190</v>
      </c>
      <c r="D109" s="28" t="s">
        <v>54</v>
      </c>
      <c r="E109" s="180"/>
    </row>
    <row r="110" spans="1:5" ht="20.100000000000001" customHeight="1">
      <c r="A110" s="20">
        <v>4</v>
      </c>
      <c r="B110" s="156" t="s">
        <v>191</v>
      </c>
      <c r="C110" s="20" t="s">
        <v>190</v>
      </c>
      <c r="D110" s="28" t="s">
        <v>54</v>
      </c>
      <c r="E110" s="180"/>
    </row>
    <row r="111" spans="1:5" ht="20.100000000000001" customHeight="1">
      <c r="A111" s="20">
        <v>5</v>
      </c>
      <c r="B111" s="156" t="s">
        <v>192</v>
      </c>
      <c r="C111" s="20" t="s">
        <v>193</v>
      </c>
      <c r="D111" s="181" t="s">
        <v>194</v>
      </c>
      <c r="E111" s="180"/>
    </row>
    <row r="112" spans="1:5" ht="20.100000000000001" customHeight="1">
      <c r="A112" s="20">
        <v>6</v>
      </c>
      <c r="B112" s="157" t="s">
        <v>195</v>
      </c>
      <c r="C112" s="20" t="s">
        <v>193</v>
      </c>
      <c r="D112" s="28" t="s">
        <v>76</v>
      </c>
      <c r="E112" s="180"/>
    </row>
    <row r="113" spans="1:5" ht="20.100000000000001" customHeight="1">
      <c r="A113" s="20">
        <v>7</v>
      </c>
      <c r="B113" s="157" t="s">
        <v>196</v>
      </c>
      <c r="C113" s="20" t="s">
        <v>193</v>
      </c>
      <c r="D113" s="181" t="s">
        <v>81</v>
      </c>
      <c r="E113" s="180"/>
    </row>
    <row r="114" spans="1:5" ht="25.5" customHeight="1">
      <c r="A114" s="20"/>
      <c r="B114" s="159" t="s">
        <v>86</v>
      </c>
      <c r="C114" s="29">
        <v>7</v>
      </c>
      <c r="D114" s="20"/>
      <c r="E114" s="180"/>
    </row>
    <row r="115" spans="1:5" ht="20.100000000000001" customHeight="1">
      <c r="A115" s="20"/>
      <c r="B115" s="159"/>
      <c r="C115" s="29"/>
      <c r="D115" s="20"/>
      <c r="E115" s="180"/>
    </row>
    <row r="116" spans="1:5" ht="20.100000000000001" customHeight="1">
      <c r="A116" s="28"/>
      <c r="B116" s="159" t="s">
        <v>197</v>
      </c>
      <c r="C116" s="29"/>
      <c r="D116" s="29"/>
      <c r="E116" s="180"/>
    </row>
    <row r="117" spans="1:5" ht="20.100000000000001" customHeight="1">
      <c r="A117" s="28">
        <v>1</v>
      </c>
      <c r="B117" s="156" t="s">
        <v>198</v>
      </c>
      <c r="C117" s="112" t="s">
        <v>137</v>
      </c>
      <c r="D117" s="181" t="s">
        <v>199</v>
      </c>
      <c r="E117" s="180"/>
    </row>
    <row r="118" spans="1:5" ht="18.75" customHeight="1">
      <c r="A118" s="28">
        <v>2</v>
      </c>
      <c r="B118" s="156" t="s">
        <v>200</v>
      </c>
      <c r="C118" s="20" t="s">
        <v>201</v>
      </c>
      <c r="D118" s="181" t="s">
        <v>63</v>
      </c>
      <c r="E118" s="180"/>
    </row>
    <row r="119" spans="1:5" ht="24.75" customHeight="1">
      <c r="A119" s="20"/>
      <c r="B119" s="159" t="s">
        <v>86</v>
      </c>
      <c r="C119" s="29">
        <v>2</v>
      </c>
      <c r="D119" s="187"/>
      <c r="E119" s="180"/>
    </row>
    <row r="120" spans="1:5" ht="20.100000000000001" customHeight="1">
      <c r="A120" s="20"/>
      <c r="B120" s="159"/>
      <c r="C120" s="29"/>
      <c r="D120" s="20"/>
      <c r="E120" s="180"/>
    </row>
    <row r="121" spans="1:5" ht="20.100000000000001" customHeight="1">
      <c r="A121" s="20"/>
      <c r="B121" s="159" t="s">
        <v>204</v>
      </c>
      <c r="C121" s="29"/>
      <c r="D121" s="29"/>
      <c r="E121" s="180"/>
    </row>
    <row r="122" spans="1:5" ht="20.100000000000001" customHeight="1">
      <c r="A122" s="20">
        <v>1</v>
      </c>
      <c r="B122" s="156" t="s">
        <v>205</v>
      </c>
      <c r="C122" s="161" t="s">
        <v>206</v>
      </c>
      <c r="D122" s="181" t="s">
        <v>90</v>
      </c>
      <c r="E122" s="180"/>
    </row>
    <row r="123" spans="1:5" ht="20.100000000000001" customHeight="1">
      <c r="A123" s="20">
        <v>2</v>
      </c>
      <c r="B123" s="156" t="s">
        <v>587</v>
      </c>
      <c r="C123" s="161" t="s">
        <v>588</v>
      </c>
      <c r="D123" s="181" t="s">
        <v>228</v>
      </c>
      <c r="E123" s="180"/>
    </row>
    <row r="124" spans="1:5" ht="20.100000000000001" customHeight="1">
      <c r="A124" s="20">
        <v>3</v>
      </c>
      <c r="B124" s="156" t="s">
        <v>207</v>
      </c>
      <c r="C124" s="161" t="s">
        <v>208</v>
      </c>
      <c r="D124" s="181" t="s">
        <v>45</v>
      </c>
      <c r="E124" s="180"/>
    </row>
    <row r="125" spans="1:5" ht="20.100000000000001" customHeight="1">
      <c r="A125" s="20">
        <v>4</v>
      </c>
      <c r="B125" s="158" t="s">
        <v>209</v>
      </c>
      <c r="C125" s="161" t="s">
        <v>208</v>
      </c>
      <c r="D125" s="181" t="s">
        <v>45</v>
      </c>
      <c r="E125" s="180"/>
    </row>
    <row r="126" spans="1:5" ht="20.100000000000001" customHeight="1">
      <c r="A126" s="20">
        <v>5</v>
      </c>
      <c r="B126" s="158" t="s">
        <v>210</v>
      </c>
      <c r="C126" s="161" t="s">
        <v>208</v>
      </c>
      <c r="D126" s="181" t="s">
        <v>48</v>
      </c>
      <c r="E126" s="180"/>
    </row>
    <row r="127" spans="1:5" ht="20.100000000000001" customHeight="1">
      <c r="A127" s="20">
        <v>6</v>
      </c>
      <c r="B127" s="156" t="s">
        <v>211</v>
      </c>
      <c r="C127" s="161" t="s">
        <v>212</v>
      </c>
      <c r="D127" s="181" t="s">
        <v>134</v>
      </c>
      <c r="E127" s="180"/>
    </row>
    <row r="128" spans="1:5" ht="20.100000000000001" customHeight="1">
      <c r="A128" s="20">
        <v>7</v>
      </c>
      <c r="B128" s="156" t="s">
        <v>213</v>
      </c>
      <c r="C128" s="161" t="s">
        <v>214</v>
      </c>
      <c r="D128" s="181" t="s">
        <v>165</v>
      </c>
      <c r="E128" s="180"/>
    </row>
    <row r="129" spans="1:5" ht="20.100000000000001" customHeight="1">
      <c r="A129" s="20">
        <v>8</v>
      </c>
      <c r="B129" s="156" t="s">
        <v>215</v>
      </c>
      <c r="C129" s="161" t="s">
        <v>408</v>
      </c>
      <c r="D129" s="181" t="s">
        <v>165</v>
      </c>
      <c r="E129" s="180"/>
    </row>
    <row r="130" spans="1:5" ht="20.100000000000001" customHeight="1">
      <c r="A130" s="20">
        <v>9</v>
      </c>
      <c r="B130" s="156" t="s">
        <v>216</v>
      </c>
      <c r="C130" s="161" t="s">
        <v>217</v>
      </c>
      <c r="D130" s="28" t="s">
        <v>69</v>
      </c>
      <c r="E130" s="180"/>
    </row>
    <row r="131" spans="1:5" ht="20.100000000000001" customHeight="1">
      <c r="A131" s="20">
        <v>10</v>
      </c>
      <c r="B131" s="157" t="s">
        <v>218</v>
      </c>
      <c r="C131" s="161" t="s">
        <v>219</v>
      </c>
      <c r="D131" s="181" t="s">
        <v>85</v>
      </c>
      <c r="E131" s="180"/>
    </row>
    <row r="132" spans="1:5" ht="20.100000000000001" customHeight="1">
      <c r="A132" s="20"/>
      <c r="B132" s="159" t="s">
        <v>86</v>
      </c>
      <c r="C132" s="187" t="s">
        <v>222</v>
      </c>
      <c r="D132" s="181"/>
      <c r="E132" s="180"/>
    </row>
    <row r="133" spans="1:5" ht="20.100000000000001" customHeight="1">
      <c r="A133" s="20"/>
      <c r="B133" s="123"/>
      <c r="C133" s="187"/>
      <c r="D133" s="181"/>
      <c r="E133" s="180"/>
    </row>
    <row r="134" spans="1:5" ht="20.100000000000001" customHeight="1">
      <c r="A134" s="20"/>
      <c r="B134" s="159" t="s">
        <v>223</v>
      </c>
      <c r="C134" s="161"/>
      <c r="D134" s="181"/>
      <c r="E134" s="180"/>
    </row>
    <row r="135" spans="1:5" ht="20.100000000000001" customHeight="1">
      <c r="A135" s="191">
        <v>1</v>
      </c>
      <c r="B135" s="156" t="s">
        <v>224</v>
      </c>
      <c r="C135" s="161" t="s">
        <v>225</v>
      </c>
      <c r="D135" s="181" t="s">
        <v>90</v>
      </c>
      <c r="E135" s="180"/>
    </row>
    <row r="136" spans="1:5" ht="20.100000000000001" customHeight="1">
      <c r="A136" s="191">
        <v>2</v>
      </c>
      <c r="B136" s="156" t="s">
        <v>226</v>
      </c>
      <c r="C136" s="161" t="s">
        <v>227</v>
      </c>
      <c r="D136" s="181" t="s">
        <v>228</v>
      </c>
      <c r="E136" s="180"/>
    </row>
    <row r="137" spans="1:5" ht="20.100000000000001" customHeight="1">
      <c r="A137" s="191">
        <v>3</v>
      </c>
      <c r="B137" s="158" t="s">
        <v>229</v>
      </c>
      <c r="C137" s="20" t="s">
        <v>230</v>
      </c>
      <c r="D137" s="24" t="s">
        <v>36</v>
      </c>
      <c r="E137" s="180"/>
    </row>
    <row r="138" spans="1:5" ht="20.100000000000001" customHeight="1">
      <c r="A138" s="191">
        <v>4</v>
      </c>
      <c r="B138" s="156" t="s">
        <v>231</v>
      </c>
      <c r="C138" s="161" t="s">
        <v>232</v>
      </c>
      <c r="D138" s="181" t="s">
        <v>51</v>
      </c>
      <c r="E138" s="180"/>
    </row>
    <row r="139" spans="1:5" ht="20.100000000000001" customHeight="1">
      <c r="A139" s="191">
        <v>5</v>
      </c>
      <c r="B139" s="156" t="s">
        <v>233</v>
      </c>
      <c r="C139" s="20" t="s">
        <v>234</v>
      </c>
      <c r="D139" s="181" t="s">
        <v>51</v>
      </c>
      <c r="E139" s="180"/>
    </row>
    <row r="140" spans="1:5" ht="20.100000000000001" customHeight="1">
      <c r="A140" s="191">
        <v>6</v>
      </c>
      <c r="B140" s="156" t="s">
        <v>178</v>
      </c>
      <c r="C140" s="20" t="s">
        <v>240</v>
      </c>
      <c r="D140" s="181" t="s">
        <v>165</v>
      </c>
      <c r="E140" s="180"/>
    </row>
    <row r="141" spans="1:5" ht="20.100000000000001" customHeight="1">
      <c r="A141" s="191">
        <v>7</v>
      </c>
      <c r="B141" s="156" t="s">
        <v>236</v>
      </c>
      <c r="C141" s="161" t="s">
        <v>237</v>
      </c>
      <c r="D141" s="181" t="s">
        <v>199</v>
      </c>
      <c r="E141" s="180"/>
    </row>
    <row r="142" spans="1:5" ht="20.100000000000001" customHeight="1">
      <c r="A142" s="191">
        <v>8</v>
      </c>
      <c r="B142" s="156" t="s">
        <v>238</v>
      </c>
      <c r="C142" s="161" t="s">
        <v>237</v>
      </c>
      <c r="D142" s="181" t="s">
        <v>199</v>
      </c>
      <c r="E142" s="180"/>
    </row>
    <row r="143" spans="1:5" ht="20.100000000000001" customHeight="1">
      <c r="A143" s="191">
        <v>9</v>
      </c>
      <c r="B143" s="156" t="s">
        <v>239</v>
      </c>
      <c r="C143" s="20" t="s">
        <v>240</v>
      </c>
      <c r="D143" s="181" t="s">
        <v>199</v>
      </c>
      <c r="E143" s="180"/>
    </row>
    <row r="144" spans="1:5" ht="20.100000000000001" customHeight="1">
      <c r="A144" s="191">
        <v>10</v>
      </c>
      <c r="B144" s="156" t="s">
        <v>241</v>
      </c>
      <c r="C144" s="161" t="s">
        <v>242</v>
      </c>
      <c r="D144" s="181" t="s">
        <v>63</v>
      </c>
      <c r="E144" s="180"/>
    </row>
    <row r="145" spans="1:5" ht="20.100000000000001" customHeight="1">
      <c r="A145" s="191">
        <v>11</v>
      </c>
      <c r="B145" s="156" t="s">
        <v>243</v>
      </c>
      <c r="C145" s="161" t="s">
        <v>410</v>
      </c>
      <c r="D145" s="181" t="s">
        <v>411</v>
      </c>
      <c r="E145" s="180"/>
    </row>
    <row r="146" spans="1:5" ht="20.100000000000001" customHeight="1">
      <c r="A146" s="191">
        <v>12</v>
      </c>
      <c r="B146" s="156" t="s">
        <v>245</v>
      </c>
      <c r="C146" s="161" t="s">
        <v>246</v>
      </c>
      <c r="D146" s="181" t="s">
        <v>199</v>
      </c>
      <c r="E146" s="180"/>
    </row>
    <row r="147" spans="1:5" ht="20.100000000000001" customHeight="1">
      <c r="A147" s="191">
        <v>13</v>
      </c>
      <c r="B147" s="157" t="s">
        <v>247</v>
      </c>
      <c r="C147" s="20" t="s">
        <v>257</v>
      </c>
      <c r="D147" s="181" t="s">
        <v>411</v>
      </c>
      <c r="E147" s="180"/>
    </row>
    <row r="148" spans="1:5" ht="20.100000000000001" customHeight="1">
      <c r="A148" s="191">
        <v>14</v>
      </c>
      <c r="B148" s="156" t="s">
        <v>249</v>
      </c>
      <c r="C148" s="20" t="s">
        <v>250</v>
      </c>
      <c r="D148" s="181" t="s">
        <v>154</v>
      </c>
      <c r="E148" s="180"/>
    </row>
    <row r="149" spans="1:5" ht="20.100000000000001" customHeight="1">
      <c r="A149" s="191">
        <v>15</v>
      </c>
      <c r="B149" s="156" t="s">
        <v>251</v>
      </c>
      <c r="C149" s="20" t="s">
        <v>250</v>
      </c>
      <c r="D149" s="181" t="s">
        <v>252</v>
      </c>
      <c r="E149" s="180"/>
    </row>
    <row r="150" spans="1:5" ht="20.100000000000001" customHeight="1">
      <c r="A150" s="191">
        <v>16</v>
      </c>
      <c r="B150" s="156" t="s">
        <v>253</v>
      </c>
      <c r="C150" s="20" t="s">
        <v>250</v>
      </c>
      <c r="D150" s="181" t="s">
        <v>252</v>
      </c>
      <c r="E150" s="180"/>
    </row>
    <row r="151" spans="1:5" ht="20.100000000000001" customHeight="1">
      <c r="A151" s="191">
        <v>17</v>
      </c>
      <c r="B151" s="156" t="s">
        <v>254</v>
      </c>
      <c r="C151" s="161" t="s">
        <v>255</v>
      </c>
      <c r="D151" s="181" t="s">
        <v>95</v>
      </c>
      <c r="E151" s="180"/>
    </row>
    <row r="152" spans="1:5" ht="20.100000000000001" customHeight="1">
      <c r="A152" s="191">
        <v>18</v>
      </c>
      <c r="B152" s="156" t="s">
        <v>256</v>
      </c>
      <c r="C152" s="161" t="s">
        <v>257</v>
      </c>
      <c r="D152" s="28" t="s">
        <v>73</v>
      </c>
      <c r="E152" s="180"/>
    </row>
    <row r="153" spans="1:5" ht="20.100000000000001" customHeight="1">
      <c r="A153" s="191">
        <v>19</v>
      </c>
      <c r="B153" s="156" t="s">
        <v>258</v>
      </c>
      <c r="C153" s="161" t="s">
        <v>259</v>
      </c>
      <c r="D153" s="181" t="s">
        <v>154</v>
      </c>
      <c r="E153" s="180"/>
    </row>
    <row r="154" spans="1:5" ht="20.100000000000001" customHeight="1">
      <c r="A154" s="191">
        <v>20</v>
      </c>
      <c r="B154" s="156" t="s">
        <v>260</v>
      </c>
      <c r="C154" s="161" t="s">
        <v>261</v>
      </c>
      <c r="D154" s="181" t="s">
        <v>69</v>
      </c>
      <c r="E154" s="180"/>
    </row>
    <row r="155" spans="1:5" ht="20.100000000000001" customHeight="1">
      <c r="A155" s="191">
        <v>21</v>
      </c>
      <c r="B155" s="156" t="s">
        <v>262</v>
      </c>
      <c r="C155" s="161" t="s">
        <v>263</v>
      </c>
      <c r="D155" s="181" t="s">
        <v>154</v>
      </c>
      <c r="E155" s="180"/>
    </row>
    <row r="156" spans="1:5" ht="20.100000000000001" customHeight="1">
      <c r="A156" s="191">
        <v>22</v>
      </c>
      <c r="B156" s="156" t="s">
        <v>264</v>
      </c>
      <c r="C156" s="161" t="s">
        <v>265</v>
      </c>
      <c r="D156" s="181" t="s">
        <v>69</v>
      </c>
      <c r="E156" s="180"/>
    </row>
    <row r="157" spans="1:5" ht="20.100000000000001" customHeight="1">
      <c r="A157" s="191">
        <v>23</v>
      </c>
      <c r="B157" s="157" t="s">
        <v>266</v>
      </c>
      <c r="C157" s="161" t="s">
        <v>271</v>
      </c>
      <c r="D157" s="181" t="s">
        <v>76</v>
      </c>
      <c r="E157" s="180"/>
    </row>
    <row r="158" spans="1:5" ht="20.100000000000001" customHeight="1">
      <c r="A158" s="191">
        <v>24</v>
      </c>
      <c r="B158" s="157" t="s">
        <v>268</v>
      </c>
      <c r="C158" s="161" t="s">
        <v>269</v>
      </c>
      <c r="D158" s="181" t="s">
        <v>85</v>
      </c>
      <c r="E158" s="180"/>
    </row>
    <row r="159" spans="1:5" ht="20.100000000000001" customHeight="1">
      <c r="A159" s="191">
        <v>25</v>
      </c>
      <c r="B159" s="157" t="s">
        <v>270</v>
      </c>
      <c r="C159" s="161" t="s">
        <v>271</v>
      </c>
      <c r="D159" s="181" t="s">
        <v>85</v>
      </c>
      <c r="E159" s="180"/>
    </row>
    <row r="160" spans="1:5" ht="20.100000000000001" customHeight="1">
      <c r="A160" s="191">
        <v>26</v>
      </c>
      <c r="B160" s="157" t="s">
        <v>272</v>
      </c>
      <c r="C160" s="161" t="s">
        <v>273</v>
      </c>
      <c r="D160" s="181" t="s">
        <v>81</v>
      </c>
      <c r="E160" s="180"/>
    </row>
    <row r="161" spans="1:5" ht="20.100000000000001" customHeight="1">
      <c r="A161" s="191">
        <v>27</v>
      </c>
      <c r="B161" s="157" t="s">
        <v>274</v>
      </c>
      <c r="C161" s="161" t="s">
        <v>275</v>
      </c>
      <c r="D161" s="181" t="s">
        <v>81</v>
      </c>
      <c r="E161" s="180"/>
    </row>
    <row r="162" spans="1:5" ht="20.100000000000001" customHeight="1">
      <c r="A162" s="191">
        <v>28</v>
      </c>
      <c r="B162" s="156" t="s">
        <v>277</v>
      </c>
      <c r="C162" s="161" t="s">
        <v>278</v>
      </c>
      <c r="D162" s="181" t="s">
        <v>279</v>
      </c>
      <c r="E162" s="180"/>
    </row>
    <row r="163" spans="1:5" ht="20.100000000000001" customHeight="1">
      <c r="A163" s="191">
        <v>29</v>
      </c>
      <c r="B163" s="156" t="s">
        <v>280</v>
      </c>
      <c r="C163" s="161" t="s">
        <v>278</v>
      </c>
      <c r="D163" s="181" t="s">
        <v>279</v>
      </c>
      <c r="E163" s="180"/>
    </row>
    <row r="164" spans="1:5" ht="20.100000000000001" customHeight="1">
      <c r="A164" s="191">
        <v>30</v>
      </c>
      <c r="B164" s="156" t="s">
        <v>281</v>
      </c>
      <c r="C164" s="161" t="s">
        <v>278</v>
      </c>
      <c r="D164" s="181" t="s">
        <v>279</v>
      </c>
      <c r="E164" s="180"/>
    </row>
    <row r="165" spans="1:5" ht="20.100000000000001" customHeight="1">
      <c r="A165" s="191">
        <v>31</v>
      </c>
      <c r="B165" s="156" t="s">
        <v>282</v>
      </c>
      <c r="C165" s="161" t="s">
        <v>278</v>
      </c>
      <c r="D165" s="181" t="s">
        <v>279</v>
      </c>
      <c r="E165" s="180"/>
    </row>
    <row r="166" spans="1:5" ht="20.100000000000001" customHeight="1">
      <c r="A166" s="191">
        <v>32</v>
      </c>
      <c r="B166" s="156" t="s">
        <v>283</v>
      </c>
      <c r="C166" s="161" t="s">
        <v>278</v>
      </c>
      <c r="D166" s="181" t="s">
        <v>279</v>
      </c>
      <c r="E166" s="180"/>
    </row>
    <row r="167" spans="1:5" ht="20.100000000000001" customHeight="1">
      <c r="A167" s="191">
        <v>33</v>
      </c>
      <c r="B167" s="156" t="s">
        <v>284</v>
      </c>
      <c r="C167" s="161" t="s">
        <v>278</v>
      </c>
      <c r="D167" s="181" t="s">
        <v>285</v>
      </c>
      <c r="E167" s="180"/>
    </row>
    <row r="168" spans="1:5" ht="20.100000000000001" customHeight="1">
      <c r="A168" s="191">
        <v>34</v>
      </c>
      <c r="B168" s="156" t="s">
        <v>286</v>
      </c>
      <c r="C168" s="161" t="s">
        <v>278</v>
      </c>
      <c r="D168" s="181" t="s">
        <v>285</v>
      </c>
      <c r="E168" s="180"/>
    </row>
    <row r="169" spans="1:5" ht="20.100000000000001" customHeight="1">
      <c r="A169" s="191">
        <v>35</v>
      </c>
      <c r="B169" s="156" t="s">
        <v>569</v>
      </c>
      <c r="C169" s="161" t="s">
        <v>278</v>
      </c>
      <c r="D169" s="181" t="s">
        <v>285</v>
      </c>
      <c r="E169" s="180"/>
    </row>
    <row r="170" spans="1:5" ht="20.100000000000001" customHeight="1">
      <c r="A170" s="191">
        <v>36</v>
      </c>
      <c r="B170" s="158" t="s">
        <v>287</v>
      </c>
      <c r="C170" s="161" t="s">
        <v>278</v>
      </c>
      <c r="D170" s="181" t="s">
        <v>285</v>
      </c>
      <c r="E170" s="180"/>
    </row>
    <row r="171" spans="1:5" ht="20.100000000000001" customHeight="1">
      <c r="A171" s="191">
        <v>37</v>
      </c>
      <c r="B171" s="156" t="s">
        <v>288</v>
      </c>
      <c r="C171" s="161" t="s">
        <v>278</v>
      </c>
      <c r="D171" s="181" t="s">
        <v>285</v>
      </c>
      <c r="E171" s="180"/>
    </row>
    <row r="172" spans="1:5" ht="20.100000000000001" customHeight="1">
      <c r="A172" s="191">
        <v>38</v>
      </c>
      <c r="B172" s="157" t="s">
        <v>289</v>
      </c>
      <c r="C172" s="161" t="s">
        <v>278</v>
      </c>
      <c r="D172" s="181" t="s">
        <v>285</v>
      </c>
      <c r="E172" s="180"/>
    </row>
    <row r="173" spans="1:5" ht="20.100000000000001" customHeight="1">
      <c r="A173" s="191">
        <v>39</v>
      </c>
      <c r="B173" s="157" t="s">
        <v>290</v>
      </c>
      <c r="C173" s="161" t="s">
        <v>278</v>
      </c>
      <c r="D173" s="181" t="s">
        <v>285</v>
      </c>
      <c r="E173" s="180"/>
    </row>
    <row r="174" spans="1:5" ht="20.100000000000001" customHeight="1">
      <c r="A174" s="191">
        <v>40</v>
      </c>
      <c r="B174" s="156" t="s">
        <v>291</v>
      </c>
      <c r="C174" s="161" t="s">
        <v>297</v>
      </c>
      <c r="D174" s="181" t="s">
        <v>397</v>
      </c>
      <c r="E174" s="180"/>
    </row>
    <row r="175" spans="1:5" ht="20.100000000000001" customHeight="1">
      <c r="A175" s="191">
        <v>41</v>
      </c>
      <c r="B175" s="156" t="s">
        <v>294</v>
      </c>
      <c r="C175" s="161" t="s">
        <v>297</v>
      </c>
      <c r="D175" s="181" t="s">
        <v>397</v>
      </c>
      <c r="E175" s="180"/>
    </row>
    <row r="176" spans="1:5" ht="20.100000000000001" customHeight="1">
      <c r="A176" s="191">
        <v>42</v>
      </c>
      <c r="B176" s="157" t="s">
        <v>295</v>
      </c>
      <c r="C176" s="161" t="s">
        <v>297</v>
      </c>
      <c r="D176" s="181" t="s">
        <v>398</v>
      </c>
      <c r="E176" s="180"/>
    </row>
    <row r="177" spans="1:5" ht="20.100000000000001" customHeight="1">
      <c r="A177" s="191">
        <v>43</v>
      </c>
      <c r="B177" s="156" t="s">
        <v>296</v>
      </c>
      <c r="C177" s="161" t="s">
        <v>297</v>
      </c>
      <c r="D177" s="181" t="s">
        <v>298</v>
      </c>
      <c r="E177" s="180"/>
    </row>
    <row r="178" spans="1:5" ht="20.100000000000001" customHeight="1">
      <c r="A178" s="191">
        <v>44</v>
      </c>
      <c r="B178" s="156" t="s">
        <v>299</v>
      </c>
      <c r="C178" s="161" t="s">
        <v>300</v>
      </c>
      <c r="D178" s="181" t="s">
        <v>301</v>
      </c>
      <c r="E178" s="180"/>
    </row>
    <row r="179" spans="1:5" ht="20.100000000000001" customHeight="1">
      <c r="A179" s="191">
        <v>45</v>
      </c>
      <c r="B179" s="156" t="s">
        <v>302</v>
      </c>
      <c r="C179" s="161" t="s">
        <v>300</v>
      </c>
      <c r="D179" s="181" t="s">
        <v>301</v>
      </c>
      <c r="E179" s="180"/>
    </row>
    <row r="180" spans="1:5" ht="20.100000000000001" customHeight="1">
      <c r="A180" s="191">
        <v>46</v>
      </c>
      <c r="B180" s="156" t="s">
        <v>303</v>
      </c>
      <c r="C180" s="161" t="s">
        <v>300</v>
      </c>
      <c r="D180" s="181" t="s">
        <v>301</v>
      </c>
      <c r="E180" s="180"/>
    </row>
    <row r="181" spans="1:5" ht="20.100000000000001" customHeight="1">
      <c r="A181" s="191">
        <v>47</v>
      </c>
      <c r="B181" s="156" t="s">
        <v>304</v>
      </c>
      <c r="C181" s="161" t="s">
        <v>300</v>
      </c>
      <c r="D181" s="181" t="s">
        <v>301</v>
      </c>
      <c r="E181" s="180"/>
    </row>
    <row r="182" spans="1:5" ht="20.100000000000001" customHeight="1">
      <c r="A182" s="191">
        <v>48</v>
      </c>
      <c r="B182" s="156" t="s">
        <v>305</v>
      </c>
      <c r="C182" s="161" t="s">
        <v>300</v>
      </c>
      <c r="D182" s="181" t="s">
        <v>301</v>
      </c>
      <c r="E182" s="180"/>
    </row>
    <row r="183" spans="1:5" ht="20.100000000000001" customHeight="1">
      <c r="A183" s="191">
        <v>49</v>
      </c>
      <c r="B183" s="157" t="s">
        <v>306</v>
      </c>
      <c r="C183" s="161" t="s">
        <v>300</v>
      </c>
      <c r="D183" s="181" t="s">
        <v>301</v>
      </c>
      <c r="E183" s="180"/>
    </row>
    <row r="184" spans="1:5" ht="20.100000000000001" customHeight="1">
      <c r="A184" s="191">
        <v>50</v>
      </c>
      <c r="B184" s="157" t="s">
        <v>307</v>
      </c>
      <c r="C184" s="161" t="s">
        <v>300</v>
      </c>
      <c r="D184" s="181" t="s">
        <v>301</v>
      </c>
      <c r="E184" s="180"/>
    </row>
    <row r="185" spans="1:5" ht="20.100000000000001" customHeight="1">
      <c r="A185" s="191">
        <v>51</v>
      </c>
      <c r="B185" s="156" t="s">
        <v>308</v>
      </c>
      <c r="C185" s="161" t="s">
        <v>297</v>
      </c>
      <c r="D185" s="181" t="s">
        <v>301</v>
      </c>
      <c r="E185" s="180"/>
    </row>
    <row r="186" spans="1:5" ht="20.100000000000001" customHeight="1">
      <c r="A186" s="191">
        <v>52</v>
      </c>
      <c r="B186" s="156" t="s">
        <v>309</v>
      </c>
      <c r="C186" s="161" t="s">
        <v>297</v>
      </c>
      <c r="D186" s="181" t="s">
        <v>301</v>
      </c>
      <c r="E186" s="180"/>
    </row>
    <row r="187" spans="1:5" ht="20.100000000000001" customHeight="1">
      <c r="A187" s="191">
        <v>53</v>
      </c>
      <c r="B187" s="157" t="s">
        <v>310</v>
      </c>
      <c r="C187" s="161" t="s">
        <v>300</v>
      </c>
      <c r="D187" s="181" t="s">
        <v>412</v>
      </c>
      <c r="E187" s="180"/>
    </row>
    <row r="188" spans="1:5" ht="20.100000000000001" customHeight="1">
      <c r="A188" s="191">
        <v>54</v>
      </c>
      <c r="B188" s="157" t="s">
        <v>313</v>
      </c>
      <c r="C188" s="161" t="s">
        <v>300</v>
      </c>
      <c r="D188" s="181" t="s">
        <v>314</v>
      </c>
      <c r="E188" s="180"/>
    </row>
    <row r="189" spans="1:5" ht="20.100000000000001" customHeight="1">
      <c r="A189" s="191"/>
      <c r="B189" s="177" t="s">
        <v>86</v>
      </c>
      <c r="C189" s="193" t="s">
        <v>572</v>
      </c>
      <c r="D189" s="22"/>
      <c r="E189" s="180"/>
    </row>
    <row r="190" spans="1:5" ht="32.25" customHeight="1">
      <c r="A190" s="20"/>
      <c r="B190" s="194" t="s">
        <v>325</v>
      </c>
      <c r="C190" s="195">
        <f>C35+C40+C55+C60+C76+C84+C97+C104+C114+C132+C189</f>
        <v>147</v>
      </c>
      <c r="D190" s="196"/>
      <c r="E190" s="180"/>
    </row>
    <row r="191" spans="1:5" ht="20.100000000000001" customHeight="1">
      <c r="B191" s="198"/>
      <c r="D191" s="199"/>
      <c r="E191" s="202"/>
    </row>
    <row r="192" spans="1:5" ht="65.25" customHeight="1">
      <c r="B192" s="198"/>
      <c r="C192" s="199"/>
      <c r="D192" s="199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2024-04-24T19:56:18Z</dcterms:modified>
  <cp:category/>
  <cp:contentStatus/>
</cp:coreProperties>
</file>